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98842AF4-0DE3-4D62-A5EC-FF373442A995}" xr6:coauthVersionLast="47" xr6:coauthVersionMax="47" xr10:uidLastSave="{00000000-0000-0000-0000-000000000000}"/>
  <bookViews>
    <workbookView xWindow="-120" yWindow="-120" windowWidth="24240" windowHeight="13020" tabRatio="784" activeTab="1" xr2:uid="{00000000-000D-0000-FFFF-FFFF00000000}"/>
  </bookViews>
  <sheets>
    <sheet name="PA" sheetId="5" r:id="rId1"/>
    <sheet name="Sales Register" sheetId="1" r:id="rId2"/>
    <sheet name="Stock Register" sheetId="4" r:id="rId3"/>
    <sheet name="Purchase Register" sheetId="3" r:id="rId4"/>
    <sheet name="Expense Register" sheetId="6" r:id="rId5"/>
    <sheet name="Daily Accounts" sheetId="2" r:id="rId6"/>
    <sheet name="Monthly Summary" sheetId="8" r:id="rId7"/>
    <sheet name="BILL" sheetId="9" r:id="rId8"/>
  </sheets>
  <definedNames>
    <definedName name="_xlnm._FilterDatabase" localSheetId="0" hidden="1">PA!$A$1:$Q$1041</definedName>
    <definedName name="_xlnm._FilterDatabase" localSheetId="3" hidden="1">'Purchase Register'!$A$1:$K$1041</definedName>
    <definedName name="_xlnm._FilterDatabase" localSheetId="1" hidden="1">'Sales Register'!$A$2:$I$166</definedName>
    <definedName name="_xlnm._FilterDatabase" localSheetId="2" hidden="1">'Stock Register'!$A$1:$I$882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6" i="2" l="1"/>
  <c r="D236" i="2"/>
  <c r="E236" i="2"/>
  <c r="C237" i="2"/>
  <c r="E237" i="2"/>
  <c r="D237" i="2"/>
  <c r="F7391" i="1"/>
  <c r="F7390" i="1"/>
  <c r="F7389" i="1"/>
  <c r="F7388" i="1"/>
  <c r="F7387" i="1"/>
  <c r="F7383" i="1"/>
  <c r="F7386" i="1"/>
  <c r="F7385" i="1"/>
  <c r="F7384" i="1"/>
  <c r="F7382" i="1"/>
  <c r="F7381" i="1"/>
  <c r="F7380" i="1"/>
  <c r="F7379" i="1"/>
  <c r="F7378" i="1"/>
  <c r="F7377" i="1"/>
  <c r="F7376" i="1"/>
  <c r="F7375" i="1"/>
  <c r="F7374" i="1"/>
  <c r="F7373" i="1"/>
  <c r="F7372" i="1"/>
  <c r="F7371" i="1"/>
  <c r="F7369" i="1"/>
  <c r="F7368" i="1"/>
  <c r="F7367" i="1"/>
  <c r="F7366" i="1"/>
  <c r="F7365" i="1"/>
  <c r="F7364" i="1"/>
  <c r="F7363" i="1"/>
  <c r="F7362" i="1"/>
  <c r="F7361" i="1"/>
  <c r="F7360" i="1"/>
  <c r="F7359" i="1"/>
  <c r="F7358" i="1"/>
  <c r="F7357" i="1"/>
  <c r="F7356" i="1"/>
  <c r="F7355" i="1"/>
  <c r="F7354" i="1"/>
  <c r="F7353" i="1"/>
  <c r="F7352" i="1"/>
  <c r="F7351" i="1"/>
  <c r="F7345" i="1"/>
  <c r="F7346" i="1"/>
  <c r="F7347" i="1"/>
  <c r="F7348" i="1"/>
  <c r="F7349" i="1"/>
  <c r="F7350" i="1"/>
  <c r="F7344" i="1"/>
  <c r="C7394" i="1"/>
  <c r="C7392" i="1"/>
  <c r="C7370" i="1"/>
  <c r="F7340" i="1"/>
  <c r="F7339" i="1"/>
  <c r="F7338" i="1"/>
  <c r="F7337" i="1"/>
  <c r="F7336" i="1"/>
  <c r="F7335" i="1"/>
  <c r="F7334" i="1"/>
  <c r="F7333" i="1"/>
  <c r="F7332" i="1"/>
  <c r="F7331" i="1"/>
  <c r="F7330" i="1"/>
  <c r="F7329" i="1"/>
  <c r="F7328" i="1"/>
  <c r="F7327" i="1"/>
  <c r="F7326" i="1"/>
  <c r="F7325" i="1"/>
  <c r="F7324" i="1"/>
  <c r="F7323" i="1"/>
  <c r="F7322" i="1"/>
  <c r="F7321" i="1"/>
  <c r="F7320" i="1"/>
  <c r="F7319" i="1"/>
  <c r="F7318" i="1"/>
  <c r="F7317" i="1"/>
  <c r="F7316" i="1"/>
  <c r="F7315" i="1"/>
  <c r="F7314" i="1"/>
  <c r="F7313" i="1"/>
  <c r="F7312" i="1"/>
  <c r="F7311" i="1"/>
  <c r="F7310" i="1"/>
  <c r="F7309" i="1"/>
  <c r="F7308" i="1"/>
  <c r="F7307" i="1"/>
  <c r="F7306" i="1"/>
  <c r="F7305" i="1"/>
  <c r="F7304" i="1"/>
  <c r="F7303" i="1"/>
  <c r="F7302" i="1"/>
  <c r="F7301" i="1"/>
  <c r="F7299" i="1"/>
  <c r="F7298" i="1"/>
  <c r="F7297" i="1"/>
  <c r="F7296" i="1"/>
  <c r="F7295" i="1"/>
  <c r="F7294" i="1"/>
  <c r="F7293" i="1"/>
  <c r="F7292" i="1"/>
  <c r="F7291" i="1"/>
  <c r="F7290" i="1"/>
  <c r="F7289" i="1"/>
  <c r="F7288" i="1"/>
  <c r="F7287" i="1"/>
  <c r="F7286" i="1"/>
  <c r="F7285" i="1"/>
  <c r="F7284" i="1"/>
  <c r="F7279" i="1"/>
  <c r="F7276" i="1"/>
  <c r="F7277" i="1"/>
  <c r="F7278" i="1"/>
  <c r="F7280" i="1"/>
  <c r="F7281" i="1"/>
  <c r="F7282" i="1"/>
  <c r="F7283" i="1"/>
  <c r="F7275" i="1"/>
  <c r="C7343" i="1"/>
  <c r="C7341" i="1"/>
  <c r="C7300" i="1"/>
  <c r="F7271" i="1"/>
  <c r="F7270" i="1"/>
  <c r="F7269" i="1"/>
  <c r="F7268" i="1"/>
  <c r="F7267" i="1"/>
  <c r="F7266" i="1"/>
  <c r="F7265" i="1"/>
  <c r="F7264" i="1"/>
  <c r="F7263" i="1"/>
  <c r="F7262" i="1"/>
  <c r="F7261" i="1"/>
  <c r="F7260" i="1"/>
  <c r="F7259" i="1"/>
  <c r="F7254" i="1"/>
  <c r="F7255" i="1"/>
  <c r="F7256" i="1"/>
  <c r="F7257" i="1"/>
  <c r="F7258" i="1"/>
  <c r="F7253" i="1"/>
  <c r="F7251" i="1"/>
  <c r="F7250" i="1"/>
  <c r="F7249" i="1"/>
  <c r="F7248" i="1"/>
  <c r="F7247" i="1"/>
  <c r="F7246" i="1"/>
  <c r="F7245" i="1"/>
  <c r="F7244" i="1"/>
  <c r="F7243" i="1"/>
  <c r="F7242" i="1"/>
  <c r="F7241" i="1"/>
  <c r="F7240" i="1"/>
  <c r="F7239" i="1"/>
  <c r="F7238" i="1"/>
  <c r="F7237" i="1"/>
  <c r="F7236" i="1"/>
  <c r="F7235" i="1"/>
  <c r="F7234" i="1"/>
  <c r="F7233" i="1"/>
  <c r="F7232" i="1"/>
  <c r="F7231" i="1"/>
  <c r="F7230" i="1"/>
  <c r="F7229" i="1"/>
  <c r="F7228" i="1"/>
  <c r="F7221" i="1"/>
  <c r="F7222" i="1"/>
  <c r="F7223" i="1"/>
  <c r="F7224" i="1"/>
  <c r="F7225" i="1"/>
  <c r="F7226" i="1"/>
  <c r="F7227" i="1"/>
  <c r="F7220" i="1"/>
  <c r="C7274" i="1"/>
  <c r="C7252" i="1"/>
  <c r="C7272" i="1"/>
  <c r="F7216" i="1"/>
  <c r="F7215" i="1"/>
  <c r="F7214" i="1"/>
  <c r="F7213" i="1"/>
  <c r="F7212" i="1"/>
  <c r="F7211" i="1"/>
  <c r="F7210" i="1"/>
  <c r="F7209" i="1"/>
  <c r="F7208" i="1"/>
  <c r="F7207" i="1"/>
  <c r="F7206" i="1"/>
  <c r="F7201" i="1"/>
  <c r="F7202" i="1"/>
  <c r="F7203" i="1"/>
  <c r="F7204" i="1"/>
  <c r="F7205" i="1"/>
  <c r="F7200" i="1"/>
  <c r="C7219" i="1"/>
  <c r="C7217" i="1"/>
  <c r="F7196" i="1"/>
  <c r="F7195" i="1"/>
  <c r="F7194" i="1"/>
  <c r="F7193" i="1"/>
  <c r="F7192" i="1"/>
  <c r="F7191" i="1"/>
  <c r="F7190" i="1"/>
  <c r="F7189" i="1"/>
  <c r="F7188" i="1"/>
  <c r="F7187" i="1"/>
  <c r="F7186" i="1"/>
  <c r="F7185" i="1"/>
  <c r="F7184" i="1"/>
  <c r="F7183" i="1"/>
  <c r="F7182" i="1"/>
  <c r="F7172" i="1"/>
  <c r="F7173" i="1"/>
  <c r="F7174" i="1"/>
  <c r="F7175" i="1"/>
  <c r="F7176" i="1"/>
  <c r="F7177" i="1"/>
  <c r="F7178" i="1"/>
  <c r="F7179" i="1"/>
  <c r="F7180" i="1"/>
  <c r="F7181" i="1"/>
  <c r="F7171" i="1"/>
  <c r="F7169" i="1"/>
  <c r="F7147" i="1"/>
  <c r="F7148" i="1"/>
  <c r="F7149" i="1"/>
  <c r="F7150" i="1"/>
  <c r="F7151" i="1"/>
  <c r="F7152" i="1"/>
  <c r="F7153" i="1"/>
  <c r="F7154" i="1"/>
  <c r="F7155" i="1"/>
  <c r="F7156" i="1"/>
  <c r="F7157" i="1"/>
  <c r="F7158" i="1"/>
  <c r="F7159" i="1"/>
  <c r="F7160" i="1"/>
  <c r="F7161" i="1"/>
  <c r="F7162" i="1"/>
  <c r="F7163" i="1"/>
  <c r="F7164" i="1"/>
  <c r="F7165" i="1"/>
  <c r="F7166" i="1"/>
  <c r="F7167" i="1"/>
  <c r="F7168" i="1"/>
  <c r="F7146" i="1"/>
  <c r="C7199" i="1"/>
  <c r="E7197" i="1"/>
  <c r="C7197" i="1"/>
  <c r="C7170" i="1"/>
  <c r="F7142" i="1"/>
  <c r="F7141" i="1"/>
  <c r="F7140" i="1"/>
  <c r="F7139" i="1"/>
  <c r="F7138" i="1"/>
  <c r="F7137" i="1"/>
  <c r="F7136" i="1"/>
  <c r="F7135" i="1"/>
  <c r="F7134" i="1"/>
  <c r="F7133" i="1"/>
  <c r="F7132" i="1"/>
  <c r="F7131" i="1"/>
  <c r="F7130" i="1"/>
  <c r="F7129" i="1"/>
  <c r="F7128" i="1"/>
  <c r="F7127" i="1"/>
  <c r="F7126" i="1"/>
  <c r="F7125" i="1"/>
  <c r="F7124" i="1"/>
  <c r="F7123" i="1"/>
  <c r="F7122" i="1"/>
  <c r="F7121" i="1"/>
  <c r="F7120" i="1"/>
  <c r="F7119" i="1"/>
  <c r="F7118" i="1"/>
  <c r="F7117" i="1"/>
  <c r="F7116" i="1"/>
  <c r="F7114" i="1"/>
  <c r="F7113" i="1"/>
  <c r="F7112" i="1"/>
  <c r="F7111" i="1"/>
  <c r="F7110" i="1"/>
  <c r="F7109" i="1"/>
  <c r="F7108" i="1"/>
  <c r="F7107" i="1"/>
  <c r="F7106" i="1"/>
  <c r="F7105" i="1"/>
  <c r="F7104" i="1"/>
  <c r="F7103" i="1"/>
  <c r="F7102" i="1"/>
  <c r="F7101" i="1"/>
  <c r="F7100" i="1"/>
  <c r="F7094" i="1"/>
  <c r="F7095" i="1"/>
  <c r="F7096" i="1"/>
  <c r="F7097" i="1"/>
  <c r="F7098" i="1"/>
  <c r="F7099" i="1"/>
  <c r="F7093" i="1"/>
  <c r="C7145" i="1"/>
  <c r="C7143" i="1"/>
  <c r="C7115" i="1"/>
  <c r="F7089" i="1"/>
  <c r="F7088" i="1"/>
  <c r="F7087" i="1"/>
  <c r="F7086" i="1"/>
  <c r="F7085" i="1"/>
  <c r="F7084" i="1"/>
  <c r="F7083" i="1"/>
  <c r="F7082" i="1"/>
  <c r="F7081" i="1"/>
  <c r="F7080" i="1"/>
  <c r="F7079" i="1"/>
  <c r="F7078" i="1"/>
  <c r="F7072" i="1"/>
  <c r="F7073" i="1"/>
  <c r="F7074" i="1"/>
  <c r="F7075" i="1"/>
  <c r="F7076" i="1"/>
  <c r="F7077" i="1"/>
  <c r="F7071" i="1"/>
  <c r="F7069" i="1"/>
  <c r="F7068" i="1"/>
  <c r="F7067" i="1"/>
  <c r="F7066" i="1"/>
  <c r="F7065" i="1"/>
  <c r="F7064" i="1"/>
  <c r="F7055" i="1"/>
  <c r="F7056" i="1"/>
  <c r="F7057" i="1"/>
  <c r="F7058" i="1"/>
  <c r="F7059" i="1"/>
  <c r="F7060" i="1"/>
  <c r="F7061" i="1"/>
  <c r="F7062" i="1"/>
  <c r="F7063" i="1"/>
  <c r="F7054" i="1"/>
  <c r="C7092" i="1"/>
  <c r="C7090" i="1"/>
  <c r="C7070" i="1"/>
  <c r="F7050" i="1"/>
  <c r="F7049" i="1"/>
  <c r="F7048" i="1"/>
  <c r="F7047" i="1"/>
  <c r="F7046" i="1"/>
  <c r="F7045" i="1"/>
  <c r="F7044" i="1"/>
  <c r="F7043" i="1"/>
  <c r="F7042" i="1"/>
  <c r="F7041" i="1"/>
  <c r="F7033" i="1"/>
  <c r="F7032" i="1"/>
  <c r="F7031" i="1"/>
  <c r="F7040" i="1"/>
  <c r="F7039" i="1"/>
  <c r="F7038" i="1"/>
  <c r="F7037" i="1"/>
  <c r="F7036" i="1"/>
  <c r="F7035" i="1"/>
  <c r="F7034" i="1"/>
  <c r="F7030" i="1"/>
  <c r="F7029" i="1"/>
  <c r="F7028" i="1"/>
  <c r="F7027" i="1"/>
  <c r="F7026" i="1"/>
  <c r="F7025" i="1"/>
  <c r="F7024" i="1"/>
  <c r="F7023" i="1"/>
  <c r="F7022" i="1"/>
  <c r="F7021" i="1"/>
  <c r="F7020" i="1"/>
  <c r="F7019" i="1"/>
  <c r="F7018" i="1"/>
  <c r="F7017" i="1"/>
  <c r="F7016" i="1"/>
  <c r="F7013" i="1"/>
  <c r="F7014" i="1"/>
  <c r="F7012" i="1"/>
  <c r="F7011" i="1"/>
  <c r="F7010" i="1"/>
  <c r="F7009" i="1"/>
  <c r="F7008" i="1"/>
  <c r="F7007" i="1"/>
  <c r="F7006" i="1"/>
  <c r="F7005" i="1"/>
  <c r="F7004" i="1"/>
  <c r="F7003" i="1"/>
  <c r="F7002" i="1"/>
  <c r="F6992" i="1"/>
  <c r="F6993" i="1"/>
  <c r="F6994" i="1"/>
  <c r="F6995" i="1"/>
  <c r="F6996" i="1"/>
  <c r="F6997" i="1"/>
  <c r="F6998" i="1"/>
  <c r="F6999" i="1"/>
  <c r="F7000" i="1"/>
  <c r="F7001" i="1"/>
  <c r="F6991" i="1"/>
  <c r="C7053" i="1"/>
  <c r="C7051" i="1"/>
  <c r="C7015" i="1"/>
  <c r="F6987" i="1"/>
  <c r="F6986" i="1"/>
  <c r="F6985" i="1"/>
  <c r="F6984" i="1"/>
  <c r="F6983" i="1"/>
  <c r="F6982" i="1"/>
  <c r="F6981" i="1"/>
  <c r="F6980" i="1"/>
  <c r="F6979" i="1"/>
  <c r="F6978" i="1"/>
  <c r="F6977" i="1"/>
  <c r="F6976" i="1"/>
  <c r="F6975" i="1"/>
  <c r="F6974" i="1"/>
  <c r="F6973" i="1"/>
  <c r="F6972" i="1"/>
  <c r="F6971" i="1"/>
  <c r="F6970" i="1"/>
  <c r="F6969" i="1"/>
  <c r="F6968" i="1"/>
  <c r="F6967" i="1"/>
  <c r="F6966" i="1"/>
  <c r="F6965" i="1"/>
  <c r="F6964" i="1"/>
  <c r="F6963" i="1"/>
  <c r="F6962" i="1"/>
  <c r="F6961" i="1"/>
  <c r="F6960" i="1"/>
  <c r="F6959" i="1"/>
  <c r="F6958" i="1"/>
  <c r="F6957" i="1"/>
  <c r="F6956" i="1"/>
  <c r="F6955" i="1"/>
  <c r="F6954" i="1"/>
  <c r="F6953" i="1"/>
  <c r="F6949" i="1"/>
  <c r="F6950" i="1"/>
  <c r="F6951" i="1"/>
  <c r="F6948" i="1"/>
  <c r="F6947" i="1"/>
  <c r="F6946" i="1"/>
  <c r="F6945" i="1"/>
  <c r="F6944" i="1"/>
  <c r="F6943" i="1"/>
  <c r="F6942" i="1"/>
  <c r="F6941" i="1"/>
  <c r="F6939" i="1"/>
  <c r="F6938" i="1"/>
  <c r="F6937" i="1"/>
  <c r="F6936" i="1"/>
  <c r="F6935" i="1"/>
  <c r="F6934" i="1"/>
  <c r="F6933" i="1"/>
  <c r="F6932" i="1"/>
  <c r="F6931" i="1"/>
  <c r="F6930" i="1"/>
  <c r="F6929" i="1"/>
  <c r="F6928" i="1"/>
  <c r="F6922" i="1"/>
  <c r="F6923" i="1"/>
  <c r="F6924" i="1"/>
  <c r="F6925" i="1"/>
  <c r="F6926" i="1"/>
  <c r="F6927" i="1"/>
  <c r="F6940" i="1"/>
  <c r="F6921" i="1"/>
  <c r="C6988" i="1"/>
  <c r="C6952" i="1"/>
  <c r="C6990" i="1"/>
  <c r="F6914" i="1"/>
  <c r="F6913" i="1"/>
  <c r="F6912" i="1"/>
  <c r="F6910" i="1"/>
  <c r="F6909" i="1"/>
  <c r="F6902" i="1"/>
  <c r="F6903" i="1"/>
  <c r="F6904" i="1"/>
  <c r="F6905" i="1"/>
  <c r="F6906" i="1"/>
  <c r="F6907" i="1"/>
  <c r="F6908" i="1"/>
  <c r="F6901" i="1"/>
  <c r="E6920" i="1"/>
  <c r="C6920" i="1"/>
  <c r="E6918" i="1"/>
  <c r="C6918" i="1"/>
  <c r="E6911" i="1"/>
  <c r="C6911" i="1"/>
  <c r="F6897" i="1"/>
  <c r="F6896" i="1"/>
  <c r="F6895" i="1"/>
  <c r="F6894" i="1"/>
  <c r="F6893" i="1"/>
  <c r="F6892" i="1"/>
  <c r="F6891" i="1"/>
  <c r="F6890" i="1"/>
  <c r="F6889" i="1"/>
  <c r="F6888" i="1"/>
  <c r="F6887" i="1"/>
  <c r="F6886" i="1"/>
  <c r="F6885" i="1"/>
  <c r="F6884" i="1"/>
  <c r="F6883" i="1"/>
  <c r="F6882" i="1"/>
  <c r="F6881" i="1"/>
  <c r="F6880" i="1"/>
  <c r="F6879" i="1"/>
  <c r="F6878" i="1"/>
  <c r="F6877" i="1"/>
  <c r="F6871" i="1"/>
  <c r="F6872" i="1"/>
  <c r="F6873" i="1"/>
  <c r="F6874" i="1"/>
  <c r="F6875" i="1"/>
  <c r="F6876" i="1"/>
  <c r="F6870" i="1"/>
  <c r="F6868" i="1"/>
  <c r="F6866" i="1"/>
  <c r="F6867" i="1"/>
  <c r="F6865" i="1"/>
  <c r="F6864" i="1"/>
  <c r="F6863" i="1"/>
  <c r="F6862" i="1"/>
  <c r="F6861" i="1"/>
  <c r="F6860" i="1"/>
  <c r="F6859" i="1"/>
  <c r="F6858" i="1"/>
  <c r="F6857" i="1"/>
  <c r="F6856" i="1"/>
  <c r="F6855" i="1"/>
  <c r="F6854" i="1"/>
  <c r="F6853" i="1"/>
  <c r="F6852" i="1"/>
  <c r="F6851" i="1"/>
  <c r="F6850" i="1"/>
  <c r="F6849" i="1"/>
  <c r="F6848" i="1"/>
  <c r="F6847" i="1"/>
  <c r="F6846" i="1"/>
  <c r="F6845" i="1"/>
  <c r="F6844" i="1"/>
  <c r="F6843" i="1"/>
  <c r="F6835" i="1"/>
  <c r="F6836" i="1"/>
  <c r="F6837" i="1"/>
  <c r="F6838" i="1"/>
  <c r="F6839" i="1"/>
  <c r="F6840" i="1"/>
  <c r="F6841" i="1"/>
  <c r="F6842" i="1"/>
  <c r="F6834" i="1"/>
  <c r="C6900" i="1"/>
  <c r="E6898" i="1"/>
  <c r="C6898" i="1"/>
  <c r="C6869" i="1"/>
  <c r="F6830" i="1"/>
  <c r="F6829" i="1"/>
  <c r="F6828" i="1"/>
  <c r="F6827" i="1"/>
  <c r="F6826" i="1"/>
  <c r="F6825" i="1"/>
  <c r="F6824" i="1"/>
  <c r="F6823" i="1"/>
  <c r="F6822" i="1"/>
  <c r="F6821" i="1"/>
  <c r="F6820" i="1"/>
  <c r="F6819" i="1"/>
  <c r="F6818" i="1"/>
  <c r="F6817" i="1"/>
  <c r="F6816" i="1"/>
  <c r="F6815" i="1"/>
  <c r="F6814" i="1"/>
  <c r="F6813" i="1"/>
  <c r="F6812" i="1"/>
  <c r="F6811" i="1"/>
  <c r="C6833" i="1"/>
  <c r="F6801" i="1"/>
  <c r="F6802" i="1"/>
  <c r="F6803" i="1"/>
  <c r="F6804" i="1"/>
  <c r="F6805" i="1"/>
  <c r="F6806" i="1"/>
  <c r="F6807" i="1"/>
  <c r="F6808" i="1"/>
  <c r="F6809" i="1"/>
  <c r="F6810" i="1"/>
  <c r="F6800" i="1"/>
  <c r="D1036" i="5"/>
  <c r="K1036" i="5" s="1"/>
  <c r="D1037" i="5"/>
  <c r="K1037" i="5" s="1"/>
  <c r="D1038" i="5"/>
  <c r="K1038" i="5" s="1"/>
  <c r="D1039" i="5"/>
  <c r="K1039" i="5" s="1"/>
  <c r="D1040" i="5"/>
  <c r="K1040" i="5" s="1"/>
  <c r="D1041" i="5"/>
  <c r="K1041" i="5" s="1"/>
  <c r="G1044" i="3"/>
  <c r="G1043" i="3"/>
  <c r="G1042" i="3"/>
  <c r="F6798" i="1"/>
  <c r="F6797" i="1"/>
  <c r="F6796" i="1"/>
  <c r="F6795" i="1"/>
  <c r="F6794" i="1"/>
  <c r="G1041" i="3"/>
  <c r="G1040" i="3"/>
  <c r="G1039" i="3"/>
  <c r="F6793" i="1"/>
  <c r="F6792" i="1"/>
  <c r="F6791" i="1"/>
  <c r="F6789" i="1"/>
  <c r="F6788" i="1"/>
  <c r="F6787" i="1"/>
  <c r="F6786" i="1"/>
  <c r="F6778" i="1"/>
  <c r="F6779" i="1"/>
  <c r="F6780" i="1"/>
  <c r="F6781" i="1"/>
  <c r="F6782" i="1"/>
  <c r="F6783" i="1"/>
  <c r="F6784" i="1"/>
  <c r="F6785" i="1"/>
  <c r="F6790" i="1"/>
  <c r="F6777" i="1"/>
  <c r="C6831" i="1"/>
  <c r="C6799" i="1"/>
  <c r="F6773" i="1"/>
  <c r="F6772" i="1"/>
  <c r="F6771" i="1"/>
  <c r="F6770" i="1"/>
  <c r="F6769" i="1"/>
  <c r="F6768" i="1"/>
  <c r="F6767" i="1"/>
  <c r="F6766" i="1"/>
  <c r="F6765" i="1"/>
  <c r="F6764" i="1"/>
  <c r="F6763" i="1"/>
  <c r="F6762" i="1"/>
  <c r="F6761" i="1"/>
  <c r="F6760" i="1"/>
  <c r="F6759" i="1"/>
  <c r="F6758" i="1"/>
  <c r="F6757" i="1"/>
  <c r="F6756" i="1"/>
  <c r="F6755" i="1"/>
  <c r="F6754" i="1"/>
  <c r="F6753" i="1"/>
  <c r="F6752" i="1"/>
  <c r="F6751" i="1"/>
  <c r="F6750" i="1"/>
  <c r="F6749" i="1"/>
  <c r="F6748" i="1"/>
  <c r="F6747" i="1"/>
  <c r="F6746" i="1"/>
  <c r="F6713" i="1"/>
  <c r="F6714" i="1"/>
  <c r="F6715" i="1"/>
  <c r="F6716" i="1"/>
  <c r="F6717" i="1"/>
  <c r="F6718" i="1"/>
  <c r="F6719" i="1"/>
  <c r="F6720" i="1"/>
  <c r="F6721" i="1"/>
  <c r="F6722" i="1"/>
  <c r="F6723" i="1"/>
  <c r="F6724" i="1"/>
  <c r="F6725" i="1"/>
  <c r="F6726" i="1"/>
  <c r="F6727" i="1"/>
  <c r="F6728" i="1"/>
  <c r="F6729" i="1"/>
  <c r="F6730" i="1"/>
  <c r="F6731" i="1"/>
  <c r="F6732" i="1"/>
  <c r="F6733" i="1"/>
  <c r="F6734" i="1"/>
  <c r="F6735" i="1"/>
  <c r="F6736" i="1"/>
  <c r="F6737" i="1"/>
  <c r="F6738" i="1"/>
  <c r="F6739" i="1"/>
  <c r="F6740" i="1"/>
  <c r="F6741" i="1"/>
  <c r="F6742" i="1"/>
  <c r="F6743" i="1"/>
  <c r="F6744" i="1"/>
  <c r="F6712" i="1"/>
  <c r="C6776" i="1"/>
  <c r="C6774" i="1"/>
  <c r="C6745" i="1"/>
  <c r="H216" i="2"/>
  <c r="H217" i="2"/>
  <c r="H218" i="2"/>
  <c r="H219" i="2"/>
  <c r="H220" i="2"/>
  <c r="H221" i="2"/>
  <c r="H222" i="2"/>
  <c r="H223" i="2"/>
  <c r="H224" i="2"/>
  <c r="H225" i="2"/>
  <c r="H226" i="2"/>
  <c r="H227" i="2"/>
  <c r="H228" i="2"/>
  <c r="H229" i="2"/>
  <c r="H230" i="2"/>
  <c r="H231" i="2"/>
  <c r="H232" i="2"/>
  <c r="H233" i="2"/>
  <c r="H234" i="2"/>
  <c r="H235" i="2"/>
  <c r="H237" i="2"/>
  <c r="H238" i="2"/>
  <c r="H239" i="2"/>
  <c r="H240" i="2"/>
  <c r="H241" i="2"/>
  <c r="H242" i="2"/>
  <c r="H243" i="2"/>
  <c r="H244" i="2"/>
  <c r="H245" i="2"/>
  <c r="H1012" i="3"/>
  <c r="H1009" i="3"/>
  <c r="H1038" i="3"/>
  <c r="G1035" i="3"/>
  <c r="D1032" i="5" s="1"/>
  <c r="K1032" i="5" s="1"/>
  <c r="G1036" i="3"/>
  <c r="D1033" i="5" s="1"/>
  <c r="K1033" i="5" s="1"/>
  <c r="G1037" i="3"/>
  <c r="D1034" i="5" s="1"/>
  <c r="K1034" i="5" s="1"/>
  <c r="G1038" i="3"/>
  <c r="D1035" i="5" s="1"/>
  <c r="K1035" i="5" s="1"/>
  <c r="G1034" i="3"/>
  <c r="D1031" i="5" s="1"/>
  <c r="K1031" i="5" s="1"/>
  <c r="G1033" i="3"/>
  <c r="D1030" i="5" s="1"/>
  <c r="K1030" i="5" s="1"/>
  <c r="G1032" i="3"/>
  <c r="D1029" i="5" s="1"/>
  <c r="K1029" i="5" s="1"/>
  <c r="G1031" i="3"/>
  <c r="D1028" i="5" s="1"/>
  <c r="K1028" i="5" s="1"/>
  <c r="G1030" i="3"/>
  <c r="D1027" i="5" s="1"/>
  <c r="K1027" i="5" s="1"/>
  <c r="G1029" i="3"/>
  <c r="D1026" i="5" s="1"/>
  <c r="K1026" i="5" s="1"/>
  <c r="G1028" i="3"/>
  <c r="D1025" i="5" s="1"/>
  <c r="K1025" i="5" s="1"/>
  <c r="G1027" i="3"/>
  <c r="D1024" i="5" s="1"/>
  <c r="K1024" i="5" s="1"/>
  <c r="F6707" i="1"/>
  <c r="F6706" i="1"/>
  <c r="F6705" i="1"/>
  <c r="F6704" i="1"/>
  <c r="F6703" i="1"/>
  <c r="F6702" i="1"/>
  <c r="F6701" i="1"/>
  <c r="F6700" i="1"/>
  <c r="F6699" i="1"/>
  <c r="F6698" i="1"/>
  <c r="F6697" i="1"/>
  <c r="F6696" i="1"/>
  <c r="F6695" i="1"/>
  <c r="F6694" i="1"/>
  <c r="F6693" i="1"/>
  <c r="F6692" i="1"/>
  <c r="F6691" i="1"/>
  <c r="F6690" i="1"/>
  <c r="F6682" i="1"/>
  <c r="F6683" i="1"/>
  <c r="F6684" i="1"/>
  <c r="F6685" i="1"/>
  <c r="F6686" i="1"/>
  <c r="F6687" i="1"/>
  <c r="F6688" i="1"/>
  <c r="F6689" i="1"/>
  <c r="F6708" i="1"/>
  <c r="F6681" i="1"/>
  <c r="G1026" i="3"/>
  <c r="D1023" i="5" s="1"/>
  <c r="K1023" i="5" s="1"/>
  <c r="G1025" i="3"/>
  <c r="D1022" i="5" s="1"/>
  <c r="K1022" i="5" s="1"/>
  <c r="G1024" i="3"/>
  <c r="D1021" i="5" s="1"/>
  <c r="K1021" i="5" s="1"/>
  <c r="G1023" i="3"/>
  <c r="D1020" i="5" s="1"/>
  <c r="K1020" i="5" s="1"/>
  <c r="G1022" i="3"/>
  <c r="D1019" i="5" s="1"/>
  <c r="K1019" i="5" s="1"/>
  <c r="G1021" i="3"/>
  <c r="D1018" i="5" s="1"/>
  <c r="K1018" i="5" s="1"/>
  <c r="G1020" i="3"/>
  <c r="D1017" i="5" s="1"/>
  <c r="K1017" i="5" s="1"/>
  <c r="G1019" i="3"/>
  <c r="D1016" i="5" s="1"/>
  <c r="K1016" i="5" s="1"/>
  <c r="G1018" i="3"/>
  <c r="D1015" i="5" s="1"/>
  <c r="K1015" i="5" s="1"/>
  <c r="G1017" i="3"/>
  <c r="D1014" i="5" s="1"/>
  <c r="K1014" i="5" s="1"/>
  <c r="G1016" i="3"/>
  <c r="D1013" i="5" s="1"/>
  <c r="K1013" i="5" s="1"/>
  <c r="G1015" i="3"/>
  <c r="D1012" i="5" s="1"/>
  <c r="K1012" i="5" s="1"/>
  <c r="G1014" i="3"/>
  <c r="D1011" i="5" s="1"/>
  <c r="K1011" i="5" s="1"/>
  <c r="G1013" i="3"/>
  <c r="D1010" i="5" s="1"/>
  <c r="K1010" i="5" s="1"/>
  <c r="F6679" i="1"/>
  <c r="F6678" i="1"/>
  <c r="F6677" i="1"/>
  <c r="F6676" i="1"/>
  <c r="F6675" i="1"/>
  <c r="F6674" i="1"/>
  <c r="F6641" i="1"/>
  <c r="F6642" i="1"/>
  <c r="F6643" i="1"/>
  <c r="F6644" i="1"/>
  <c r="F6645" i="1"/>
  <c r="F6646" i="1"/>
  <c r="F6647" i="1"/>
  <c r="F6648" i="1"/>
  <c r="F6649" i="1"/>
  <c r="F6650" i="1"/>
  <c r="F6651" i="1"/>
  <c r="F6652" i="1"/>
  <c r="F6653" i="1"/>
  <c r="F6654" i="1"/>
  <c r="F6655" i="1"/>
  <c r="F6656" i="1"/>
  <c r="F6657" i="1"/>
  <c r="F6658" i="1"/>
  <c r="F6659" i="1"/>
  <c r="F6660" i="1"/>
  <c r="F6661" i="1"/>
  <c r="F6662" i="1"/>
  <c r="F6663" i="1"/>
  <c r="F6664" i="1"/>
  <c r="F6665" i="1"/>
  <c r="F6666" i="1"/>
  <c r="F6667" i="1"/>
  <c r="F6668" i="1"/>
  <c r="F6669" i="1"/>
  <c r="F6670" i="1"/>
  <c r="F6671" i="1"/>
  <c r="F6672" i="1"/>
  <c r="F6673" i="1"/>
  <c r="F6640" i="1"/>
  <c r="C6711" i="1"/>
  <c r="E6709" i="1"/>
  <c r="C6709" i="1"/>
  <c r="C6680" i="1"/>
  <c r="F6636" i="1"/>
  <c r="F6635" i="1"/>
  <c r="F6634" i="1"/>
  <c r="F6633" i="1"/>
  <c r="F6632" i="1"/>
  <c r="F6631" i="1"/>
  <c r="F6630" i="1"/>
  <c r="F6629" i="1"/>
  <c r="F6628" i="1"/>
  <c r="F6627" i="1"/>
  <c r="F6626" i="1"/>
  <c r="F6625" i="1"/>
  <c r="F6624" i="1"/>
  <c r="F6623" i="1"/>
  <c r="F6622" i="1"/>
  <c r="F6621" i="1"/>
  <c r="F6620" i="1"/>
  <c r="F6619" i="1"/>
  <c r="F6618" i="1"/>
  <c r="F6617" i="1"/>
  <c r="F6616" i="1"/>
  <c r="F6461" i="1"/>
  <c r="F6462" i="1"/>
  <c r="F6463" i="1"/>
  <c r="F6464" i="1"/>
  <c r="F6465" i="1"/>
  <c r="F6466" i="1"/>
  <c r="F6467" i="1"/>
  <c r="F6468" i="1"/>
  <c r="F6469" i="1"/>
  <c r="F6470" i="1"/>
  <c r="F6471" i="1"/>
  <c r="F6472" i="1"/>
  <c r="F6473" i="1"/>
  <c r="F6474" i="1"/>
  <c r="F6475" i="1"/>
  <c r="F6476" i="1"/>
  <c r="F6477" i="1"/>
  <c r="F6478" i="1"/>
  <c r="F6479" i="1"/>
  <c r="F6480" i="1"/>
  <c r="F6481" i="1"/>
  <c r="F6482" i="1"/>
  <c r="F6483" i="1"/>
  <c r="F6484" i="1"/>
  <c r="F6485" i="1"/>
  <c r="F6486" i="1"/>
  <c r="F6487" i="1"/>
  <c r="F6488" i="1"/>
  <c r="F6489" i="1"/>
  <c r="F6490" i="1"/>
  <c r="F6491" i="1"/>
  <c r="F6492" i="1"/>
  <c r="F6493" i="1"/>
  <c r="F6494" i="1"/>
  <c r="F6495" i="1"/>
  <c r="F6496" i="1"/>
  <c r="F6460" i="1"/>
  <c r="C6499" i="1"/>
  <c r="C6497" i="1"/>
  <c r="F6615" i="1"/>
  <c r="F6614" i="1"/>
  <c r="F6613" i="1"/>
  <c r="F6612" i="1"/>
  <c r="F6584" i="1"/>
  <c r="F6585" i="1"/>
  <c r="F6586" i="1"/>
  <c r="F6587" i="1"/>
  <c r="F6588" i="1"/>
  <c r="F6589" i="1"/>
  <c r="F6590" i="1"/>
  <c r="F6591" i="1"/>
  <c r="F6592" i="1"/>
  <c r="F6593" i="1"/>
  <c r="F6594" i="1"/>
  <c r="F6595" i="1"/>
  <c r="F6596" i="1"/>
  <c r="F6597" i="1"/>
  <c r="F6598" i="1"/>
  <c r="F6599" i="1"/>
  <c r="F6600" i="1"/>
  <c r="F6601" i="1"/>
  <c r="F6602" i="1"/>
  <c r="F6603" i="1"/>
  <c r="F6604" i="1"/>
  <c r="F6605" i="1"/>
  <c r="F6606" i="1"/>
  <c r="F6607" i="1"/>
  <c r="F6608" i="1"/>
  <c r="F6609" i="1"/>
  <c r="F6610" i="1"/>
  <c r="F6583" i="1"/>
  <c r="C6639" i="1"/>
  <c r="C6637" i="1"/>
  <c r="C6611" i="1"/>
  <c r="F6579" i="1"/>
  <c r="F6578" i="1"/>
  <c r="F6577" i="1"/>
  <c r="F6576" i="1"/>
  <c r="F6575" i="1"/>
  <c r="F6574" i="1"/>
  <c r="F6573" i="1"/>
  <c r="F6572" i="1"/>
  <c r="F6571" i="1"/>
  <c r="F6570" i="1"/>
  <c r="F6569" i="1"/>
  <c r="F6568" i="1"/>
  <c r="F6567" i="1"/>
  <c r="F6566" i="1"/>
  <c r="F6565" i="1"/>
  <c r="F6564" i="1"/>
  <c r="F6563" i="1"/>
  <c r="F6562" i="1"/>
  <c r="F6561" i="1"/>
  <c r="F6501" i="1"/>
  <c r="F6502" i="1"/>
  <c r="F6503" i="1"/>
  <c r="F6504" i="1"/>
  <c r="F6505" i="1"/>
  <c r="F6506" i="1"/>
  <c r="F6507" i="1"/>
  <c r="F6508" i="1"/>
  <c r="F6509" i="1"/>
  <c r="F6510" i="1"/>
  <c r="F6511" i="1"/>
  <c r="F6500" i="1"/>
  <c r="F6560" i="1"/>
  <c r="F6559" i="1"/>
  <c r="F6558" i="1"/>
  <c r="F6557" i="1"/>
  <c r="F6556" i="1"/>
  <c r="F6555" i="1"/>
  <c r="F6554" i="1"/>
  <c r="F6553" i="1"/>
  <c r="F6552" i="1"/>
  <c r="F6551" i="1"/>
  <c r="F6435" i="1"/>
  <c r="F6436" i="1"/>
  <c r="F6414" i="1"/>
  <c r="F6415" i="1"/>
  <c r="F6416" i="1"/>
  <c r="F6417" i="1"/>
  <c r="F6418" i="1"/>
  <c r="F6419" i="1"/>
  <c r="F6420" i="1"/>
  <c r="F6421" i="1"/>
  <c r="F6422" i="1"/>
  <c r="F6423" i="1"/>
  <c r="F6424" i="1"/>
  <c r="F6425" i="1"/>
  <c r="F6426" i="1"/>
  <c r="F6427" i="1"/>
  <c r="F6428" i="1"/>
  <c r="F6429" i="1"/>
  <c r="F6430" i="1"/>
  <c r="F6431" i="1"/>
  <c r="F6432" i="1"/>
  <c r="F6433" i="1"/>
  <c r="F6434" i="1"/>
  <c r="F6437" i="1"/>
  <c r="F6438" i="1"/>
  <c r="F6439" i="1"/>
  <c r="F6440" i="1"/>
  <c r="F6441" i="1"/>
  <c r="F6442" i="1"/>
  <c r="F6443" i="1"/>
  <c r="F6444" i="1"/>
  <c r="F6445" i="1"/>
  <c r="F6446" i="1"/>
  <c r="F6447" i="1"/>
  <c r="F6448" i="1"/>
  <c r="F6449" i="1"/>
  <c r="F6450" i="1"/>
  <c r="F6451" i="1"/>
  <c r="F6452" i="1"/>
  <c r="F6453" i="1"/>
  <c r="F6454" i="1"/>
  <c r="F6455" i="1"/>
  <c r="F6456" i="1"/>
  <c r="F6550" i="1"/>
  <c r="F6516" i="1"/>
  <c r="F6517" i="1"/>
  <c r="F6518" i="1"/>
  <c r="F6519" i="1"/>
  <c r="F6520" i="1"/>
  <c r="F6521" i="1"/>
  <c r="F6522" i="1"/>
  <c r="F6523" i="1"/>
  <c r="F6524" i="1"/>
  <c r="F6525" i="1"/>
  <c r="F6526" i="1"/>
  <c r="F6527" i="1"/>
  <c r="F6528" i="1"/>
  <c r="F6529" i="1"/>
  <c r="F6530" i="1"/>
  <c r="F6531" i="1"/>
  <c r="F6532" i="1"/>
  <c r="F6533" i="1"/>
  <c r="F6534" i="1"/>
  <c r="F6535" i="1"/>
  <c r="F6536" i="1"/>
  <c r="F6537" i="1"/>
  <c r="F6538" i="1"/>
  <c r="F6539" i="1"/>
  <c r="F6540" i="1"/>
  <c r="F6541" i="1"/>
  <c r="F6542" i="1"/>
  <c r="F6543" i="1"/>
  <c r="F6544" i="1"/>
  <c r="F6545" i="1"/>
  <c r="F6546" i="1"/>
  <c r="F6547" i="1"/>
  <c r="F6548" i="1"/>
  <c r="F6515" i="1"/>
  <c r="C6582" i="1"/>
  <c r="C6580" i="1"/>
  <c r="C6549" i="1"/>
  <c r="C6514" i="1"/>
  <c r="C6512" i="1"/>
  <c r="F6413" i="1"/>
  <c r="C6459" i="1"/>
  <c r="E6410" i="1"/>
  <c r="C6412" i="1"/>
  <c r="C6457" i="1"/>
  <c r="G1012" i="3"/>
  <c r="D1009" i="5" s="1"/>
  <c r="K1009" i="5" s="1"/>
  <c r="G1011" i="3"/>
  <c r="D1008" i="5" s="1"/>
  <c r="K1008" i="5" s="1"/>
  <c r="G1010" i="3"/>
  <c r="D1007" i="5" s="1"/>
  <c r="K1007" i="5" s="1"/>
  <c r="G1009" i="3"/>
  <c r="D1006" i="5" s="1"/>
  <c r="G1008" i="3"/>
  <c r="D1005" i="5" s="1"/>
  <c r="K1005" i="5" s="1"/>
  <c r="G1007" i="3"/>
  <c r="D1004" i="5" s="1"/>
  <c r="G1006" i="3"/>
  <c r="D1003" i="5" s="1"/>
  <c r="K1003" i="5" s="1"/>
  <c r="G1005" i="3"/>
  <c r="D1002" i="5" s="1"/>
  <c r="G1004" i="3"/>
  <c r="D1001" i="5" s="1"/>
  <c r="K1001" i="5" s="1"/>
  <c r="G1003" i="3"/>
  <c r="D1000" i="5" s="1"/>
  <c r="G1002" i="3"/>
  <c r="D999" i="5" s="1"/>
  <c r="K999" i="5" s="1"/>
  <c r="G1001" i="3"/>
  <c r="D998" i="5" s="1"/>
  <c r="K998" i="5" s="1"/>
  <c r="G1000" i="3"/>
  <c r="D997" i="5" s="1"/>
  <c r="G999" i="3"/>
  <c r="D996" i="5" s="1"/>
  <c r="K996" i="5" s="1"/>
  <c r="G998" i="3"/>
  <c r="D995" i="5" s="1"/>
  <c r="G997" i="3"/>
  <c r="D994" i="5" s="1"/>
  <c r="G996" i="3"/>
  <c r="D993" i="5" s="1"/>
  <c r="G995" i="3"/>
  <c r="D992" i="5" s="1"/>
  <c r="G994" i="3"/>
  <c r="D991" i="5" s="1"/>
  <c r="G993" i="3"/>
  <c r="D990" i="5" s="1"/>
  <c r="G992" i="3"/>
  <c r="D989" i="5" s="1"/>
  <c r="G991" i="3"/>
  <c r="D988" i="5" s="1"/>
  <c r="G990" i="3"/>
  <c r="D987" i="5" s="1"/>
  <c r="K987" i="5" s="1"/>
  <c r="G989" i="3"/>
  <c r="D986" i="5" s="1"/>
  <c r="G988" i="3"/>
  <c r="D985" i="5" s="1"/>
  <c r="G987" i="3"/>
  <c r="D984" i="5" s="1"/>
  <c r="M984" i="5" s="1"/>
  <c r="G986" i="3"/>
  <c r="D983" i="5" s="1"/>
  <c r="K983" i="5" s="1"/>
  <c r="G985" i="3"/>
  <c r="D982" i="5" s="1"/>
  <c r="M982" i="5" s="1"/>
  <c r="G984" i="3"/>
  <c r="D981" i="5" s="1"/>
  <c r="K981" i="5" s="1"/>
  <c r="G983" i="3"/>
  <c r="D980" i="5" s="1"/>
  <c r="M980" i="5" s="1"/>
  <c r="G982" i="3"/>
  <c r="D979" i="5" s="1"/>
  <c r="K979" i="5" s="1"/>
  <c r="G981" i="3"/>
  <c r="G980" i="3"/>
  <c r="D977" i="5" s="1"/>
  <c r="G979" i="3"/>
  <c r="D976" i="5" s="1"/>
  <c r="G978" i="3"/>
  <c r="D975" i="5" s="1"/>
  <c r="G977" i="3"/>
  <c r="D974" i="5" s="1"/>
  <c r="F6381" i="1"/>
  <c r="F6382" i="1"/>
  <c r="F6383" i="1"/>
  <c r="F6384" i="1"/>
  <c r="F6385" i="1"/>
  <c r="F6386" i="1"/>
  <c r="F6387" i="1"/>
  <c r="F6388" i="1"/>
  <c r="F6389" i="1"/>
  <c r="F6390" i="1"/>
  <c r="F6391" i="1"/>
  <c r="F6392" i="1"/>
  <c r="F6393" i="1"/>
  <c r="F6394" i="1"/>
  <c r="F6395" i="1"/>
  <c r="F6396" i="1"/>
  <c r="F6397" i="1"/>
  <c r="F6398" i="1"/>
  <c r="F6399" i="1"/>
  <c r="F6400" i="1"/>
  <c r="F6401" i="1"/>
  <c r="F6402" i="1"/>
  <c r="F6403" i="1"/>
  <c r="F6404" i="1"/>
  <c r="F6405" i="1"/>
  <c r="F6406" i="1"/>
  <c r="F6407" i="1"/>
  <c r="F6408" i="1"/>
  <c r="F6409" i="1"/>
  <c r="F6378" i="1"/>
  <c r="F6379" i="1"/>
  <c r="F6380" i="1"/>
  <c r="F6377" i="1"/>
  <c r="E6412" i="1"/>
  <c r="C6410" i="1"/>
  <c r="F6373" i="1"/>
  <c r="F6372" i="1"/>
  <c r="F6371" i="1"/>
  <c r="F6370" i="1"/>
  <c r="F6369" i="1"/>
  <c r="F6368" i="1"/>
  <c r="F6367" i="1"/>
  <c r="F6366" i="1"/>
  <c r="F6341" i="1"/>
  <c r="F6342" i="1"/>
  <c r="F6343" i="1"/>
  <c r="F6344" i="1"/>
  <c r="F6345" i="1"/>
  <c r="F6346" i="1"/>
  <c r="F6347" i="1"/>
  <c r="F6348" i="1"/>
  <c r="F6349" i="1"/>
  <c r="F6350" i="1"/>
  <c r="F6351" i="1"/>
  <c r="F6352" i="1"/>
  <c r="F6353" i="1"/>
  <c r="F6354" i="1"/>
  <c r="F6355" i="1"/>
  <c r="F6356" i="1"/>
  <c r="F6357" i="1"/>
  <c r="F6358" i="1"/>
  <c r="F6359" i="1"/>
  <c r="F6360" i="1"/>
  <c r="F6361" i="1"/>
  <c r="F6362" i="1"/>
  <c r="F6363" i="1"/>
  <c r="F6364" i="1"/>
  <c r="F6340" i="1"/>
  <c r="C6376" i="1"/>
  <c r="E6374" i="1"/>
  <c r="C6374" i="1"/>
  <c r="C6365" i="1"/>
  <c r="F6336" i="1"/>
  <c r="F6335" i="1"/>
  <c r="F6334" i="1"/>
  <c r="F6333" i="1"/>
  <c r="F6332" i="1"/>
  <c r="F6331" i="1"/>
  <c r="F6330" i="1"/>
  <c r="F6329" i="1"/>
  <c r="F6328" i="1"/>
  <c r="F6327" i="1"/>
  <c r="F6326" i="1"/>
  <c r="F6325" i="1"/>
  <c r="F6324" i="1"/>
  <c r="F6323" i="1"/>
  <c r="F6322" i="1"/>
  <c r="F6321" i="1"/>
  <c r="F6320" i="1"/>
  <c r="F6319" i="1"/>
  <c r="F6318" i="1"/>
  <c r="F6317" i="1"/>
  <c r="F6316" i="1"/>
  <c r="F6315" i="1"/>
  <c r="F6314" i="1"/>
  <c r="F6313" i="1"/>
  <c r="F6312" i="1"/>
  <c r="F6311" i="1"/>
  <c r="F6309" i="1"/>
  <c r="F6308" i="1"/>
  <c r="F6305" i="1"/>
  <c r="F6306" i="1"/>
  <c r="F6307" i="1"/>
  <c r="F6310" i="1"/>
  <c r="F6304" i="1"/>
  <c r="F6280" i="1"/>
  <c r="F6281" i="1"/>
  <c r="F6282" i="1"/>
  <c r="F6283" i="1"/>
  <c r="F6284" i="1"/>
  <c r="F6285" i="1"/>
  <c r="F6286" i="1"/>
  <c r="F6287" i="1"/>
  <c r="F6288" i="1"/>
  <c r="F6289" i="1"/>
  <c r="F6290" i="1"/>
  <c r="F6291" i="1"/>
  <c r="F6292" i="1"/>
  <c r="F6293" i="1"/>
  <c r="F6294" i="1"/>
  <c r="F6295" i="1"/>
  <c r="F6296" i="1"/>
  <c r="F6297" i="1"/>
  <c r="F6298" i="1"/>
  <c r="F6299" i="1"/>
  <c r="E6303" i="1" s="1"/>
  <c r="F6300" i="1"/>
  <c r="F6301" i="1"/>
  <c r="F6302" i="1"/>
  <c r="F6279" i="1"/>
  <c r="C6339" i="1"/>
  <c r="C6337" i="1"/>
  <c r="C6278" i="1"/>
  <c r="C6303" i="1"/>
  <c r="F6275" i="1"/>
  <c r="F6274" i="1"/>
  <c r="F6273" i="1"/>
  <c r="F6272" i="1"/>
  <c r="F6271" i="1"/>
  <c r="F6270" i="1"/>
  <c r="F6269" i="1"/>
  <c r="F6268" i="1"/>
  <c r="F6267" i="1"/>
  <c r="F6266" i="1"/>
  <c r="F6265" i="1"/>
  <c r="F6264" i="1"/>
  <c r="F6263" i="1"/>
  <c r="F6262" i="1"/>
  <c r="F6261" i="1"/>
  <c r="F6260" i="1"/>
  <c r="F6259" i="1"/>
  <c r="F6258" i="1"/>
  <c r="F6257" i="1"/>
  <c r="F6256" i="1"/>
  <c r="H975" i="3"/>
  <c r="G976" i="3"/>
  <c r="D973" i="5" s="1"/>
  <c r="K973" i="5" s="1"/>
  <c r="G975" i="3"/>
  <c r="D972" i="5" s="1"/>
  <c r="K972" i="5" s="1"/>
  <c r="G974" i="3"/>
  <c r="D971" i="5" s="1"/>
  <c r="G973" i="3"/>
  <c r="D970" i="5" s="1"/>
  <c r="K970" i="5" s="1"/>
  <c r="G972" i="3"/>
  <c r="D969" i="5" s="1"/>
  <c r="G971" i="3"/>
  <c r="D968" i="5" s="1"/>
  <c r="K968" i="5" s="1"/>
  <c r="G970" i="3"/>
  <c r="D967" i="5" s="1"/>
  <c r="K967" i="5" s="1"/>
  <c r="G969" i="3"/>
  <c r="D966" i="5" s="1"/>
  <c r="G968" i="3"/>
  <c r="D965" i="5" s="1"/>
  <c r="K965" i="5" s="1"/>
  <c r="G967" i="3"/>
  <c r="D964" i="5" s="1"/>
  <c r="F6255" i="1"/>
  <c r="F6254" i="1"/>
  <c r="F6253" i="1"/>
  <c r="F6252" i="1"/>
  <c r="F6251" i="1"/>
  <c r="F6250" i="1"/>
  <c r="F6249" i="1"/>
  <c r="F6248" i="1"/>
  <c r="F6247" i="1"/>
  <c r="F6246" i="1"/>
  <c r="F6245" i="1"/>
  <c r="F6244" i="1"/>
  <c r="F6243" i="1"/>
  <c r="F6242" i="1"/>
  <c r="F6241" i="1"/>
  <c r="F6240" i="1"/>
  <c r="F6239" i="1"/>
  <c r="F6238" i="1"/>
  <c r="F6237" i="1"/>
  <c r="F6236" i="1"/>
  <c r="F6235" i="1"/>
  <c r="F6234" i="1"/>
  <c r="F6233" i="1"/>
  <c r="F6231" i="1"/>
  <c r="F6207" i="1"/>
  <c r="F6208" i="1"/>
  <c r="F6209" i="1"/>
  <c r="F6210" i="1"/>
  <c r="F6211" i="1"/>
  <c r="F6212" i="1"/>
  <c r="F6213" i="1"/>
  <c r="F6214" i="1"/>
  <c r="F6215" i="1"/>
  <c r="F6216" i="1"/>
  <c r="F6217" i="1"/>
  <c r="F6218" i="1"/>
  <c r="F6219" i="1"/>
  <c r="F6220" i="1"/>
  <c r="F6221" i="1"/>
  <c r="F6222" i="1"/>
  <c r="F6223" i="1"/>
  <c r="F6224" i="1"/>
  <c r="F6225" i="1"/>
  <c r="F6226" i="1"/>
  <c r="F6227" i="1"/>
  <c r="F6228" i="1"/>
  <c r="F6229" i="1"/>
  <c r="F6230" i="1"/>
  <c r="F6206" i="1"/>
  <c r="C6276" i="1"/>
  <c r="C6232" i="1"/>
  <c r="F6202" i="1"/>
  <c r="F6201" i="1"/>
  <c r="F6200" i="1"/>
  <c r="F6199" i="1"/>
  <c r="F6198" i="1"/>
  <c r="F6197" i="1"/>
  <c r="F6196" i="1"/>
  <c r="F6195" i="1"/>
  <c r="F6194" i="1"/>
  <c r="F6193" i="1"/>
  <c r="F6192" i="1"/>
  <c r="F6191" i="1"/>
  <c r="F6190" i="1"/>
  <c r="F6189" i="1"/>
  <c r="F6188" i="1"/>
  <c r="F6187" i="1"/>
  <c r="F6186" i="1"/>
  <c r="F6185" i="1"/>
  <c r="F6184" i="1"/>
  <c r="F6183" i="1"/>
  <c r="F6182" i="1"/>
  <c r="F6181" i="1"/>
  <c r="F6180" i="1"/>
  <c r="F6179" i="1"/>
  <c r="F6178" i="1"/>
  <c r="F6177" i="1"/>
  <c r="F6175" i="1"/>
  <c r="F6174" i="1"/>
  <c r="F6173" i="1"/>
  <c r="F6172" i="1"/>
  <c r="F6171" i="1"/>
  <c r="F6170" i="1"/>
  <c r="F6162" i="1"/>
  <c r="F6163" i="1"/>
  <c r="F6164" i="1"/>
  <c r="F6165" i="1"/>
  <c r="F6166" i="1"/>
  <c r="F6167" i="1"/>
  <c r="F6169" i="1"/>
  <c r="F6176" i="1"/>
  <c r="F6161" i="1"/>
  <c r="H966" i="3"/>
  <c r="G966" i="3"/>
  <c r="D963" i="5" s="1"/>
  <c r="K963" i="5" s="1"/>
  <c r="G965" i="3"/>
  <c r="D962" i="5" s="1"/>
  <c r="K962" i="5" s="1"/>
  <c r="G964" i="3"/>
  <c r="D961" i="5" s="1"/>
  <c r="K961" i="5" s="1"/>
  <c r="G963" i="3"/>
  <c r="D960" i="5" s="1"/>
  <c r="K960" i="5" s="1"/>
  <c r="G962" i="3"/>
  <c r="D959" i="5" s="1"/>
  <c r="K959" i="5" s="1"/>
  <c r="G961" i="3"/>
  <c r="D958" i="5" s="1"/>
  <c r="K958" i="5" s="1"/>
  <c r="G960" i="3"/>
  <c r="D957" i="5" s="1"/>
  <c r="K957" i="5" s="1"/>
  <c r="G959" i="3"/>
  <c r="D956" i="5" s="1"/>
  <c r="K956" i="5" s="1"/>
  <c r="G958" i="3"/>
  <c r="D955" i="5" s="1"/>
  <c r="K955" i="5" s="1"/>
  <c r="G957" i="3"/>
  <c r="D954" i="5" s="1"/>
  <c r="K954" i="5" s="1"/>
  <c r="G956" i="3"/>
  <c r="D953" i="5" s="1"/>
  <c r="K953" i="5" s="1"/>
  <c r="G955" i="3"/>
  <c r="D952" i="5" s="1"/>
  <c r="K952" i="5" s="1"/>
  <c r="G954" i="3"/>
  <c r="D951" i="5" s="1"/>
  <c r="K951" i="5" s="1"/>
  <c r="G953" i="3"/>
  <c r="D950" i="5" s="1"/>
  <c r="K950" i="5" s="1"/>
  <c r="G952" i="3"/>
  <c r="D949" i="5" s="1"/>
  <c r="K949" i="5" s="1"/>
  <c r="G951" i="3"/>
  <c r="D948" i="5" s="1"/>
  <c r="K948" i="5" s="1"/>
  <c r="G950" i="3"/>
  <c r="D947" i="5" s="1"/>
  <c r="K947" i="5" s="1"/>
  <c r="G949" i="3"/>
  <c r="D946" i="5" s="1"/>
  <c r="K946" i="5" s="1"/>
  <c r="G948" i="3"/>
  <c r="D945" i="5" s="1"/>
  <c r="K945" i="5" s="1"/>
  <c r="F6159" i="1"/>
  <c r="F6157" i="1"/>
  <c r="F6156" i="1"/>
  <c r="F6155" i="1"/>
  <c r="F6154" i="1"/>
  <c r="F6153" i="1"/>
  <c r="F6152" i="1"/>
  <c r="F6151" i="1"/>
  <c r="F6150" i="1"/>
  <c r="F6149" i="1"/>
  <c r="F6148" i="1"/>
  <c r="F6147" i="1"/>
  <c r="F6146" i="1"/>
  <c r="F6145" i="1"/>
  <c r="F6144" i="1"/>
  <c r="F6143" i="1"/>
  <c r="F6142" i="1"/>
  <c r="F6141" i="1"/>
  <c r="F6140" i="1"/>
  <c r="F6139" i="1"/>
  <c r="F6138" i="1"/>
  <c r="F6137" i="1"/>
  <c r="F6136" i="1"/>
  <c r="F6135" i="1"/>
  <c r="F6134" i="1"/>
  <c r="F6133" i="1"/>
  <c r="F6132" i="1"/>
  <c r="F6131" i="1"/>
  <c r="F6130" i="1"/>
  <c r="F6129" i="1"/>
  <c r="F6128" i="1"/>
  <c r="F6127" i="1"/>
  <c r="F6126" i="1"/>
  <c r="F6125" i="1"/>
  <c r="F6124" i="1"/>
  <c r="F6123" i="1"/>
  <c r="F6122" i="1"/>
  <c r="F6116" i="1"/>
  <c r="F6117" i="1"/>
  <c r="F6118" i="1"/>
  <c r="F6119" i="1"/>
  <c r="F6120" i="1"/>
  <c r="F6121" i="1"/>
  <c r="F6158" i="1"/>
  <c r="F6115" i="1"/>
  <c r="C6205" i="1"/>
  <c r="C6203" i="1"/>
  <c r="C6160" i="1"/>
  <c r="H947" i="3"/>
  <c r="H925" i="3"/>
  <c r="H908" i="3"/>
  <c r="G947" i="3"/>
  <c r="D944" i="5" s="1"/>
  <c r="M944" i="5" s="1"/>
  <c r="G946" i="3"/>
  <c r="D943" i="5" s="1"/>
  <c r="F6110" i="1"/>
  <c r="F6109" i="1"/>
  <c r="G945" i="3"/>
  <c r="D942" i="5" s="1"/>
  <c r="M942" i="5" s="1"/>
  <c r="G944" i="3"/>
  <c r="D941" i="5" s="1"/>
  <c r="G943" i="3"/>
  <c r="D940" i="5" s="1"/>
  <c r="M940" i="5" s="1"/>
  <c r="G942" i="3"/>
  <c r="D939" i="5" s="1"/>
  <c r="G941" i="3"/>
  <c r="D938" i="5" s="1"/>
  <c r="M938" i="5" s="1"/>
  <c r="F6108" i="1"/>
  <c r="F6107" i="1"/>
  <c r="F6106" i="1"/>
  <c r="F6105" i="1"/>
  <c r="G940" i="3"/>
  <c r="D937" i="5" s="1"/>
  <c r="M937" i="5" s="1"/>
  <c r="G939" i="3"/>
  <c r="D936" i="5" s="1"/>
  <c r="M936" i="5" s="1"/>
  <c r="G938" i="3"/>
  <c r="D935" i="5" s="1"/>
  <c r="G937" i="3"/>
  <c r="D934" i="5" s="1"/>
  <c r="G936" i="3"/>
  <c r="D933" i="5" s="1"/>
  <c r="G935" i="3"/>
  <c r="D932" i="5" s="1"/>
  <c r="G934" i="3"/>
  <c r="D931" i="5" s="1"/>
  <c r="G933" i="3"/>
  <c r="D930" i="5" s="1"/>
  <c r="G932" i="3"/>
  <c r="D929" i="5" s="1"/>
  <c r="G931" i="3"/>
  <c r="D928" i="5" s="1"/>
  <c r="G930" i="3"/>
  <c r="D927" i="5" s="1"/>
  <c r="G929" i="3"/>
  <c r="D926" i="5" s="1"/>
  <c r="G928" i="3"/>
  <c r="D925" i="5" s="1"/>
  <c r="F6104" i="1"/>
  <c r="G927" i="3"/>
  <c r="D924" i="5" s="1"/>
  <c r="M924" i="5" s="1"/>
  <c r="G926" i="3"/>
  <c r="D923" i="5" s="1"/>
  <c r="F6103" i="1"/>
  <c r="F6102" i="1"/>
  <c r="F6101" i="1"/>
  <c r="F6100" i="1"/>
  <c r="C6114" i="1"/>
  <c r="C6112" i="1"/>
  <c r="F6099" i="1"/>
  <c r="F6098" i="1"/>
  <c r="F6097" i="1"/>
  <c r="C6097" i="1"/>
  <c r="F6096" i="1"/>
  <c r="F6095" i="1"/>
  <c r="F6094" i="1"/>
  <c r="F6093" i="1"/>
  <c r="F6092" i="1"/>
  <c r="F6091" i="1"/>
  <c r="F6090" i="1"/>
  <c r="F6089" i="1"/>
  <c r="F6088" i="1"/>
  <c r="F6087" i="1"/>
  <c r="F6086" i="1"/>
  <c r="F6085" i="1"/>
  <c r="F6084" i="1"/>
  <c r="F6083" i="1"/>
  <c r="F6082" i="1"/>
  <c r="F6081" i="1"/>
  <c r="F6080" i="1"/>
  <c r="F6079" i="1"/>
  <c r="F6078" i="1"/>
  <c r="F6077" i="1"/>
  <c r="F6037" i="1"/>
  <c r="F6038" i="1"/>
  <c r="F6039" i="1"/>
  <c r="F6040" i="1"/>
  <c r="F6041" i="1"/>
  <c r="F6042" i="1"/>
  <c r="F6043" i="1"/>
  <c r="F6044" i="1"/>
  <c r="F6045" i="1"/>
  <c r="F6046" i="1"/>
  <c r="F6047" i="1"/>
  <c r="F6048" i="1"/>
  <c r="F6049" i="1"/>
  <c r="F6050" i="1"/>
  <c r="F6051" i="1"/>
  <c r="F6052" i="1"/>
  <c r="F6053" i="1"/>
  <c r="F6054" i="1"/>
  <c r="F6055" i="1"/>
  <c r="F6056" i="1"/>
  <c r="F6057" i="1"/>
  <c r="F6058" i="1"/>
  <c r="F6059" i="1"/>
  <c r="F6060" i="1"/>
  <c r="F6061" i="1"/>
  <c r="F6062" i="1"/>
  <c r="F6063" i="1"/>
  <c r="F6064" i="1"/>
  <c r="F6065" i="1"/>
  <c r="F6066" i="1"/>
  <c r="F6067" i="1"/>
  <c r="F6068" i="1"/>
  <c r="F6069" i="1"/>
  <c r="F6070" i="1"/>
  <c r="F6071" i="1"/>
  <c r="F6072" i="1"/>
  <c r="F6073" i="1"/>
  <c r="F6074" i="1"/>
  <c r="F6075" i="1"/>
  <c r="F6036" i="1"/>
  <c r="C6076" i="1"/>
  <c r="C6033" i="1"/>
  <c r="F6032" i="1"/>
  <c r="F6031" i="1"/>
  <c r="F6029" i="1"/>
  <c r="F6028" i="1"/>
  <c r="F6027" i="1"/>
  <c r="F6026" i="1"/>
  <c r="F6025" i="1"/>
  <c r="F6024" i="1"/>
  <c r="F6023" i="1"/>
  <c r="F6022" i="1"/>
  <c r="F6006" i="1"/>
  <c r="F6007" i="1"/>
  <c r="F6008" i="1"/>
  <c r="F6009" i="1"/>
  <c r="F6010" i="1"/>
  <c r="F6011" i="1"/>
  <c r="F6012" i="1"/>
  <c r="F6013" i="1"/>
  <c r="F6014" i="1"/>
  <c r="F6015" i="1"/>
  <c r="F6016" i="1"/>
  <c r="F6017" i="1"/>
  <c r="F6018" i="1"/>
  <c r="F6019" i="1"/>
  <c r="F6020" i="1"/>
  <c r="F6021" i="1"/>
  <c r="F6030" i="1"/>
  <c r="F6005" i="1"/>
  <c r="F5976" i="1"/>
  <c r="F5977" i="1"/>
  <c r="F5978" i="1"/>
  <c r="F5979" i="1"/>
  <c r="F5980" i="1"/>
  <c r="F5981" i="1"/>
  <c r="F5982" i="1"/>
  <c r="F5983" i="1"/>
  <c r="F5984" i="1"/>
  <c r="F5985" i="1"/>
  <c r="F5986" i="1"/>
  <c r="F5987" i="1"/>
  <c r="F5988" i="1"/>
  <c r="F5989" i="1"/>
  <c r="F5990" i="1"/>
  <c r="F5991" i="1"/>
  <c r="F5992" i="1"/>
  <c r="F5993" i="1"/>
  <c r="F5994" i="1"/>
  <c r="F5995" i="1"/>
  <c r="F5996" i="1"/>
  <c r="F5997" i="1"/>
  <c r="F5998" i="1"/>
  <c r="F5999" i="1"/>
  <c r="F6000" i="1"/>
  <c r="F6001" i="1"/>
  <c r="F6002" i="1"/>
  <c r="F6003" i="1"/>
  <c r="F5975" i="1"/>
  <c r="C6035" i="1"/>
  <c r="E6004" i="1"/>
  <c r="C6004" i="1"/>
  <c r="C5974" i="1"/>
  <c r="F5970" i="1"/>
  <c r="F5969" i="1"/>
  <c r="F5968" i="1"/>
  <c r="F5967" i="1"/>
  <c r="F5966" i="1"/>
  <c r="F5965" i="1"/>
  <c r="F5964" i="1"/>
  <c r="F5963" i="1"/>
  <c r="F5962" i="1"/>
  <c r="F5961" i="1"/>
  <c r="F5949" i="1"/>
  <c r="F5950" i="1"/>
  <c r="F5951" i="1"/>
  <c r="F5952" i="1"/>
  <c r="F5953" i="1"/>
  <c r="F5954" i="1"/>
  <c r="F5955" i="1"/>
  <c r="F5956" i="1"/>
  <c r="F5957" i="1"/>
  <c r="F5958" i="1"/>
  <c r="F5959" i="1"/>
  <c r="F5960" i="1"/>
  <c r="F5971" i="1"/>
  <c r="F5948" i="1"/>
  <c r="F5946" i="1"/>
  <c r="F5945" i="1"/>
  <c r="F5944" i="1"/>
  <c r="F5943" i="1"/>
  <c r="F5942" i="1"/>
  <c r="F5941" i="1"/>
  <c r="F5940" i="1"/>
  <c r="F5939" i="1"/>
  <c r="F5938" i="1"/>
  <c r="F5910" i="1"/>
  <c r="F5911" i="1"/>
  <c r="F5912" i="1"/>
  <c r="F5913" i="1"/>
  <c r="F5914" i="1"/>
  <c r="F5915" i="1"/>
  <c r="F5916" i="1"/>
  <c r="F5917" i="1"/>
  <c r="F5918" i="1"/>
  <c r="F5919" i="1"/>
  <c r="F5920" i="1"/>
  <c r="F5921" i="1"/>
  <c r="F5922" i="1"/>
  <c r="F5923" i="1"/>
  <c r="F5924" i="1"/>
  <c r="F5925" i="1"/>
  <c r="F5926" i="1"/>
  <c r="F5927" i="1"/>
  <c r="F5928" i="1"/>
  <c r="F5929" i="1"/>
  <c r="F5930" i="1"/>
  <c r="F5931" i="1"/>
  <c r="F5932" i="1"/>
  <c r="F5933" i="1"/>
  <c r="F5934" i="1"/>
  <c r="F5935" i="1"/>
  <c r="F5936" i="1"/>
  <c r="F5909" i="1"/>
  <c r="C5972" i="1"/>
  <c r="E5937" i="1"/>
  <c r="C5937" i="1"/>
  <c r="C5908" i="1"/>
  <c r="F5905" i="1"/>
  <c r="F5904" i="1"/>
  <c r="F5903" i="1"/>
  <c r="F5902" i="1"/>
  <c r="F5901" i="1"/>
  <c r="F5900" i="1"/>
  <c r="F5899" i="1"/>
  <c r="F5898" i="1"/>
  <c r="F5897" i="1"/>
  <c r="F5896" i="1"/>
  <c r="F5895" i="1"/>
  <c r="F5894" i="1"/>
  <c r="F5893" i="1"/>
  <c r="F5892" i="1"/>
  <c r="F5891" i="1"/>
  <c r="F5890" i="1"/>
  <c r="F5889" i="1"/>
  <c r="F5888" i="1"/>
  <c r="F5887" i="1"/>
  <c r="F5886" i="1"/>
  <c r="F5885" i="1"/>
  <c r="F5884" i="1"/>
  <c r="F5883" i="1"/>
  <c r="F5882" i="1"/>
  <c r="F5881" i="1"/>
  <c r="F5880" i="1"/>
  <c r="F5879" i="1"/>
  <c r="F5878" i="1"/>
  <c r="F5877" i="1"/>
  <c r="F5876" i="1"/>
  <c r="F5875" i="1"/>
  <c r="F5874" i="1"/>
  <c r="F5873" i="1"/>
  <c r="F5872" i="1"/>
  <c r="F5871" i="1"/>
  <c r="F5870" i="1"/>
  <c r="F5869" i="1"/>
  <c r="F5868" i="1"/>
  <c r="F5867" i="1"/>
  <c r="F5866" i="1"/>
  <c r="F5865" i="1"/>
  <c r="F5810" i="1"/>
  <c r="F5811" i="1"/>
  <c r="F5812" i="1"/>
  <c r="F5813" i="1"/>
  <c r="F5814" i="1"/>
  <c r="F5815" i="1"/>
  <c r="F5816" i="1"/>
  <c r="F5817" i="1"/>
  <c r="F5818" i="1"/>
  <c r="F5819" i="1"/>
  <c r="F5820" i="1"/>
  <c r="F5821" i="1"/>
  <c r="F5822" i="1"/>
  <c r="F5823" i="1"/>
  <c r="F5824" i="1"/>
  <c r="F5825" i="1"/>
  <c r="F5826" i="1"/>
  <c r="F5827" i="1"/>
  <c r="F5828" i="1"/>
  <c r="F5829" i="1"/>
  <c r="F5830" i="1"/>
  <c r="F5831" i="1"/>
  <c r="F5832" i="1"/>
  <c r="F5833" i="1"/>
  <c r="F5834" i="1"/>
  <c r="F5835" i="1"/>
  <c r="F5836" i="1"/>
  <c r="F5837" i="1"/>
  <c r="F5838" i="1"/>
  <c r="F5839" i="1"/>
  <c r="F5840" i="1"/>
  <c r="F5841" i="1"/>
  <c r="F5842" i="1"/>
  <c r="F5843" i="1"/>
  <c r="F5844" i="1"/>
  <c r="F5845" i="1"/>
  <c r="F5846" i="1"/>
  <c r="F5847" i="1"/>
  <c r="F5848" i="1"/>
  <c r="F5849" i="1"/>
  <c r="F5850" i="1"/>
  <c r="F5851" i="1"/>
  <c r="F5852" i="1"/>
  <c r="F5853" i="1"/>
  <c r="F5854" i="1"/>
  <c r="F5855" i="1"/>
  <c r="F5856" i="1"/>
  <c r="F5857" i="1"/>
  <c r="F5858" i="1"/>
  <c r="F5859" i="1"/>
  <c r="F5860" i="1"/>
  <c r="F5861" i="1"/>
  <c r="F5862" i="1"/>
  <c r="F5863" i="1"/>
  <c r="F5809" i="1"/>
  <c r="C5906" i="1"/>
  <c r="C5864" i="1"/>
  <c r="F5804" i="1"/>
  <c r="F5803" i="1"/>
  <c r="F5802" i="1"/>
  <c r="F5801" i="1"/>
  <c r="F5797" i="1"/>
  <c r="F5798" i="1"/>
  <c r="F5799" i="1"/>
  <c r="F5800" i="1"/>
  <c r="F5796" i="1"/>
  <c r="F5795" i="1"/>
  <c r="F5794" i="1"/>
  <c r="F5793" i="1"/>
  <c r="F5792" i="1"/>
  <c r="F5791" i="1"/>
  <c r="F5782" i="1"/>
  <c r="F5783" i="1"/>
  <c r="F5784" i="1"/>
  <c r="F5785" i="1"/>
  <c r="F5786" i="1"/>
  <c r="F5787" i="1"/>
  <c r="F5788" i="1"/>
  <c r="F5789" i="1"/>
  <c r="F5790" i="1"/>
  <c r="F5805" i="1"/>
  <c r="F5781" i="1"/>
  <c r="F5780" i="1"/>
  <c r="F5777" i="1"/>
  <c r="F5776" i="1"/>
  <c r="F5775" i="1"/>
  <c r="F5774" i="1"/>
  <c r="F5773" i="1"/>
  <c r="F5772" i="1"/>
  <c r="F5771" i="1"/>
  <c r="F5770" i="1"/>
  <c r="F5769" i="1"/>
  <c r="F5768" i="1"/>
  <c r="F5767" i="1"/>
  <c r="F5766" i="1"/>
  <c r="F5765" i="1"/>
  <c r="F5764" i="1"/>
  <c r="F5763" i="1"/>
  <c r="F5762" i="1"/>
  <c r="F5761" i="1"/>
  <c r="F5749" i="1"/>
  <c r="F5750" i="1"/>
  <c r="F5751" i="1"/>
  <c r="F5752" i="1"/>
  <c r="F5753" i="1"/>
  <c r="F5754" i="1"/>
  <c r="F5755" i="1"/>
  <c r="F5756" i="1"/>
  <c r="F5757" i="1"/>
  <c r="F5758" i="1"/>
  <c r="F5759" i="1"/>
  <c r="F5760" i="1"/>
  <c r="F5778" i="1"/>
  <c r="F5748" i="1"/>
  <c r="C5808" i="1"/>
  <c r="C5806" i="1"/>
  <c r="C5779" i="1"/>
  <c r="F5743" i="1"/>
  <c r="F5742" i="1"/>
  <c r="F5741" i="1"/>
  <c r="F5740" i="1"/>
  <c r="F5739" i="1"/>
  <c r="F5738" i="1"/>
  <c r="F5737" i="1"/>
  <c r="F5736" i="1"/>
  <c r="F5735" i="1"/>
  <c r="F5734" i="1"/>
  <c r="F5712" i="1"/>
  <c r="F5713" i="1"/>
  <c r="F5714" i="1"/>
  <c r="F5715" i="1"/>
  <c r="F5716" i="1"/>
  <c r="F5717" i="1"/>
  <c r="F5718" i="1"/>
  <c r="F5719" i="1"/>
  <c r="F5720" i="1"/>
  <c r="F5721" i="1"/>
  <c r="F5722" i="1"/>
  <c r="F5723" i="1"/>
  <c r="F5724" i="1"/>
  <c r="F5725" i="1"/>
  <c r="F5726" i="1"/>
  <c r="F5727" i="1"/>
  <c r="F5728" i="1"/>
  <c r="F5729" i="1"/>
  <c r="F5730" i="1"/>
  <c r="F5731" i="1"/>
  <c r="F5732" i="1"/>
  <c r="F5733" i="1"/>
  <c r="F5744" i="1"/>
  <c r="F5711" i="1"/>
  <c r="F5655" i="1"/>
  <c r="F5656" i="1"/>
  <c r="F5657" i="1"/>
  <c r="F5658" i="1"/>
  <c r="F5659" i="1"/>
  <c r="F5660" i="1"/>
  <c r="F5661" i="1"/>
  <c r="F5662" i="1"/>
  <c r="F5663" i="1"/>
  <c r="F5664" i="1"/>
  <c r="F5665" i="1"/>
  <c r="F5666" i="1"/>
  <c r="F5667" i="1"/>
  <c r="F5668" i="1"/>
  <c r="F5669" i="1"/>
  <c r="F5670" i="1"/>
  <c r="F5671" i="1"/>
  <c r="F5672" i="1"/>
  <c r="F5673" i="1"/>
  <c r="F5674" i="1"/>
  <c r="F5675" i="1"/>
  <c r="F5676" i="1"/>
  <c r="F5677" i="1"/>
  <c r="F5678" i="1"/>
  <c r="F5679" i="1"/>
  <c r="F5680" i="1"/>
  <c r="F5681" i="1"/>
  <c r="F5682" i="1"/>
  <c r="F5683" i="1"/>
  <c r="F5684" i="1"/>
  <c r="F5685" i="1"/>
  <c r="F5686" i="1"/>
  <c r="F5687" i="1"/>
  <c r="F5688" i="1"/>
  <c r="F5689" i="1"/>
  <c r="F5690" i="1"/>
  <c r="F5691" i="1"/>
  <c r="F5692" i="1"/>
  <c r="F5693" i="1"/>
  <c r="F5695" i="1"/>
  <c r="F5696" i="1"/>
  <c r="F5697" i="1"/>
  <c r="F5698" i="1"/>
  <c r="F5699" i="1"/>
  <c r="F5700" i="1"/>
  <c r="F5701" i="1"/>
  <c r="F5702" i="1"/>
  <c r="F5703" i="1"/>
  <c r="F5704" i="1"/>
  <c r="F5705" i="1"/>
  <c r="F5706" i="1"/>
  <c r="F5707" i="1"/>
  <c r="F5708" i="1"/>
  <c r="F5709" i="1"/>
  <c r="F5654" i="1"/>
  <c r="C5745" i="1"/>
  <c r="C5747" i="1"/>
  <c r="C5710" i="1"/>
  <c r="F5614" i="1"/>
  <c r="F5615" i="1"/>
  <c r="F5616" i="1"/>
  <c r="F5617" i="1"/>
  <c r="F5618" i="1"/>
  <c r="F5619" i="1"/>
  <c r="F5620" i="1"/>
  <c r="F5621" i="1"/>
  <c r="F5622" i="1"/>
  <c r="F5623" i="1"/>
  <c r="F5624" i="1"/>
  <c r="F5625" i="1"/>
  <c r="F5626" i="1"/>
  <c r="F5627" i="1"/>
  <c r="F5628" i="1"/>
  <c r="F5629" i="1"/>
  <c r="F5630" i="1"/>
  <c r="F5631" i="1"/>
  <c r="F5632" i="1"/>
  <c r="F5633" i="1"/>
  <c r="F5634" i="1"/>
  <c r="F5635" i="1"/>
  <c r="F5636" i="1"/>
  <c r="F5637" i="1"/>
  <c r="F5638" i="1"/>
  <c r="F5639" i="1"/>
  <c r="F5640" i="1"/>
  <c r="F5641" i="1"/>
  <c r="F5642" i="1"/>
  <c r="F5643" i="1"/>
  <c r="F5644" i="1"/>
  <c r="F5645" i="1"/>
  <c r="F5646" i="1"/>
  <c r="F5647" i="1"/>
  <c r="F5648" i="1"/>
  <c r="F5649" i="1"/>
  <c r="F5650" i="1"/>
  <c r="F5613" i="1"/>
  <c r="C5653" i="1"/>
  <c r="C5651" i="1"/>
  <c r="F5608" i="1"/>
  <c r="F5607" i="1"/>
  <c r="F5606" i="1"/>
  <c r="F5605" i="1"/>
  <c r="F5604" i="1"/>
  <c r="F5603" i="1"/>
  <c r="F5602" i="1"/>
  <c r="F5601" i="1"/>
  <c r="F5600" i="1"/>
  <c r="F5599" i="1"/>
  <c r="F5598" i="1"/>
  <c r="F5597" i="1"/>
  <c r="F5596" i="1"/>
  <c r="F5595" i="1"/>
  <c r="F5594" i="1"/>
  <c r="F5593" i="1"/>
  <c r="F5592" i="1"/>
  <c r="F5591" i="1"/>
  <c r="F5590" i="1"/>
  <c r="F5589" i="1"/>
  <c r="F5588" i="1"/>
  <c r="F5580" i="1"/>
  <c r="F5573" i="1"/>
  <c r="F5574" i="1"/>
  <c r="F5575" i="1"/>
  <c r="F5576" i="1"/>
  <c r="F5577" i="1"/>
  <c r="F5578" i="1"/>
  <c r="F5579" i="1"/>
  <c r="F5581" i="1"/>
  <c r="F5582" i="1"/>
  <c r="F5583" i="1"/>
  <c r="F5584" i="1"/>
  <c r="F5585" i="1"/>
  <c r="F5586" i="1"/>
  <c r="F5587" i="1"/>
  <c r="F5609" i="1"/>
  <c r="F5572" i="1"/>
  <c r="F5523" i="1"/>
  <c r="F5518" i="1"/>
  <c r="F5519" i="1"/>
  <c r="F5520" i="1"/>
  <c r="F5521" i="1"/>
  <c r="F5522" i="1"/>
  <c r="F5524" i="1"/>
  <c r="F5525" i="1"/>
  <c r="F5526" i="1"/>
  <c r="F5527" i="1"/>
  <c r="F5528" i="1"/>
  <c r="F5529" i="1"/>
  <c r="F5530" i="1"/>
  <c r="F5531" i="1"/>
  <c r="F5532" i="1"/>
  <c r="F5533" i="1"/>
  <c r="F5534" i="1"/>
  <c r="F5535" i="1"/>
  <c r="F5536" i="1"/>
  <c r="F5537" i="1"/>
  <c r="F5538" i="1"/>
  <c r="F5539" i="1"/>
  <c r="F5540" i="1"/>
  <c r="F5541" i="1"/>
  <c r="F5542" i="1"/>
  <c r="F5543" i="1"/>
  <c r="F5544" i="1"/>
  <c r="F5545" i="1"/>
  <c r="F5546" i="1"/>
  <c r="F5547" i="1"/>
  <c r="F5548" i="1"/>
  <c r="F5549" i="1"/>
  <c r="F5550" i="1"/>
  <c r="F5551" i="1"/>
  <c r="F5552" i="1"/>
  <c r="F5553" i="1"/>
  <c r="F5554" i="1"/>
  <c r="F5555" i="1"/>
  <c r="F5556" i="1"/>
  <c r="F5557" i="1"/>
  <c r="F5558" i="1"/>
  <c r="F5559" i="1"/>
  <c r="F5560" i="1"/>
  <c r="F5561" i="1"/>
  <c r="F5562" i="1"/>
  <c r="F5563" i="1"/>
  <c r="F5564" i="1"/>
  <c r="F5565" i="1"/>
  <c r="F5566" i="1"/>
  <c r="F5567" i="1"/>
  <c r="F5568" i="1"/>
  <c r="F5569" i="1"/>
  <c r="F5570" i="1"/>
  <c r="F5517" i="1"/>
  <c r="C5612" i="1"/>
  <c r="C5610" i="1"/>
  <c r="C5571" i="1"/>
  <c r="G925" i="3"/>
  <c r="D922" i="5" s="1"/>
  <c r="G924" i="3"/>
  <c r="D921" i="5" s="1"/>
  <c r="M921" i="5" s="1"/>
  <c r="G923" i="3"/>
  <c r="D920" i="5" s="1"/>
  <c r="K920" i="5" s="1"/>
  <c r="G922" i="3"/>
  <c r="D919" i="5" s="1"/>
  <c r="K919" i="5" s="1"/>
  <c r="G921" i="3"/>
  <c r="D918" i="5" s="1"/>
  <c r="K918" i="5" s="1"/>
  <c r="G920" i="3"/>
  <c r="D917" i="5" s="1"/>
  <c r="K917" i="5" s="1"/>
  <c r="G919" i="3"/>
  <c r="D916" i="5" s="1"/>
  <c r="K916" i="5" s="1"/>
  <c r="G918" i="3"/>
  <c r="D915" i="5" s="1"/>
  <c r="K915" i="5" s="1"/>
  <c r="F5512" i="1"/>
  <c r="F5511" i="1"/>
  <c r="F5510" i="1"/>
  <c r="F5509" i="1"/>
  <c r="F5508" i="1"/>
  <c r="F5507" i="1"/>
  <c r="F5506" i="1"/>
  <c r="F5505" i="1"/>
  <c r="F5504" i="1"/>
  <c r="F5503" i="1"/>
  <c r="F5502" i="1"/>
  <c r="G917" i="3"/>
  <c r="D914" i="5" s="1"/>
  <c r="M914" i="5" s="1"/>
  <c r="G916" i="3"/>
  <c r="D913" i="5" s="1"/>
  <c r="M913" i="5" s="1"/>
  <c r="G915" i="3"/>
  <c r="D912" i="5" s="1"/>
  <c r="F5501" i="1"/>
  <c r="F5500" i="1"/>
  <c r="C5516" i="1"/>
  <c r="C5514" i="1"/>
  <c r="F5499" i="1"/>
  <c r="F5498" i="1"/>
  <c r="F5497" i="1"/>
  <c r="F5496" i="1"/>
  <c r="F5495" i="1"/>
  <c r="F5494" i="1"/>
  <c r="F5493" i="1"/>
  <c r="F5492" i="1"/>
  <c r="F5491" i="1"/>
  <c r="F5490" i="1"/>
  <c r="F5489" i="1"/>
  <c r="F5488" i="1"/>
  <c r="F5487" i="1"/>
  <c r="F5486" i="1"/>
  <c r="F5485" i="1"/>
  <c r="F5483" i="1"/>
  <c r="F5482" i="1"/>
  <c r="F5481" i="1"/>
  <c r="F5480" i="1"/>
  <c r="F5479" i="1"/>
  <c r="F5478" i="1"/>
  <c r="F5477" i="1"/>
  <c r="F5476" i="1"/>
  <c r="F5475" i="1"/>
  <c r="F5474" i="1"/>
  <c r="F5473" i="1"/>
  <c r="F5472" i="1"/>
  <c r="F5471" i="1"/>
  <c r="F5470" i="1"/>
  <c r="F5469" i="1"/>
  <c r="F5459" i="1"/>
  <c r="F5460" i="1"/>
  <c r="F5461" i="1"/>
  <c r="F5462" i="1"/>
  <c r="F5463" i="1"/>
  <c r="F5464" i="1"/>
  <c r="F5465" i="1"/>
  <c r="F5466" i="1"/>
  <c r="F5467" i="1"/>
  <c r="F5468" i="1"/>
  <c r="F5484" i="1"/>
  <c r="F5458" i="1"/>
  <c r="F5416" i="1"/>
  <c r="F5407" i="1"/>
  <c r="F5408" i="1"/>
  <c r="F5409" i="1"/>
  <c r="F5410" i="1"/>
  <c r="F5411" i="1"/>
  <c r="F5412" i="1"/>
  <c r="F5413" i="1"/>
  <c r="F5414" i="1"/>
  <c r="F5415" i="1"/>
  <c r="F5417" i="1"/>
  <c r="F5418" i="1"/>
  <c r="F5419" i="1"/>
  <c r="F5420" i="1"/>
  <c r="F5421" i="1"/>
  <c r="F5422" i="1"/>
  <c r="F5423" i="1"/>
  <c r="F5424" i="1"/>
  <c r="F5425" i="1"/>
  <c r="F5426" i="1"/>
  <c r="F5427" i="1"/>
  <c r="F5428" i="1"/>
  <c r="F5429" i="1"/>
  <c r="F5430" i="1"/>
  <c r="F5431" i="1"/>
  <c r="F5432" i="1"/>
  <c r="F5433" i="1"/>
  <c r="F5434" i="1"/>
  <c r="F5435" i="1"/>
  <c r="F5436" i="1"/>
  <c r="F5437" i="1"/>
  <c r="F5438" i="1"/>
  <c r="F5439" i="1"/>
  <c r="F5440" i="1"/>
  <c r="F5441" i="1"/>
  <c r="F5442" i="1"/>
  <c r="F5443" i="1"/>
  <c r="F5444" i="1"/>
  <c r="F5445" i="1"/>
  <c r="F5446" i="1"/>
  <c r="F5447" i="1"/>
  <c r="F5448" i="1"/>
  <c r="F5449" i="1"/>
  <c r="F5450" i="1"/>
  <c r="F5451" i="1"/>
  <c r="F5452" i="1"/>
  <c r="F5453" i="1"/>
  <c r="F5454" i="1"/>
  <c r="F5455" i="1"/>
  <c r="F5456" i="1"/>
  <c r="F5406" i="1"/>
  <c r="C5457" i="1"/>
  <c r="G914" i="3"/>
  <c r="D911" i="5" s="1"/>
  <c r="M911" i="5" s="1"/>
  <c r="G913" i="3"/>
  <c r="D910" i="5" s="1"/>
  <c r="M910" i="5" s="1"/>
  <c r="G912" i="3"/>
  <c r="D909" i="5" s="1"/>
  <c r="G911" i="3"/>
  <c r="D908" i="5" s="1"/>
  <c r="G910" i="3"/>
  <c r="D907" i="5" s="1"/>
  <c r="G909" i="3"/>
  <c r="D906" i="5" s="1"/>
  <c r="F5400" i="1"/>
  <c r="F5399" i="1"/>
  <c r="F5398" i="1"/>
  <c r="F5397" i="1"/>
  <c r="F5396" i="1"/>
  <c r="F5395" i="1"/>
  <c r="F5394" i="1"/>
  <c r="F5393" i="1"/>
  <c r="F5392" i="1"/>
  <c r="F5391" i="1"/>
  <c r="F5390" i="1"/>
  <c r="F5389" i="1"/>
  <c r="F5388" i="1"/>
  <c r="F5387" i="1"/>
  <c r="F5386" i="1"/>
  <c r="F5385" i="1"/>
  <c r="F5384" i="1"/>
  <c r="F5383" i="1"/>
  <c r="F5382" i="1"/>
  <c r="F5381" i="1"/>
  <c r="F5380" i="1"/>
  <c r="F5379" i="1"/>
  <c r="F5378" i="1"/>
  <c r="F5377" i="1"/>
  <c r="F5376" i="1"/>
  <c r="F5375" i="1"/>
  <c r="F5374" i="1"/>
  <c r="C5405" i="1"/>
  <c r="C5403" i="1"/>
  <c r="F5373" i="1"/>
  <c r="F5372" i="1"/>
  <c r="F5371" i="1"/>
  <c r="F5370" i="1"/>
  <c r="F5369" i="1"/>
  <c r="F5368" i="1"/>
  <c r="F5367" i="1"/>
  <c r="F5366" i="1"/>
  <c r="F5365" i="1"/>
  <c r="F5364" i="1"/>
  <c r="F5363" i="1"/>
  <c r="F5362" i="1"/>
  <c r="F5361" i="1"/>
  <c r="F5360" i="1"/>
  <c r="F5359" i="1"/>
  <c r="F5351" i="1"/>
  <c r="F5352" i="1"/>
  <c r="F5353" i="1"/>
  <c r="F5354" i="1"/>
  <c r="F5355" i="1"/>
  <c r="F5356" i="1"/>
  <c r="F5357" i="1"/>
  <c r="F5358" i="1"/>
  <c r="F5350" i="1"/>
  <c r="F5348" i="1"/>
  <c r="F5347" i="1"/>
  <c r="F5346" i="1"/>
  <c r="F5345" i="1"/>
  <c r="F5344" i="1"/>
  <c r="F5343" i="1"/>
  <c r="F5342" i="1"/>
  <c r="F5341" i="1"/>
  <c r="F5340" i="1"/>
  <c r="F5339" i="1"/>
  <c r="F5338" i="1"/>
  <c r="F5337" i="1"/>
  <c r="F5336" i="1"/>
  <c r="F5335" i="1"/>
  <c r="F5334" i="1"/>
  <c r="F5303" i="1"/>
  <c r="F5304" i="1"/>
  <c r="F5305" i="1"/>
  <c r="F5306" i="1"/>
  <c r="F5307" i="1"/>
  <c r="F5308" i="1"/>
  <c r="F5309" i="1"/>
  <c r="F5310" i="1"/>
  <c r="F5311" i="1"/>
  <c r="F5312" i="1"/>
  <c r="F5313" i="1"/>
  <c r="F5314" i="1"/>
  <c r="F5315" i="1"/>
  <c r="F5316" i="1"/>
  <c r="F5317" i="1"/>
  <c r="F5318" i="1"/>
  <c r="F5319" i="1"/>
  <c r="F5320" i="1"/>
  <c r="F5321" i="1"/>
  <c r="F5322" i="1"/>
  <c r="F5323" i="1"/>
  <c r="F5324" i="1"/>
  <c r="F5325" i="1"/>
  <c r="F5326" i="1"/>
  <c r="F5327" i="1"/>
  <c r="F5328" i="1"/>
  <c r="F5329" i="1"/>
  <c r="F5330" i="1"/>
  <c r="F5331" i="1"/>
  <c r="F5332" i="1"/>
  <c r="F5302" i="1"/>
  <c r="C5333" i="1"/>
  <c r="F5298" i="1"/>
  <c r="F5297" i="1"/>
  <c r="F5296" i="1"/>
  <c r="F5295" i="1"/>
  <c r="F5294" i="1"/>
  <c r="F5293" i="1"/>
  <c r="F5292" i="1"/>
  <c r="F5291" i="1"/>
  <c r="F5290" i="1"/>
  <c r="F5289" i="1"/>
  <c r="F5288" i="1"/>
  <c r="F5287" i="1"/>
  <c r="F5286" i="1"/>
  <c r="F5285" i="1"/>
  <c r="F5284" i="1"/>
  <c r="F5283" i="1"/>
  <c r="F5282" i="1"/>
  <c r="F5281" i="1"/>
  <c r="F5280" i="1"/>
  <c r="F5279" i="1"/>
  <c r="F5278" i="1"/>
  <c r="F5277" i="1"/>
  <c r="F5276" i="1"/>
  <c r="F5275" i="1"/>
  <c r="F5274" i="1"/>
  <c r="F5273" i="1"/>
  <c r="F5272" i="1"/>
  <c r="F5271" i="1"/>
  <c r="F5270" i="1"/>
  <c r="F5269" i="1"/>
  <c r="F5268" i="1"/>
  <c r="F5267" i="1"/>
  <c r="F5266" i="1"/>
  <c r="F5265" i="1"/>
  <c r="F5264" i="1"/>
  <c r="F5263" i="1"/>
  <c r="F5262" i="1"/>
  <c r="F5261" i="1"/>
  <c r="F5260" i="1"/>
  <c r="F5259" i="1"/>
  <c r="F5258" i="1"/>
  <c r="F5257" i="1"/>
  <c r="F5256" i="1"/>
  <c r="F5255" i="1"/>
  <c r="F5254" i="1"/>
  <c r="F5253" i="1"/>
  <c r="F5252" i="1"/>
  <c r="F5251" i="1"/>
  <c r="F5250" i="1"/>
  <c r="F5249" i="1"/>
  <c r="F5248" i="1"/>
  <c r="F5247" i="1"/>
  <c r="F5246" i="1"/>
  <c r="F5245" i="1"/>
  <c r="F5221" i="1"/>
  <c r="F5222" i="1"/>
  <c r="F5223" i="1"/>
  <c r="F5224" i="1"/>
  <c r="F5225" i="1"/>
  <c r="F5226" i="1"/>
  <c r="F5227" i="1"/>
  <c r="F5228" i="1"/>
  <c r="F5229" i="1"/>
  <c r="F5230" i="1"/>
  <c r="F5231" i="1"/>
  <c r="F5232" i="1"/>
  <c r="F5233" i="1"/>
  <c r="F5234" i="1"/>
  <c r="F5235" i="1"/>
  <c r="F5236" i="1"/>
  <c r="F5237" i="1"/>
  <c r="F5238" i="1"/>
  <c r="F5239" i="1"/>
  <c r="F5240" i="1"/>
  <c r="F5241" i="1"/>
  <c r="F5242" i="1"/>
  <c r="F5243" i="1"/>
  <c r="F5220" i="1"/>
  <c r="C5301" i="1"/>
  <c r="C5299" i="1"/>
  <c r="C5244" i="1"/>
  <c r="F5214" i="1"/>
  <c r="F5215" i="1"/>
  <c r="F5213" i="1"/>
  <c r="F5212" i="1"/>
  <c r="F5211" i="1"/>
  <c r="F5202" i="1"/>
  <c r="F5203" i="1"/>
  <c r="F5204" i="1"/>
  <c r="F5205" i="1"/>
  <c r="F5206" i="1"/>
  <c r="F5207" i="1"/>
  <c r="F5208" i="1"/>
  <c r="F5209" i="1"/>
  <c r="F5210" i="1"/>
  <c r="F5216" i="1"/>
  <c r="F5201" i="1"/>
  <c r="F5172" i="1"/>
  <c r="F5173" i="1"/>
  <c r="F5174" i="1"/>
  <c r="F5175" i="1"/>
  <c r="F5176" i="1"/>
  <c r="F5177" i="1"/>
  <c r="F5178" i="1"/>
  <c r="F5179" i="1"/>
  <c r="F5180" i="1"/>
  <c r="F5181" i="1"/>
  <c r="F5182" i="1"/>
  <c r="F5183" i="1"/>
  <c r="F5184" i="1"/>
  <c r="F5185" i="1"/>
  <c r="F5186" i="1"/>
  <c r="F5187" i="1"/>
  <c r="F5188" i="1"/>
  <c r="F5189" i="1"/>
  <c r="F5190" i="1"/>
  <c r="F5191" i="1"/>
  <c r="F5192" i="1"/>
  <c r="F5193" i="1"/>
  <c r="F5194" i="1"/>
  <c r="F5195" i="1"/>
  <c r="F5196" i="1"/>
  <c r="F5197" i="1"/>
  <c r="F5198" i="1"/>
  <c r="F5199" i="1"/>
  <c r="F5171" i="1"/>
  <c r="C5219" i="1"/>
  <c r="E5217" i="1"/>
  <c r="C5217" i="1"/>
  <c r="C5200" i="1"/>
  <c r="F5166" i="1"/>
  <c r="F5163" i="1"/>
  <c r="F5164" i="1"/>
  <c r="F5165" i="1"/>
  <c r="F5167" i="1"/>
  <c r="F5162" i="1"/>
  <c r="F5161" i="1"/>
  <c r="F5160" i="1"/>
  <c r="F5159" i="1"/>
  <c r="F5158" i="1"/>
  <c r="F5157" i="1"/>
  <c r="F5156" i="1"/>
  <c r="F5155" i="1"/>
  <c r="F5154" i="1"/>
  <c r="F5153" i="1"/>
  <c r="F5152" i="1"/>
  <c r="F5151" i="1"/>
  <c r="F5150" i="1"/>
  <c r="F5149" i="1"/>
  <c r="F5148" i="1"/>
  <c r="F5147" i="1"/>
  <c r="F5146" i="1"/>
  <c r="F5145" i="1"/>
  <c r="F5144" i="1"/>
  <c r="F5143" i="1"/>
  <c r="F5142" i="1"/>
  <c r="F5139" i="1"/>
  <c r="F5138" i="1"/>
  <c r="F5137" i="1"/>
  <c r="F5136" i="1"/>
  <c r="F5135" i="1"/>
  <c r="F5134" i="1"/>
  <c r="F5133" i="1"/>
  <c r="F5132" i="1"/>
  <c r="F5131" i="1"/>
  <c r="F5130" i="1"/>
  <c r="F5129" i="1"/>
  <c r="F5128" i="1"/>
  <c r="F5127" i="1"/>
  <c r="F5126" i="1"/>
  <c r="F5125" i="1"/>
  <c r="F5124" i="1"/>
  <c r="F5123" i="1"/>
  <c r="F5122" i="1"/>
  <c r="F5121" i="1"/>
  <c r="F5094" i="1"/>
  <c r="F5095" i="1"/>
  <c r="F5096" i="1"/>
  <c r="F5097" i="1"/>
  <c r="F5098" i="1"/>
  <c r="F5099" i="1"/>
  <c r="F5100" i="1"/>
  <c r="F5101" i="1"/>
  <c r="F5102" i="1"/>
  <c r="F5103" i="1"/>
  <c r="F5104" i="1"/>
  <c r="F5105" i="1"/>
  <c r="F5106" i="1"/>
  <c r="F5107" i="1"/>
  <c r="F5108" i="1"/>
  <c r="F5109" i="1"/>
  <c r="F5110" i="1"/>
  <c r="F5111" i="1"/>
  <c r="F5112" i="1"/>
  <c r="F5113" i="1"/>
  <c r="F5114" i="1"/>
  <c r="F5115" i="1"/>
  <c r="F5116" i="1"/>
  <c r="F5117" i="1"/>
  <c r="F5118" i="1"/>
  <c r="F5119" i="1"/>
  <c r="F5120" i="1"/>
  <c r="F5140" i="1"/>
  <c r="F5093" i="1"/>
  <c r="C5170" i="1"/>
  <c r="C5168" i="1"/>
  <c r="C5141" i="1"/>
  <c r="F5089" i="1"/>
  <c r="F5088" i="1"/>
  <c r="F5087" i="1"/>
  <c r="F5086" i="1"/>
  <c r="F5036" i="1"/>
  <c r="F5085" i="1"/>
  <c r="F5084" i="1"/>
  <c r="F5083" i="1"/>
  <c r="F5082" i="1"/>
  <c r="F5081" i="1"/>
  <c r="F5080" i="1"/>
  <c r="F5079" i="1"/>
  <c r="F5078" i="1"/>
  <c r="F5077" i="1"/>
  <c r="F5076" i="1"/>
  <c r="F5075" i="1"/>
  <c r="F5074" i="1"/>
  <c r="F5073" i="1"/>
  <c r="F5072" i="1"/>
  <c r="F5071" i="1"/>
  <c r="F5070" i="1"/>
  <c r="F5069" i="1"/>
  <c r="F5068" i="1"/>
  <c r="F5067" i="1"/>
  <c r="F5066" i="1"/>
  <c r="F5065" i="1"/>
  <c r="F5064" i="1"/>
  <c r="F5063" i="1"/>
  <c r="F5062" i="1"/>
  <c r="F5061" i="1"/>
  <c r="F5060" i="1"/>
  <c r="F5059" i="1"/>
  <c r="F5058" i="1"/>
  <c r="F5057" i="1"/>
  <c r="F5056" i="1"/>
  <c r="F5055" i="1"/>
  <c r="F5054" i="1"/>
  <c r="F5053" i="1"/>
  <c r="F5052" i="1"/>
  <c r="F5051" i="1"/>
  <c r="F5050" i="1"/>
  <c r="F5049" i="1"/>
  <c r="F5048" i="1"/>
  <c r="F5047" i="1"/>
  <c r="F5046" i="1"/>
  <c r="F5045" i="1"/>
  <c r="F5044" i="1"/>
  <c r="F5043" i="1"/>
  <c r="F5042" i="1"/>
  <c r="F5028" i="1"/>
  <c r="F5029" i="1"/>
  <c r="F5030" i="1"/>
  <c r="F5031" i="1"/>
  <c r="F5032" i="1"/>
  <c r="F5033" i="1"/>
  <c r="F5034" i="1"/>
  <c r="F5035" i="1"/>
  <c r="F5037" i="1"/>
  <c r="F5038" i="1"/>
  <c r="F5039" i="1"/>
  <c r="F5040" i="1"/>
  <c r="F5041" i="1"/>
  <c r="F5027" i="1"/>
  <c r="C5092" i="1"/>
  <c r="C5090" i="1"/>
  <c r="G908" i="3"/>
  <c r="D905" i="5" s="1"/>
  <c r="M905" i="5" s="1"/>
  <c r="G907" i="3"/>
  <c r="D904" i="5" s="1"/>
  <c r="F5022" i="1"/>
  <c r="F5021" i="1"/>
  <c r="F5020" i="1"/>
  <c r="F5019" i="1"/>
  <c r="F5018" i="1"/>
  <c r="F5017" i="1"/>
  <c r="F5016" i="1"/>
  <c r="F5015" i="1"/>
  <c r="F5014" i="1"/>
  <c r="F5013" i="1"/>
  <c r="F5012" i="1"/>
  <c r="F5011" i="1"/>
  <c r="F5010" i="1"/>
  <c r="F5009" i="1"/>
  <c r="F5008" i="1"/>
  <c r="F5007" i="1"/>
  <c r="F5006" i="1"/>
  <c r="F5005" i="1"/>
  <c r="F5004" i="1"/>
  <c r="F5003" i="1"/>
  <c r="F5002" i="1"/>
  <c r="F5001" i="1"/>
  <c r="F5000" i="1"/>
  <c r="F4996" i="1"/>
  <c r="F4999" i="1"/>
  <c r="F4997" i="1"/>
  <c r="F4995" i="1"/>
  <c r="F4994" i="1"/>
  <c r="C4806" i="1"/>
  <c r="E4806" i="1"/>
  <c r="C4998" i="1"/>
  <c r="F4992" i="1"/>
  <c r="F4991" i="1"/>
  <c r="F4990" i="1"/>
  <c r="F4989" i="1"/>
  <c r="F4988" i="1"/>
  <c r="F4987" i="1"/>
  <c r="F4986" i="1"/>
  <c r="F4985" i="1"/>
  <c r="F4984" i="1"/>
  <c r="F4983" i="1"/>
  <c r="F4982" i="1"/>
  <c r="F4981" i="1"/>
  <c r="F4980" i="1"/>
  <c r="F4979" i="1"/>
  <c r="F4950" i="1"/>
  <c r="F4951" i="1"/>
  <c r="F4952" i="1"/>
  <c r="F4953" i="1"/>
  <c r="F4954" i="1"/>
  <c r="F4955" i="1"/>
  <c r="F4956" i="1"/>
  <c r="F4957" i="1"/>
  <c r="F4958" i="1"/>
  <c r="F4959" i="1"/>
  <c r="F4960" i="1"/>
  <c r="F4961" i="1"/>
  <c r="F4962" i="1"/>
  <c r="F4963" i="1"/>
  <c r="F4964" i="1"/>
  <c r="F4965" i="1"/>
  <c r="F4966" i="1"/>
  <c r="F4967" i="1"/>
  <c r="F4968" i="1"/>
  <c r="F4969" i="1"/>
  <c r="F4970" i="1"/>
  <c r="F4971" i="1"/>
  <c r="F4972" i="1"/>
  <c r="F4973" i="1"/>
  <c r="F4974" i="1"/>
  <c r="F4975" i="1"/>
  <c r="F4976" i="1"/>
  <c r="F4977" i="1"/>
  <c r="F4978" i="1"/>
  <c r="F4993" i="1"/>
  <c r="F4949" i="1"/>
  <c r="C5026" i="1"/>
  <c r="C5024" i="1"/>
  <c r="F4908" i="1"/>
  <c r="F4944" i="1"/>
  <c r="F4943" i="1"/>
  <c r="F4942" i="1"/>
  <c r="F4941" i="1"/>
  <c r="F4940" i="1"/>
  <c r="F4939" i="1"/>
  <c r="F4938" i="1"/>
  <c r="F4937" i="1"/>
  <c r="F4936" i="1"/>
  <c r="F4935" i="1"/>
  <c r="F4934" i="1"/>
  <c r="F4933" i="1"/>
  <c r="F4932" i="1"/>
  <c r="F4931" i="1"/>
  <c r="F4930" i="1"/>
  <c r="F4929" i="1"/>
  <c r="F4928" i="1"/>
  <c r="F4927" i="1"/>
  <c r="F4926" i="1"/>
  <c r="F4925" i="1"/>
  <c r="F4924" i="1"/>
  <c r="F4923" i="1"/>
  <c r="F4922" i="1"/>
  <c r="F4921" i="1"/>
  <c r="F4920" i="1"/>
  <c r="F4919" i="1"/>
  <c r="F4918" i="1"/>
  <c r="F4917" i="1"/>
  <c r="F4916" i="1"/>
  <c r="F4915" i="1"/>
  <c r="F4914" i="1"/>
  <c r="F4913" i="1"/>
  <c r="F4912" i="1"/>
  <c r="F4911" i="1"/>
  <c r="F4910" i="1"/>
  <c r="F4909" i="1"/>
  <c r="F4907" i="1"/>
  <c r="F4898" i="1"/>
  <c r="F4899" i="1"/>
  <c r="F4900" i="1"/>
  <c r="F4901" i="1"/>
  <c r="F4902" i="1"/>
  <c r="F4903" i="1"/>
  <c r="F4904" i="1"/>
  <c r="F4905" i="1"/>
  <c r="F4906" i="1"/>
  <c r="F4945" i="1"/>
  <c r="F4871" i="1"/>
  <c r="F4872" i="1"/>
  <c r="F4873" i="1"/>
  <c r="F4874" i="1"/>
  <c r="F4875" i="1"/>
  <c r="F4876" i="1"/>
  <c r="F4877" i="1"/>
  <c r="F4878" i="1"/>
  <c r="F4879" i="1"/>
  <c r="F4880" i="1"/>
  <c r="F4881" i="1"/>
  <c r="F4882" i="1"/>
  <c r="F4883" i="1"/>
  <c r="F4884" i="1"/>
  <c r="F4885" i="1"/>
  <c r="F4886" i="1"/>
  <c r="F4887" i="1"/>
  <c r="F4888" i="1"/>
  <c r="E4897" i="1" s="1"/>
  <c r="F4889" i="1"/>
  <c r="F4890" i="1"/>
  <c r="F4891" i="1"/>
  <c r="F4892" i="1"/>
  <c r="F4893" i="1"/>
  <c r="F4894" i="1"/>
  <c r="F4895" i="1"/>
  <c r="F4896" i="1"/>
  <c r="F4870" i="1"/>
  <c r="C4948" i="1"/>
  <c r="C4946" i="1"/>
  <c r="C4897" i="1"/>
  <c r="F4866" i="1"/>
  <c r="F4865" i="1"/>
  <c r="C4869" i="1"/>
  <c r="C4867" i="1"/>
  <c r="G906" i="3"/>
  <c r="D903" i="5" s="1"/>
  <c r="M903" i="5" s="1"/>
  <c r="F4804" i="1"/>
  <c r="F4803" i="1"/>
  <c r="F4863" i="1"/>
  <c r="F4862" i="1"/>
  <c r="F4861" i="1"/>
  <c r="F4860" i="1"/>
  <c r="F4859" i="1"/>
  <c r="F4858" i="1"/>
  <c r="F4857" i="1"/>
  <c r="F4856" i="1"/>
  <c r="F4855" i="1"/>
  <c r="F4854" i="1"/>
  <c r="F4853" i="1"/>
  <c r="F4852" i="1"/>
  <c r="F4851" i="1"/>
  <c r="F4850" i="1"/>
  <c r="F4849" i="1"/>
  <c r="F4864" i="1"/>
  <c r="F4848" i="1"/>
  <c r="F4847" i="1"/>
  <c r="F4846" i="1"/>
  <c r="F4845" i="1"/>
  <c r="F4844" i="1"/>
  <c r="F4843" i="1"/>
  <c r="F4839" i="1"/>
  <c r="F4836" i="1"/>
  <c r="F4837" i="1"/>
  <c r="F4838" i="1"/>
  <c r="E4867" i="1" s="1"/>
  <c r="F4840" i="1"/>
  <c r="F4841" i="1"/>
  <c r="F4842" i="1"/>
  <c r="F4835" i="1"/>
  <c r="F4811" i="1"/>
  <c r="F4812" i="1"/>
  <c r="F4813" i="1"/>
  <c r="F4814" i="1"/>
  <c r="F4815" i="1"/>
  <c r="F4816" i="1"/>
  <c r="F4817" i="1"/>
  <c r="F4818" i="1"/>
  <c r="F4819" i="1"/>
  <c r="F4820" i="1"/>
  <c r="F4821" i="1"/>
  <c r="F4822" i="1"/>
  <c r="F4823" i="1"/>
  <c r="F4824" i="1"/>
  <c r="F4825" i="1"/>
  <c r="F4826" i="1"/>
  <c r="F4827" i="1"/>
  <c r="F4828" i="1"/>
  <c r="F4829" i="1"/>
  <c r="F4830" i="1"/>
  <c r="F4831" i="1"/>
  <c r="F4832" i="1"/>
  <c r="F4833" i="1"/>
  <c r="F4810" i="1"/>
  <c r="F4809" i="1"/>
  <c r="C4834" i="1"/>
  <c r="F4800" i="1"/>
  <c r="F4799" i="1"/>
  <c r="F4798" i="1"/>
  <c r="F4797" i="1"/>
  <c r="F4796" i="1"/>
  <c r="F4795" i="1"/>
  <c r="F4794" i="1"/>
  <c r="F4793" i="1"/>
  <c r="F4792" i="1"/>
  <c r="F4791" i="1"/>
  <c r="F4790" i="1"/>
  <c r="F4789" i="1"/>
  <c r="F4788" i="1"/>
  <c r="F4787" i="1"/>
  <c r="F4786" i="1"/>
  <c r="F4785" i="1"/>
  <c r="F4784" i="1"/>
  <c r="F4783" i="1"/>
  <c r="F4782" i="1"/>
  <c r="F4781" i="1"/>
  <c r="F4780" i="1"/>
  <c r="F4779" i="1"/>
  <c r="F4778" i="1"/>
  <c r="F4777" i="1"/>
  <c r="F4776" i="1"/>
  <c r="F4775" i="1"/>
  <c r="F4774" i="1"/>
  <c r="F4773" i="1"/>
  <c r="F4772" i="1"/>
  <c r="F4771" i="1"/>
  <c r="F4770" i="1"/>
  <c r="F4759" i="1"/>
  <c r="F4760" i="1"/>
  <c r="F4761" i="1"/>
  <c r="F4762" i="1"/>
  <c r="F4763" i="1"/>
  <c r="F4764" i="1"/>
  <c r="F4765" i="1"/>
  <c r="F4766" i="1"/>
  <c r="F4767" i="1"/>
  <c r="F4768" i="1"/>
  <c r="F4769" i="1"/>
  <c r="F4801" i="1"/>
  <c r="F4758" i="1"/>
  <c r="C4808" i="1"/>
  <c r="C4802" i="1"/>
  <c r="C4755" i="1"/>
  <c r="C4757" i="1"/>
  <c r="F4754" i="1"/>
  <c r="F4753" i="1"/>
  <c r="F4752" i="1"/>
  <c r="F4751" i="1"/>
  <c r="F4750" i="1"/>
  <c r="F4749" i="1"/>
  <c r="F4748" i="1"/>
  <c r="F4747" i="1"/>
  <c r="F4746" i="1"/>
  <c r="F4745" i="1"/>
  <c r="F4744" i="1"/>
  <c r="F4743" i="1"/>
  <c r="F4741" i="1"/>
  <c r="F4740" i="1"/>
  <c r="F4739" i="1"/>
  <c r="F4738" i="1"/>
  <c r="F4737" i="1"/>
  <c r="F4736" i="1"/>
  <c r="F4735" i="1"/>
  <c r="F4734" i="1"/>
  <c r="F4733" i="1"/>
  <c r="F4732" i="1"/>
  <c r="F4731" i="1"/>
  <c r="F4730" i="1"/>
  <c r="F4729" i="1"/>
  <c r="F4728" i="1"/>
  <c r="F4727" i="1"/>
  <c r="F4726" i="1"/>
  <c r="F4725" i="1"/>
  <c r="F4724" i="1"/>
  <c r="F4723" i="1"/>
  <c r="F4712" i="1"/>
  <c r="F4713" i="1"/>
  <c r="F4714" i="1"/>
  <c r="F4715" i="1"/>
  <c r="F4716" i="1"/>
  <c r="F4717" i="1"/>
  <c r="F4718" i="1"/>
  <c r="F4719" i="1"/>
  <c r="F4720" i="1"/>
  <c r="F4721" i="1"/>
  <c r="F4722" i="1"/>
  <c r="F4742" i="1"/>
  <c r="F4711" i="1"/>
  <c r="F4683" i="1"/>
  <c r="F4684" i="1"/>
  <c r="F4685" i="1"/>
  <c r="F4686" i="1"/>
  <c r="F4687" i="1"/>
  <c r="F4688" i="1"/>
  <c r="F4689" i="1"/>
  <c r="F4690" i="1"/>
  <c r="F4691" i="1"/>
  <c r="F4692" i="1"/>
  <c r="F4693" i="1"/>
  <c r="F4694" i="1"/>
  <c r="F4695" i="1"/>
  <c r="F4696" i="1"/>
  <c r="F4697" i="1"/>
  <c r="F4698" i="1"/>
  <c r="F4699" i="1"/>
  <c r="F4700" i="1"/>
  <c r="F4701" i="1"/>
  <c r="F4702" i="1"/>
  <c r="F4703" i="1"/>
  <c r="F4704" i="1"/>
  <c r="F4705" i="1"/>
  <c r="F4706" i="1"/>
  <c r="F4707" i="1"/>
  <c r="F4708" i="1"/>
  <c r="F4709" i="1"/>
  <c r="F4682" i="1"/>
  <c r="C4710" i="1"/>
  <c r="H905" i="3"/>
  <c r="F4675" i="1"/>
  <c r="F4674" i="1"/>
  <c r="F4673" i="1"/>
  <c r="F4672" i="1"/>
  <c r="F4671" i="1"/>
  <c r="F4670" i="1"/>
  <c r="F4669" i="1"/>
  <c r="F4668" i="1"/>
  <c r="F4667" i="1"/>
  <c r="F4666" i="1"/>
  <c r="G905" i="3"/>
  <c r="D902" i="5" s="1"/>
  <c r="K902" i="5" s="1"/>
  <c r="F4665" i="1"/>
  <c r="F4664" i="1"/>
  <c r="F4663" i="1"/>
  <c r="F4662" i="1"/>
  <c r="F4661" i="1"/>
  <c r="F4660" i="1"/>
  <c r="F4659" i="1"/>
  <c r="F4658" i="1"/>
  <c r="F4657" i="1"/>
  <c r="F4656" i="1"/>
  <c r="F4655" i="1"/>
  <c r="F4654" i="1"/>
  <c r="C4681" i="1"/>
  <c r="C4679" i="1"/>
  <c r="G904" i="3"/>
  <c r="D901" i="5" s="1"/>
  <c r="M901" i="5" s="1"/>
  <c r="G903" i="3"/>
  <c r="D900" i="5" s="1"/>
  <c r="M900" i="5" s="1"/>
  <c r="G902" i="3"/>
  <c r="D899" i="5" s="1"/>
  <c r="M899" i="5" s="1"/>
  <c r="G901" i="3"/>
  <c r="D898" i="5" s="1"/>
  <c r="M898" i="5" s="1"/>
  <c r="G900" i="3"/>
  <c r="D897" i="5" s="1"/>
  <c r="M897" i="5" s="1"/>
  <c r="C4617" i="1"/>
  <c r="G899" i="3"/>
  <c r="D896" i="5" s="1"/>
  <c r="M896" i="5" s="1"/>
  <c r="G898" i="3"/>
  <c r="D895" i="5" s="1"/>
  <c r="M895" i="5" s="1"/>
  <c r="G897" i="3"/>
  <c r="D894" i="5" s="1"/>
  <c r="M894" i="5" s="1"/>
  <c r="G896" i="3"/>
  <c r="D893" i="5" s="1"/>
  <c r="M893" i="5" s="1"/>
  <c r="G895" i="3"/>
  <c r="D892" i="5" s="1"/>
  <c r="M892" i="5" s="1"/>
  <c r="G894" i="3"/>
  <c r="D891" i="5" s="1"/>
  <c r="M891" i="5" s="1"/>
  <c r="G893" i="3"/>
  <c r="D890" i="5" s="1"/>
  <c r="M890" i="5" s="1"/>
  <c r="G892" i="3"/>
  <c r="D889" i="5" s="1"/>
  <c r="M889" i="5" s="1"/>
  <c r="F4652" i="1"/>
  <c r="F4651" i="1"/>
  <c r="F4650" i="1"/>
  <c r="F4649" i="1"/>
  <c r="F4648" i="1"/>
  <c r="F4647" i="1"/>
  <c r="F4646" i="1"/>
  <c r="F4645" i="1"/>
  <c r="F4644" i="1"/>
  <c r="F4643" i="1"/>
  <c r="F4642" i="1"/>
  <c r="F4641" i="1"/>
  <c r="F4640" i="1"/>
  <c r="F4639" i="1"/>
  <c r="F4638" i="1"/>
  <c r="F4637" i="1"/>
  <c r="F4636" i="1"/>
  <c r="F4635" i="1"/>
  <c r="F4634" i="1"/>
  <c r="F4633" i="1"/>
  <c r="F4632" i="1"/>
  <c r="F4631" i="1"/>
  <c r="F4630" i="1"/>
  <c r="F4620" i="1"/>
  <c r="F4621" i="1"/>
  <c r="F4622" i="1"/>
  <c r="F4623" i="1"/>
  <c r="F4624" i="1"/>
  <c r="F4625" i="1"/>
  <c r="F4626" i="1"/>
  <c r="F4627" i="1"/>
  <c r="F4628" i="1"/>
  <c r="F4629" i="1"/>
  <c r="F4653" i="1"/>
  <c r="F4619" i="1"/>
  <c r="F4618" i="1"/>
  <c r="F4615" i="1"/>
  <c r="F4614" i="1"/>
  <c r="F4613" i="1"/>
  <c r="F4612" i="1"/>
  <c r="F4611" i="1"/>
  <c r="F4610" i="1"/>
  <c r="F4609" i="1"/>
  <c r="F4608" i="1"/>
  <c r="F4607" i="1"/>
  <c r="F4606" i="1"/>
  <c r="F4577" i="1"/>
  <c r="F4578" i="1"/>
  <c r="F4579" i="1"/>
  <c r="F4580" i="1"/>
  <c r="F4581" i="1"/>
  <c r="F4582" i="1"/>
  <c r="F4583" i="1"/>
  <c r="F4584" i="1"/>
  <c r="F4585" i="1"/>
  <c r="F4586" i="1"/>
  <c r="F4587" i="1"/>
  <c r="F4588" i="1"/>
  <c r="F4589" i="1"/>
  <c r="F4590" i="1"/>
  <c r="F4591" i="1"/>
  <c r="F4592" i="1"/>
  <c r="F4593" i="1"/>
  <c r="F4594" i="1"/>
  <c r="F4595" i="1"/>
  <c r="F4596" i="1"/>
  <c r="F4597" i="1"/>
  <c r="F4598" i="1"/>
  <c r="F4599" i="1"/>
  <c r="F4600" i="1"/>
  <c r="F4601" i="1"/>
  <c r="F4602" i="1"/>
  <c r="F4603" i="1"/>
  <c r="F4604" i="1"/>
  <c r="F4605" i="1"/>
  <c r="F4616" i="1"/>
  <c r="F4576" i="1"/>
  <c r="C4575" i="1"/>
  <c r="C4573" i="1"/>
  <c r="F4519" i="1"/>
  <c r="F4511" i="1"/>
  <c r="F4501" i="1"/>
  <c r="F4502" i="1"/>
  <c r="F4503" i="1"/>
  <c r="F4504" i="1"/>
  <c r="F4505" i="1"/>
  <c r="F4506" i="1"/>
  <c r="F4507" i="1"/>
  <c r="F4508" i="1"/>
  <c r="F4509" i="1"/>
  <c r="F4510" i="1"/>
  <c r="F4512" i="1"/>
  <c r="F4513" i="1"/>
  <c r="F4514" i="1"/>
  <c r="F4515" i="1"/>
  <c r="F4516" i="1"/>
  <c r="F4517" i="1"/>
  <c r="F4518" i="1"/>
  <c r="F4500" i="1"/>
  <c r="G891" i="3"/>
  <c r="D888" i="5" s="1"/>
  <c r="M888" i="5" s="1"/>
  <c r="G890" i="3"/>
  <c r="D887" i="5" s="1"/>
  <c r="C4520" i="1"/>
  <c r="H856" i="3"/>
  <c r="H889" i="3"/>
  <c r="F4494" i="1"/>
  <c r="G889" i="3"/>
  <c r="D886" i="5" s="1"/>
  <c r="M886" i="5" s="1"/>
  <c r="F4493" i="1"/>
  <c r="G888" i="3"/>
  <c r="D885" i="5" s="1"/>
  <c r="K885" i="5" s="1"/>
  <c r="G887" i="3"/>
  <c r="D884" i="5" s="1"/>
  <c r="K884" i="5" s="1"/>
  <c r="C4497" i="1"/>
  <c r="C4499" i="1"/>
  <c r="F4492" i="1"/>
  <c r="F4491" i="1"/>
  <c r="F4490" i="1"/>
  <c r="F4489" i="1"/>
  <c r="F4487" i="1"/>
  <c r="F4488" i="1"/>
  <c r="F4486" i="1"/>
  <c r="F4485" i="1"/>
  <c r="F4484" i="1"/>
  <c r="F4483" i="1"/>
  <c r="F4482" i="1"/>
  <c r="F4481" i="1"/>
  <c r="F4480" i="1"/>
  <c r="F4479" i="1"/>
  <c r="F4478" i="1"/>
  <c r="F4477" i="1"/>
  <c r="F4476" i="1"/>
  <c r="F4475" i="1"/>
  <c r="F4474" i="1"/>
  <c r="F4473" i="1"/>
  <c r="F4472" i="1"/>
  <c r="F4471" i="1"/>
  <c r="F4470" i="1"/>
  <c r="F4469" i="1"/>
  <c r="F4468" i="1"/>
  <c r="F4467" i="1"/>
  <c r="F4466" i="1"/>
  <c r="F4465" i="1"/>
  <c r="F4464" i="1"/>
  <c r="F4463" i="1"/>
  <c r="F4462" i="1"/>
  <c r="F4461" i="1"/>
  <c r="F4460" i="1"/>
  <c r="F4459" i="1"/>
  <c r="F4458" i="1"/>
  <c r="F4457" i="1"/>
  <c r="F4456" i="1"/>
  <c r="F4455" i="1"/>
  <c r="F4454" i="1"/>
  <c r="F4453" i="1"/>
  <c r="F4452" i="1"/>
  <c r="F4451" i="1"/>
  <c r="F4450" i="1"/>
  <c r="F4449" i="1"/>
  <c r="F4448" i="1"/>
  <c r="F4447" i="1"/>
  <c r="F4446" i="1"/>
  <c r="F4445" i="1"/>
  <c r="F4444" i="1"/>
  <c r="F4443" i="1"/>
  <c r="F4442" i="1"/>
  <c r="F4441" i="1"/>
  <c r="F4440" i="1"/>
  <c r="F4439" i="1"/>
  <c r="F4438" i="1"/>
  <c r="F4437" i="1"/>
  <c r="G886" i="3"/>
  <c r="D883" i="5" s="1"/>
  <c r="K883" i="5" s="1"/>
  <c r="G885" i="3"/>
  <c r="D882" i="5" s="1"/>
  <c r="K882" i="5" s="1"/>
  <c r="G884" i="3"/>
  <c r="D881" i="5" s="1"/>
  <c r="K881" i="5" s="1"/>
  <c r="G883" i="3"/>
  <c r="D880" i="5" s="1"/>
  <c r="K880" i="5" s="1"/>
  <c r="G882" i="3"/>
  <c r="D879" i="5" s="1"/>
  <c r="K879" i="5" s="1"/>
  <c r="G881" i="3"/>
  <c r="D878" i="5" s="1"/>
  <c r="K878" i="5" s="1"/>
  <c r="G880" i="3"/>
  <c r="D877" i="5" s="1"/>
  <c r="K877" i="5" s="1"/>
  <c r="G879" i="3"/>
  <c r="D876" i="5" s="1"/>
  <c r="K876" i="5" s="1"/>
  <c r="G878" i="3"/>
  <c r="D875" i="5" s="1"/>
  <c r="K875" i="5" s="1"/>
  <c r="G877" i="3"/>
  <c r="D874" i="5" s="1"/>
  <c r="K874" i="5" s="1"/>
  <c r="G876" i="3"/>
  <c r="D873" i="5" s="1"/>
  <c r="G875" i="3"/>
  <c r="D872" i="5" s="1"/>
  <c r="K872" i="5" s="1"/>
  <c r="F4436" i="1"/>
  <c r="F4433" i="1"/>
  <c r="F4434" i="1"/>
  <c r="F4432" i="1"/>
  <c r="F4431" i="1"/>
  <c r="F4430" i="1"/>
  <c r="F4429" i="1"/>
  <c r="F4428" i="1"/>
  <c r="F4427" i="1"/>
  <c r="C4435" i="1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883" i="4"/>
  <c r="D884" i="4"/>
  <c r="D885" i="4"/>
  <c r="D886" i="4"/>
  <c r="G874" i="3"/>
  <c r="D871" i="5" s="1"/>
  <c r="K871" i="5" s="1"/>
  <c r="G873" i="3"/>
  <c r="D870" i="5" s="1"/>
  <c r="K870" i="5" s="1"/>
  <c r="G872" i="3"/>
  <c r="D869" i="5" s="1"/>
  <c r="K869" i="5" s="1"/>
  <c r="G871" i="3"/>
  <c r="D868" i="5" s="1"/>
  <c r="K868" i="5" s="1"/>
  <c r="G870" i="3"/>
  <c r="D867" i="5" s="1"/>
  <c r="K867" i="5" s="1"/>
  <c r="G869" i="3"/>
  <c r="D866" i="5" s="1"/>
  <c r="K866" i="5" s="1"/>
  <c r="G868" i="3"/>
  <c r="D865" i="5" s="1"/>
  <c r="K865" i="5" s="1"/>
  <c r="G867" i="3"/>
  <c r="D864" i="5" s="1"/>
  <c r="K864" i="5" s="1"/>
  <c r="G866" i="3"/>
  <c r="D863" i="5" s="1"/>
  <c r="K863" i="5" s="1"/>
  <c r="G865" i="3"/>
  <c r="D862" i="5" s="1"/>
  <c r="K862" i="5" s="1"/>
  <c r="G864" i="3"/>
  <c r="D861" i="5" s="1"/>
  <c r="K861" i="5" s="1"/>
  <c r="G863" i="3"/>
  <c r="D860" i="5" s="1"/>
  <c r="K860" i="5" s="1"/>
  <c r="G862" i="3"/>
  <c r="D859" i="5" s="1"/>
  <c r="K859" i="5" s="1"/>
  <c r="G861" i="3"/>
  <c r="D858" i="5" s="1"/>
  <c r="K858" i="5" s="1"/>
  <c r="G860" i="3"/>
  <c r="D857" i="5" s="1"/>
  <c r="K857" i="5" s="1"/>
  <c r="G859" i="3"/>
  <c r="D856" i="5" s="1"/>
  <c r="K856" i="5" s="1"/>
  <c r="F4426" i="1"/>
  <c r="F4425" i="1"/>
  <c r="F4424" i="1"/>
  <c r="F4423" i="1"/>
  <c r="F4422" i="1"/>
  <c r="F4421" i="1"/>
  <c r="F4420" i="1"/>
  <c r="G858" i="3"/>
  <c r="D855" i="5" s="1"/>
  <c r="K855" i="5" s="1"/>
  <c r="G857" i="3"/>
  <c r="D854" i="5" s="1"/>
  <c r="K854" i="5" s="1"/>
  <c r="F4419" i="1"/>
  <c r="F4418" i="1"/>
  <c r="F4417" i="1"/>
  <c r="F4416" i="1"/>
  <c r="F4415" i="1"/>
  <c r="F4414" i="1"/>
  <c r="F4413" i="1"/>
  <c r="F4412" i="1"/>
  <c r="F4411" i="1"/>
  <c r="F4410" i="1"/>
  <c r="F4409" i="1"/>
  <c r="F4408" i="1"/>
  <c r="F4407" i="1"/>
  <c r="F4403" i="1"/>
  <c r="F4402" i="1"/>
  <c r="F4401" i="1"/>
  <c r="F4400" i="1"/>
  <c r="F4399" i="1"/>
  <c r="F4398" i="1"/>
  <c r="F4397" i="1"/>
  <c r="F4396" i="1"/>
  <c r="F4395" i="1"/>
  <c r="F4394" i="1"/>
  <c r="F4393" i="1"/>
  <c r="F4392" i="1"/>
  <c r="F4391" i="1"/>
  <c r="F4390" i="1"/>
  <c r="F4389" i="1"/>
  <c r="F4388" i="1"/>
  <c r="F4387" i="1"/>
  <c r="F4386" i="1"/>
  <c r="F4385" i="1"/>
  <c r="F4384" i="1"/>
  <c r="F4383" i="1"/>
  <c r="F4382" i="1"/>
  <c r="F4381" i="1"/>
  <c r="F4380" i="1"/>
  <c r="F4379" i="1"/>
  <c r="F4378" i="1"/>
  <c r="F4377" i="1"/>
  <c r="F4376" i="1"/>
  <c r="F4375" i="1"/>
  <c r="F4374" i="1"/>
  <c r="F4373" i="1"/>
  <c r="F4372" i="1"/>
  <c r="F4371" i="1"/>
  <c r="F4370" i="1"/>
  <c r="F4369" i="1"/>
  <c r="F4368" i="1"/>
  <c r="F4367" i="1"/>
  <c r="F4366" i="1"/>
  <c r="F4365" i="1"/>
  <c r="F4364" i="1"/>
  <c r="F4363" i="1"/>
  <c r="F4362" i="1"/>
  <c r="F4344" i="1"/>
  <c r="F4345" i="1"/>
  <c r="F4346" i="1"/>
  <c r="F4347" i="1"/>
  <c r="F4348" i="1"/>
  <c r="F4349" i="1"/>
  <c r="F4350" i="1"/>
  <c r="F4351" i="1"/>
  <c r="F4352" i="1"/>
  <c r="F4353" i="1"/>
  <c r="F4354" i="1"/>
  <c r="F4355" i="1"/>
  <c r="F4356" i="1"/>
  <c r="F4357" i="1"/>
  <c r="F4358" i="1"/>
  <c r="F4359" i="1"/>
  <c r="F4360" i="1"/>
  <c r="F4361" i="1"/>
  <c r="F4404" i="1"/>
  <c r="F4343" i="1"/>
  <c r="C4406" i="1"/>
  <c r="H206" i="2"/>
  <c r="H207" i="2"/>
  <c r="H208" i="2"/>
  <c r="H209" i="2"/>
  <c r="H210" i="2"/>
  <c r="H211" i="2"/>
  <c r="H212" i="2"/>
  <c r="H213" i="2"/>
  <c r="H186" i="2"/>
  <c r="H187" i="2"/>
  <c r="H188" i="2"/>
  <c r="H189" i="2"/>
  <c r="H190" i="2"/>
  <c r="H191" i="2"/>
  <c r="H192" i="2"/>
  <c r="H196" i="2"/>
  <c r="H197" i="2"/>
  <c r="H185" i="2"/>
  <c r="F4339" i="1"/>
  <c r="F4338" i="1"/>
  <c r="F4337" i="1"/>
  <c r="C4337" i="1"/>
  <c r="F4336" i="1"/>
  <c r="F4335" i="1"/>
  <c r="F4334" i="1"/>
  <c r="F4333" i="1"/>
  <c r="F4332" i="1"/>
  <c r="F4331" i="1"/>
  <c r="F4330" i="1"/>
  <c r="F4329" i="1"/>
  <c r="F4328" i="1"/>
  <c r="F4327" i="1"/>
  <c r="F4326" i="1"/>
  <c r="F4325" i="1"/>
  <c r="F4324" i="1"/>
  <c r="F4323" i="1"/>
  <c r="F4322" i="1"/>
  <c r="F4321" i="1"/>
  <c r="F4320" i="1"/>
  <c r="F4319" i="1"/>
  <c r="F4318" i="1"/>
  <c r="F4317" i="1"/>
  <c r="F4316" i="1"/>
  <c r="F4315" i="1"/>
  <c r="F4314" i="1"/>
  <c r="F4313" i="1"/>
  <c r="F4312" i="1"/>
  <c r="F4311" i="1"/>
  <c r="F4310" i="1"/>
  <c r="F4309" i="1"/>
  <c r="F4308" i="1"/>
  <c r="F4307" i="1"/>
  <c r="F4306" i="1"/>
  <c r="F4305" i="1"/>
  <c r="F4304" i="1"/>
  <c r="F4303" i="1"/>
  <c r="F4302" i="1"/>
  <c r="F4301" i="1"/>
  <c r="F4300" i="1"/>
  <c r="F4299" i="1"/>
  <c r="F4298" i="1"/>
  <c r="F4297" i="1"/>
  <c r="F4296" i="1"/>
  <c r="F4295" i="1"/>
  <c r="F4294" i="1"/>
  <c r="F4293" i="1"/>
  <c r="F4292" i="1"/>
  <c r="F4291" i="1"/>
  <c r="F4290" i="1"/>
  <c r="F4289" i="1"/>
  <c r="F4288" i="1"/>
  <c r="F4287" i="1"/>
  <c r="F4286" i="1"/>
  <c r="F4285" i="1"/>
  <c r="F4284" i="1"/>
  <c r="F4283" i="1"/>
  <c r="F4282" i="1"/>
  <c r="F4281" i="1"/>
  <c r="F4280" i="1"/>
  <c r="F4260" i="1"/>
  <c r="F4261" i="1"/>
  <c r="F4262" i="1"/>
  <c r="F4263" i="1"/>
  <c r="F4264" i="1"/>
  <c r="F4265" i="1"/>
  <c r="F4266" i="1"/>
  <c r="F4267" i="1"/>
  <c r="F4268" i="1"/>
  <c r="F4269" i="1"/>
  <c r="F4270" i="1"/>
  <c r="F4271" i="1"/>
  <c r="F4272" i="1"/>
  <c r="F4273" i="1"/>
  <c r="F4274" i="1"/>
  <c r="F4275" i="1"/>
  <c r="F4276" i="1"/>
  <c r="F4277" i="1"/>
  <c r="F4278" i="1"/>
  <c r="F4279" i="1"/>
  <c r="F4259" i="1"/>
  <c r="F3984" i="1"/>
  <c r="F3983" i="1"/>
  <c r="F3982" i="1"/>
  <c r="F3981" i="1"/>
  <c r="F3980" i="1"/>
  <c r="F3979" i="1"/>
  <c r="F3978" i="1"/>
  <c r="F3977" i="1"/>
  <c r="C4342" i="1"/>
  <c r="F4341" i="1"/>
  <c r="F3976" i="1"/>
  <c r="F3975" i="1"/>
  <c r="F3951" i="1"/>
  <c r="F3950" i="1"/>
  <c r="F3949" i="1"/>
  <c r="F3948" i="1"/>
  <c r="F3947" i="1"/>
  <c r="F3946" i="1"/>
  <c r="F3974" i="1"/>
  <c r="F4255" i="1"/>
  <c r="F4254" i="1"/>
  <c r="F4253" i="1"/>
  <c r="F4252" i="1"/>
  <c r="F4251" i="1"/>
  <c r="F4250" i="1"/>
  <c r="F4249" i="1"/>
  <c r="F4248" i="1"/>
  <c r="F4247" i="1"/>
  <c r="F4246" i="1"/>
  <c r="F4245" i="1"/>
  <c r="F4244" i="1"/>
  <c r="F4243" i="1"/>
  <c r="F4242" i="1"/>
  <c r="F4241" i="1"/>
  <c r="F4240" i="1"/>
  <c r="F4239" i="1"/>
  <c r="F4238" i="1"/>
  <c r="F4237" i="1"/>
  <c r="F4236" i="1"/>
  <c r="F4235" i="1"/>
  <c r="F4234" i="1"/>
  <c r="F4233" i="1"/>
  <c r="F4232" i="1"/>
  <c r="F4231" i="1"/>
  <c r="F4230" i="1"/>
  <c r="F4229" i="1"/>
  <c r="F4228" i="1"/>
  <c r="F4227" i="1"/>
  <c r="F4226" i="1"/>
  <c r="F4225" i="1"/>
  <c r="F4224" i="1"/>
  <c r="F4223" i="1"/>
  <c r="F4222" i="1"/>
  <c r="F4221" i="1"/>
  <c r="F4220" i="1"/>
  <c r="F4219" i="1"/>
  <c r="F4218" i="1"/>
  <c r="F4217" i="1"/>
  <c r="F4216" i="1"/>
  <c r="F4215" i="1"/>
  <c r="F4214" i="1"/>
  <c r="F4213" i="1"/>
  <c r="F4212" i="1"/>
  <c r="F4211" i="1"/>
  <c r="F4210" i="1"/>
  <c r="F4209" i="1"/>
  <c r="F4208" i="1"/>
  <c r="F4207" i="1"/>
  <c r="F4206" i="1"/>
  <c r="F4205" i="1"/>
  <c r="F4195" i="1"/>
  <c r="F4196" i="1"/>
  <c r="F4197" i="1"/>
  <c r="F4198" i="1"/>
  <c r="F4199" i="1"/>
  <c r="F4200" i="1"/>
  <c r="F4201" i="1"/>
  <c r="F4202" i="1"/>
  <c r="F4203" i="1"/>
  <c r="F4204" i="1"/>
  <c r="F4256" i="1"/>
  <c r="F4257" i="1"/>
  <c r="F4194" i="1"/>
  <c r="C4258" i="1"/>
  <c r="F4190" i="1"/>
  <c r="F4189" i="1"/>
  <c r="F4188" i="1"/>
  <c r="F4186" i="1"/>
  <c r="F4185" i="1"/>
  <c r="F4184" i="1"/>
  <c r="F4183" i="1"/>
  <c r="F4182" i="1"/>
  <c r="F4181" i="1"/>
  <c r="F4180" i="1"/>
  <c r="F4179" i="1"/>
  <c r="F4178" i="1"/>
  <c r="F4177" i="1"/>
  <c r="F4176" i="1"/>
  <c r="F4175" i="1"/>
  <c r="F4174" i="1"/>
  <c r="F4173" i="1"/>
  <c r="F4172" i="1"/>
  <c r="F4171" i="1"/>
  <c r="F4170" i="1"/>
  <c r="F4169" i="1"/>
  <c r="F4157" i="1"/>
  <c r="F4158" i="1"/>
  <c r="F4159" i="1"/>
  <c r="F4160" i="1"/>
  <c r="F4161" i="1"/>
  <c r="F4162" i="1"/>
  <c r="F4163" i="1"/>
  <c r="F4164" i="1"/>
  <c r="F4165" i="1"/>
  <c r="F4166" i="1"/>
  <c r="F4167" i="1"/>
  <c r="F4168" i="1"/>
  <c r="F4187" i="1"/>
  <c r="F4191" i="1"/>
  <c r="F4156" i="1"/>
  <c r="F4006" i="1"/>
  <c r="F4005" i="1"/>
  <c r="F4004" i="1"/>
  <c r="F4003" i="1"/>
  <c r="F4002" i="1"/>
  <c r="F4001" i="1"/>
  <c r="F3999" i="1"/>
  <c r="F3998" i="1"/>
  <c r="F3997" i="1"/>
  <c r="F3996" i="1"/>
  <c r="F3990" i="1"/>
  <c r="F3991" i="1"/>
  <c r="F3992" i="1"/>
  <c r="F3993" i="1"/>
  <c r="F3994" i="1"/>
  <c r="F3995" i="1"/>
  <c r="F4000" i="1"/>
  <c r="F4007" i="1"/>
  <c r="F4008" i="1"/>
  <c r="F3989" i="1"/>
  <c r="E4010" i="1"/>
  <c r="C4010" i="1"/>
  <c r="E3988" i="1"/>
  <c r="C3988" i="1"/>
  <c r="F3987" i="1"/>
  <c r="C4193" i="1"/>
  <c r="F3941" i="1"/>
  <c r="F3940" i="1"/>
  <c r="F3939" i="1"/>
  <c r="F3938" i="1"/>
  <c r="F3937" i="1"/>
  <c r="F3936" i="1"/>
  <c r="F3904" i="1"/>
  <c r="F3903" i="1"/>
  <c r="F3902" i="1"/>
  <c r="F3899" i="1"/>
  <c r="F3900" i="1"/>
  <c r="F3901" i="1"/>
  <c r="F3905" i="1"/>
  <c r="F3906" i="1"/>
  <c r="F3898" i="1"/>
  <c r="F3896" i="1"/>
  <c r="F3895" i="1"/>
  <c r="F3894" i="1"/>
  <c r="F3893" i="1"/>
  <c r="F3892" i="1"/>
  <c r="F3891" i="1"/>
  <c r="F3890" i="1"/>
  <c r="F3889" i="1"/>
  <c r="F3888" i="1"/>
  <c r="F3887" i="1"/>
  <c r="F3884" i="1"/>
  <c r="F3883" i="1"/>
  <c r="F3882" i="1"/>
  <c r="F3881" i="1"/>
  <c r="F3880" i="1"/>
  <c r="F3879" i="1"/>
  <c r="F3878" i="1"/>
  <c r="F3877" i="1"/>
  <c r="F3866" i="1"/>
  <c r="F3865" i="1"/>
  <c r="F3864" i="1"/>
  <c r="F3863" i="1"/>
  <c r="F3862" i="1"/>
  <c r="F3861" i="1"/>
  <c r="F3860" i="1"/>
  <c r="F3859" i="1"/>
  <c r="F3858" i="1"/>
  <c r="F3857" i="1"/>
  <c r="F3856" i="1"/>
  <c r="F3855" i="1"/>
  <c r="F4153" i="1"/>
  <c r="F4152" i="1"/>
  <c r="F4151" i="1"/>
  <c r="F4150" i="1"/>
  <c r="F4149" i="1"/>
  <c r="F4148" i="1"/>
  <c r="F4147" i="1"/>
  <c r="F4146" i="1"/>
  <c r="F4145" i="1"/>
  <c r="F4144" i="1"/>
  <c r="F4143" i="1"/>
  <c r="F4142" i="1"/>
  <c r="F4141" i="1"/>
  <c r="F3956" i="1"/>
  <c r="F3957" i="1"/>
  <c r="F3958" i="1"/>
  <c r="F3959" i="1"/>
  <c r="F3960" i="1"/>
  <c r="F3961" i="1"/>
  <c r="F3962" i="1"/>
  <c r="F3963" i="1"/>
  <c r="F3964" i="1"/>
  <c r="F3965" i="1"/>
  <c r="F3966" i="1"/>
  <c r="F3967" i="1"/>
  <c r="F3968" i="1"/>
  <c r="F3969" i="1"/>
  <c r="F3970" i="1"/>
  <c r="F3971" i="1"/>
  <c r="F3972" i="1"/>
  <c r="F3973" i="1"/>
  <c r="F3985" i="1"/>
  <c r="F3986" i="1"/>
  <c r="F3955" i="1"/>
  <c r="C3954" i="1"/>
  <c r="F3934" i="1"/>
  <c r="F3935" i="1"/>
  <c r="F3942" i="1"/>
  <c r="F3943" i="1"/>
  <c r="F3944" i="1"/>
  <c r="F3945" i="1"/>
  <c r="F3952" i="1"/>
  <c r="F3953" i="1"/>
  <c r="F4140" i="1"/>
  <c r="F4139" i="1"/>
  <c r="F4138" i="1"/>
  <c r="F4137" i="1"/>
  <c r="F4134" i="1"/>
  <c r="F4133" i="1"/>
  <c r="F4130" i="1"/>
  <c r="F4129" i="1"/>
  <c r="F4128" i="1"/>
  <c r="F4127" i="1"/>
  <c r="F4126" i="1"/>
  <c r="F4125" i="1"/>
  <c r="F4124" i="1"/>
  <c r="F4123" i="1"/>
  <c r="F4122" i="1"/>
  <c r="F3933" i="1"/>
  <c r="F3932" i="1"/>
  <c r="F3931" i="1"/>
  <c r="F3930" i="1"/>
  <c r="F3929" i="1"/>
  <c r="F3928" i="1"/>
  <c r="F3927" i="1"/>
  <c r="F3926" i="1"/>
  <c r="F3925" i="1"/>
  <c r="F3924" i="1"/>
  <c r="F3923" i="1"/>
  <c r="F3910" i="1"/>
  <c r="F3911" i="1"/>
  <c r="F3912" i="1"/>
  <c r="F3913" i="1"/>
  <c r="F3914" i="1"/>
  <c r="F3915" i="1"/>
  <c r="F3916" i="1"/>
  <c r="F3917" i="1"/>
  <c r="F3918" i="1"/>
  <c r="F3919" i="1"/>
  <c r="F3921" i="1"/>
  <c r="F3922" i="1"/>
  <c r="F4009" i="1"/>
  <c r="F3909" i="1"/>
  <c r="C3868" i="1"/>
  <c r="C3825" i="1"/>
  <c r="E3868" i="1"/>
  <c r="C3908" i="1"/>
  <c r="F3870" i="1"/>
  <c r="F3871" i="1"/>
  <c r="F3872" i="1"/>
  <c r="F3873" i="1"/>
  <c r="F3874" i="1"/>
  <c r="F3875" i="1"/>
  <c r="F3876" i="1"/>
  <c r="F3885" i="1"/>
  <c r="F3886" i="1"/>
  <c r="F3869" i="1"/>
  <c r="F3854" i="1"/>
  <c r="F3853" i="1"/>
  <c r="F4111" i="1"/>
  <c r="F4112" i="1"/>
  <c r="F4113" i="1"/>
  <c r="F4114" i="1"/>
  <c r="F4115" i="1"/>
  <c r="F4116" i="1"/>
  <c r="F4117" i="1"/>
  <c r="F4118" i="1"/>
  <c r="F4119" i="1"/>
  <c r="F4120" i="1"/>
  <c r="F4121" i="1"/>
  <c r="F4131" i="1"/>
  <c r="F4132" i="1"/>
  <c r="F4135" i="1"/>
  <c r="F4136" i="1"/>
  <c r="F4110" i="1"/>
  <c r="C4155" i="1"/>
  <c r="F4106" i="1"/>
  <c r="F4105" i="1"/>
  <c r="F4104" i="1"/>
  <c r="F4103" i="1"/>
  <c r="F4102" i="1"/>
  <c r="F4101" i="1"/>
  <c r="F4100" i="1"/>
  <c r="F4099" i="1"/>
  <c r="F4098" i="1"/>
  <c r="F4097" i="1"/>
  <c r="F4096" i="1"/>
  <c r="F4095" i="1"/>
  <c r="F4094" i="1"/>
  <c r="F4093" i="1"/>
  <c r="F4092" i="1"/>
  <c r="F4091" i="1"/>
  <c r="F4090" i="1"/>
  <c r="F4089" i="1"/>
  <c r="F4088" i="1"/>
  <c r="F4087" i="1"/>
  <c r="F4086" i="1"/>
  <c r="F4085" i="1"/>
  <c r="C4109" i="1"/>
  <c r="F3852" i="1"/>
  <c r="F3851" i="1"/>
  <c r="F3850" i="1"/>
  <c r="F3849" i="1"/>
  <c r="F3848" i="1"/>
  <c r="F3847" i="1"/>
  <c r="F3846" i="1"/>
  <c r="F4083" i="1"/>
  <c r="F4082" i="1"/>
  <c r="F3822" i="1"/>
  <c r="F3821" i="1"/>
  <c r="F3820" i="1"/>
  <c r="F3819" i="1"/>
  <c r="F3827" i="1"/>
  <c r="F3828" i="1"/>
  <c r="F3829" i="1"/>
  <c r="F3830" i="1"/>
  <c r="F3831" i="1"/>
  <c r="F3832" i="1"/>
  <c r="F3833" i="1"/>
  <c r="F3834" i="1"/>
  <c r="F3835" i="1"/>
  <c r="F3836" i="1"/>
  <c r="F3837" i="1"/>
  <c r="F3838" i="1"/>
  <c r="F3839" i="1"/>
  <c r="F3840" i="1"/>
  <c r="F3841" i="1"/>
  <c r="F3842" i="1"/>
  <c r="F3843" i="1"/>
  <c r="F3844" i="1"/>
  <c r="F3845" i="1"/>
  <c r="F3826" i="1"/>
  <c r="C4052" i="1"/>
  <c r="F4081" i="1"/>
  <c r="F4080" i="1"/>
  <c r="F4079" i="1"/>
  <c r="F4078" i="1"/>
  <c r="F4077" i="1"/>
  <c r="F4076" i="1"/>
  <c r="F4075" i="1"/>
  <c r="F4074" i="1"/>
  <c r="F4073" i="1"/>
  <c r="F4072" i="1"/>
  <c r="F4071" i="1"/>
  <c r="F4070" i="1"/>
  <c r="F4069" i="1"/>
  <c r="F4068" i="1"/>
  <c r="F3818" i="1"/>
  <c r="F3817" i="1"/>
  <c r="F3816" i="1"/>
  <c r="F3815" i="1"/>
  <c r="F3814" i="1"/>
  <c r="F3813" i="1"/>
  <c r="F3812" i="1"/>
  <c r="F3811" i="1"/>
  <c r="F3810" i="1"/>
  <c r="F3809" i="1"/>
  <c r="F3808" i="1"/>
  <c r="F3807" i="1"/>
  <c r="F3806" i="1"/>
  <c r="F3805" i="1"/>
  <c r="F3804" i="1"/>
  <c r="F3803" i="1"/>
  <c r="F3802" i="1"/>
  <c r="F3801" i="1"/>
  <c r="F3800" i="1"/>
  <c r="F3799" i="1"/>
  <c r="F3781" i="1"/>
  <c r="F3780" i="1"/>
  <c r="F3779" i="1"/>
  <c r="F3778" i="1"/>
  <c r="F3777" i="1"/>
  <c r="F3776" i="1"/>
  <c r="F3775" i="1"/>
  <c r="F3774" i="1"/>
  <c r="F3773" i="1"/>
  <c r="F3772" i="1"/>
  <c r="F3771" i="1"/>
  <c r="F3770" i="1"/>
  <c r="F3769" i="1"/>
  <c r="F3768" i="1"/>
  <c r="F3767" i="1"/>
  <c r="F3766" i="1"/>
  <c r="F4050" i="1"/>
  <c r="F4049" i="1"/>
  <c r="F4048" i="1"/>
  <c r="F4054" i="1"/>
  <c r="F4055" i="1"/>
  <c r="F4056" i="1"/>
  <c r="F4057" i="1"/>
  <c r="F4058" i="1"/>
  <c r="F4059" i="1"/>
  <c r="F4060" i="1"/>
  <c r="F4061" i="1"/>
  <c r="F4062" i="1"/>
  <c r="F4063" i="1"/>
  <c r="F4064" i="1"/>
  <c r="F4065" i="1"/>
  <c r="F4066" i="1"/>
  <c r="F4067" i="1"/>
  <c r="F4084" i="1"/>
  <c r="F4053" i="1"/>
  <c r="F3798" i="1"/>
  <c r="F3797" i="1"/>
  <c r="F3796" i="1"/>
  <c r="F3785" i="1"/>
  <c r="F3786" i="1"/>
  <c r="F3787" i="1"/>
  <c r="F3788" i="1"/>
  <c r="F3789" i="1"/>
  <c r="F3790" i="1"/>
  <c r="F3791" i="1"/>
  <c r="F3792" i="1"/>
  <c r="F3793" i="1"/>
  <c r="F3794" i="1"/>
  <c r="F3795" i="1"/>
  <c r="F3823" i="1"/>
  <c r="F3784" i="1"/>
  <c r="C3783" i="1"/>
  <c r="F3765" i="1"/>
  <c r="F3764" i="1"/>
  <c r="F3763" i="1"/>
  <c r="F3762" i="1"/>
  <c r="F3761" i="1"/>
  <c r="F3760" i="1"/>
  <c r="F3759" i="1"/>
  <c r="F3758" i="1"/>
  <c r="F3757" i="1"/>
  <c r="F4047" i="1"/>
  <c r="F4046" i="1"/>
  <c r="F3756" i="1"/>
  <c r="F3755" i="1"/>
  <c r="F3754" i="1"/>
  <c r="F3753" i="1"/>
  <c r="F3752" i="1"/>
  <c r="F3751" i="1"/>
  <c r="F4045" i="1"/>
  <c r="F4044" i="1"/>
  <c r="F4043" i="1"/>
  <c r="F4042" i="1"/>
  <c r="F3748" i="1"/>
  <c r="F3749" i="1"/>
  <c r="F3750" i="1"/>
  <c r="F3747" i="1"/>
  <c r="F3746" i="1"/>
  <c r="F4031" i="1"/>
  <c r="F4032" i="1"/>
  <c r="F4033" i="1"/>
  <c r="F4034" i="1"/>
  <c r="F4035" i="1"/>
  <c r="F4036" i="1"/>
  <c r="F4037" i="1"/>
  <c r="F4038" i="1"/>
  <c r="F4039" i="1"/>
  <c r="F4040" i="1"/>
  <c r="F4041" i="1"/>
  <c r="F4030" i="1"/>
  <c r="F4029" i="1"/>
  <c r="F4028" i="1"/>
  <c r="F4027" i="1"/>
  <c r="F4026" i="1"/>
  <c r="F3742" i="1"/>
  <c r="F3741" i="1"/>
  <c r="F3740" i="1"/>
  <c r="F3739" i="1"/>
  <c r="F3738" i="1"/>
  <c r="F3737" i="1"/>
  <c r="F3736" i="1"/>
  <c r="F3735" i="1"/>
  <c r="F3734" i="1"/>
  <c r="F3733" i="1"/>
  <c r="F3732" i="1"/>
  <c r="F3731" i="1"/>
  <c r="F3730" i="1"/>
  <c r="F3729" i="1"/>
  <c r="F3728" i="1"/>
  <c r="F3727" i="1"/>
  <c r="F3726" i="1"/>
  <c r="F3725" i="1"/>
  <c r="F3724" i="1"/>
  <c r="F3719" i="1"/>
  <c r="F3720" i="1"/>
  <c r="F3721" i="1"/>
  <c r="F3722" i="1"/>
  <c r="F3723" i="1"/>
  <c r="F3743" i="1"/>
  <c r="F3718" i="1"/>
  <c r="C3745" i="1"/>
  <c r="F4025" i="1"/>
  <c r="F4024" i="1"/>
  <c r="F4023" i="1"/>
  <c r="F4022" i="1"/>
  <c r="F4021" i="1"/>
  <c r="F4020" i="1"/>
  <c r="F4019" i="1"/>
  <c r="G856" i="3"/>
  <c r="D853" i="5" s="1"/>
  <c r="K853" i="5" s="1"/>
  <c r="G855" i="3"/>
  <c r="D852" i="5" s="1"/>
  <c r="K852" i="5" s="1"/>
  <c r="G854" i="3"/>
  <c r="D851" i="5" s="1"/>
  <c r="K851" i="5" s="1"/>
  <c r="G853" i="3"/>
  <c r="D850" i="5" s="1"/>
  <c r="K850" i="5" s="1"/>
  <c r="G852" i="3"/>
  <c r="D849" i="5" s="1"/>
  <c r="K849" i="5" s="1"/>
  <c r="G851" i="3"/>
  <c r="D848" i="5" s="1"/>
  <c r="K848" i="5" s="1"/>
  <c r="G850" i="3"/>
  <c r="D847" i="5" s="1"/>
  <c r="K847" i="5" s="1"/>
  <c r="G849" i="3"/>
  <c r="D846" i="5" s="1"/>
  <c r="K846" i="5" s="1"/>
  <c r="G848" i="3"/>
  <c r="D845" i="5" s="1"/>
  <c r="K845" i="5" s="1"/>
  <c r="G847" i="3"/>
  <c r="D844" i="5" s="1"/>
  <c r="K844" i="5" s="1"/>
  <c r="G846" i="3"/>
  <c r="D843" i="5" s="1"/>
  <c r="K843" i="5" s="1"/>
  <c r="G845" i="3"/>
  <c r="D842" i="5" s="1"/>
  <c r="K842" i="5" s="1"/>
  <c r="G844" i="3"/>
  <c r="D841" i="5" s="1"/>
  <c r="K841" i="5" s="1"/>
  <c r="F3715" i="1"/>
  <c r="F3714" i="1"/>
  <c r="F3713" i="1"/>
  <c r="F3712" i="1"/>
  <c r="F3711" i="1"/>
  <c r="F3710" i="1"/>
  <c r="F3709" i="1"/>
  <c r="F3708" i="1"/>
  <c r="F3697" i="1"/>
  <c r="F3698" i="1"/>
  <c r="F3699" i="1"/>
  <c r="F3700" i="1"/>
  <c r="F3701" i="1"/>
  <c r="F3702" i="1"/>
  <c r="F3703" i="1"/>
  <c r="F3704" i="1"/>
  <c r="F3705" i="1"/>
  <c r="F3706" i="1"/>
  <c r="F3707" i="1"/>
  <c r="F3696" i="1"/>
  <c r="F3688" i="1"/>
  <c r="F3687" i="1"/>
  <c r="F3685" i="1"/>
  <c r="F3686" i="1"/>
  <c r="F3683" i="1"/>
  <c r="E3717" i="1"/>
  <c r="C3717" i="1"/>
  <c r="I3682" i="1"/>
  <c r="I3681" i="1"/>
  <c r="E3682" i="1"/>
  <c r="C3682" i="1"/>
  <c r="F4018" i="1"/>
  <c r="F4017" i="1"/>
  <c r="F4016" i="1"/>
  <c r="F4012" i="1"/>
  <c r="F4013" i="1"/>
  <c r="F4014" i="1"/>
  <c r="F4015" i="1"/>
  <c r="F4011" i="1"/>
  <c r="H815" i="3"/>
  <c r="H818" i="3"/>
  <c r="H843" i="3"/>
  <c r="G843" i="3"/>
  <c r="D840" i="5" s="1"/>
  <c r="G842" i="3"/>
  <c r="D839" i="5" s="1"/>
  <c r="K839" i="5" s="1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G841" i="3"/>
  <c r="D838" i="5" s="1"/>
  <c r="K838" i="5" s="1"/>
  <c r="G840" i="3"/>
  <c r="D837" i="5" s="1"/>
  <c r="K837" i="5" s="1"/>
  <c r="G839" i="3"/>
  <c r="D836" i="5" s="1"/>
  <c r="K836" i="5" s="1"/>
  <c r="G838" i="3"/>
  <c r="D835" i="5" s="1"/>
  <c r="M835" i="5" s="1"/>
  <c r="G837" i="3"/>
  <c r="D834" i="5" s="1"/>
  <c r="K834" i="5" s="1"/>
  <c r="G836" i="3"/>
  <c r="D833" i="5" s="1"/>
  <c r="K833" i="5" s="1"/>
  <c r="G835" i="3"/>
  <c r="D832" i="5" s="1"/>
  <c r="K832" i="5" s="1"/>
  <c r="G834" i="3"/>
  <c r="D831" i="5" s="1"/>
  <c r="M831" i="5" s="1"/>
  <c r="G833" i="3"/>
  <c r="D830" i="5" s="1"/>
  <c r="K830" i="5" s="1"/>
  <c r="G832" i="3"/>
  <c r="D829" i="5" s="1"/>
  <c r="K829" i="5" s="1"/>
  <c r="G831" i="3"/>
  <c r="D828" i="5" s="1"/>
  <c r="K828" i="5" s="1"/>
  <c r="G830" i="3"/>
  <c r="D827" i="5" s="1"/>
  <c r="M827" i="5" s="1"/>
  <c r="G829" i="3"/>
  <c r="D826" i="5" s="1"/>
  <c r="K826" i="5" s="1"/>
  <c r="G828" i="3"/>
  <c r="D825" i="5" s="1"/>
  <c r="K825" i="5" s="1"/>
  <c r="G827" i="3"/>
  <c r="D824" i="5" s="1"/>
  <c r="K824" i="5" s="1"/>
  <c r="G826" i="3"/>
  <c r="D823" i="5" s="1"/>
  <c r="M823" i="5" s="1"/>
  <c r="G825" i="3"/>
  <c r="D822" i="5" s="1"/>
  <c r="K822" i="5" s="1"/>
  <c r="G824" i="3"/>
  <c r="D821" i="5" s="1"/>
  <c r="K821" i="5" s="1"/>
  <c r="G823" i="3"/>
  <c r="D820" i="5" s="1"/>
  <c r="M820" i="5" s="1"/>
  <c r="G822" i="3"/>
  <c r="D819" i="5" s="1"/>
  <c r="M819" i="5" s="1"/>
  <c r="G821" i="3"/>
  <c r="D818" i="5" s="1"/>
  <c r="K818" i="5" s="1"/>
  <c r="G820" i="3"/>
  <c r="D817" i="5" s="1"/>
  <c r="K817" i="5" s="1"/>
  <c r="G819" i="3"/>
  <c r="D816" i="5" s="1"/>
  <c r="M816" i="5" s="1"/>
  <c r="F3677" i="1"/>
  <c r="F3676" i="1"/>
  <c r="F3675" i="1"/>
  <c r="F3674" i="1"/>
  <c r="F3673" i="1"/>
  <c r="F3672" i="1"/>
  <c r="F3671" i="1"/>
  <c r="F3670" i="1"/>
  <c r="F3669" i="1"/>
  <c r="F3664" i="1"/>
  <c r="F3665" i="1"/>
  <c r="F3666" i="1"/>
  <c r="F3667" i="1"/>
  <c r="F3668" i="1"/>
  <c r="F3663" i="1"/>
  <c r="C3679" i="1"/>
  <c r="F3660" i="1"/>
  <c r="F3659" i="1"/>
  <c r="F3658" i="1"/>
  <c r="F3657" i="1"/>
  <c r="F3656" i="1"/>
  <c r="F3655" i="1"/>
  <c r="F3654" i="1"/>
  <c r="F3653" i="1"/>
  <c r="F3652" i="1"/>
  <c r="F3651" i="1"/>
  <c r="F3650" i="1"/>
  <c r="F3649" i="1"/>
  <c r="F3648" i="1"/>
  <c r="F3647" i="1"/>
  <c r="F3646" i="1"/>
  <c r="D793" i="4"/>
  <c r="D794" i="4"/>
  <c r="D795" i="4"/>
  <c r="D796" i="4"/>
  <c r="D797" i="4"/>
  <c r="G818" i="3"/>
  <c r="D815" i="5" s="1"/>
  <c r="K815" i="5" s="1"/>
  <c r="G817" i="3"/>
  <c r="D814" i="5" s="1"/>
  <c r="K814" i="5" s="1"/>
  <c r="G816" i="3"/>
  <c r="D813" i="5" s="1"/>
  <c r="K813" i="5" s="1"/>
  <c r="D790" i="4"/>
  <c r="D791" i="4"/>
  <c r="D792" i="4"/>
  <c r="G815" i="3"/>
  <c r="D812" i="5" s="1"/>
  <c r="K812" i="5" s="1"/>
  <c r="G814" i="3"/>
  <c r="D811" i="5" s="1"/>
  <c r="K811" i="5" s="1"/>
  <c r="G813" i="3"/>
  <c r="D810" i="5" s="1"/>
  <c r="K810" i="5" s="1"/>
  <c r="F3637" i="1"/>
  <c r="F3638" i="1"/>
  <c r="F3639" i="1"/>
  <c r="F3640" i="1"/>
  <c r="F3641" i="1"/>
  <c r="F3642" i="1"/>
  <c r="F3643" i="1"/>
  <c r="F3644" i="1"/>
  <c r="F3645" i="1"/>
  <c r="F3636" i="1"/>
  <c r="C3662" i="1"/>
  <c r="H809" i="3"/>
  <c r="H811" i="3"/>
  <c r="I3635" i="1"/>
  <c r="I3634" i="1"/>
  <c r="C3635" i="1"/>
  <c r="E3635" i="1"/>
  <c r="G812" i="3"/>
  <c r="D809" i="5" s="1"/>
  <c r="K809" i="5" s="1"/>
  <c r="F3622" i="1"/>
  <c r="F3623" i="1"/>
  <c r="F3624" i="1"/>
  <c r="F3625" i="1"/>
  <c r="F3626" i="1"/>
  <c r="F3627" i="1"/>
  <c r="F3628" i="1"/>
  <c r="F3629" i="1"/>
  <c r="F3630" i="1"/>
  <c r="F3621" i="1"/>
  <c r="D787" i="4"/>
  <c r="D788" i="4"/>
  <c r="D789" i="4"/>
  <c r="E3632" i="1"/>
  <c r="E165" i="2" s="1"/>
  <c r="C3632" i="1"/>
  <c r="G811" i="3"/>
  <c r="D808" i="5" s="1"/>
  <c r="K808" i="5" s="1"/>
  <c r="G810" i="3"/>
  <c r="D807" i="5" s="1"/>
  <c r="M807" i="5" s="1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G809" i="3"/>
  <c r="D806" i="5" s="1"/>
  <c r="G808" i="3"/>
  <c r="D805" i="5" s="1"/>
  <c r="G807" i="3"/>
  <c r="D804" i="5" s="1"/>
  <c r="G806" i="3"/>
  <c r="D803" i="5" s="1"/>
  <c r="G805" i="3"/>
  <c r="D802" i="5" s="1"/>
  <c r="G804" i="3"/>
  <c r="D801" i="5" s="1"/>
  <c r="G803" i="3"/>
  <c r="D800" i="5" s="1"/>
  <c r="G802" i="3"/>
  <c r="D799" i="5" s="1"/>
  <c r="G801" i="3"/>
  <c r="D798" i="5" s="1"/>
  <c r="G800" i="3"/>
  <c r="D797" i="5" s="1"/>
  <c r="G799" i="3"/>
  <c r="D796" i="5" s="1"/>
  <c r="G798" i="3"/>
  <c r="D795" i="5" s="1"/>
  <c r="G797" i="3"/>
  <c r="D794" i="5" s="1"/>
  <c r="G796" i="3"/>
  <c r="D793" i="5" s="1"/>
  <c r="G795" i="3"/>
  <c r="D792" i="5" s="1"/>
  <c r="G794" i="3"/>
  <c r="D791" i="5" s="1"/>
  <c r="G793" i="3"/>
  <c r="D790" i="5" s="1"/>
  <c r="G792" i="3"/>
  <c r="D789" i="5" s="1"/>
  <c r="G791" i="3"/>
  <c r="D788" i="5" s="1"/>
  <c r="G790" i="3"/>
  <c r="D787" i="5" s="1"/>
  <c r="G789" i="3"/>
  <c r="D786" i="5" s="1"/>
  <c r="G788" i="3"/>
  <c r="D785" i="5" s="1"/>
  <c r="G787" i="3"/>
  <c r="D784" i="5" s="1"/>
  <c r="G786" i="3"/>
  <c r="D783" i="5" s="1"/>
  <c r="G785" i="3"/>
  <c r="D782" i="5" s="1"/>
  <c r="G784" i="3"/>
  <c r="D781" i="5" s="1"/>
  <c r="G783" i="3"/>
  <c r="D780" i="5" s="1"/>
  <c r="G782" i="3"/>
  <c r="D779" i="5" s="1"/>
  <c r="K779" i="5" s="1"/>
  <c r="G781" i="3"/>
  <c r="D778" i="5" s="1"/>
  <c r="K778" i="5" s="1"/>
  <c r="G780" i="3"/>
  <c r="D777" i="5" s="1"/>
  <c r="K777" i="5" s="1"/>
  <c r="G779" i="3"/>
  <c r="D776" i="5" s="1"/>
  <c r="G778" i="3"/>
  <c r="D775" i="5" s="1"/>
  <c r="G777" i="3"/>
  <c r="D774" i="5" s="1"/>
  <c r="K774" i="5" s="1"/>
  <c r="G776" i="3"/>
  <c r="D773" i="5" s="1"/>
  <c r="K773" i="5" s="1"/>
  <c r="G775" i="3"/>
  <c r="D772" i="5" s="1"/>
  <c r="G774" i="3"/>
  <c r="D771" i="5" s="1"/>
  <c r="G773" i="3"/>
  <c r="D770" i="5" s="1"/>
  <c r="K770" i="5" s="1"/>
  <c r="G772" i="3"/>
  <c r="D769" i="5" s="1"/>
  <c r="G771" i="3"/>
  <c r="D768" i="5" s="1"/>
  <c r="G770" i="3"/>
  <c r="D767" i="5" s="1"/>
  <c r="K767" i="5" s="1"/>
  <c r="G769" i="3"/>
  <c r="D766" i="5" s="1"/>
  <c r="K766" i="5" s="1"/>
  <c r="G768" i="3"/>
  <c r="D765" i="5" s="1"/>
  <c r="K765" i="5" s="1"/>
  <c r="G767" i="3"/>
  <c r="D764" i="5" s="1"/>
  <c r="G766" i="3"/>
  <c r="D763" i="5" s="1"/>
  <c r="K763" i="5" s="1"/>
  <c r="G765" i="3"/>
  <c r="D762" i="5" s="1"/>
  <c r="K762" i="5" s="1"/>
  <c r="G764" i="3"/>
  <c r="D761" i="5" s="1"/>
  <c r="G763" i="3"/>
  <c r="D760" i="5" s="1"/>
  <c r="G762" i="3"/>
  <c r="D759" i="5" s="1"/>
  <c r="G761" i="3"/>
  <c r="D758" i="5" s="1"/>
  <c r="K758" i="5" s="1"/>
  <c r="G760" i="3"/>
  <c r="D757" i="5" s="1"/>
  <c r="K757" i="5" s="1"/>
  <c r="G759" i="3"/>
  <c r="D756" i="5" s="1"/>
  <c r="G758" i="3"/>
  <c r="D755" i="5" s="1"/>
  <c r="K755" i="5" s="1"/>
  <c r="G757" i="3"/>
  <c r="D754" i="5" s="1"/>
  <c r="K754" i="5" s="1"/>
  <c r="G756" i="3"/>
  <c r="D753" i="5" s="1"/>
  <c r="G755" i="3"/>
  <c r="D752" i="5" s="1"/>
  <c r="G754" i="3"/>
  <c r="D751" i="5" s="1"/>
  <c r="K751" i="5" s="1"/>
  <c r="G753" i="3"/>
  <c r="D750" i="5" s="1"/>
  <c r="K750" i="5" s="1"/>
  <c r="G752" i="3"/>
  <c r="D749" i="5" s="1"/>
  <c r="K749" i="5" s="1"/>
  <c r="G751" i="3"/>
  <c r="D748" i="5" s="1"/>
  <c r="K748" i="5" s="1"/>
  <c r="G750" i="3"/>
  <c r="D747" i="5" s="1"/>
  <c r="K747" i="5" s="1"/>
  <c r="G749" i="3"/>
  <c r="D746" i="5" s="1"/>
  <c r="K746" i="5" s="1"/>
  <c r="G748" i="3"/>
  <c r="D745" i="5" s="1"/>
  <c r="K745" i="5" s="1"/>
  <c r="G747" i="3"/>
  <c r="D744" i="5" s="1"/>
  <c r="K744" i="5" s="1"/>
  <c r="F3618" i="1"/>
  <c r="F3617" i="1"/>
  <c r="F3616" i="1"/>
  <c r="F3615" i="1"/>
  <c r="F3614" i="1"/>
  <c r="F3613" i="1"/>
  <c r="F3612" i="1"/>
  <c r="F3611" i="1"/>
  <c r="F3610" i="1"/>
  <c r="F3609" i="1"/>
  <c r="F3608" i="1"/>
  <c r="F3607" i="1"/>
  <c r="F3606" i="1"/>
  <c r="F3605" i="1"/>
  <c r="F3604" i="1"/>
  <c r="F3603" i="1"/>
  <c r="F3602" i="1"/>
  <c r="F3601" i="1"/>
  <c r="F3600" i="1"/>
  <c r="C3620" i="1"/>
  <c r="F3587" i="1"/>
  <c r="F3588" i="1"/>
  <c r="F3589" i="1"/>
  <c r="F3590" i="1"/>
  <c r="F3591" i="1"/>
  <c r="F3592" i="1"/>
  <c r="F3593" i="1"/>
  <c r="F3594" i="1"/>
  <c r="F3595" i="1"/>
  <c r="F3596" i="1"/>
  <c r="F3597" i="1"/>
  <c r="F3598" i="1"/>
  <c r="F3599" i="1"/>
  <c r="F3586" i="1"/>
  <c r="C3585" i="1"/>
  <c r="F3583" i="1"/>
  <c r="F3582" i="1"/>
  <c r="F3581" i="1"/>
  <c r="F3580" i="1"/>
  <c r="F3579" i="1"/>
  <c r="F3578" i="1"/>
  <c r="F3577" i="1"/>
  <c r="F3564" i="1"/>
  <c r="F3565" i="1"/>
  <c r="F3566" i="1"/>
  <c r="F3567" i="1"/>
  <c r="F3568" i="1"/>
  <c r="F3569" i="1"/>
  <c r="F3570" i="1"/>
  <c r="F3571" i="1"/>
  <c r="F3572" i="1"/>
  <c r="F3573" i="1"/>
  <c r="F3574" i="1"/>
  <c r="F3575" i="1"/>
  <c r="F3576" i="1"/>
  <c r="F3563" i="1"/>
  <c r="F3562" i="1"/>
  <c r="F3561" i="1"/>
  <c r="F3560" i="1"/>
  <c r="F3559" i="1"/>
  <c r="F3552" i="1"/>
  <c r="F3553" i="1"/>
  <c r="F3554" i="1"/>
  <c r="F3555" i="1"/>
  <c r="F3556" i="1"/>
  <c r="F3557" i="1"/>
  <c r="F3558" i="1"/>
  <c r="F3551" i="1"/>
  <c r="D723" i="4"/>
  <c r="G746" i="3"/>
  <c r="D742" i="5" s="1"/>
  <c r="K742" i="5" s="1"/>
  <c r="D722" i="4"/>
  <c r="G745" i="3"/>
  <c r="D743" i="5" s="1"/>
  <c r="M743" i="5" s="1"/>
  <c r="F3540" i="1"/>
  <c r="F3541" i="1"/>
  <c r="F3542" i="1"/>
  <c r="F3543" i="1"/>
  <c r="F3544" i="1"/>
  <c r="F3545" i="1"/>
  <c r="E3550" i="1" s="1"/>
  <c r="E162" i="2" s="1"/>
  <c r="F3546" i="1"/>
  <c r="F3547" i="1"/>
  <c r="F3548" i="1"/>
  <c r="F3534" i="1"/>
  <c r="F3535" i="1"/>
  <c r="F3536" i="1"/>
  <c r="F3537" i="1"/>
  <c r="F3538" i="1"/>
  <c r="F3539" i="1"/>
  <c r="F3533" i="1"/>
  <c r="C3550" i="1"/>
  <c r="F3530" i="1"/>
  <c r="F3529" i="1"/>
  <c r="F3528" i="1"/>
  <c r="F3527" i="1"/>
  <c r="F3526" i="1"/>
  <c r="F3525" i="1"/>
  <c r="F3524" i="1"/>
  <c r="F3523" i="1"/>
  <c r="F3522" i="1"/>
  <c r="F3521" i="1"/>
  <c r="F3520" i="1"/>
  <c r="F3519" i="1"/>
  <c r="F3518" i="1"/>
  <c r="F3517" i="1"/>
  <c r="F3516" i="1"/>
  <c r="F3515" i="1"/>
  <c r="F3514" i="1"/>
  <c r="F3513" i="1"/>
  <c r="F3512" i="1"/>
  <c r="F3511" i="1"/>
  <c r="F3510" i="1"/>
  <c r="F3509" i="1"/>
  <c r="F3508" i="1"/>
  <c r="F3507" i="1"/>
  <c r="H744" i="3"/>
  <c r="C3532" i="1"/>
  <c r="C3485" i="1"/>
  <c r="F3483" i="1"/>
  <c r="F3484" i="1"/>
  <c r="F3485" i="1"/>
  <c r="F3486" i="1"/>
  <c r="F3487" i="1"/>
  <c r="F3488" i="1"/>
  <c r="F3489" i="1"/>
  <c r="F3490" i="1"/>
  <c r="F3491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482" i="1"/>
  <c r="D717" i="4"/>
  <c r="D718" i="4"/>
  <c r="D719" i="4"/>
  <c r="D720" i="4"/>
  <c r="D721" i="4"/>
  <c r="G744" i="3"/>
  <c r="D741" i="5" s="1"/>
  <c r="K741" i="5" s="1"/>
  <c r="G743" i="3"/>
  <c r="D740" i="5" s="1"/>
  <c r="K740" i="5" s="1"/>
  <c r="G742" i="3"/>
  <c r="D739" i="5" s="1"/>
  <c r="K739" i="5" s="1"/>
  <c r="G741" i="3"/>
  <c r="D738" i="5" s="1"/>
  <c r="K738" i="5" s="1"/>
  <c r="G740" i="3"/>
  <c r="D737" i="5" s="1"/>
  <c r="K737" i="5" s="1"/>
  <c r="C3481" i="1"/>
  <c r="F3479" i="1"/>
  <c r="F3478" i="1"/>
  <c r="F3477" i="1"/>
  <c r="F3476" i="1"/>
  <c r="F3475" i="1"/>
  <c r="F3474" i="1"/>
  <c r="F3473" i="1"/>
  <c r="F3472" i="1"/>
  <c r="F3471" i="1"/>
  <c r="F3470" i="1"/>
  <c r="F3469" i="1"/>
  <c r="F3468" i="1"/>
  <c r="F3467" i="1"/>
  <c r="F3466" i="1"/>
  <c r="F3465" i="1"/>
  <c r="F3464" i="1"/>
  <c r="F3463" i="1"/>
  <c r="F3462" i="1"/>
  <c r="F3461" i="1"/>
  <c r="F3460" i="1"/>
  <c r="F3459" i="1"/>
  <c r="F3449" i="1"/>
  <c r="F3450" i="1"/>
  <c r="F3451" i="1"/>
  <c r="F3452" i="1"/>
  <c r="F3453" i="1"/>
  <c r="F3454" i="1"/>
  <c r="F3455" i="1"/>
  <c r="F3456" i="1"/>
  <c r="F3457" i="1"/>
  <c r="F3458" i="1"/>
  <c r="F3447" i="1"/>
  <c r="F3448" i="1"/>
  <c r="F3446" i="1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H739" i="3"/>
  <c r="F160" i="2" s="1"/>
  <c r="G739" i="3"/>
  <c r="D736" i="5" s="1"/>
  <c r="K736" i="5" s="1"/>
  <c r="G738" i="3"/>
  <c r="D735" i="5" s="1"/>
  <c r="M735" i="5" s="1"/>
  <c r="G737" i="3"/>
  <c r="D734" i="5" s="1"/>
  <c r="K734" i="5" s="1"/>
  <c r="G736" i="3"/>
  <c r="D733" i="5" s="1"/>
  <c r="K733" i="5" s="1"/>
  <c r="G735" i="3"/>
  <c r="D732" i="5" s="1"/>
  <c r="K732" i="5" s="1"/>
  <c r="G734" i="3"/>
  <c r="D731" i="5" s="1"/>
  <c r="M731" i="5" s="1"/>
  <c r="G733" i="3"/>
  <c r="D730" i="5" s="1"/>
  <c r="K730" i="5" s="1"/>
  <c r="G732" i="3"/>
  <c r="D729" i="5" s="1"/>
  <c r="K729" i="5" s="1"/>
  <c r="G731" i="3"/>
  <c r="D728" i="5" s="1"/>
  <c r="K728" i="5" s="1"/>
  <c r="G730" i="3"/>
  <c r="D727" i="5" s="1"/>
  <c r="K727" i="5" s="1"/>
  <c r="G729" i="3"/>
  <c r="D726" i="5" s="1"/>
  <c r="K726" i="5" s="1"/>
  <c r="G728" i="3"/>
  <c r="D725" i="5" s="1"/>
  <c r="K725" i="5" s="1"/>
  <c r="G727" i="3"/>
  <c r="D724" i="5" s="1"/>
  <c r="K724" i="5" s="1"/>
  <c r="G726" i="3"/>
  <c r="D723" i="5" s="1"/>
  <c r="M723" i="5" s="1"/>
  <c r="G725" i="3"/>
  <c r="G724" i="3"/>
  <c r="D721" i="5" s="1"/>
  <c r="K721" i="5" s="1"/>
  <c r="G723" i="3"/>
  <c r="D720" i="5" s="1"/>
  <c r="G722" i="3"/>
  <c r="D719" i="5" s="1"/>
  <c r="M719" i="5" s="1"/>
  <c r="G721" i="3"/>
  <c r="D718" i="5" s="1"/>
  <c r="K718" i="5" s="1"/>
  <c r="G720" i="3"/>
  <c r="D717" i="5" s="1"/>
  <c r="K717" i="5" s="1"/>
  <c r="G719" i="3"/>
  <c r="D716" i="5" s="1"/>
  <c r="K716" i="5" s="1"/>
  <c r="H718" i="3"/>
  <c r="F3442" i="1"/>
  <c r="F3441" i="1"/>
  <c r="F3440" i="1"/>
  <c r="F3439" i="1"/>
  <c r="F3438" i="1"/>
  <c r="F3437" i="1"/>
  <c r="F3436" i="1"/>
  <c r="F3435" i="1"/>
  <c r="F3434" i="1"/>
  <c r="F3433" i="1"/>
  <c r="F3432" i="1"/>
  <c r="F3431" i="1"/>
  <c r="F3430" i="1"/>
  <c r="F3429" i="1"/>
  <c r="F3428" i="1"/>
  <c r="F3427" i="1"/>
  <c r="F3426" i="1"/>
  <c r="F3425" i="1"/>
  <c r="F3424" i="1"/>
  <c r="F3423" i="1"/>
  <c r="F3422" i="1"/>
  <c r="F3421" i="1"/>
  <c r="F3420" i="1"/>
  <c r="F3419" i="1"/>
  <c r="F3418" i="1"/>
  <c r="F3417" i="1"/>
  <c r="F3416" i="1"/>
  <c r="F3415" i="1"/>
  <c r="F3414" i="1"/>
  <c r="F3413" i="1"/>
  <c r="F3412" i="1"/>
  <c r="F3411" i="1"/>
  <c r="F3410" i="1"/>
  <c r="F3409" i="1"/>
  <c r="D692" i="4"/>
  <c r="D693" i="4"/>
  <c r="D694" i="4"/>
  <c r="D695" i="4"/>
  <c r="D696" i="4"/>
  <c r="G718" i="3"/>
  <c r="D715" i="5" s="1"/>
  <c r="K715" i="5" s="1"/>
  <c r="G717" i="3"/>
  <c r="D714" i="5" s="1"/>
  <c r="K714" i="5" s="1"/>
  <c r="G716" i="3"/>
  <c r="D713" i="5" s="1"/>
  <c r="K713" i="5" s="1"/>
  <c r="G715" i="3"/>
  <c r="D712" i="5" s="1"/>
  <c r="K712" i="5" s="1"/>
  <c r="F3408" i="1"/>
  <c r="F3407" i="1"/>
  <c r="E3445" i="1"/>
  <c r="C3445" i="1"/>
  <c r="F3405" i="1"/>
  <c r="F3404" i="1"/>
  <c r="F3403" i="1"/>
  <c r="F3402" i="1"/>
  <c r="F3401" i="1"/>
  <c r="F3400" i="1"/>
  <c r="F3399" i="1"/>
  <c r="F3398" i="1"/>
  <c r="F3389" i="1"/>
  <c r="F3390" i="1"/>
  <c r="F3391" i="1"/>
  <c r="F3392" i="1"/>
  <c r="F3393" i="1"/>
  <c r="F3394" i="1"/>
  <c r="F3395" i="1"/>
  <c r="F3396" i="1"/>
  <c r="F3397" i="1"/>
  <c r="F3388" i="1"/>
  <c r="C3387" i="1"/>
  <c r="F3385" i="1"/>
  <c r="F3384" i="1"/>
  <c r="F3383" i="1"/>
  <c r="F3382" i="1"/>
  <c r="F3381" i="1"/>
  <c r="F3380" i="1"/>
  <c r="F3379" i="1"/>
  <c r="F3378" i="1"/>
  <c r="F3377" i="1"/>
  <c r="F3376" i="1"/>
  <c r="F3375" i="1"/>
  <c r="F3374" i="1"/>
  <c r="F3373" i="1"/>
  <c r="F3372" i="1"/>
  <c r="F3371" i="1"/>
  <c r="F3370" i="1"/>
  <c r="F3369" i="1"/>
  <c r="F3368" i="1"/>
  <c r="F3367" i="1"/>
  <c r="F3366" i="1"/>
  <c r="F3365" i="1"/>
  <c r="F3364" i="1"/>
  <c r="F3363" i="1"/>
  <c r="F3362" i="1"/>
  <c r="F3361" i="1"/>
  <c r="F3357" i="1"/>
  <c r="F3358" i="1"/>
  <c r="F3359" i="1"/>
  <c r="F3360" i="1"/>
  <c r="F3356" i="1"/>
  <c r="H714" i="3"/>
  <c r="C3355" i="1"/>
  <c r="F3353" i="1"/>
  <c r="I3354" i="1" s="1"/>
  <c r="F3350" i="1"/>
  <c r="F3351" i="1"/>
  <c r="F3352" i="1"/>
  <c r="F3349" i="1"/>
  <c r="D688" i="4"/>
  <c r="D689" i="4"/>
  <c r="D690" i="4"/>
  <c r="D691" i="4"/>
  <c r="C3348" i="1"/>
  <c r="F3346" i="1"/>
  <c r="F3345" i="1"/>
  <c r="F3344" i="1"/>
  <c r="F3339" i="1"/>
  <c r="F3340" i="1"/>
  <c r="F3341" i="1"/>
  <c r="F3342" i="1"/>
  <c r="F3343" i="1"/>
  <c r="F3338" i="1"/>
  <c r="G714" i="3"/>
  <c r="D711" i="5" s="1"/>
  <c r="K711" i="5" s="1"/>
  <c r="G713" i="3"/>
  <c r="D710" i="5" s="1"/>
  <c r="K710" i="5" s="1"/>
  <c r="G712" i="3"/>
  <c r="D709" i="5" s="1"/>
  <c r="K709" i="5" s="1"/>
  <c r="G711" i="3"/>
  <c r="D708" i="5" s="1"/>
  <c r="K708" i="5" s="1"/>
  <c r="C3337" i="1"/>
  <c r="F3335" i="1"/>
  <c r="F3334" i="1"/>
  <c r="F3333" i="1"/>
  <c r="F3332" i="1"/>
  <c r="F3331" i="1"/>
  <c r="F3330" i="1"/>
  <c r="F3329" i="1"/>
  <c r="F3328" i="1"/>
  <c r="F3327" i="1"/>
  <c r="F3315" i="1"/>
  <c r="F3316" i="1"/>
  <c r="F3317" i="1"/>
  <c r="F3318" i="1"/>
  <c r="F3319" i="1"/>
  <c r="F3320" i="1"/>
  <c r="F3321" i="1"/>
  <c r="F3322" i="1"/>
  <c r="F3323" i="1"/>
  <c r="F3324" i="1"/>
  <c r="F3325" i="1"/>
  <c r="F3326" i="1"/>
  <c r="F3313" i="1"/>
  <c r="F3314" i="1"/>
  <c r="F3312" i="1"/>
  <c r="D687" i="4"/>
  <c r="G710" i="3"/>
  <c r="D707" i="5" s="1"/>
  <c r="K707" i="5" s="1"/>
  <c r="G709" i="3"/>
  <c r="D706" i="5" s="1"/>
  <c r="K706" i="5" s="1"/>
  <c r="I3310" i="1"/>
  <c r="D154" i="2" s="1"/>
  <c r="F3308" i="1"/>
  <c r="F3307" i="1"/>
  <c r="F3306" i="1"/>
  <c r="F3305" i="1"/>
  <c r="F3304" i="1"/>
  <c r="F27" i="9"/>
  <c r="H21" i="9"/>
  <c r="F3303" i="1"/>
  <c r="G708" i="3"/>
  <c r="D705" i="5" s="1"/>
  <c r="K705" i="5" s="1"/>
  <c r="F3302" i="1"/>
  <c r="F3301" i="1"/>
  <c r="F3300" i="1"/>
  <c r="F3299" i="1"/>
  <c r="F3298" i="1"/>
  <c r="F3297" i="1"/>
  <c r="F3296" i="1"/>
  <c r="F3295" i="1"/>
  <c r="F3294" i="1"/>
  <c r="F3293" i="1"/>
  <c r="F3292" i="1"/>
  <c r="F3291" i="1"/>
  <c r="I707" i="3"/>
  <c r="H174" i="2"/>
  <c r="H176" i="2"/>
  <c r="H177" i="2"/>
  <c r="H180" i="2"/>
  <c r="H182" i="2"/>
  <c r="H183" i="2"/>
  <c r="H157" i="2"/>
  <c r="H166" i="2"/>
  <c r="H169" i="2"/>
  <c r="H170" i="2"/>
  <c r="C3311" i="1"/>
  <c r="F3289" i="1"/>
  <c r="F3282" i="1"/>
  <c r="F3283" i="1"/>
  <c r="F3284" i="1"/>
  <c r="F3285" i="1"/>
  <c r="F3286" i="1"/>
  <c r="F3287" i="1"/>
  <c r="F3288" i="1"/>
  <c r="F3281" i="1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G707" i="3"/>
  <c r="D704" i="5" s="1"/>
  <c r="K704" i="5" s="1"/>
  <c r="G706" i="3"/>
  <c r="D703" i="5" s="1"/>
  <c r="K703" i="5" s="1"/>
  <c r="G705" i="3"/>
  <c r="D702" i="5" s="1"/>
  <c r="K702" i="5" s="1"/>
  <c r="G704" i="3"/>
  <c r="D701" i="5" s="1"/>
  <c r="M701" i="5" s="1"/>
  <c r="G703" i="3"/>
  <c r="D700" i="5" s="1"/>
  <c r="K700" i="5" s="1"/>
  <c r="G702" i="3"/>
  <c r="D699" i="5" s="1"/>
  <c r="K699" i="5" s="1"/>
  <c r="G701" i="3"/>
  <c r="D698" i="5" s="1"/>
  <c r="K698" i="5" s="1"/>
  <c r="G700" i="3"/>
  <c r="D697" i="5" s="1"/>
  <c r="M697" i="5" s="1"/>
  <c r="G699" i="3"/>
  <c r="D696" i="5" s="1"/>
  <c r="K696" i="5" s="1"/>
  <c r="G698" i="3"/>
  <c r="D695" i="5" s="1"/>
  <c r="K695" i="5" s="1"/>
  <c r="G697" i="3"/>
  <c r="D694" i="5" s="1"/>
  <c r="K694" i="5" s="1"/>
  <c r="G696" i="3"/>
  <c r="D693" i="5" s="1"/>
  <c r="K693" i="5" s="1"/>
  <c r="G695" i="3"/>
  <c r="D692" i="5" s="1"/>
  <c r="K692" i="5" s="1"/>
  <c r="G694" i="3"/>
  <c r="D691" i="5" s="1"/>
  <c r="K691" i="5" s="1"/>
  <c r="G693" i="3"/>
  <c r="D690" i="5" s="1"/>
  <c r="K690" i="5" s="1"/>
  <c r="C3280" i="1"/>
  <c r="F3278" i="1"/>
  <c r="F3277" i="1"/>
  <c r="F3276" i="1"/>
  <c r="F3275" i="1"/>
  <c r="F3274" i="1"/>
  <c r="F3273" i="1"/>
  <c r="F3272" i="1"/>
  <c r="F3271" i="1"/>
  <c r="F3270" i="1"/>
  <c r="F3269" i="1"/>
  <c r="F3268" i="1"/>
  <c r="F3267" i="1"/>
  <c r="F3266" i="1"/>
  <c r="F3265" i="1"/>
  <c r="F3264" i="1"/>
  <c r="F3263" i="1"/>
  <c r="F3262" i="1"/>
  <c r="F3261" i="1"/>
  <c r="F3260" i="1"/>
  <c r="F3259" i="1"/>
  <c r="F3258" i="1"/>
  <c r="F3257" i="1"/>
  <c r="F3256" i="1"/>
  <c r="F3255" i="1"/>
  <c r="F3254" i="1"/>
  <c r="F3253" i="1"/>
  <c r="F3252" i="1"/>
  <c r="F3251" i="1"/>
  <c r="F3250" i="1"/>
  <c r="F3249" i="1"/>
  <c r="F3248" i="1"/>
  <c r="F3242" i="1"/>
  <c r="F3243" i="1"/>
  <c r="F3244" i="1"/>
  <c r="F3245" i="1"/>
  <c r="F3246" i="1"/>
  <c r="F3247" i="1"/>
  <c r="F3241" i="1"/>
  <c r="C3230" i="1"/>
  <c r="F3228" i="1"/>
  <c r="F3227" i="1"/>
  <c r="F3226" i="1"/>
  <c r="F3225" i="1"/>
  <c r="F3224" i="1"/>
  <c r="F3223" i="1"/>
  <c r="F3222" i="1"/>
  <c r="F3221" i="1"/>
  <c r="F3220" i="1"/>
  <c r="F3219" i="1"/>
  <c r="F3218" i="1"/>
  <c r="F3217" i="1"/>
  <c r="F3216" i="1"/>
  <c r="F3215" i="1"/>
  <c r="G692" i="3"/>
  <c r="D689" i="5" s="1"/>
  <c r="K689" i="5" s="1"/>
  <c r="F3214" i="1"/>
  <c r="F3213" i="1"/>
  <c r="F3212" i="1"/>
  <c r="F3211" i="1"/>
  <c r="F3210" i="1"/>
  <c r="F3209" i="1"/>
  <c r="F3208" i="1"/>
  <c r="F3207" i="1"/>
  <c r="F3206" i="1"/>
  <c r="F3205" i="1"/>
  <c r="F3204" i="1"/>
  <c r="F3203" i="1"/>
  <c r="F3202" i="1"/>
  <c r="F3201" i="1"/>
  <c r="F3200" i="1"/>
  <c r="F3199" i="1"/>
  <c r="F3198" i="1"/>
  <c r="F3197" i="1"/>
  <c r="F3196" i="1"/>
  <c r="F3195" i="1"/>
  <c r="F3194" i="1"/>
  <c r="F3193" i="1"/>
  <c r="F3192" i="1"/>
  <c r="F3191" i="1"/>
  <c r="F3190" i="1"/>
  <c r="F3189" i="1"/>
  <c r="F3188" i="1"/>
  <c r="F3187" i="1"/>
  <c r="F3186" i="1"/>
  <c r="F3185" i="1"/>
  <c r="F3184" i="1"/>
  <c r="F3183" i="1"/>
  <c r="F3182" i="1"/>
  <c r="F3181" i="1"/>
  <c r="F3180" i="1"/>
  <c r="F3179" i="1"/>
  <c r="F3178" i="1"/>
  <c r="F3177" i="1"/>
  <c r="F3169" i="1"/>
  <c r="F3170" i="1"/>
  <c r="F3171" i="1"/>
  <c r="F3172" i="1"/>
  <c r="F3173" i="1"/>
  <c r="F3174" i="1"/>
  <c r="F3175" i="1"/>
  <c r="F3176" i="1"/>
  <c r="F3168" i="1"/>
  <c r="F3167" i="1"/>
  <c r="F3166" i="1"/>
  <c r="F3155" i="1"/>
  <c r="F3156" i="1"/>
  <c r="F3157" i="1"/>
  <c r="F3158" i="1"/>
  <c r="F3159" i="1"/>
  <c r="F3160" i="1"/>
  <c r="F3161" i="1"/>
  <c r="F3162" i="1"/>
  <c r="F3163" i="1"/>
  <c r="F3164" i="1"/>
  <c r="F3165" i="1"/>
  <c r="F3153" i="1"/>
  <c r="F3154" i="1"/>
  <c r="F3152" i="1"/>
  <c r="F3148" i="1"/>
  <c r="F3149" i="1"/>
  <c r="F3147" i="1"/>
  <c r="I3150" i="1" s="1"/>
  <c r="F3144" i="1"/>
  <c r="D666" i="4"/>
  <c r="D667" i="4"/>
  <c r="D668" i="4"/>
  <c r="D669" i="4"/>
  <c r="D670" i="4"/>
  <c r="G691" i="3"/>
  <c r="D688" i="5" s="1"/>
  <c r="K688" i="5" s="1"/>
  <c r="G690" i="3"/>
  <c r="D687" i="5" s="1"/>
  <c r="K687" i="5" s="1"/>
  <c r="G689" i="3"/>
  <c r="D686" i="5" s="1"/>
  <c r="K686" i="5" s="1"/>
  <c r="C3146" i="1"/>
  <c r="F3143" i="1"/>
  <c r="F3142" i="1"/>
  <c r="F3141" i="1"/>
  <c r="F3140" i="1"/>
  <c r="F3139" i="1"/>
  <c r="F3138" i="1"/>
  <c r="F3137" i="1"/>
  <c r="F3136" i="1"/>
  <c r="F3135" i="1"/>
  <c r="F3134" i="1"/>
  <c r="F3133" i="1"/>
  <c r="F3132" i="1"/>
  <c r="F3131" i="1"/>
  <c r="F3130" i="1"/>
  <c r="F3129" i="1"/>
  <c r="F3128" i="1"/>
  <c r="F3127" i="1"/>
  <c r="F3126" i="1"/>
  <c r="F3125" i="1"/>
  <c r="F3124" i="1"/>
  <c r="F3123" i="1"/>
  <c r="F3122" i="1"/>
  <c r="F3121" i="1"/>
  <c r="F3120" i="1"/>
  <c r="F3119" i="1"/>
  <c r="F3118" i="1"/>
  <c r="F3117" i="1"/>
  <c r="F3116" i="1"/>
  <c r="F3115" i="1"/>
  <c r="F3114" i="1"/>
  <c r="F3113" i="1"/>
  <c r="F3112" i="1"/>
  <c r="F3111" i="1"/>
  <c r="F3105" i="1"/>
  <c r="F3106" i="1"/>
  <c r="F3107" i="1"/>
  <c r="F3108" i="1"/>
  <c r="F3109" i="1"/>
  <c r="F3110" i="1"/>
  <c r="F3104" i="1"/>
  <c r="F3099" i="1"/>
  <c r="F3098" i="1"/>
  <c r="F3097" i="1"/>
  <c r="F3096" i="1"/>
  <c r="F3095" i="1"/>
  <c r="F3094" i="1"/>
  <c r="F3084" i="1"/>
  <c r="F3085" i="1"/>
  <c r="F3086" i="1"/>
  <c r="F3087" i="1"/>
  <c r="F3088" i="1"/>
  <c r="F3089" i="1"/>
  <c r="F3090" i="1"/>
  <c r="F3091" i="1"/>
  <c r="F3092" i="1"/>
  <c r="F3093" i="1"/>
  <c r="F3083" i="1"/>
  <c r="I3102" i="1"/>
  <c r="D145" i="2" s="1"/>
  <c r="C3103" i="1"/>
  <c r="F3080" i="1"/>
  <c r="F3079" i="1"/>
  <c r="F3078" i="1"/>
  <c r="F3077" i="1"/>
  <c r="D8" i="4"/>
  <c r="D12" i="4"/>
  <c r="D13" i="4"/>
  <c r="D14" i="4"/>
  <c r="D15" i="4"/>
  <c r="D16" i="4"/>
  <c r="D17" i="4"/>
  <c r="D19" i="4"/>
  <c r="D20" i="4"/>
  <c r="D21" i="4"/>
  <c r="D22" i="4"/>
  <c r="D23" i="4"/>
  <c r="D24" i="4"/>
  <c r="D25" i="4"/>
  <c r="D26" i="4"/>
  <c r="D27" i="4"/>
  <c r="D29" i="4"/>
  <c r="D30" i="4"/>
  <c r="D31" i="4"/>
  <c r="D32" i="4"/>
  <c r="D34" i="4"/>
  <c r="D35" i="4"/>
  <c r="D36" i="4"/>
  <c r="D37" i="4"/>
  <c r="D38" i="4"/>
  <c r="D39" i="4"/>
  <c r="D40" i="4"/>
  <c r="D41" i="4"/>
  <c r="D42" i="4"/>
  <c r="D44" i="4"/>
  <c r="D45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90" i="4"/>
  <c r="D92" i="4"/>
  <c r="D94" i="4"/>
  <c r="D95" i="4"/>
  <c r="D97" i="4"/>
  <c r="D98" i="4"/>
  <c r="D104" i="4"/>
  <c r="D105" i="4"/>
  <c r="D106" i="4"/>
  <c r="D107" i="4"/>
  <c r="D108" i="4"/>
  <c r="D109" i="4"/>
  <c r="D110" i="4"/>
  <c r="D111" i="4"/>
  <c r="D112" i="4"/>
  <c r="D113" i="4"/>
  <c r="D114" i="4"/>
  <c r="D116" i="4"/>
  <c r="D117" i="4"/>
  <c r="D118" i="4"/>
  <c r="D119" i="4"/>
  <c r="D121" i="4"/>
  <c r="D122" i="4"/>
  <c r="D123" i="4"/>
  <c r="D124" i="4"/>
  <c r="D125" i="4"/>
  <c r="D126" i="4"/>
  <c r="D127" i="4"/>
  <c r="D128" i="4"/>
  <c r="D130" i="4"/>
  <c r="D131" i="4"/>
  <c r="D132" i="4"/>
  <c r="D133" i="4"/>
  <c r="D134" i="4"/>
  <c r="D139" i="4"/>
  <c r="D140" i="4"/>
  <c r="D141" i="4"/>
  <c r="D142" i="4"/>
  <c r="D143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60" i="4"/>
  <c r="D161" i="4"/>
  <c r="D162" i="4"/>
  <c r="D166" i="4"/>
  <c r="D167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1" i="4"/>
  <c r="D202" i="4"/>
  <c r="D204" i="4"/>
  <c r="D205" i="4"/>
  <c r="D208" i="4"/>
  <c r="D209" i="4"/>
  <c r="D210" i="4"/>
  <c r="D211" i="4"/>
  <c r="D212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F3074" i="1"/>
  <c r="F3075" i="1"/>
  <c r="F3076" i="1"/>
  <c r="F3073" i="1"/>
  <c r="F3072" i="1"/>
  <c r="F3071" i="1"/>
  <c r="F3070" i="1"/>
  <c r="F3069" i="1"/>
  <c r="F3068" i="1"/>
  <c r="F3067" i="1"/>
  <c r="F3066" i="1"/>
  <c r="F3065" i="1"/>
  <c r="F3064" i="1"/>
  <c r="F3063" i="1"/>
  <c r="F3062" i="1"/>
  <c r="F3061" i="1"/>
  <c r="F3060" i="1"/>
  <c r="F3059" i="1"/>
  <c r="F3058" i="1"/>
  <c r="F3057" i="1"/>
  <c r="F3056" i="1"/>
  <c r="F3055" i="1"/>
  <c r="F3054" i="1"/>
  <c r="F3053" i="1"/>
  <c r="F3052" i="1"/>
  <c r="F3051" i="1"/>
  <c r="F3050" i="1"/>
  <c r="F3049" i="1"/>
  <c r="F3048" i="1"/>
  <c r="F3047" i="1"/>
  <c r="F3046" i="1"/>
  <c r="F3045" i="1"/>
  <c r="F3044" i="1"/>
  <c r="F3043" i="1"/>
  <c r="F3042" i="1"/>
  <c r="F3041" i="1"/>
  <c r="F3040" i="1"/>
  <c r="F3039" i="1"/>
  <c r="F3038" i="1"/>
  <c r="F3037" i="1"/>
  <c r="F3036" i="1"/>
  <c r="F3035" i="1"/>
  <c r="F3034" i="1"/>
  <c r="F3033" i="1"/>
  <c r="F3031" i="1"/>
  <c r="F3030" i="1"/>
  <c r="F3029" i="1"/>
  <c r="F3028" i="1"/>
  <c r="F3024" i="1"/>
  <c r="F3025" i="1"/>
  <c r="F3026" i="1"/>
  <c r="F3027" i="1"/>
  <c r="F3022" i="1"/>
  <c r="F3023" i="1"/>
  <c r="F3021" i="1"/>
  <c r="G688" i="3"/>
  <c r="D685" i="5" s="1"/>
  <c r="M685" i="5" s="1"/>
  <c r="F3018" i="1"/>
  <c r="F3017" i="1"/>
  <c r="F3016" i="1"/>
  <c r="F3015" i="1"/>
  <c r="F3014" i="1"/>
  <c r="F3013" i="1"/>
  <c r="F3012" i="1"/>
  <c r="F3011" i="1"/>
  <c r="F3010" i="1"/>
  <c r="F3009" i="1"/>
  <c r="F3008" i="1"/>
  <c r="F3007" i="1"/>
  <c r="C3082" i="1"/>
  <c r="F3006" i="1"/>
  <c r="F3005" i="1"/>
  <c r="C3020" i="1"/>
  <c r="F3004" i="1"/>
  <c r="F3003" i="1"/>
  <c r="F3002" i="1"/>
  <c r="F3001" i="1"/>
  <c r="F3000" i="1"/>
  <c r="F2999" i="1"/>
  <c r="F2998" i="1"/>
  <c r="F2997" i="1"/>
  <c r="F2996" i="1"/>
  <c r="F2995" i="1"/>
  <c r="F2994" i="1"/>
  <c r="F2993" i="1"/>
  <c r="F2992" i="1"/>
  <c r="F2991" i="1"/>
  <c r="F2990" i="1"/>
  <c r="F2989" i="1"/>
  <c r="F2988" i="1"/>
  <c r="F2987" i="1"/>
  <c r="F2986" i="1"/>
  <c r="F2985" i="1"/>
  <c r="F2983" i="1"/>
  <c r="F2982" i="1"/>
  <c r="F2981" i="1"/>
  <c r="F2980" i="1"/>
  <c r="F2979" i="1"/>
  <c r="F2978" i="1"/>
  <c r="F2977" i="1"/>
  <c r="F2976" i="1"/>
  <c r="F2975" i="1"/>
  <c r="F2974" i="1"/>
  <c r="F2973" i="1"/>
  <c r="F2972" i="1"/>
  <c r="F2971" i="1"/>
  <c r="F2970" i="1"/>
  <c r="F2969" i="1"/>
  <c r="F2968" i="1"/>
  <c r="F2967" i="1"/>
  <c r="F2965" i="1"/>
  <c r="F2966" i="1"/>
  <c r="F2964" i="1"/>
  <c r="F2963" i="1"/>
  <c r="F2960" i="1"/>
  <c r="F2959" i="1"/>
  <c r="F2958" i="1"/>
  <c r="F2957" i="1"/>
  <c r="F2956" i="1"/>
  <c r="F2955" i="1"/>
  <c r="F2954" i="1"/>
  <c r="F2953" i="1"/>
  <c r="F2952" i="1"/>
  <c r="F2951" i="1"/>
  <c r="F2950" i="1"/>
  <c r="F2949" i="1"/>
  <c r="F2948" i="1"/>
  <c r="F2947" i="1"/>
  <c r="F2946" i="1"/>
  <c r="F2945" i="1"/>
  <c r="F2944" i="1"/>
  <c r="F2943" i="1"/>
  <c r="F2942" i="1"/>
  <c r="F2941" i="1"/>
  <c r="F2940" i="1"/>
  <c r="F2939" i="1"/>
  <c r="F2938" i="1"/>
  <c r="F2937" i="1"/>
  <c r="F2936" i="1"/>
  <c r="J146" i="2"/>
  <c r="J148" i="2"/>
  <c r="J149" i="2"/>
  <c r="J150" i="2"/>
  <c r="J151" i="2"/>
  <c r="J152" i="2"/>
  <c r="F2930" i="1"/>
  <c r="F2929" i="1"/>
  <c r="F2928" i="1"/>
  <c r="F2934" i="1"/>
  <c r="F2933" i="1"/>
  <c r="F2932" i="1"/>
  <c r="F2931" i="1"/>
  <c r="F2927" i="1"/>
  <c r="F2926" i="1"/>
  <c r="F2925" i="1"/>
  <c r="F2924" i="1"/>
  <c r="F2923" i="1"/>
  <c r="F2922" i="1"/>
  <c r="F2921" i="1"/>
  <c r="F2920" i="1"/>
  <c r="F2919" i="1"/>
  <c r="F2918" i="1"/>
  <c r="F2917" i="1"/>
  <c r="F2916" i="1"/>
  <c r="F2915" i="1"/>
  <c r="F2914" i="1"/>
  <c r="F2913" i="1"/>
  <c r="F2912" i="1"/>
  <c r="F2911" i="1"/>
  <c r="F2910" i="1"/>
  <c r="F2909" i="1"/>
  <c r="F2908" i="1"/>
  <c r="F2907" i="1"/>
  <c r="F2905" i="1"/>
  <c r="F2904" i="1"/>
  <c r="F2903" i="1"/>
  <c r="F2902" i="1"/>
  <c r="F2901" i="1"/>
  <c r="F2900" i="1"/>
  <c r="F2899" i="1"/>
  <c r="F2898" i="1"/>
  <c r="F2897" i="1"/>
  <c r="F2896" i="1"/>
  <c r="F2895" i="1"/>
  <c r="F2894" i="1"/>
  <c r="F2893" i="1"/>
  <c r="F2892" i="1"/>
  <c r="F2891" i="1"/>
  <c r="F2890" i="1"/>
  <c r="F2889" i="1"/>
  <c r="F2888" i="1"/>
  <c r="F2887" i="1"/>
  <c r="F2886" i="1"/>
  <c r="F2885" i="1"/>
  <c r="F2884" i="1"/>
  <c r="F2883" i="1"/>
  <c r="F2882" i="1"/>
  <c r="F2881" i="1"/>
  <c r="F2880" i="1"/>
  <c r="F2879" i="1"/>
  <c r="F2878" i="1"/>
  <c r="F2877" i="1"/>
  <c r="F2876" i="1"/>
  <c r="F2875" i="1"/>
  <c r="F2874" i="1"/>
  <c r="F2873" i="1"/>
  <c r="F2872" i="1"/>
  <c r="F2871" i="1"/>
  <c r="F2870" i="1"/>
  <c r="F2869" i="1"/>
  <c r="F2868" i="1"/>
  <c r="F2867" i="1"/>
  <c r="F2866" i="1"/>
  <c r="I687" i="3"/>
  <c r="M660" i="5"/>
  <c r="K660" i="5"/>
  <c r="G687" i="3"/>
  <c r="D684" i="5" s="1"/>
  <c r="M684" i="5" s="1"/>
  <c r="G686" i="3"/>
  <c r="D683" i="5" s="1"/>
  <c r="M683" i="5" s="1"/>
  <c r="G685" i="3"/>
  <c r="D682" i="5" s="1"/>
  <c r="K682" i="5" s="1"/>
  <c r="G684" i="3"/>
  <c r="D681" i="5" s="1"/>
  <c r="K681" i="5" s="1"/>
  <c r="G683" i="3"/>
  <c r="D680" i="5" s="1"/>
  <c r="K680" i="5" s="1"/>
  <c r="G682" i="3"/>
  <c r="D679" i="5" s="1"/>
  <c r="K679" i="5" s="1"/>
  <c r="G681" i="3"/>
  <c r="D678" i="5" s="1"/>
  <c r="K678" i="5" s="1"/>
  <c r="G680" i="3"/>
  <c r="D677" i="5" s="1"/>
  <c r="K677" i="5" s="1"/>
  <c r="G679" i="3"/>
  <c r="D676" i="5" s="1"/>
  <c r="M676" i="5" s="1"/>
  <c r="G678" i="3"/>
  <c r="D675" i="5" s="1"/>
  <c r="M675" i="5" s="1"/>
  <c r="G677" i="3"/>
  <c r="D674" i="5" s="1"/>
  <c r="K674" i="5" s="1"/>
  <c r="G676" i="3"/>
  <c r="D673" i="5" s="1"/>
  <c r="K673" i="5" s="1"/>
  <c r="G675" i="3"/>
  <c r="D672" i="5" s="1"/>
  <c r="K672" i="5" s="1"/>
  <c r="G674" i="3"/>
  <c r="D671" i="5" s="1"/>
  <c r="K671" i="5" s="1"/>
  <c r="G673" i="3"/>
  <c r="D670" i="5" s="1"/>
  <c r="K670" i="5" s="1"/>
  <c r="G672" i="3"/>
  <c r="D669" i="5" s="1"/>
  <c r="K669" i="5" s="1"/>
  <c r="G671" i="3"/>
  <c r="D668" i="5" s="1"/>
  <c r="K668" i="5" s="1"/>
  <c r="G670" i="3"/>
  <c r="D667" i="5" s="1"/>
  <c r="M667" i="5" s="1"/>
  <c r="G669" i="3"/>
  <c r="D666" i="5" s="1"/>
  <c r="K666" i="5" s="1"/>
  <c r="G668" i="3"/>
  <c r="D665" i="5" s="1"/>
  <c r="K665" i="5" s="1"/>
  <c r="G667" i="3"/>
  <c r="D664" i="5" s="1"/>
  <c r="K664" i="5" s="1"/>
  <c r="G666" i="3"/>
  <c r="D663" i="5" s="1"/>
  <c r="K663" i="5" s="1"/>
  <c r="G665" i="3"/>
  <c r="D662" i="5" s="1"/>
  <c r="K662" i="5" s="1"/>
  <c r="G664" i="3"/>
  <c r="D661" i="5" s="1"/>
  <c r="K661" i="5" s="1"/>
  <c r="G663" i="3"/>
  <c r="G662" i="3"/>
  <c r="D659" i="5" s="1"/>
  <c r="K659" i="5" s="1"/>
  <c r="G661" i="3"/>
  <c r="D658" i="5" s="1"/>
  <c r="K658" i="5" s="1"/>
  <c r="G660" i="3"/>
  <c r="D657" i="5" s="1"/>
  <c r="M657" i="5" s="1"/>
  <c r="G657" i="3"/>
  <c r="D654" i="5" s="1"/>
  <c r="K654" i="5" s="1"/>
  <c r="G658" i="3"/>
  <c r="D655" i="5" s="1"/>
  <c r="K655" i="5" s="1"/>
  <c r="G659" i="3"/>
  <c r="D656" i="5" s="1"/>
  <c r="K656" i="5" s="1"/>
  <c r="G656" i="3"/>
  <c r="D653" i="5" s="1"/>
  <c r="K653" i="5" s="1"/>
  <c r="G655" i="3"/>
  <c r="D652" i="5" s="1"/>
  <c r="K652" i="5" s="1"/>
  <c r="G654" i="3"/>
  <c r="D651" i="5" s="1"/>
  <c r="K651" i="5" s="1"/>
  <c r="F2861" i="1"/>
  <c r="F2860" i="1"/>
  <c r="F2859" i="1"/>
  <c r="F2858" i="1"/>
  <c r="F2864" i="1"/>
  <c r="F2863" i="1"/>
  <c r="F2862" i="1"/>
  <c r="F2857" i="1"/>
  <c r="F2856" i="1"/>
  <c r="F2855" i="1"/>
  <c r="F2854" i="1"/>
  <c r="F2853" i="1"/>
  <c r="F2852" i="1"/>
  <c r="F2851" i="1"/>
  <c r="F2850" i="1"/>
  <c r="F2849" i="1"/>
  <c r="F2848" i="1"/>
  <c r="F2847" i="1"/>
  <c r="F2846" i="1"/>
  <c r="F2845" i="1"/>
  <c r="F2844" i="1"/>
  <c r="F2843" i="1"/>
  <c r="F2842" i="1"/>
  <c r="F2841" i="1"/>
  <c r="F2840" i="1"/>
  <c r="F2839" i="1"/>
  <c r="F2838" i="1"/>
  <c r="F2837" i="1"/>
  <c r="F2836" i="1"/>
  <c r="F2835" i="1"/>
  <c r="F2834" i="1"/>
  <c r="F2833" i="1"/>
  <c r="F2832" i="1"/>
  <c r="F2831" i="1"/>
  <c r="F2830" i="1"/>
  <c r="F2829" i="1"/>
  <c r="F2828" i="1"/>
  <c r="F2827" i="1"/>
  <c r="F2826" i="1"/>
  <c r="F2825" i="1"/>
  <c r="F2824" i="1"/>
  <c r="F2823" i="1"/>
  <c r="F2822" i="1"/>
  <c r="F2821" i="1"/>
  <c r="F2820" i="1"/>
  <c r="F2819" i="1"/>
  <c r="F2818" i="1"/>
  <c r="F2817" i="1"/>
  <c r="F2816" i="1"/>
  <c r="F2815" i="1"/>
  <c r="F2814" i="1"/>
  <c r="F2813" i="1"/>
  <c r="F2812" i="1"/>
  <c r="F2811" i="1"/>
  <c r="F2810" i="1"/>
  <c r="F2809" i="1"/>
  <c r="F2808" i="1"/>
  <c r="F2807" i="1"/>
  <c r="F2806" i="1"/>
  <c r="F2805" i="1"/>
  <c r="F2804" i="1"/>
  <c r="F2803" i="1"/>
  <c r="F2802" i="1"/>
  <c r="F2801" i="1"/>
  <c r="F2800" i="1"/>
  <c r="F2799" i="1"/>
  <c r="F2798" i="1"/>
  <c r="F2797" i="1"/>
  <c r="F2796" i="1"/>
  <c r="F2795" i="1"/>
  <c r="F2793" i="1"/>
  <c r="F2792" i="1"/>
  <c r="F2791" i="1"/>
  <c r="F2790" i="1"/>
  <c r="F2789" i="1"/>
  <c r="F2788" i="1"/>
  <c r="F2787" i="1"/>
  <c r="F2786" i="1"/>
  <c r="F2785" i="1"/>
  <c r="F2784" i="1"/>
  <c r="F2783" i="1"/>
  <c r="F2782" i="1"/>
  <c r="F2781" i="1"/>
  <c r="F2780" i="1"/>
  <c r="F2779" i="1"/>
  <c r="F2778" i="1"/>
  <c r="F2777" i="1"/>
  <c r="F2776" i="1"/>
  <c r="F2775" i="1"/>
  <c r="F2774" i="1"/>
  <c r="F2773" i="1"/>
  <c r="F2772" i="1"/>
  <c r="F2771" i="1"/>
  <c r="F2770" i="1"/>
  <c r="F2769" i="1"/>
  <c r="F2768" i="1"/>
  <c r="F2767" i="1"/>
  <c r="F2766" i="1"/>
  <c r="F2765" i="1"/>
  <c r="F2764" i="1"/>
  <c r="F2763" i="1"/>
  <c r="F2762" i="1"/>
  <c r="F2761" i="1"/>
  <c r="F2760" i="1"/>
  <c r="F2759" i="1"/>
  <c r="F2758" i="1"/>
  <c r="F2757" i="1"/>
  <c r="F2756" i="1"/>
  <c r="F2755" i="1"/>
  <c r="F2754" i="1"/>
  <c r="F2753" i="1"/>
  <c r="F2752" i="1"/>
  <c r="F2751" i="1"/>
  <c r="F2750" i="1"/>
  <c r="F2749" i="1"/>
  <c r="F2748" i="1"/>
  <c r="F2747" i="1"/>
  <c r="F2746" i="1"/>
  <c r="F2745" i="1"/>
  <c r="F2744" i="1"/>
  <c r="F2743" i="1"/>
  <c r="F2742" i="1"/>
  <c r="F2741" i="1"/>
  <c r="F2740" i="1"/>
  <c r="F2739" i="1"/>
  <c r="F2736" i="1"/>
  <c r="F2735" i="1"/>
  <c r="F2728" i="1"/>
  <c r="F2734" i="1"/>
  <c r="F2733" i="1"/>
  <c r="F2732" i="1"/>
  <c r="F2731" i="1"/>
  <c r="F2730" i="1"/>
  <c r="F2729" i="1"/>
  <c r="F2727" i="1"/>
  <c r="F2726" i="1"/>
  <c r="F2725" i="1"/>
  <c r="F2724" i="1"/>
  <c r="F2723" i="1"/>
  <c r="F2722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37" i="1"/>
  <c r="F2709" i="1"/>
  <c r="H653" i="3"/>
  <c r="G653" i="3"/>
  <c r="D650" i="5" s="1"/>
  <c r="K650" i="5" s="1"/>
  <c r="G652" i="3"/>
  <c r="D649" i="5" s="1"/>
  <c r="K649" i="5" s="1"/>
  <c r="G651" i="3"/>
  <c r="D648" i="5" s="1"/>
  <c r="K648" i="5" s="1"/>
  <c r="G650" i="3"/>
  <c r="D647" i="5" s="1"/>
  <c r="K647" i="5" s="1"/>
  <c r="G649" i="3"/>
  <c r="D646" i="5" s="1"/>
  <c r="K646" i="5" s="1"/>
  <c r="G648" i="3"/>
  <c r="D645" i="5" s="1"/>
  <c r="K645" i="5" s="1"/>
  <c r="G647" i="3"/>
  <c r="D644" i="5" s="1"/>
  <c r="K644" i="5" s="1"/>
  <c r="G646" i="3"/>
  <c r="D643" i="5" s="1"/>
  <c r="K643" i="5" s="1"/>
  <c r="G645" i="3"/>
  <c r="D642" i="5" s="1"/>
  <c r="M642" i="5" s="1"/>
  <c r="G644" i="3"/>
  <c r="D641" i="5" s="1"/>
  <c r="K641" i="5" s="1"/>
  <c r="G643" i="3"/>
  <c r="D640" i="5" s="1"/>
  <c r="K640" i="5" s="1"/>
  <c r="G642" i="3"/>
  <c r="D639" i="5" s="1"/>
  <c r="K639" i="5" s="1"/>
  <c r="G641" i="3"/>
  <c r="D638" i="5" s="1"/>
  <c r="M638" i="5" s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H136" i="2"/>
  <c r="H640" i="3"/>
  <c r="G640" i="3"/>
  <c r="D637" i="5" s="1"/>
  <c r="K637" i="5" s="1"/>
  <c r="G639" i="3"/>
  <c r="D636" i="5" s="1"/>
  <c r="K636" i="5" s="1"/>
  <c r="G638" i="3"/>
  <c r="D635" i="5" s="1"/>
  <c r="K635" i="5" s="1"/>
  <c r="G637" i="3"/>
  <c r="D634" i="5" s="1"/>
  <c r="M634" i="5" s="1"/>
  <c r="G636" i="3"/>
  <c r="D633" i="5" s="1"/>
  <c r="K633" i="5" s="1"/>
  <c r="G635" i="3"/>
  <c r="D632" i="5" s="1"/>
  <c r="K632" i="5" s="1"/>
  <c r="G634" i="3"/>
  <c r="D631" i="5" s="1"/>
  <c r="K631" i="5" s="1"/>
  <c r="H633" i="3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F2594" i="1"/>
  <c r="F2593" i="1"/>
  <c r="F2592" i="1"/>
  <c r="F2591" i="1"/>
  <c r="F2590" i="1"/>
  <c r="F2589" i="1"/>
  <c r="F2588" i="1"/>
  <c r="F2587" i="1"/>
  <c r="F2586" i="1"/>
  <c r="G633" i="3"/>
  <c r="D630" i="5" s="1"/>
  <c r="K630" i="5" s="1"/>
  <c r="G632" i="3"/>
  <c r="D629" i="5" s="1"/>
  <c r="K629" i="5" s="1"/>
  <c r="G631" i="3"/>
  <c r="D628" i="5" s="1"/>
  <c r="G630" i="3"/>
  <c r="D627" i="5" s="1"/>
  <c r="K627" i="5" s="1"/>
  <c r="G629" i="3"/>
  <c r="D626" i="5" s="1"/>
  <c r="K626" i="5" s="1"/>
  <c r="G628" i="3"/>
  <c r="D625" i="5" s="1"/>
  <c r="K625" i="5" s="1"/>
  <c r="G627" i="3"/>
  <c r="D624" i="5" s="1"/>
  <c r="G626" i="3"/>
  <c r="D623" i="5" s="1"/>
  <c r="K623" i="5" s="1"/>
  <c r="G625" i="3"/>
  <c r="D622" i="5" s="1"/>
  <c r="K622" i="5" s="1"/>
  <c r="G624" i="3"/>
  <c r="D621" i="5" s="1"/>
  <c r="K621" i="5" s="1"/>
  <c r="G621" i="3"/>
  <c r="D618" i="5" s="1"/>
  <c r="K618" i="5" s="1"/>
  <c r="G622" i="3"/>
  <c r="D619" i="5" s="1"/>
  <c r="K619" i="5" s="1"/>
  <c r="G623" i="3"/>
  <c r="D620" i="5" s="1"/>
  <c r="G620" i="3"/>
  <c r="D617" i="5" s="1"/>
  <c r="K617" i="5" s="1"/>
  <c r="G619" i="3"/>
  <c r="D616" i="5" s="1"/>
  <c r="M616" i="5" s="1"/>
  <c r="G618" i="3"/>
  <c r="D615" i="5" s="1"/>
  <c r="K615" i="5" s="1"/>
  <c r="F2584" i="1"/>
  <c r="F2583" i="1"/>
  <c r="F2582" i="1"/>
  <c r="F2581" i="1"/>
  <c r="F2580" i="1"/>
  <c r="F2579" i="1"/>
  <c r="F2578" i="1"/>
  <c r="F2577" i="1"/>
  <c r="F2576" i="1"/>
  <c r="F2575" i="1"/>
  <c r="F2574" i="1"/>
  <c r="F2573" i="1"/>
  <c r="F2572" i="1"/>
  <c r="F2571" i="1"/>
  <c r="F2570" i="1"/>
  <c r="F2569" i="1"/>
  <c r="F2568" i="1"/>
  <c r="F2567" i="1"/>
  <c r="F2566" i="1"/>
  <c r="F2565" i="1"/>
  <c r="F2564" i="1"/>
  <c r="F2563" i="1"/>
  <c r="F2562" i="1"/>
  <c r="F2561" i="1"/>
  <c r="F2560" i="1"/>
  <c r="F2559" i="1"/>
  <c r="F2558" i="1"/>
  <c r="F2557" i="1"/>
  <c r="F2556" i="1"/>
  <c r="F2555" i="1"/>
  <c r="F2554" i="1"/>
  <c r="F2553" i="1"/>
  <c r="F2552" i="1"/>
  <c r="F2551" i="1"/>
  <c r="F2550" i="1"/>
  <c r="F2549" i="1"/>
  <c r="F2548" i="1"/>
  <c r="F2547" i="1"/>
  <c r="F2546" i="1"/>
  <c r="F2545" i="1"/>
  <c r="F2544" i="1"/>
  <c r="F2543" i="1"/>
  <c r="F2542" i="1"/>
  <c r="F2541" i="1"/>
  <c r="F2540" i="1"/>
  <c r="F2539" i="1"/>
  <c r="F2538" i="1"/>
  <c r="F2537" i="1"/>
  <c r="F2536" i="1"/>
  <c r="F2535" i="1"/>
  <c r="H10" i="9"/>
  <c r="H11" i="9"/>
  <c r="H12" i="9"/>
  <c r="H13" i="9"/>
  <c r="H14" i="9"/>
  <c r="H15" i="9"/>
  <c r="H16" i="9"/>
  <c r="H17" i="9"/>
  <c r="H18" i="9"/>
  <c r="H19" i="9"/>
  <c r="H20" i="9"/>
  <c r="F2534" i="1"/>
  <c r="I617" i="3"/>
  <c r="F2527" i="1"/>
  <c r="F2526" i="1"/>
  <c r="F2532" i="1"/>
  <c r="F2531" i="1"/>
  <c r="F2530" i="1"/>
  <c r="F2529" i="1"/>
  <c r="F2528" i="1"/>
  <c r="F2525" i="1"/>
  <c r="F2524" i="1"/>
  <c r="F2523" i="1"/>
  <c r="F2522" i="1"/>
  <c r="F2521" i="1"/>
  <c r="F2520" i="1"/>
  <c r="F2519" i="1"/>
  <c r="F2518" i="1"/>
  <c r="F2517" i="1"/>
  <c r="F2516" i="1"/>
  <c r="F2515" i="1"/>
  <c r="F2514" i="1"/>
  <c r="F2513" i="1"/>
  <c r="F2512" i="1"/>
  <c r="F2511" i="1"/>
  <c r="F2510" i="1"/>
  <c r="F2509" i="1"/>
  <c r="F2508" i="1"/>
  <c r="F2507" i="1"/>
  <c r="F2506" i="1"/>
  <c r="F2505" i="1"/>
  <c r="F2504" i="1"/>
  <c r="F2503" i="1"/>
  <c r="F2502" i="1"/>
  <c r="F2501" i="1"/>
  <c r="F2500" i="1"/>
  <c r="F2499" i="1"/>
  <c r="F2497" i="1"/>
  <c r="F2498" i="1"/>
  <c r="F2496" i="1"/>
  <c r="F2485" i="1"/>
  <c r="F2486" i="1"/>
  <c r="F2487" i="1"/>
  <c r="F2488" i="1"/>
  <c r="F2489" i="1"/>
  <c r="F2490" i="1"/>
  <c r="F2491" i="1"/>
  <c r="F2492" i="1"/>
  <c r="F2493" i="1"/>
  <c r="F2494" i="1"/>
  <c r="F2495" i="1"/>
  <c r="F2484" i="1"/>
  <c r="G617" i="3"/>
  <c r="D614" i="5" s="1"/>
  <c r="G616" i="3"/>
  <c r="D613" i="5" s="1"/>
  <c r="G615" i="3"/>
  <c r="D612" i="5" s="1"/>
  <c r="G614" i="3"/>
  <c r="D611" i="5" s="1"/>
  <c r="G613" i="3"/>
  <c r="D610" i="5" s="1"/>
  <c r="F2482" i="1"/>
  <c r="F2481" i="1"/>
  <c r="F2480" i="1"/>
  <c r="F2479" i="1"/>
  <c r="F2478" i="1"/>
  <c r="F2477" i="1"/>
  <c r="F2476" i="1"/>
  <c r="F2475" i="1"/>
  <c r="F2474" i="1"/>
  <c r="F2473" i="1"/>
  <c r="F2472" i="1"/>
  <c r="F2471" i="1"/>
  <c r="F2470" i="1"/>
  <c r="F2469" i="1"/>
  <c r="F2468" i="1"/>
  <c r="F2467" i="1"/>
  <c r="F2466" i="1"/>
  <c r="F2465" i="1"/>
  <c r="F2464" i="1"/>
  <c r="F2463" i="1"/>
  <c r="F2462" i="1"/>
  <c r="F2461" i="1"/>
  <c r="F2460" i="1"/>
  <c r="F2459" i="1"/>
  <c r="F2458" i="1"/>
  <c r="F2457" i="1"/>
  <c r="F2456" i="1"/>
  <c r="F2455" i="1"/>
  <c r="F2454" i="1"/>
  <c r="F2453" i="1"/>
  <c r="F2452" i="1"/>
  <c r="I612" i="3"/>
  <c r="F2451" i="1"/>
  <c r="F2450" i="1"/>
  <c r="F2449" i="1"/>
  <c r="G612" i="3"/>
  <c r="D609" i="5" s="1"/>
  <c r="K609" i="5" s="1"/>
  <c r="G611" i="3"/>
  <c r="D608" i="5" s="1"/>
  <c r="K608" i="5" s="1"/>
  <c r="G610" i="3"/>
  <c r="D607" i="5" s="1"/>
  <c r="G589" i="3"/>
  <c r="D586" i="5" s="1"/>
  <c r="K586" i="5" s="1"/>
  <c r="G593" i="3"/>
  <c r="D590" i="5" s="1"/>
  <c r="K590" i="5" s="1"/>
  <c r="G609" i="3"/>
  <c r="D606" i="5" s="1"/>
  <c r="G608" i="3"/>
  <c r="D605" i="5" s="1"/>
  <c r="G592" i="3"/>
  <c r="D589" i="5" s="1"/>
  <c r="K589" i="5" s="1"/>
  <c r="G604" i="3"/>
  <c r="D601" i="5" s="1"/>
  <c r="K601" i="5" s="1"/>
  <c r="G601" i="3"/>
  <c r="D598" i="5" s="1"/>
  <c r="K598" i="5" s="1"/>
  <c r="G596" i="3"/>
  <c r="D593" i="5" s="1"/>
  <c r="K593" i="5" s="1"/>
  <c r="G606" i="3"/>
  <c r="D603" i="5" s="1"/>
  <c r="K603" i="5" s="1"/>
  <c r="G594" i="3"/>
  <c r="D591" i="5" s="1"/>
  <c r="K591" i="5" s="1"/>
  <c r="G603" i="3"/>
  <c r="D600" i="5" s="1"/>
  <c r="G590" i="3"/>
  <c r="D587" i="5" s="1"/>
  <c r="K587" i="5" s="1"/>
  <c r="G591" i="3"/>
  <c r="D588" i="5" s="1"/>
  <c r="K588" i="5" s="1"/>
  <c r="G595" i="3"/>
  <c r="D592" i="5" s="1"/>
  <c r="K592" i="5" s="1"/>
  <c r="G599" i="3"/>
  <c r="D596" i="5" s="1"/>
  <c r="G598" i="3"/>
  <c r="D595" i="5" s="1"/>
  <c r="K595" i="5" s="1"/>
  <c r="G607" i="3"/>
  <c r="D604" i="5" s="1"/>
  <c r="K604" i="5" s="1"/>
  <c r="G597" i="3"/>
  <c r="D594" i="5" s="1"/>
  <c r="K594" i="5" s="1"/>
  <c r="G605" i="3"/>
  <c r="D602" i="5" s="1"/>
  <c r="K602" i="5" s="1"/>
  <c r="G600" i="3"/>
  <c r="D597" i="5" s="1"/>
  <c r="K597" i="5" s="1"/>
  <c r="G602" i="3"/>
  <c r="D599" i="5" s="1"/>
  <c r="K599" i="5" s="1"/>
  <c r="F2445" i="1"/>
  <c r="F2444" i="1"/>
  <c r="F2440" i="1"/>
  <c r="F2441" i="1"/>
  <c r="F2442" i="1"/>
  <c r="F2443" i="1"/>
  <c r="F2446" i="1"/>
  <c r="F2447" i="1"/>
  <c r="F2427" i="1"/>
  <c r="F2428" i="1"/>
  <c r="F2429" i="1"/>
  <c r="F2430" i="1"/>
  <c r="F2431" i="1"/>
  <c r="F2432" i="1"/>
  <c r="F2433" i="1"/>
  <c r="F2434" i="1"/>
  <c r="F2435" i="1"/>
  <c r="F2436" i="1"/>
  <c r="F2437" i="1"/>
  <c r="F2438" i="1"/>
  <c r="F2439" i="1"/>
  <c r="F2426" i="1"/>
  <c r="F2419" i="1"/>
  <c r="F2418" i="1"/>
  <c r="F2417" i="1"/>
  <c r="F2416" i="1"/>
  <c r="F2415" i="1"/>
  <c r="F2414" i="1"/>
  <c r="F2413" i="1"/>
  <c r="F2408" i="1"/>
  <c r="I16" i="3"/>
  <c r="F2411" i="1"/>
  <c r="F2410" i="1"/>
  <c r="F2409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G585" i="3"/>
  <c r="D585" i="5" s="1"/>
  <c r="K585" i="5" s="1"/>
  <c r="F2372" i="1"/>
  <c r="F2371" i="1"/>
  <c r="F2370" i="1"/>
  <c r="F2369" i="1"/>
  <c r="F2367" i="1"/>
  <c r="F2368" i="1"/>
  <c r="F2366" i="1"/>
  <c r="F2365" i="1"/>
  <c r="G579" i="3"/>
  <c r="D584" i="5" s="1"/>
  <c r="K584" i="5" s="1"/>
  <c r="G578" i="3"/>
  <c r="D583" i="5" s="1"/>
  <c r="K583" i="5" s="1"/>
  <c r="G577" i="3"/>
  <c r="D582" i="5" s="1"/>
  <c r="K582" i="5" s="1"/>
  <c r="G580" i="3"/>
  <c r="D581" i="5" s="1"/>
  <c r="K581" i="5" s="1"/>
  <c r="G588" i="3"/>
  <c r="D580" i="5" s="1"/>
  <c r="K580" i="5" s="1"/>
  <c r="G583" i="3"/>
  <c r="D579" i="5" s="1"/>
  <c r="K579" i="5" s="1"/>
  <c r="G582" i="3"/>
  <c r="D578" i="5" s="1"/>
  <c r="K578" i="5" s="1"/>
  <c r="G581" i="3"/>
  <c r="D577" i="5" s="1"/>
  <c r="K577" i="5" s="1"/>
  <c r="G586" i="3"/>
  <c r="D576" i="5" s="1"/>
  <c r="K576" i="5" s="1"/>
  <c r="G584" i="3"/>
  <c r="D575" i="5" s="1"/>
  <c r="K575" i="5" s="1"/>
  <c r="G587" i="3"/>
  <c r="D574" i="5" s="1"/>
  <c r="K574" i="5" s="1"/>
  <c r="F2364" i="1"/>
  <c r="F2360" i="1"/>
  <c r="F2363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C2337" i="1"/>
  <c r="F2336" i="1"/>
  <c r="F2335" i="1"/>
  <c r="F2334" i="1"/>
  <c r="F2333" i="1"/>
  <c r="F2332" i="1"/>
  <c r="F2331" i="1"/>
  <c r="F2329" i="1"/>
  <c r="F2328" i="1"/>
  <c r="F2327" i="1"/>
  <c r="F2326" i="1"/>
  <c r="F2325" i="1"/>
  <c r="F2324" i="1"/>
  <c r="F2323" i="1"/>
  <c r="I205" i="3"/>
  <c r="G576" i="3"/>
  <c r="D573" i="5" s="1"/>
  <c r="K573" i="5" s="1"/>
  <c r="G575" i="3"/>
  <c r="D572" i="5" s="1"/>
  <c r="M572" i="5" s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79" i="1"/>
  <c r="F2280" i="1"/>
  <c r="F2278" i="1"/>
  <c r="F2277" i="1"/>
  <c r="F2276" i="1"/>
  <c r="F2271" i="1"/>
  <c r="F2273" i="1"/>
  <c r="F2272" i="1"/>
  <c r="F2274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5" i="1"/>
  <c r="F2236" i="1"/>
  <c r="F2234" i="1"/>
  <c r="F2233" i="1"/>
  <c r="F2232" i="1"/>
  <c r="F2231" i="1"/>
  <c r="F2230" i="1"/>
  <c r="F2229" i="1"/>
  <c r="F2228" i="1"/>
  <c r="F2227" i="1"/>
  <c r="I68" i="3"/>
  <c r="F2225" i="1"/>
  <c r="F2224" i="1"/>
  <c r="F2223" i="1"/>
  <c r="F2222" i="1"/>
  <c r="F2221" i="1"/>
  <c r="F2220" i="1"/>
  <c r="F2219" i="1"/>
  <c r="G569" i="3"/>
  <c r="D571" i="5" s="1"/>
  <c r="K571" i="5" s="1"/>
  <c r="G570" i="3"/>
  <c r="D570" i="5" s="1"/>
  <c r="K570" i="5" s="1"/>
  <c r="G564" i="3"/>
  <c r="D569" i="5" s="1"/>
  <c r="M569" i="5" s="1"/>
  <c r="G558" i="3"/>
  <c r="D568" i="5" s="1"/>
  <c r="K568" i="5" s="1"/>
  <c r="G559" i="3"/>
  <c r="D567" i="5" s="1"/>
  <c r="K567" i="5" s="1"/>
  <c r="G565" i="3"/>
  <c r="D566" i="5" s="1"/>
  <c r="K566" i="5" s="1"/>
  <c r="G560" i="3"/>
  <c r="D565" i="5" s="1"/>
  <c r="M565" i="5" s="1"/>
  <c r="G574" i="3"/>
  <c r="D564" i="5" s="1"/>
  <c r="K564" i="5" s="1"/>
  <c r="G562" i="3"/>
  <c r="D563" i="5" s="1"/>
  <c r="K563" i="5" s="1"/>
  <c r="G568" i="3"/>
  <c r="D562" i="5" s="1"/>
  <c r="K562" i="5" s="1"/>
  <c r="G571" i="3"/>
  <c r="D561" i="5" s="1"/>
  <c r="M561" i="5" s="1"/>
  <c r="G573" i="3"/>
  <c r="D560" i="5" s="1"/>
  <c r="K560" i="5" s="1"/>
  <c r="G566" i="3"/>
  <c r="D559" i="5" s="1"/>
  <c r="K559" i="5" s="1"/>
  <c r="G567" i="3"/>
  <c r="D558" i="5" s="1"/>
  <c r="K558" i="5" s="1"/>
  <c r="G563" i="3"/>
  <c r="D557" i="5" s="1"/>
  <c r="M557" i="5" s="1"/>
  <c r="G572" i="3"/>
  <c r="D556" i="5" s="1"/>
  <c r="K556" i="5" s="1"/>
  <c r="G561" i="3"/>
  <c r="D555" i="5" s="1"/>
  <c r="K555" i="5" s="1"/>
  <c r="F2216" i="1"/>
  <c r="F2192" i="1"/>
  <c r="F2203" i="1"/>
  <c r="F2213" i="1"/>
  <c r="F2214" i="1"/>
  <c r="F2215" i="1"/>
  <c r="G557" i="3"/>
  <c r="D551" i="5" s="1"/>
  <c r="K551" i="5" s="1"/>
  <c r="G551" i="3"/>
  <c r="D552" i="5" s="1"/>
  <c r="K552" i="5" s="1"/>
  <c r="G553" i="3"/>
  <c r="D553" i="5" s="1"/>
  <c r="K553" i="5" s="1"/>
  <c r="G556" i="3"/>
  <c r="D554" i="5" s="1"/>
  <c r="M554" i="5" s="1"/>
  <c r="G555" i="3"/>
  <c r="D550" i="5" s="1"/>
  <c r="M550" i="5" s="1"/>
  <c r="G554" i="3"/>
  <c r="D549" i="5" s="1"/>
  <c r="K549" i="5" s="1"/>
  <c r="G550" i="3"/>
  <c r="D548" i="5" s="1"/>
  <c r="K548" i="5" s="1"/>
  <c r="G552" i="3"/>
  <c r="D547" i="5" s="1"/>
  <c r="K547" i="5" s="1"/>
  <c r="F2217" i="1"/>
  <c r="F2212" i="1"/>
  <c r="F2211" i="1"/>
  <c r="F2210" i="1"/>
  <c r="F2209" i="1"/>
  <c r="F2208" i="1"/>
  <c r="F2207" i="1"/>
  <c r="F2206" i="1"/>
  <c r="F2205" i="1"/>
  <c r="F2204" i="1"/>
  <c r="F2202" i="1"/>
  <c r="F2200" i="1"/>
  <c r="F2199" i="1"/>
  <c r="F2198" i="1"/>
  <c r="F2197" i="1"/>
  <c r="F2196" i="1"/>
  <c r="F2195" i="1"/>
  <c r="F2194" i="1"/>
  <c r="F2188" i="1"/>
  <c r="F2187" i="1"/>
  <c r="F2186" i="1"/>
  <c r="F2189" i="1"/>
  <c r="F2190" i="1"/>
  <c r="F2185" i="1"/>
  <c r="F2193" i="1"/>
  <c r="F2191" i="1"/>
  <c r="F2184" i="1"/>
  <c r="F2183" i="1"/>
  <c r="F2182" i="1"/>
  <c r="F2180" i="1"/>
  <c r="F2179" i="1"/>
  <c r="F2178" i="1"/>
  <c r="F2177" i="1"/>
  <c r="F2176" i="1"/>
  <c r="F2175" i="1"/>
  <c r="F2174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0" i="1"/>
  <c r="F2139" i="1"/>
  <c r="F2138" i="1"/>
  <c r="F2141" i="1"/>
  <c r="F2137" i="1"/>
  <c r="F2136" i="1"/>
  <c r="F2135" i="1"/>
  <c r="F2134" i="1"/>
  <c r="F2130" i="1"/>
  <c r="F2132" i="1"/>
  <c r="F2131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1" i="1"/>
  <c r="F2100" i="1"/>
  <c r="F2098" i="1"/>
  <c r="F2097" i="1"/>
  <c r="J99" i="3"/>
  <c r="H150" i="2"/>
  <c r="H151" i="2"/>
  <c r="H152" i="2"/>
  <c r="H153" i="2"/>
  <c r="H132" i="2"/>
  <c r="H134" i="2"/>
  <c r="H135" i="2"/>
  <c r="H138" i="2"/>
  <c r="H139" i="2"/>
  <c r="H140" i="2"/>
  <c r="H147" i="2"/>
  <c r="H148" i="2"/>
  <c r="H149" i="2"/>
  <c r="F2096" i="1"/>
  <c r="F2095" i="1"/>
  <c r="G549" i="3"/>
  <c r="D546" i="5" s="1"/>
  <c r="G548" i="3"/>
  <c r="D545" i="5" s="1"/>
  <c r="G547" i="3"/>
  <c r="D544" i="5" s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G546" i="3"/>
  <c r="D543" i="5" s="1"/>
  <c r="K543" i="5" s="1"/>
  <c r="F2072" i="1"/>
  <c r="F2071" i="1"/>
  <c r="F2070" i="1"/>
  <c r="F2069" i="1"/>
  <c r="F2068" i="1"/>
  <c r="F2067" i="1"/>
  <c r="F2066" i="1"/>
  <c r="F2065" i="1"/>
  <c r="F2064" i="1"/>
  <c r="F2063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F2033" i="1"/>
  <c r="F2032" i="1"/>
  <c r="F2030" i="1"/>
  <c r="F2029" i="1"/>
  <c r="F2028" i="1"/>
  <c r="F2027" i="1"/>
  <c r="F2026" i="1"/>
  <c r="F2025" i="1"/>
  <c r="F2024" i="1"/>
  <c r="F2023" i="1"/>
  <c r="F2022" i="1"/>
  <c r="F2021" i="1"/>
  <c r="F2020" i="1"/>
  <c r="F2019" i="1"/>
  <c r="G545" i="3"/>
  <c r="D542" i="5" s="1"/>
  <c r="K542" i="5" s="1"/>
  <c r="F2018" i="1"/>
  <c r="F2017" i="1"/>
  <c r="F2016" i="1"/>
  <c r="F2015" i="1"/>
  <c r="F2014" i="1"/>
  <c r="F2013" i="1"/>
  <c r="F2012" i="1"/>
  <c r="F2011" i="1"/>
  <c r="J366" i="3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G544" i="3"/>
  <c r="D541" i="5" s="1"/>
  <c r="K541" i="5" s="1"/>
  <c r="F1980" i="1"/>
  <c r="F1979" i="1"/>
  <c r="G543" i="3"/>
  <c r="D540" i="5" s="1"/>
  <c r="K540" i="5" s="1"/>
  <c r="J398" i="3"/>
  <c r="F1977" i="1"/>
  <c r="F1976" i="1"/>
  <c r="F1975" i="1"/>
  <c r="F1974" i="1"/>
  <c r="F1973" i="1"/>
  <c r="F1972" i="1"/>
  <c r="F1971" i="1"/>
  <c r="F1970" i="1"/>
  <c r="F1969" i="1"/>
  <c r="F1968" i="1"/>
  <c r="F1966" i="1"/>
  <c r="F1965" i="1"/>
  <c r="F1964" i="1"/>
  <c r="F1963" i="1"/>
  <c r="F1961" i="1"/>
  <c r="F1962" i="1"/>
  <c r="F1967" i="1"/>
  <c r="F1960" i="1"/>
  <c r="F1959" i="1"/>
  <c r="F1958" i="1"/>
  <c r="F1957" i="1"/>
  <c r="F1956" i="1"/>
  <c r="F1955" i="1"/>
  <c r="F1954" i="1"/>
  <c r="F1953" i="1"/>
  <c r="G532" i="3"/>
  <c r="D539" i="5" s="1"/>
  <c r="M539" i="5" s="1"/>
  <c r="G533" i="3"/>
  <c r="D538" i="5" s="1"/>
  <c r="K538" i="5" s="1"/>
  <c r="G535" i="3"/>
  <c r="D537" i="5" s="1"/>
  <c r="K537" i="5" s="1"/>
  <c r="G521" i="3"/>
  <c r="D536" i="5" s="1"/>
  <c r="K536" i="5" s="1"/>
  <c r="G530" i="3"/>
  <c r="D519" i="5" s="1"/>
  <c r="M519" i="5" s="1"/>
  <c r="G526" i="3"/>
  <c r="D520" i="5" s="1"/>
  <c r="K520" i="5" s="1"/>
  <c r="G541" i="3"/>
  <c r="D521" i="5" s="1"/>
  <c r="K521" i="5" s="1"/>
  <c r="G542" i="3"/>
  <c r="D522" i="5" s="1"/>
  <c r="K522" i="5" s="1"/>
  <c r="G520" i="3"/>
  <c r="D523" i="5" s="1"/>
  <c r="M523" i="5" s="1"/>
  <c r="G534" i="3"/>
  <c r="D524" i="5" s="1"/>
  <c r="K524" i="5" s="1"/>
  <c r="G528" i="3"/>
  <c r="D525" i="5" s="1"/>
  <c r="K525" i="5" s="1"/>
  <c r="G527" i="3"/>
  <c r="D526" i="5" s="1"/>
  <c r="K526" i="5" s="1"/>
  <c r="G536" i="3"/>
  <c r="D527" i="5" s="1"/>
  <c r="M527" i="5" s="1"/>
  <c r="G540" i="3"/>
  <c r="D528" i="5" s="1"/>
  <c r="K528" i="5" s="1"/>
  <c r="G522" i="3"/>
  <c r="D529" i="5" s="1"/>
  <c r="K529" i="5" s="1"/>
  <c r="G519" i="3"/>
  <c r="D530" i="5" s="1"/>
  <c r="K530" i="5" s="1"/>
  <c r="G538" i="3"/>
  <c r="D531" i="5" s="1"/>
  <c r="M531" i="5" s="1"/>
  <c r="G539" i="3"/>
  <c r="D532" i="5" s="1"/>
  <c r="K532" i="5" s="1"/>
  <c r="G523" i="3"/>
  <c r="D533" i="5" s="1"/>
  <c r="K533" i="5" s="1"/>
  <c r="G517" i="3"/>
  <c r="D534" i="5" s="1"/>
  <c r="K534" i="5" s="1"/>
  <c r="G537" i="3"/>
  <c r="D535" i="5" s="1"/>
  <c r="M535" i="5" s="1"/>
  <c r="G529" i="3"/>
  <c r="D518" i="5" s="1"/>
  <c r="K518" i="5" s="1"/>
  <c r="G518" i="3"/>
  <c r="D517" i="5" s="1"/>
  <c r="K517" i="5" s="1"/>
  <c r="G531" i="3"/>
  <c r="D516" i="5" s="1"/>
  <c r="K516" i="5" s="1"/>
  <c r="G524" i="3"/>
  <c r="D515" i="5" s="1"/>
  <c r="M515" i="5" s="1"/>
  <c r="F1952" i="1"/>
  <c r="F1951" i="1"/>
  <c r="G525" i="3"/>
  <c r="D514" i="5" s="1"/>
  <c r="F1950" i="1"/>
  <c r="F1949" i="1"/>
  <c r="F1948" i="1"/>
  <c r="F1947" i="1"/>
  <c r="F1946" i="1"/>
  <c r="F1945" i="1"/>
  <c r="F1944" i="1"/>
  <c r="F1943" i="1"/>
  <c r="F1942" i="1"/>
  <c r="F1941" i="1"/>
  <c r="F1938" i="1"/>
  <c r="F1939" i="1"/>
  <c r="F1937" i="1"/>
  <c r="C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04" i="1"/>
  <c r="F1903" i="1"/>
  <c r="F1902" i="1"/>
  <c r="F1901" i="1"/>
  <c r="F1905" i="1"/>
  <c r="F1906" i="1"/>
  <c r="F1907" i="1"/>
  <c r="F1908" i="1"/>
  <c r="F1900" i="1"/>
  <c r="F1909" i="1"/>
  <c r="F1899" i="1"/>
  <c r="F1910" i="1"/>
  <c r="F1895" i="1"/>
  <c r="F1911" i="1"/>
  <c r="F1898" i="1"/>
  <c r="F1897" i="1"/>
  <c r="F1896" i="1"/>
  <c r="F1894" i="1"/>
  <c r="F1893" i="1"/>
  <c r="F1892" i="1"/>
  <c r="F1891" i="1"/>
  <c r="F1890" i="1"/>
  <c r="F1889" i="1"/>
  <c r="F1888" i="1"/>
  <c r="F1887" i="1"/>
  <c r="J444" i="3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G514" i="3"/>
  <c r="D513" i="5" s="1"/>
  <c r="M513" i="5" s="1"/>
  <c r="G515" i="3"/>
  <c r="D512" i="5" s="1"/>
  <c r="K512" i="5" s="1"/>
  <c r="G516" i="3"/>
  <c r="D511" i="5" s="1"/>
  <c r="K511" i="5" s="1"/>
  <c r="G513" i="3"/>
  <c r="D510" i="5" s="1"/>
  <c r="K510" i="5" s="1"/>
  <c r="F1864" i="1"/>
  <c r="F1863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M500" i="5"/>
  <c r="M504" i="5"/>
  <c r="K500" i="5"/>
  <c r="K504" i="5"/>
  <c r="J202" i="3"/>
  <c r="G507" i="3"/>
  <c r="D509" i="5" s="1"/>
  <c r="K509" i="5" s="1"/>
  <c r="G505" i="3"/>
  <c r="D508" i="5" s="1"/>
  <c r="M508" i="5" s="1"/>
  <c r="G508" i="3"/>
  <c r="D507" i="5" s="1"/>
  <c r="M507" i="5" s="1"/>
  <c r="G506" i="3"/>
  <c r="D506" i="5" s="1"/>
  <c r="K506" i="5" s="1"/>
  <c r="G509" i="3"/>
  <c r="D505" i="5" s="1"/>
  <c r="K505" i="5" s="1"/>
  <c r="G511" i="3"/>
  <c r="G512" i="3"/>
  <c r="D503" i="5" s="1"/>
  <c r="K503" i="5" s="1"/>
  <c r="G502" i="3"/>
  <c r="D502" i="5" s="1"/>
  <c r="K502" i="5" s="1"/>
  <c r="G500" i="3"/>
  <c r="D501" i="5" s="1"/>
  <c r="K501" i="5" s="1"/>
  <c r="G497" i="3"/>
  <c r="G510" i="3"/>
  <c r="D499" i="5" s="1"/>
  <c r="K499" i="5" s="1"/>
  <c r="G498" i="3"/>
  <c r="D498" i="5" s="1"/>
  <c r="M498" i="5" s="1"/>
  <c r="G499" i="3"/>
  <c r="D497" i="5" s="1"/>
  <c r="K497" i="5" s="1"/>
  <c r="G504" i="3"/>
  <c r="D496" i="5" s="1"/>
  <c r="G503" i="3"/>
  <c r="D495" i="5" s="1"/>
  <c r="K495" i="5" s="1"/>
  <c r="G501" i="3"/>
  <c r="D494" i="5" s="1"/>
  <c r="M494" i="5" s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7" i="1"/>
  <c r="F1786" i="1"/>
  <c r="F1785" i="1"/>
  <c r="F1784" i="1"/>
  <c r="F1788" i="1"/>
  <c r="F1783" i="1"/>
  <c r="F1782" i="1"/>
  <c r="K273" i="3"/>
  <c r="F1789" i="1"/>
  <c r="F1781" i="1"/>
  <c r="F1780" i="1"/>
  <c r="F1779" i="1"/>
  <c r="F1778" i="1"/>
  <c r="F1777" i="1"/>
  <c r="F1776" i="1"/>
  <c r="F1775" i="1"/>
  <c r="F1774" i="1"/>
  <c r="F1773" i="1"/>
  <c r="G492" i="3"/>
  <c r="D493" i="5" s="1"/>
  <c r="K493" i="5" s="1"/>
  <c r="G493" i="3"/>
  <c r="D492" i="5" s="1"/>
  <c r="M492" i="5" s="1"/>
  <c r="G494" i="3"/>
  <c r="D491" i="5" s="1"/>
  <c r="K491" i="5" s="1"/>
  <c r="G495" i="3"/>
  <c r="D490" i="5" s="1"/>
  <c r="K490" i="5" s="1"/>
  <c r="G496" i="3"/>
  <c r="D489" i="5" s="1"/>
  <c r="K489" i="5" s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3" i="1"/>
  <c r="F1745" i="1"/>
  <c r="F1744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G491" i="3"/>
  <c r="D488" i="5" s="1"/>
  <c r="G489" i="3"/>
  <c r="D487" i="5" s="1"/>
  <c r="K487" i="5" s="1"/>
  <c r="G490" i="3"/>
  <c r="D486" i="5" s="1"/>
  <c r="F1725" i="1"/>
  <c r="F1724" i="1"/>
  <c r="K56" i="3"/>
  <c r="F1722" i="1"/>
  <c r="F1721" i="1"/>
  <c r="F1720" i="1"/>
  <c r="F1719" i="1"/>
  <c r="F1717" i="1"/>
  <c r="F1716" i="1"/>
  <c r="F1715" i="1"/>
  <c r="F1714" i="1"/>
  <c r="F1718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G467" i="3"/>
  <c r="D485" i="5" s="1"/>
  <c r="K485" i="5" s="1"/>
  <c r="G465" i="3"/>
  <c r="D484" i="5" s="1"/>
  <c r="K484" i="5" s="1"/>
  <c r="G475" i="3"/>
  <c r="D483" i="5" s="1"/>
  <c r="K483" i="5" s="1"/>
  <c r="G474" i="3"/>
  <c r="D482" i="5" s="1"/>
  <c r="K482" i="5" s="1"/>
  <c r="G464" i="3"/>
  <c r="D481" i="5" s="1"/>
  <c r="K481" i="5" s="1"/>
  <c r="G480" i="3"/>
  <c r="D480" i="5" s="1"/>
  <c r="K480" i="5" s="1"/>
  <c r="G486" i="3"/>
  <c r="D479" i="5" s="1"/>
  <c r="K479" i="5" s="1"/>
  <c r="G472" i="3"/>
  <c r="D478" i="5" s="1"/>
  <c r="K478" i="5" s="1"/>
  <c r="G473" i="3"/>
  <c r="D477" i="5" s="1"/>
  <c r="K477" i="5" s="1"/>
  <c r="G488" i="3"/>
  <c r="G466" i="3"/>
  <c r="D475" i="5" s="1"/>
  <c r="K475" i="5" s="1"/>
  <c r="G463" i="3"/>
  <c r="G477" i="3"/>
  <c r="D473" i="5" s="1"/>
  <c r="K473" i="5" s="1"/>
  <c r="G485" i="3"/>
  <c r="D472" i="5" s="1"/>
  <c r="K472" i="5" s="1"/>
  <c r="G484" i="3"/>
  <c r="D471" i="5" s="1"/>
  <c r="K471" i="5" s="1"/>
  <c r="G476" i="3"/>
  <c r="D470" i="5" s="1"/>
  <c r="K470" i="5" s="1"/>
  <c r="G479" i="3"/>
  <c r="D469" i="5" s="1"/>
  <c r="K469" i="5" s="1"/>
  <c r="G481" i="3"/>
  <c r="D468" i="5" s="1"/>
  <c r="K468" i="5" s="1"/>
  <c r="G468" i="3"/>
  <c r="D467" i="5" s="1"/>
  <c r="K467" i="5" s="1"/>
  <c r="G470" i="3"/>
  <c r="D466" i="5" s="1"/>
  <c r="K466" i="5" s="1"/>
  <c r="G469" i="3"/>
  <c r="D465" i="5" s="1"/>
  <c r="K465" i="5" s="1"/>
  <c r="G487" i="3"/>
  <c r="D464" i="5" s="1"/>
  <c r="K464" i="5" s="1"/>
  <c r="G482" i="3"/>
  <c r="D463" i="5" s="1"/>
  <c r="K463" i="5" s="1"/>
  <c r="G471" i="3"/>
  <c r="D462" i="5" s="1"/>
  <c r="K462" i="5" s="1"/>
  <c r="G483" i="3"/>
  <c r="D461" i="5" s="1"/>
  <c r="K461" i="5" s="1"/>
  <c r="G478" i="3"/>
  <c r="D460" i="5" s="1"/>
  <c r="K460" i="5" s="1"/>
  <c r="F1688" i="1"/>
  <c r="F1687" i="1"/>
  <c r="F1686" i="1"/>
  <c r="F1685" i="1"/>
  <c r="F1684" i="1"/>
  <c r="F1683" i="1"/>
  <c r="F1682" i="1"/>
  <c r="F1681" i="1"/>
  <c r="H121" i="2"/>
  <c r="H122" i="2"/>
  <c r="H112" i="2"/>
  <c r="H113" i="2"/>
  <c r="H114" i="2"/>
  <c r="H116" i="2"/>
  <c r="H117" i="2"/>
  <c r="G112" i="2"/>
  <c r="B113" i="2" s="1"/>
  <c r="G113" i="2" s="1"/>
  <c r="B114" i="2" s="1"/>
  <c r="G114" i="2" s="1"/>
  <c r="B115" i="2" s="1"/>
  <c r="F1680" i="1"/>
  <c r="F1679" i="1"/>
  <c r="F1678" i="1"/>
  <c r="F1677" i="1"/>
  <c r="F1676" i="1"/>
  <c r="F1675" i="1"/>
  <c r="F1674" i="1"/>
  <c r="F1673" i="1"/>
  <c r="F1672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3" i="1"/>
  <c r="F1622" i="1"/>
  <c r="F1625" i="1"/>
  <c r="F1624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598" i="1"/>
  <c r="F1599" i="1"/>
  <c r="F1601" i="1"/>
  <c r="F1600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I168" i="3"/>
  <c r="F1543" i="1"/>
  <c r="F1542" i="1"/>
  <c r="F1541" i="1"/>
  <c r="F1540" i="1"/>
  <c r="F1539" i="1"/>
  <c r="F1546" i="1"/>
  <c r="F1545" i="1"/>
  <c r="F1544" i="1"/>
  <c r="G460" i="3"/>
  <c r="D459" i="5" s="1"/>
  <c r="K459" i="5" s="1"/>
  <c r="G462" i="3"/>
  <c r="D458" i="5" s="1"/>
  <c r="K458" i="5" s="1"/>
  <c r="G459" i="3"/>
  <c r="D457" i="5" s="1"/>
  <c r="M457" i="5" s="1"/>
  <c r="G456" i="3"/>
  <c r="D456" i="5" s="1"/>
  <c r="M456" i="5" s="1"/>
  <c r="G455" i="3"/>
  <c r="D455" i="5" s="1"/>
  <c r="K455" i="5" s="1"/>
  <c r="G461" i="3"/>
  <c r="D454" i="5" s="1"/>
  <c r="K454" i="5" s="1"/>
  <c r="G458" i="3"/>
  <c r="D453" i="5" s="1"/>
  <c r="M453" i="5" s="1"/>
  <c r="G457" i="3"/>
  <c r="D452" i="5" s="1"/>
  <c r="M452" i="5" s="1"/>
  <c r="G454" i="3"/>
  <c r="D451" i="5" s="1"/>
  <c r="K451" i="5" s="1"/>
  <c r="G453" i="3"/>
  <c r="D450" i="5" s="1"/>
  <c r="K450" i="5" s="1"/>
  <c r="H108" i="2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G448" i="3"/>
  <c r="D449" i="5" s="1"/>
  <c r="K449" i="5" s="1"/>
  <c r="G449" i="3"/>
  <c r="D448" i="5" s="1"/>
  <c r="K448" i="5" s="1"/>
  <c r="F1508" i="1"/>
  <c r="F1507" i="1"/>
  <c r="F1506" i="1"/>
  <c r="F1505" i="1"/>
  <c r="F1504" i="1"/>
  <c r="F1503" i="1"/>
  <c r="F1502" i="1"/>
  <c r="G108" i="2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0" i="1"/>
  <c r="F1481" i="1"/>
  <c r="G452" i="3"/>
  <c r="D447" i="5" s="1"/>
  <c r="K447" i="5" s="1"/>
  <c r="G451" i="3"/>
  <c r="D446" i="5" s="1"/>
  <c r="K446" i="5" s="1"/>
  <c r="G450" i="3"/>
  <c r="D445" i="5" s="1"/>
  <c r="K445" i="5" s="1"/>
  <c r="F1479" i="1"/>
  <c r="F1478" i="1"/>
  <c r="F1475" i="1"/>
  <c r="G107" i="2"/>
  <c r="H107" i="2"/>
  <c r="F1476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G430" i="3"/>
  <c r="D444" i="5" s="1"/>
  <c r="M444" i="5" s="1"/>
  <c r="F1429" i="1"/>
  <c r="F1428" i="1"/>
  <c r="F1427" i="1"/>
  <c r="F1426" i="1"/>
  <c r="F1425" i="1"/>
  <c r="F1424" i="1"/>
  <c r="G440" i="3"/>
  <c r="D443" i="5" s="1"/>
  <c r="K443" i="5" s="1"/>
  <c r="G435" i="3"/>
  <c r="D442" i="5" s="1"/>
  <c r="K442" i="5" s="1"/>
  <c r="G428" i="3"/>
  <c r="D441" i="5" s="1"/>
  <c r="K441" i="5" s="1"/>
  <c r="G434" i="3"/>
  <c r="D440" i="5" s="1"/>
  <c r="K440" i="5" s="1"/>
  <c r="G436" i="3"/>
  <c r="D439" i="5" s="1"/>
  <c r="M439" i="5" s="1"/>
  <c r="G443" i="3"/>
  <c r="D438" i="5" s="1"/>
  <c r="K438" i="5" s="1"/>
  <c r="G431" i="3"/>
  <c r="D437" i="5" s="1"/>
  <c r="K437" i="5" s="1"/>
  <c r="G437" i="3"/>
  <c r="D436" i="5" s="1"/>
  <c r="K436" i="5" s="1"/>
  <c r="G447" i="3"/>
  <c r="D435" i="5" s="1"/>
  <c r="K435" i="5" s="1"/>
  <c r="G432" i="3"/>
  <c r="D434" i="5" s="1"/>
  <c r="K434" i="5" s="1"/>
  <c r="G433" i="3"/>
  <c r="D433" i="5" s="1"/>
  <c r="K433" i="5" s="1"/>
  <c r="G427" i="3"/>
  <c r="D432" i="5" s="1"/>
  <c r="K432" i="5" s="1"/>
  <c r="G439" i="3"/>
  <c r="D431" i="5" s="1"/>
  <c r="M431" i="5" s="1"/>
  <c r="G438" i="3"/>
  <c r="D430" i="5" s="1"/>
  <c r="K430" i="5" s="1"/>
  <c r="G429" i="3"/>
  <c r="D429" i="5" s="1"/>
  <c r="K429" i="5" s="1"/>
  <c r="G422" i="3"/>
  <c r="D428" i="5" s="1"/>
  <c r="K428" i="5" s="1"/>
  <c r="G445" i="3"/>
  <c r="D427" i="5" s="1"/>
  <c r="K427" i="5" s="1"/>
  <c r="G441" i="3"/>
  <c r="D426" i="5" s="1"/>
  <c r="K426" i="5" s="1"/>
  <c r="G442" i="3"/>
  <c r="D425" i="5" s="1"/>
  <c r="K425" i="5" s="1"/>
  <c r="G446" i="3"/>
  <c r="D424" i="5" s="1"/>
  <c r="K424" i="5" s="1"/>
  <c r="G425" i="3"/>
  <c r="D423" i="5" s="1"/>
  <c r="K423" i="5" s="1"/>
  <c r="G424" i="3"/>
  <c r="D422" i="5" s="1"/>
  <c r="K422" i="5" s="1"/>
  <c r="G426" i="3"/>
  <c r="D421" i="5" s="1"/>
  <c r="K421" i="5" s="1"/>
  <c r="G444" i="3"/>
  <c r="D420" i="5" s="1"/>
  <c r="K420" i="5" s="1"/>
  <c r="G421" i="3"/>
  <c r="D419" i="5" s="1"/>
  <c r="K419" i="5" s="1"/>
  <c r="G420" i="3"/>
  <c r="D418" i="5" s="1"/>
  <c r="K418" i="5" s="1"/>
  <c r="G423" i="3"/>
  <c r="D417" i="5" s="1"/>
  <c r="K417" i="5" s="1"/>
  <c r="F1423" i="1"/>
  <c r="G106" i="2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H106" i="2"/>
  <c r="F1374" i="1"/>
  <c r="F1373" i="1"/>
  <c r="F1372" i="1"/>
  <c r="F1371" i="1"/>
  <c r="F1370" i="1"/>
  <c r="F1369" i="1"/>
  <c r="F1368" i="1"/>
  <c r="G419" i="3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G409" i="3"/>
  <c r="D416" i="5" s="1"/>
  <c r="K416" i="5" s="1"/>
  <c r="G410" i="3"/>
  <c r="D415" i="5" s="1"/>
  <c r="K415" i="5" s="1"/>
  <c r="G406" i="3"/>
  <c r="D414" i="5" s="1"/>
  <c r="K414" i="5" s="1"/>
  <c r="G414" i="3"/>
  <c r="D413" i="5" s="1"/>
  <c r="K413" i="5" s="1"/>
  <c r="G407" i="3"/>
  <c r="D412" i="5" s="1"/>
  <c r="K412" i="5" s="1"/>
  <c r="G417" i="3"/>
  <c r="D411" i="5" s="1"/>
  <c r="M411" i="5" s="1"/>
  <c r="G415" i="3"/>
  <c r="D410" i="5" s="1"/>
  <c r="M410" i="5" s="1"/>
  <c r="G405" i="3"/>
  <c r="D409" i="5" s="1"/>
  <c r="K409" i="5" s="1"/>
  <c r="G418" i="3"/>
  <c r="D408" i="5" s="1"/>
  <c r="K408" i="5" s="1"/>
  <c r="G413" i="3"/>
  <c r="D407" i="5" s="1"/>
  <c r="K407" i="5" s="1"/>
  <c r="G411" i="3"/>
  <c r="D406" i="5" s="1"/>
  <c r="K406" i="5" s="1"/>
  <c r="G412" i="3"/>
  <c r="D405" i="5" s="1"/>
  <c r="K405" i="5" s="1"/>
  <c r="G416" i="3"/>
  <c r="D404" i="5" s="1"/>
  <c r="K404" i="5" s="1"/>
  <c r="G408" i="3"/>
  <c r="D403" i="5" s="1"/>
  <c r="M403" i="5" s="1"/>
  <c r="F1323" i="1"/>
  <c r="F1322" i="1"/>
  <c r="F1321" i="1"/>
  <c r="F1320" i="1"/>
  <c r="F1319" i="1"/>
  <c r="F1318" i="1"/>
  <c r="F1317" i="1"/>
  <c r="F1316" i="1"/>
  <c r="F1315" i="1"/>
  <c r="F1314" i="1"/>
  <c r="F1313" i="1"/>
  <c r="G104" i="2"/>
  <c r="F1309" i="1"/>
  <c r="F1310" i="1"/>
  <c r="F1308" i="1"/>
  <c r="F1311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H104" i="2"/>
  <c r="F1289" i="1"/>
  <c r="F1288" i="1"/>
  <c r="F1287" i="1"/>
  <c r="G404" i="3"/>
  <c r="D402" i="5" s="1"/>
  <c r="K402" i="5" s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G403" i="3"/>
  <c r="D401" i="5" s="1"/>
  <c r="K401" i="5" s="1"/>
  <c r="F1259" i="1"/>
  <c r="F1260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G402" i="3"/>
  <c r="D400" i="5" s="1"/>
  <c r="K400" i="5" s="1"/>
  <c r="G400" i="3"/>
  <c r="D399" i="5" s="1"/>
  <c r="K399" i="5" s="1"/>
  <c r="G401" i="3"/>
  <c r="D398" i="5" s="1"/>
  <c r="K398" i="5" s="1"/>
  <c r="F1222" i="1"/>
  <c r="F1221" i="1"/>
  <c r="F1220" i="1"/>
  <c r="F1214" i="1"/>
  <c r="F1213" i="1"/>
  <c r="F1212" i="1"/>
  <c r="F1216" i="1"/>
  <c r="F1215" i="1"/>
  <c r="F1217" i="1"/>
  <c r="F1218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G395" i="3"/>
  <c r="D397" i="5" s="1"/>
  <c r="M397" i="5" s="1"/>
  <c r="M384" i="5"/>
  <c r="M385" i="5"/>
  <c r="M392" i="5"/>
  <c r="M393" i="5"/>
  <c r="M394" i="5"/>
  <c r="K384" i="5"/>
  <c r="K385" i="5"/>
  <c r="K392" i="5"/>
  <c r="K393" i="5"/>
  <c r="K394" i="5"/>
  <c r="G392" i="3"/>
  <c r="D396" i="5" s="1"/>
  <c r="M396" i="5" s="1"/>
  <c r="G389" i="3"/>
  <c r="D395" i="5" s="1"/>
  <c r="M395" i="5" s="1"/>
  <c r="G391" i="3"/>
  <c r="G382" i="3"/>
  <c r="G399" i="3"/>
  <c r="G397" i="3"/>
  <c r="D391" i="5" s="1"/>
  <c r="M391" i="5" s="1"/>
  <c r="G390" i="3"/>
  <c r="D390" i="5" s="1"/>
  <c r="M390" i="5" s="1"/>
  <c r="G396" i="3"/>
  <c r="D389" i="5" s="1"/>
  <c r="G393" i="3"/>
  <c r="D388" i="5" s="1"/>
  <c r="K388" i="5" s="1"/>
  <c r="G398" i="3"/>
  <c r="D387" i="5" s="1"/>
  <c r="M387" i="5" s="1"/>
  <c r="G388" i="3"/>
  <c r="D386" i="5" s="1"/>
  <c r="M386" i="5" s="1"/>
  <c r="G384" i="3"/>
  <c r="G383" i="3"/>
  <c r="G387" i="3"/>
  <c r="D383" i="5" s="1"/>
  <c r="M383" i="5" s="1"/>
  <c r="G385" i="3"/>
  <c r="D382" i="5" s="1"/>
  <c r="M382" i="5" s="1"/>
  <c r="F1168" i="1"/>
  <c r="G386" i="3"/>
  <c r="D381" i="5" s="1"/>
  <c r="K381" i="5" s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H101" i="2"/>
  <c r="G101" i="2"/>
  <c r="F1150" i="1"/>
  <c r="G394" i="3"/>
  <c r="D380" i="5" s="1"/>
  <c r="K380" i="5" s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G381" i="3"/>
  <c r="D379" i="5" s="1"/>
  <c r="K379" i="5" s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4" i="1"/>
  <c r="F1115" i="1"/>
  <c r="F1116" i="1"/>
  <c r="F1117" i="1"/>
  <c r="F1113" i="1"/>
  <c r="F1112" i="1"/>
  <c r="F1111" i="1"/>
  <c r="F1108" i="1"/>
  <c r="F1107" i="1"/>
  <c r="G380" i="3"/>
  <c r="D378" i="5" s="1"/>
  <c r="K378" i="5" s="1"/>
  <c r="F1103" i="1"/>
  <c r="F1105" i="1"/>
  <c r="F1104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7" i="1"/>
  <c r="F1076" i="1"/>
  <c r="F1075" i="1"/>
  <c r="F1074" i="1"/>
  <c r="F1073" i="1"/>
  <c r="F1072" i="1"/>
  <c r="F1071" i="1"/>
  <c r="F1069" i="1"/>
  <c r="F1068" i="1"/>
  <c r="F1067" i="1"/>
  <c r="F1078" i="1"/>
  <c r="F1070" i="1"/>
  <c r="F1066" i="1"/>
  <c r="F1065" i="1"/>
  <c r="F1064" i="1"/>
  <c r="F1063" i="1"/>
  <c r="F1062" i="1"/>
  <c r="F1061" i="1"/>
  <c r="F1060" i="1"/>
  <c r="F1059" i="1"/>
  <c r="F1058" i="1"/>
  <c r="F1057" i="1"/>
  <c r="F1056" i="1"/>
  <c r="G378" i="3"/>
  <c r="D377" i="5" s="1"/>
  <c r="K377" i="5" s="1"/>
  <c r="G379" i="3"/>
  <c r="D376" i="5" s="1"/>
  <c r="K376" i="5" s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K370" i="5"/>
  <c r="M372" i="5"/>
  <c r="F985" i="1"/>
  <c r="F984" i="1"/>
  <c r="G377" i="3"/>
  <c r="D375" i="5" s="1"/>
  <c r="K375" i="5" s="1"/>
  <c r="G376" i="3"/>
  <c r="D374" i="5" s="1"/>
  <c r="M374" i="5" s="1"/>
  <c r="G375" i="3"/>
  <c r="D373" i="5" s="1"/>
  <c r="M373" i="5" s="1"/>
  <c r="G370" i="3"/>
  <c r="G374" i="3"/>
  <c r="D371" i="5" s="1"/>
  <c r="M371" i="5" s="1"/>
  <c r="G371" i="3"/>
  <c r="G372" i="3"/>
  <c r="M369" i="5" s="1"/>
  <c r="G373" i="3"/>
  <c r="H98" i="2"/>
  <c r="H99" i="2"/>
  <c r="H100" i="2"/>
  <c r="G98" i="2"/>
  <c r="G99" i="2"/>
  <c r="G100" i="2"/>
  <c r="G97" i="2"/>
  <c r="F982" i="1"/>
  <c r="F981" i="1"/>
  <c r="F980" i="1"/>
  <c r="G96" i="2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K368" i="5"/>
  <c r="G358" i="3"/>
  <c r="D367" i="5" s="1"/>
  <c r="K367" i="5" s="1"/>
  <c r="G360" i="3"/>
  <c r="D366" i="5" s="1"/>
  <c r="M366" i="5" s="1"/>
  <c r="G361" i="3"/>
  <c r="D365" i="5" s="1"/>
  <c r="M365" i="5" s="1"/>
  <c r="G368" i="3"/>
  <c r="D364" i="5" s="1"/>
  <c r="K364" i="5" s="1"/>
  <c r="G356" i="3"/>
  <c r="D363" i="5" s="1"/>
  <c r="K363" i="5" s="1"/>
  <c r="G359" i="3"/>
  <c r="D362" i="5" s="1"/>
  <c r="M362" i="5" s="1"/>
  <c r="G366" i="3"/>
  <c r="D361" i="5" s="1"/>
  <c r="K361" i="5" s="1"/>
  <c r="G365" i="3"/>
  <c r="D360" i="5" s="1"/>
  <c r="K360" i="5" s="1"/>
  <c r="G364" i="3"/>
  <c r="D359" i="5" s="1"/>
  <c r="K359" i="5" s="1"/>
  <c r="G369" i="3"/>
  <c r="D358" i="5" s="1"/>
  <c r="M358" i="5" s="1"/>
  <c r="G363" i="3"/>
  <c r="D357" i="5" s="1"/>
  <c r="K357" i="5" s="1"/>
  <c r="G94" i="2"/>
  <c r="G95" i="2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29" i="1"/>
  <c r="F828" i="1"/>
  <c r="F827" i="1"/>
  <c r="F826" i="1"/>
  <c r="F825" i="1"/>
  <c r="F822" i="1"/>
  <c r="F823" i="1"/>
  <c r="F824" i="1"/>
  <c r="F821" i="1"/>
  <c r="F820" i="1"/>
  <c r="F832" i="1"/>
  <c r="F83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G353" i="3"/>
  <c r="D329" i="5" s="1"/>
  <c r="K329" i="5" s="1"/>
  <c r="G343" i="3"/>
  <c r="D332" i="5" s="1"/>
  <c r="K332" i="5" s="1"/>
  <c r="G354" i="3"/>
  <c r="D333" i="5" s="1"/>
  <c r="K333" i="5" s="1"/>
  <c r="G340" i="3"/>
  <c r="D330" i="5" s="1"/>
  <c r="K330" i="5" s="1"/>
  <c r="G351" i="3"/>
  <c r="D328" i="5" s="1"/>
  <c r="K328" i="5" s="1"/>
  <c r="G346" i="3"/>
  <c r="D342" i="5" s="1"/>
  <c r="K342" i="5" s="1"/>
  <c r="G345" i="3"/>
  <c r="D341" i="5" s="1"/>
  <c r="K341" i="5" s="1"/>
  <c r="G338" i="3"/>
  <c r="D344" i="5" s="1"/>
  <c r="K344" i="5" s="1"/>
  <c r="G350" i="3"/>
  <c r="D343" i="5" s="1"/>
  <c r="K343" i="5" s="1"/>
  <c r="G333" i="3"/>
  <c r="D340" i="5" s="1"/>
  <c r="K340" i="5" s="1"/>
  <c r="G332" i="3"/>
  <c r="D345" i="5" s="1"/>
  <c r="K345" i="5" s="1"/>
  <c r="G339" i="3"/>
  <c r="D339" i="5" s="1"/>
  <c r="K339" i="5" s="1"/>
  <c r="G334" i="3"/>
  <c r="D338" i="5" s="1"/>
  <c r="K338" i="5" s="1"/>
  <c r="G331" i="3"/>
  <c r="D337" i="5" s="1"/>
  <c r="K337" i="5" s="1"/>
  <c r="G328" i="3"/>
  <c r="D336" i="5" s="1"/>
  <c r="K336" i="5" s="1"/>
  <c r="G352" i="3"/>
  <c r="D335" i="5" s="1"/>
  <c r="K335" i="5" s="1"/>
  <c r="G342" i="3"/>
  <c r="D331" i="5" s="1"/>
  <c r="K331" i="5" s="1"/>
  <c r="G347" i="3"/>
  <c r="D334" i="5" s="1"/>
  <c r="K334" i="5" s="1"/>
  <c r="G330" i="3"/>
  <c r="D346" i="5" s="1"/>
  <c r="K346" i="5" s="1"/>
  <c r="G329" i="3"/>
  <c r="D347" i="5" s="1"/>
  <c r="K347" i="5" s="1"/>
  <c r="G325" i="3"/>
  <c r="G335" i="3"/>
  <c r="D349" i="5" s="1"/>
  <c r="K349" i="5" s="1"/>
  <c r="G327" i="3"/>
  <c r="D350" i="5" s="1"/>
  <c r="K350" i="5" s="1"/>
  <c r="G326" i="3"/>
  <c r="D351" i="5" s="1"/>
  <c r="K351" i="5" s="1"/>
  <c r="G355" i="3"/>
  <c r="G344" i="3"/>
  <c r="D353" i="5" s="1"/>
  <c r="K353" i="5" s="1"/>
  <c r="G362" i="3"/>
  <c r="D354" i="5" s="1"/>
  <c r="M354" i="5" s="1"/>
  <c r="G357" i="3"/>
  <c r="D355" i="5" s="1"/>
  <c r="K355" i="5" s="1"/>
  <c r="G367" i="3"/>
  <c r="D356" i="5" s="1"/>
  <c r="K356" i="5" s="1"/>
  <c r="G337" i="3"/>
  <c r="D327" i="5" s="1"/>
  <c r="K327" i="5" s="1"/>
  <c r="G348" i="3"/>
  <c r="D326" i="5" s="1"/>
  <c r="K326" i="5" s="1"/>
  <c r="G336" i="3"/>
  <c r="D325" i="5" s="1"/>
  <c r="K325" i="5" s="1"/>
  <c r="G349" i="3"/>
  <c r="D324" i="5" s="1"/>
  <c r="M324" i="5" s="1"/>
  <c r="G341" i="3"/>
  <c r="D323" i="5" s="1"/>
  <c r="M323" i="5" s="1"/>
  <c r="F778" i="1"/>
  <c r="F777" i="1"/>
  <c r="F776" i="1"/>
  <c r="F775" i="1"/>
  <c r="F773" i="1"/>
  <c r="H94" i="2"/>
  <c r="H95" i="2"/>
  <c r="H96" i="2"/>
  <c r="H97" i="2"/>
  <c r="F774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H92" i="2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1" i="1"/>
  <c r="H91" i="2"/>
  <c r="F713" i="1"/>
  <c r="F712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D688" i="1"/>
  <c r="D687" i="1"/>
  <c r="F686" i="1"/>
  <c r="F685" i="1"/>
  <c r="F684" i="1"/>
  <c r="C6" i="8"/>
  <c r="C5" i="8"/>
  <c r="C4" i="8"/>
  <c r="C3" i="8"/>
  <c r="H90" i="2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M7" i="5"/>
  <c r="M8" i="5"/>
  <c r="K2775" i="1" s="1"/>
  <c r="M9" i="5"/>
  <c r="M10" i="5"/>
  <c r="M11" i="5"/>
  <c r="K3006" i="1" s="1"/>
  <c r="L3006" i="1" s="1"/>
  <c r="M12" i="5"/>
  <c r="M13" i="5"/>
  <c r="M14" i="5"/>
  <c r="M15" i="5"/>
  <c r="M16" i="5"/>
  <c r="M17" i="5"/>
  <c r="K2404" i="1" s="1"/>
  <c r="M18" i="5"/>
  <c r="K2451" i="1" s="1"/>
  <c r="M19" i="5"/>
  <c r="M20" i="5"/>
  <c r="M21" i="5"/>
  <c r="K3139" i="1" s="1"/>
  <c r="L3139" i="1" s="1"/>
  <c r="M22" i="5"/>
  <c r="K2168" i="1" s="1"/>
  <c r="M23" i="5"/>
  <c r="K2805" i="1" s="1"/>
  <c r="M24" i="5"/>
  <c r="M25" i="5"/>
  <c r="K2167" i="1" s="1"/>
  <c r="M26" i="5"/>
  <c r="K2966" i="1" s="1"/>
  <c r="M27" i="5"/>
  <c r="M28" i="5"/>
  <c r="M29" i="5"/>
  <c r="M30" i="5"/>
  <c r="K2948" i="1" s="1"/>
  <c r="M31" i="5"/>
  <c r="M32" i="5"/>
  <c r="M33" i="5"/>
  <c r="M34" i="5"/>
  <c r="M35" i="5"/>
  <c r="K2125" i="1" s="1"/>
  <c r="M36" i="5"/>
  <c r="M37" i="5"/>
  <c r="M38" i="5"/>
  <c r="M39" i="5"/>
  <c r="K2555" i="1" s="1"/>
  <c r="M40" i="5"/>
  <c r="K2453" i="1" s="1"/>
  <c r="M41" i="5"/>
  <c r="M42" i="5"/>
  <c r="M43" i="5"/>
  <c r="M44" i="5"/>
  <c r="M45" i="5"/>
  <c r="K3088" i="1" s="1"/>
  <c r="L3088" i="1" s="1"/>
  <c r="M46" i="5"/>
  <c r="K2785" i="1" s="1"/>
  <c r="M47" i="5"/>
  <c r="M48" i="5"/>
  <c r="M49" i="5"/>
  <c r="K2427" i="1" s="1"/>
  <c r="M50" i="5"/>
  <c r="K2871" i="1" s="1"/>
  <c r="M51" i="5"/>
  <c r="K2171" i="1" s="1"/>
  <c r="M52" i="5"/>
  <c r="M53" i="5"/>
  <c r="M54" i="5"/>
  <c r="M55" i="5"/>
  <c r="M56" i="5"/>
  <c r="M57" i="5"/>
  <c r="K2532" i="1" s="1"/>
  <c r="M58" i="5"/>
  <c r="K2650" i="1" s="1"/>
  <c r="M59" i="5"/>
  <c r="K2450" i="1" s="1"/>
  <c r="M60" i="5"/>
  <c r="K2735" i="1" s="1"/>
  <c r="M61" i="5"/>
  <c r="K2120" i="1" s="1"/>
  <c r="M62" i="5"/>
  <c r="M63" i="5"/>
  <c r="K3331" i="1" s="1"/>
  <c r="L3331" i="1" s="1"/>
  <c r="M64" i="5"/>
  <c r="K3188" i="1" s="1"/>
  <c r="L3188" i="1" s="1"/>
  <c r="M65" i="5"/>
  <c r="M66" i="5"/>
  <c r="M67" i="5"/>
  <c r="M68" i="5"/>
  <c r="M69" i="5"/>
  <c r="M70" i="5"/>
  <c r="K2261" i="1" s="1"/>
  <c r="M71" i="5"/>
  <c r="M72" i="5"/>
  <c r="M73" i="5"/>
  <c r="K2852" i="1" s="1"/>
  <c r="M74" i="5"/>
  <c r="M75" i="5"/>
  <c r="K2731" i="1" s="1"/>
  <c r="M76" i="5"/>
  <c r="M77" i="5"/>
  <c r="K2924" i="1" s="1"/>
  <c r="M78" i="5"/>
  <c r="K2905" i="1" s="1"/>
  <c r="M79" i="5"/>
  <c r="M80" i="5"/>
  <c r="K2651" i="1" s="1"/>
  <c r="M81" i="5"/>
  <c r="M82" i="5"/>
  <c r="M83" i="5"/>
  <c r="K3130" i="1" s="1"/>
  <c r="L3130" i="1" s="1"/>
  <c r="M84" i="5"/>
  <c r="M85" i="5"/>
  <c r="M86" i="5"/>
  <c r="M87" i="5"/>
  <c r="M88" i="5"/>
  <c r="K2122" i="1" s="1"/>
  <c r="M89" i="5"/>
  <c r="K2251" i="1" s="1"/>
  <c r="M90" i="5"/>
  <c r="K3243" i="1" s="1"/>
  <c r="L3243" i="1" s="1"/>
  <c r="M91" i="5"/>
  <c r="M92" i="5"/>
  <c r="M93" i="5"/>
  <c r="M94" i="5"/>
  <c r="M95" i="5"/>
  <c r="M96" i="5"/>
  <c r="K2266" i="1" s="1"/>
  <c r="M97" i="5"/>
  <c r="M98" i="5"/>
  <c r="M99" i="5"/>
  <c r="M100" i="5"/>
  <c r="M101" i="5"/>
  <c r="M102" i="5"/>
  <c r="M103" i="5"/>
  <c r="M104" i="5"/>
  <c r="K2287" i="1" s="1"/>
  <c r="M105" i="5"/>
  <c r="M106" i="5"/>
  <c r="K2842" i="1" s="1"/>
  <c r="M107" i="5"/>
  <c r="K2793" i="1" s="1"/>
  <c r="M108" i="5"/>
  <c r="M109" i="5"/>
  <c r="M110" i="5"/>
  <c r="M111" i="5"/>
  <c r="M112" i="5"/>
  <c r="K3245" i="1" s="1"/>
  <c r="L3245" i="1" s="1"/>
  <c r="M113" i="5"/>
  <c r="M114" i="5"/>
  <c r="K2299" i="1" s="1"/>
  <c r="M115" i="5"/>
  <c r="K2210" i="1" s="1"/>
  <c r="M116" i="5"/>
  <c r="M117" i="5"/>
  <c r="M118" i="5"/>
  <c r="K2820" i="1" s="1"/>
  <c r="M119" i="5"/>
  <c r="M120" i="5"/>
  <c r="M121" i="5"/>
  <c r="K2108" i="1" s="1"/>
  <c r="M122" i="5"/>
  <c r="K2913" i="1" s="1"/>
  <c r="M123" i="5"/>
  <c r="K2369" i="1" s="1"/>
  <c r="M124" i="5"/>
  <c r="K2492" i="1" s="1"/>
  <c r="M125" i="5"/>
  <c r="K2877" i="1" s="1"/>
  <c r="M126" i="5"/>
  <c r="K2491" i="1" s="1"/>
  <c r="M127" i="5"/>
  <c r="K2768" i="1" s="1"/>
  <c r="M128" i="5"/>
  <c r="M129" i="5"/>
  <c r="M130" i="5"/>
  <c r="K2845" i="1" s="1"/>
  <c r="M131" i="5"/>
  <c r="K2493" i="1" s="1"/>
  <c r="M132" i="5"/>
  <c r="K2518" i="1" s="1"/>
  <c r="M133" i="5"/>
  <c r="M134" i="5"/>
  <c r="K2546" i="1" s="1"/>
  <c r="M135" i="5"/>
  <c r="M136" i="5"/>
  <c r="M137" i="5"/>
  <c r="M138" i="5"/>
  <c r="M139" i="5"/>
  <c r="M140" i="5"/>
  <c r="M141" i="5"/>
  <c r="M142" i="5"/>
  <c r="M143" i="5"/>
  <c r="M144" i="5"/>
  <c r="K3111" i="1" s="1"/>
  <c r="L3111" i="1" s="1"/>
  <c r="M145" i="5"/>
  <c r="K2392" i="1" s="1"/>
  <c r="M146" i="5"/>
  <c r="M147" i="5"/>
  <c r="M148" i="5"/>
  <c r="M149" i="5"/>
  <c r="M150" i="5"/>
  <c r="M151" i="5"/>
  <c r="K2781" i="1" s="1"/>
  <c r="M152" i="5"/>
  <c r="M153" i="5"/>
  <c r="M154" i="5"/>
  <c r="M155" i="5"/>
  <c r="M156" i="5"/>
  <c r="K2883" i="1" s="1"/>
  <c r="M157" i="5"/>
  <c r="M158" i="5"/>
  <c r="M159" i="5"/>
  <c r="M160" i="5"/>
  <c r="M161" i="5"/>
  <c r="M162" i="5"/>
  <c r="M163" i="5"/>
  <c r="M164" i="5"/>
  <c r="M166" i="5"/>
  <c r="M167" i="5"/>
  <c r="K3242" i="1" s="1"/>
  <c r="L3242" i="1" s="1"/>
  <c r="M168" i="5"/>
  <c r="K2111" i="1" s="1"/>
  <c r="M3" i="5"/>
  <c r="M4" i="5"/>
  <c r="M5" i="5"/>
  <c r="M6" i="5"/>
  <c r="M2" i="5"/>
  <c r="K2110" i="1" s="1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151" i="5"/>
  <c r="K152" i="5"/>
  <c r="K153" i="5"/>
  <c r="K154" i="5"/>
  <c r="K155" i="5"/>
  <c r="K156" i="5"/>
  <c r="K157" i="5"/>
  <c r="K158" i="5"/>
  <c r="K159" i="5"/>
  <c r="K160" i="5"/>
  <c r="K161" i="5"/>
  <c r="K162" i="5"/>
  <c r="K163" i="5"/>
  <c r="K164" i="5"/>
  <c r="K166" i="5"/>
  <c r="K167" i="5"/>
  <c r="K168" i="5"/>
  <c r="K3" i="5"/>
  <c r="K4" i="5"/>
  <c r="K2" i="5"/>
  <c r="G90" i="2"/>
  <c r="G91" i="2"/>
  <c r="G92" i="2"/>
  <c r="G321" i="3"/>
  <c r="D322" i="5" s="1"/>
  <c r="K322" i="5" s="1"/>
  <c r="G322" i="3"/>
  <c r="D321" i="5" s="1"/>
  <c r="M321" i="5" s="1"/>
  <c r="G320" i="3"/>
  <c r="D320" i="5" s="1"/>
  <c r="M320" i="5" s="1"/>
  <c r="G323" i="3"/>
  <c r="D319" i="5" s="1"/>
  <c r="M319" i="5" s="1"/>
  <c r="G324" i="3"/>
  <c r="D318" i="5" s="1"/>
  <c r="M318" i="5" s="1"/>
  <c r="F653" i="1"/>
  <c r="F652" i="1"/>
  <c r="F651" i="1"/>
  <c r="F650" i="1"/>
  <c r="F649" i="1"/>
  <c r="F648" i="1"/>
  <c r="F647" i="1"/>
  <c r="F646" i="1"/>
  <c r="F645" i="1"/>
  <c r="F639" i="1"/>
  <c r="F640" i="1"/>
  <c r="F641" i="1"/>
  <c r="F642" i="1"/>
  <c r="F643" i="1"/>
  <c r="F644" i="1"/>
  <c r="F638" i="1"/>
  <c r="G89" i="2"/>
  <c r="H89" i="2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G88" i="2"/>
  <c r="H88" i="2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G310" i="3"/>
  <c r="G311" i="3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G314" i="3"/>
  <c r="D317" i="5" s="1"/>
  <c r="M317" i="5" s="1"/>
  <c r="G319" i="3"/>
  <c r="D316" i="5" s="1"/>
  <c r="K316" i="5" s="1"/>
  <c r="G317" i="3"/>
  <c r="D315" i="5" s="1"/>
  <c r="K315" i="5" s="1"/>
  <c r="G302" i="3"/>
  <c r="D314" i="5" s="1"/>
  <c r="K314" i="5" s="1"/>
  <c r="G315" i="3"/>
  <c r="D313" i="5" s="1"/>
  <c r="M313" i="5" s="1"/>
  <c r="G304" i="3"/>
  <c r="D312" i="5" s="1"/>
  <c r="M312" i="5" s="1"/>
  <c r="G307" i="3"/>
  <c r="D311" i="5" s="1"/>
  <c r="M311" i="5" s="1"/>
  <c r="G308" i="3"/>
  <c r="D310" i="5" s="1"/>
  <c r="M310" i="5" s="1"/>
  <c r="G309" i="3"/>
  <c r="D309" i="5" s="1"/>
  <c r="M309" i="5" s="1"/>
  <c r="G318" i="3"/>
  <c r="D308" i="5" s="1"/>
  <c r="K308" i="5" s="1"/>
  <c r="G306" i="3"/>
  <c r="D307" i="5" s="1"/>
  <c r="K307" i="5" s="1"/>
  <c r="G313" i="3"/>
  <c r="D306" i="5" s="1"/>
  <c r="K306" i="5" s="1"/>
  <c r="G303" i="3"/>
  <c r="D305" i="5" s="1"/>
  <c r="M305" i="5" s="1"/>
  <c r="G316" i="3"/>
  <c r="D304" i="5" s="1"/>
  <c r="M304" i="5" s="1"/>
  <c r="G312" i="3"/>
  <c r="D303" i="5" s="1"/>
  <c r="M303" i="5" s="1"/>
  <c r="G305" i="3"/>
  <c r="D302" i="5" s="1"/>
  <c r="M302" i="5" s="1"/>
  <c r="F576" i="1"/>
  <c r="F575" i="1"/>
  <c r="F574" i="1"/>
  <c r="F573" i="1"/>
  <c r="F572" i="1"/>
  <c r="F571" i="1"/>
  <c r="F570" i="1"/>
  <c r="F569" i="1"/>
  <c r="F568" i="1"/>
  <c r="F567" i="1"/>
  <c r="H87" i="2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G293" i="3"/>
  <c r="D301" i="5" s="1"/>
  <c r="M301" i="5" s="1"/>
  <c r="F533" i="1"/>
  <c r="G294" i="3"/>
  <c r="D300" i="5" s="1"/>
  <c r="K300" i="5" s="1"/>
  <c r="G295" i="3"/>
  <c r="D299" i="5" s="1"/>
  <c r="K299" i="5" s="1"/>
  <c r="G300" i="3"/>
  <c r="D298" i="5" s="1"/>
  <c r="K298" i="5" s="1"/>
  <c r="G299" i="3"/>
  <c r="D297" i="5" s="1"/>
  <c r="M297" i="5" s="1"/>
  <c r="G289" i="3"/>
  <c r="G291" i="3"/>
  <c r="D295" i="5" s="1"/>
  <c r="M295" i="5" s="1"/>
  <c r="G290" i="3"/>
  <c r="G297" i="3"/>
  <c r="D293" i="5" s="1"/>
  <c r="M293" i="5" s="1"/>
  <c r="G298" i="3"/>
  <c r="G296" i="3"/>
  <c r="D291" i="5" s="1"/>
  <c r="K291" i="5" s="1"/>
  <c r="G292" i="3"/>
  <c r="D290" i="5" s="1"/>
  <c r="K290" i="5" s="1"/>
  <c r="G301" i="3"/>
  <c r="D289" i="5" s="1"/>
  <c r="M289" i="5" s="1"/>
  <c r="F532" i="1"/>
  <c r="F531" i="1"/>
  <c r="F530" i="1"/>
  <c r="F529" i="1"/>
  <c r="F528" i="1"/>
  <c r="F527" i="1"/>
  <c r="F526" i="1"/>
  <c r="F525" i="1"/>
  <c r="F524" i="1"/>
  <c r="F523" i="1"/>
  <c r="F521" i="1"/>
  <c r="F520" i="1"/>
  <c r="F519" i="1"/>
  <c r="F518" i="1"/>
  <c r="F517" i="1"/>
  <c r="H82" i="2"/>
  <c r="H83" i="2"/>
  <c r="H84" i="2"/>
  <c r="H85" i="2"/>
  <c r="H86" i="2"/>
  <c r="H72" i="2"/>
  <c r="H73" i="2"/>
  <c r="H74" i="2"/>
  <c r="H75" i="2"/>
  <c r="H76" i="2"/>
  <c r="H77" i="2"/>
  <c r="H78" i="2"/>
  <c r="H79" i="2"/>
  <c r="H80" i="2"/>
  <c r="H81" i="2"/>
  <c r="H56" i="2"/>
  <c r="H57" i="2"/>
  <c r="H58" i="2"/>
  <c r="H59" i="2"/>
  <c r="H60" i="2"/>
  <c r="H61" i="2"/>
  <c r="H62" i="2"/>
  <c r="H63" i="2"/>
  <c r="H64" i="2"/>
  <c r="H65" i="2"/>
  <c r="H66" i="2"/>
  <c r="H67" i="2"/>
  <c r="H68" i="2"/>
  <c r="H69" i="2"/>
  <c r="H70" i="2"/>
  <c r="H71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26" i="2"/>
  <c r="H27" i="2"/>
  <c r="H28" i="2"/>
  <c r="H29" i="2"/>
  <c r="H30" i="2"/>
  <c r="H31" i="2"/>
  <c r="H32" i="2"/>
  <c r="H33" i="2"/>
  <c r="H34" i="2"/>
  <c r="H35" i="2"/>
  <c r="H36" i="2"/>
  <c r="H37" i="2"/>
  <c r="H3" i="2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" i="2"/>
  <c r="G86" i="2"/>
  <c r="G87" i="2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88" i="1"/>
  <c r="F489" i="1"/>
  <c r="F490" i="1"/>
  <c r="F487" i="1"/>
  <c r="F486" i="1"/>
  <c r="F485" i="1"/>
  <c r="F484" i="1"/>
  <c r="F483" i="1"/>
  <c r="F482" i="1"/>
  <c r="F481" i="1"/>
  <c r="F480" i="1"/>
  <c r="G85" i="2"/>
  <c r="I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G288" i="3"/>
  <c r="D288" i="5" s="1"/>
  <c r="M288" i="5" s="1"/>
  <c r="F465" i="1"/>
  <c r="F464" i="1"/>
  <c r="F463" i="1"/>
  <c r="F462" i="1"/>
  <c r="F461" i="1"/>
  <c r="F460" i="1"/>
  <c r="F459" i="1"/>
  <c r="G277" i="3"/>
  <c r="D287" i="5" s="1"/>
  <c r="M287" i="5" s="1"/>
  <c r="F458" i="1"/>
  <c r="F457" i="1"/>
  <c r="G279" i="3"/>
  <c r="D286" i="5" s="1"/>
  <c r="M286" i="5" s="1"/>
  <c r="G280" i="3"/>
  <c r="D285" i="5" s="1"/>
  <c r="M285" i="5" s="1"/>
  <c r="G284" i="3"/>
  <c r="D284" i="5" s="1"/>
  <c r="K284" i="5" s="1"/>
  <c r="G283" i="3"/>
  <c r="D283" i="5" s="1"/>
  <c r="K283" i="5" s="1"/>
  <c r="G287" i="3"/>
  <c r="D282" i="5" s="1"/>
  <c r="K282" i="5" s="1"/>
  <c r="G278" i="3"/>
  <c r="D281" i="5" s="1"/>
  <c r="M281" i="5" s="1"/>
  <c r="G281" i="3"/>
  <c r="D280" i="5" s="1"/>
  <c r="M280" i="5" s="1"/>
  <c r="G282" i="3"/>
  <c r="D279" i="5" s="1"/>
  <c r="M279" i="5" s="1"/>
  <c r="G286" i="3"/>
  <c r="D278" i="5" s="1"/>
  <c r="M278" i="5" s="1"/>
  <c r="G285" i="3"/>
  <c r="D277" i="5" s="1"/>
  <c r="M277" i="5" s="1"/>
  <c r="F448" i="1"/>
  <c r="F449" i="1"/>
  <c r="F450" i="1"/>
  <c r="F451" i="1"/>
  <c r="F452" i="1"/>
  <c r="F453" i="1"/>
  <c r="F454" i="1"/>
  <c r="F455" i="1"/>
  <c r="F456" i="1"/>
  <c r="F446" i="1"/>
  <c r="F447" i="1"/>
  <c r="F445" i="1"/>
  <c r="G84" i="2"/>
  <c r="G259" i="3"/>
  <c r="D276" i="5" s="1"/>
  <c r="K276" i="5" s="1"/>
  <c r="G274" i="3"/>
  <c r="D275" i="5" s="1"/>
  <c r="K275" i="5" s="1"/>
  <c r="G253" i="3"/>
  <c r="D274" i="5" s="1"/>
  <c r="K274" i="5" s="1"/>
  <c r="G264" i="3"/>
  <c r="D273" i="5" s="1"/>
  <c r="M273" i="5" s="1"/>
  <c r="G271" i="3"/>
  <c r="D272" i="5" s="1"/>
  <c r="M272" i="5" s="1"/>
  <c r="G265" i="3"/>
  <c r="D271" i="5" s="1"/>
  <c r="M271" i="5" s="1"/>
  <c r="G268" i="3"/>
  <c r="D270" i="5" s="1"/>
  <c r="M270" i="5" s="1"/>
  <c r="G262" i="3"/>
  <c r="D269" i="5" s="1"/>
  <c r="M269" i="5" s="1"/>
  <c r="G254" i="3"/>
  <c r="D268" i="5" s="1"/>
  <c r="K268" i="5" s="1"/>
  <c r="G276" i="3"/>
  <c r="D267" i="5" s="1"/>
  <c r="K267" i="5" s="1"/>
  <c r="G267" i="3"/>
  <c r="D266" i="5" s="1"/>
  <c r="K266" i="5" s="1"/>
  <c r="G272" i="3"/>
  <c r="D265" i="5" s="1"/>
  <c r="M265" i="5" s="1"/>
  <c r="G273" i="3"/>
  <c r="D264" i="5" s="1"/>
  <c r="M264" i="5" s="1"/>
  <c r="G257" i="3"/>
  <c r="D263" i="5" s="1"/>
  <c r="M263" i="5" s="1"/>
  <c r="G266" i="3"/>
  <c r="D262" i="5" s="1"/>
  <c r="M262" i="5" s="1"/>
  <c r="G256" i="3"/>
  <c r="D261" i="5" s="1"/>
  <c r="M261" i="5" s="1"/>
  <c r="G260" i="3"/>
  <c r="D260" i="5" s="1"/>
  <c r="K260" i="5" s="1"/>
  <c r="G261" i="3"/>
  <c r="D259" i="5" s="1"/>
  <c r="K259" i="5" s="1"/>
  <c r="G269" i="3"/>
  <c r="D258" i="5" s="1"/>
  <c r="K258" i="5" s="1"/>
  <c r="G275" i="3"/>
  <c r="D257" i="5" s="1"/>
  <c r="M257" i="5" s="1"/>
  <c r="G263" i="3"/>
  <c r="D256" i="5" s="1"/>
  <c r="M256" i="5" s="1"/>
  <c r="G258" i="3"/>
  <c r="D255" i="5" s="1"/>
  <c r="M255" i="5" s="1"/>
  <c r="G270" i="3"/>
  <c r="D254" i="5" s="1"/>
  <c r="M254" i="5" s="1"/>
  <c r="G255" i="3"/>
  <c r="D253" i="5" s="1"/>
  <c r="M253" i="5" s="1"/>
  <c r="F440" i="1"/>
  <c r="F439" i="1"/>
  <c r="F438" i="1"/>
  <c r="F435" i="1"/>
  <c r="F434" i="1"/>
  <c r="F433" i="1"/>
  <c r="F432" i="1"/>
  <c r="F431" i="1"/>
  <c r="F430" i="1"/>
  <c r="F429" i="1"/>
  <c r="F428" i="1"/>
  <c r="F427" i="1"/>
  <c r="F425" i="1"/>
  <c r="F423" i="1"/>
  <c r="G250" i="3"/>
  <c r="D252" i="5" s="1"/>
  <c r="K252" i="5" s="1"/>
  <c r="G248" i="3"/>
  <c r="D251" i="5" s="1"/>
  <c r="K251" i="5" s="1"/>
  <c r="G249" i="3"/>
  <c r="D250" i="5" s="1"/>
  <c r="K250" i="5" s="1"/>
  <c r="G252" i="3"/>
  <c r="D249" i="5" s="1"/>
  <c r="M249" i="5" s="1"/>
  <c r="G251" i="3"/>
  <c r="D248" i="5" s="1"/>
  <c r="M248" i="5" s="1"/>
  <c r="F421" i="1"/>
  <c r="F420" i="1"/>
  <c r="F419" i="1"/>
  <c r="F418" i="1"/>
  <c r="F417" i="1"/>
  <c r="F416" i="1"/>
  <c r="F413" i="1"/>
  <c r="F414" i="1"/>
  <c r="F415" i="1"/>
  <c r="F412" i="1"/>
  <c r="F410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0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G247" i="3"/>
  <c r="D246" i="5" s="1"/>
  <c r="M246" i="5" s="1"/>
  <c r="G244" i="3"/>
  <c r="D245" i="5" s="1"/>
  <c r="M245" i="5" s="1"/>
  <c r="G245" i="3"/>
  <c r="D244" i="5" s="1"/>
  <c r="K244" i="5" s="1"/>
  <c r="G240" i="3"/>
  <c r="D243" i="5" s="1"/>
  <c r="K243" i="5" s="1"/>
  <c r="G246" i="3"/>
  <c r="D242" i="5" s="1"/>
  <c r="K242" i="5" s="1"/>
  <c r="G242" i="3"/>
  <c r="D241" i="5" s="1"/>
  <c r="M241" i="5" s="1"/>
  <c r="G241" i="3"/>
  <c r="D240" i="5" s="1"/>
  <c r="M240" i="5" s="1"/>
  <c r="G243" i="3"/>
  <c r="D239" i="5" s="1"/>
  <c r="M239" i="5" s="1"/>
  <c r="G239" i="3"/>
  <c r="D238" i="5" s="1"/>
  <c r="M238" i="5" s="1"/>
  <c r="F364" i="1"/>
  <c r="F365" i="1"/>
  <c r="F366" i="1"/>
  <c r="F367" i="1"/>
  <c r="F368" i="1"/>
  <c r="F370" i="1"/>
  <c r="F371" i="1"/>
  <c r="F361" i="1"/>
  <c r="F360" i="1"/>
  <c r="F359" i="1"/>
  <c r="F358" i="1"/>
  <c r="F357" i="1"/>
  <c r="F356" i="1"/>
  <c r="F354" i="1"/>
  <c r="F353" i="1"/>
  <c r="F352" i="1"/>
  <c r="F351" i="1"/>
  <c r="F350" i="1"/>
  <c r="F349" i="1"/>
  <c r="F347" i="1"/>
  <c r="A2" i="4"/>
  <c r="A3" i="4"/>
  <c r="D3" i="4" s="1"/>
  <c r="A4" i="4"/>
  <c r="C1373" i="1" s="1"/>
  <c r="A5" i="4"/>
  <c r="C1539" i="1" s="1"/>
  <c r="F346" i="1"/>
  <c r="F345" i="1"/>
  <c r="F344" i="1"/>
  <c r="F343" i="1"/>
  <c r="F342" i="1"/>
  <c r="G80" i="2"/>
  <c r="G81" i="2"/>
  <c r="G82" i="2"/>
  <c r="G83" i="2"/>
  <c r="F341" i="1"/>
  <c r="F340" i="1"/>
  <c r="F339" i="1"/>
  <c r="F338" i="1"/>
  <c r="F337" i="1"/>
  <c r="F336" i="1"/>
  <c r="F335" i="1"/>
  <c r="F334" i="1"/>
  <c r="F333" i="1"/>
  <c r="F332" i="1"/>
  <c r="F331" i="1"/>
  <c r="F328" i="1"/>
  <c r="F327" i="1"/>
  <c r="F326" i="1"/>
  <c r="F325" i="1"/>
  <c r="F324" i="1"/>
  <c r="F323" i="1"/>
  <c r="F322" i="1"/>
  <c r="G79" i="2"/>
  <c r="F321" i="1"/>
  <c r="F320" i="1"/>
  <c r="F319" i="1"/>
  <c r="F318" i="1"/>
  <c r="F317" i="1"/>
  <c r="F316" i="1"/>
  <c r="F315" i="1"/>
  <c r="F314" i="1"/>
  <c r="F312" i="1"/>
  <c r="F311" i="1"/>
  <c r="F310" i="1"/>
  <c r="F309" i="1"/>
  <c r="F308" i="1"/>
  <c r="F307" i="1"/>
  <c r="F306" i="1"/>
  <c r="F299" i="1"/>
  <c r="F300" i="1"/>
  <c r="F301" i="1"/>
  <c r="F302" i="1"/>
  <c r="F303" i="1"/>
  <c r="F304" i="1"/>
  <c r="F298" i="1"/>
  <c r="F292" i="1"/>
  <c r="F291" i="1"/>
  <c r="F284" i="1"/>
  <c r="F283" i="1"/>
  <c r="F282" i="1"/>
  <c r="F276" i="1"/>
  <c r="F278" i="1"/>
  <c r="F279" i="1"/>
  <c r="F280" i="1"/>
  <c r="F281" i="1"/>
  <c r="F275" i="1"/>
  <c r="F272" i="1"/>
  <c r="F271" i="1"/>
  <c r="F270" i="1"/>
  <c r="F269" i="1"/>
  <c r="F268" i="1"/>
  <c r="F267" i="1"/>
  <c r="F266" i="1"/>
  <c r="F265" i="1"/>
  <c r="F264" i="1"/>
  <c r="F263" i="1"/>
  <c r="F256" i="1"/>
  <c r="F257" i="1"/>
  <c r="F258" i="1"/>
  <c r="F259" i="1"/>
  <c r="F260" i="1"/>
  <c r="F261" i="1"/>
  <c r="F262" i="1"/>
  <c r="F255" i="1"/>
  <c r="G238" i="3"/>
  <c r="G76" i="2"/>
  <c r="G77" i="2"/>
  <c r="G78" i="2"/>
  <c r="G75" i="2"/>
  <c r="A89" i="4"/>
  <c r="A211" i="5" s="1"/>
  <c r="F248" i="1"/>
  <c r="A210" i="5"/>
  <c r="A221" i="5"/>
  <c r="A222" i="5"/>
  <c r="A223" i="5"/>
  <c r="M223" i="5" s="1"/>
  <c r="A224" i="5"/>
  <c r="D224" i="5" s="1"/>
  <c r="K224" i="5" s="1"/>
  <c r="A216" i="4"/>
  <c r="A229" i="5" s="1"/>
  <c r="A138" i="4"/>
  <c r="A237" i="5" s="1"/>
  <c r="C4094" i="1" s="1"/>
  <c r="A6" i="4"/>
  <c r="C1295" i="1" s="1"/>
  <c r="A7" i="4"/>
  <c r="D7" i="4" s="1"/>
  <c r="A217" i="4"/>
  <c r="A230" i="5" s="1"/>
  <c r="A214" i="4"/>
  <c r="D214" i="4" s="1"/>
  <c r="A218" i="4"/>
  <c r="C2031" i="1" s="1"/>
  <c r="A220" i="4"/>
  <c r="C1960" i="1" s="1"/>
  <c r="A221" i="4"/>
  <c r="C1640" i="1" s="1"/>
  <c r="A219" i="4"/>
  <c r="C1786" i="1" s="1"/>
  <c r="A164" i="4"/>
  <c r="A215" i="5" s="1"/>
  <c r="M215" i="5" s="1"/>
  <c r="A163" i="4"/>
  <c r="A216" i="5" s="1"/>
  <c r="A186" i="4"/>
  <c r="C1686" i="1" s="1"/>
  <c r="A120" i="4"/>
  <c r="A218" i="5" s="1"/>
  <c r="A115" i="4"/>
  <c r="D115" i="4" s="1"/>
  <c r="A213" i="4"/>
  <c r="C2417" i="1" s="1"/>
  <c r="A215" i="4"/>
  <c r="C2416" i="1" s="1"/>
  <c r="A33" i="4"/>
  <c r="A204" i="5" s="1"/>
  <c r="A74" i="4"/>
  <c r="A205" i="5" s="1"/>
  <c r="A203" i="4"/>
  <c r="A206" i="5" s="1"/>
  <c r="A10" i="4"/>
  <c r="A207" i="5" s="1"/>
  <c r="C317" i="1" s="1"/>
  <c r="A46" i="4"/>
  <c r="D46" i="4" s="1"/>
  <c r="A200" i="4"/>
  <c r="D200" i="4" s="1"/>
  <c r="A28" i="4"/>
  <c r="D28" i="4" s="1"/>
  <c r="A168" i="4"/>
  <c r="A212" i="5" s="1"/>
  <c r="A43" i="4"/>
  <c r="A213" i="5" s="1"/>
  <c r="A165" i="4"/>
  <c r="D165" i="4" s="1"/>
  <c r="G232" i="3"/>
  <c r="G235" i="3"/>
  <c r="G237" i="3"/>
  <c r="G236" i="3"/>
  <c r="G234" i="3"/>
  <c r="G230" i="3"/>
  <c r="G233" i="3"/>
  <c r="G231" i="3"/>
  <c r="G229" i="3"/>
  <c r="G217" i="3"/>
  <c r="G218" i="3"/>
  <c r="G226" i="3"/>
  <c r="G222" i="3"/>
  <c r="G223" i="3"/>
  <c r="G224" i="3"/>
  <c r="D247" i="5" s="1"/>
  <c r="M247" i="5" s="1"/>
  <c r="G211" i="3"/>
  <c r="G225" i="3"/>
  <c r="G215" i="3"/>
  <c r="G209" i="3"/>
  <c r="G227" i="3"/>
  <c r="G212" i="3"/>
  <c r="G207" i="3"/>
  <c r="G228" i="3"/>
  <c r="G213" i="3"/>
  <c r="G210" i="3"/>
  <c r="D165" i="5" s="1"/>
  <c r="M165" i="5" s="1"/>
  <c r="G214" i="3"/>
  <c r="G220" i="3"/>
  <c r="G221" i="3"/>
  <c r="G216" i="3"/>
  <c r="G208" i="3"/>
  <c r="G219" i="3"/>
  <c r="D235" i="5" s="1"/>
  <c r="M235" i="5" s="1"/>
  <c r="F239" i="1"/>
  <c r="F240" i="1"/>
  <c r="F241" i="1"/>
  <c r="F242" i="1"/>
  <c r="F243" i="1"/>
  <c r="F238" i="1"/>
  <c r="F234" i="1"/>
  <c r="F235" i="1"/>
  <c r="F236" i="1"/>
  <c r="F237" i="1"/>
  <c r="F233" i="1"/>
  <c r="F229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G74" i="2"/>
  <c r="F204" i="1"/>
  <c r="F203" i="1"/>
  <c r="F202" i="1"/>
  <c r="F201" i="1"/>
  <c r="F200" i="1"/>
  <c r="F199" i="1"/>
  <c r="F198" i="1"/>
  <c r="F196" i="1"/>
  <c r="F195" i="1"/>
  <c r="F194" i="1"/>
  <c r="F193" i="1"/>
  <c r="F192" i="1"/>
  <c r="F191" i="1"/>
  <c r="A208" i="5"/>
  <c r="C304" i="1" s="1"/>
  <c r="A100" i="4"/>
  <c r="A197" i="5" s="1"/>
  <c r="C258" i="1" s="1"/>
  <c r="A144" i="4"/>
  <c r="A198" i="5" s="1"/>
  <c r="A18" i="4"/>
  <c r="A199" i="5" s="1"/>
  <c r="A91" i="4"/>
  <c r="D91" i="4" s="1"/>
  <c r="A159" i="4"/>
  <c r="A201" i="5" s="1"/>
  <c r="A158" i="4"/>
  <c r="A202" i="5" s="1"/>
  <c r="A75" i="4"/>
  <c r="A203" i="5" s="1"/>
  <c r="G190" i="3"/>
  <c r="G187" i="3"/>
  <c r="G193" i="3"/>
  <c r="G189" i="3"/>
  <c r="G191" i="3"/>
  <c r="G192" i="3"/>
  <c r="G205" i="3"/>
  <c r="F190" i="1"/>
  <c r="F189" i="1"/>
  <c r="F188" i="1"/>
  <c r="G201" i="3"/>
  <c r="G200" i="3"/>
  <c r="G182" i="3"/>
  <c r="G181" i="3"/>
  <c r="G198" i="3"/>
  <c r="G199" i="3"/>
  <c r="F187" i="1"/>
  <c r="G206" i="3"/>
  <c r="D184" i="5" s="1"/>
  <c r="K184" i="5" s="1"/>
  <c r="A207" i="4"/>
  <c r="D207" i="4" s="1"/>
  <c r="A135" i="4"/>
  <c r="A185" i="5" s="1"/>
  <c r="A129" i="4"/>
  <c r="A186" i="5" s="1"/>
  <c r="A9" i="4"/>
  <c r="A187" i="5" s="1"/>
  <c r="C220" i="1" s="1"/>
  <c r="A11" i="4"/>
  <c r="A188" i="5" s="1"/>
  <c r="A136" i="4"/>
  <c r="A189" i="5" s="1"/>
  <c r="C286" i="1" s="1"/>
  <c r="A137" i="4"/>
  <c r="A190" i="5" s="1"/>
  <c r="A206" i="4"/>
  <c r="D206" i="4" s="1"/>
  <c r="A102" i="4"/>
  <c r="C200" i="1" s="1"/>
  <c r="A101" i="4"/>
  <c r="A193" i="5" s="1"/>
  <c r="A99" i="4"/>
  <c r="D99" i="4" s="1"/>
  <c r="A103" i="4"/>
  <c r="A195" i="5" s="1"/>
  <c r="A96" i="4"/>
  <c r="A196" i="5" s="1"/>
  <c r="A93" i="4"/>
  <c r="D93" i="4" s="1"/>
  <c r="G185" i="3"/>
  <c r="G183" i="3"/>
  <c r="D183" i="5" s="1"/>
  <c r="K183" i="5" s="1"/>
  <c r="G184" i="3"/>
  <c r="D179" i="5" s="1"/>
  <c r="M179" i="5" s="1"/>
  <c r="K2215" i="1" s="1"/>
  <c r="G203" i="3"/>
  <c r="D182" i="5" s="1"/>
  <c r="K182" i="5" s="1"/>
  <c r="G197" i="3"/>
  <c r="D181" i="5" s="1"/>
  <c r="M181" i="5" s="1"/>
  <c r="G196" i="3"/>
  <c r="D180" i="5" s="1"/>
  <c r="M180" i="5" s="1"/>
  <c r="K2138" i="1" s="1"/>
  <c r="G188" i="3"/>
  <c r="D173" i="5" s="1"/>
  <c r="M173" i="5" s="1"/>
  <c r="K2977" i="1" s="1"/>
  <c r="G202" i="3"/>
  <c r="D178" i="5" s="1"/>
  <c r="M178" i="5" s="1"/>
  <c r="G204" i="3"/>
  <c r="D177" i="5" s="1"/>
  <c r="M177" i="5" s="1"/>
  <c r="G186" i="3"/>
  <c r="K176" i="5" s="1"/>
  <c r="G194" i="3"/>
  <c r="D175" i="5" s="1"/>
  <c r="K175" i="5" s="1"/>
  <c r="G195" i="3"/>
  <c r="D174" i="5" s="1"/>
  <c r="K174" i="5" s="1"/>
  <c r="F186" i="1"/>
  <c r="F185" i="1"/>
  <c r="F184" i="1"/>
  <c r="F183" i="1"/>
  <c r="F182" i="1"/>
  <c r="F181" i="1"/>
  <c r="F180" i="1"/>
  <c r="F179" i="1"/>
  <c r="F178" i="1"/>
  <c r="F176" i="1"/>
  <c r="F175" i="1"/>
  <c r="F174" i="1"/>
  <c r="F173" i="1"/>
  <c r="F172" i="1"/>
  <c r="F171" i="1"/>
  <c r="F169" i="1"/>
  <c r="F168" i="1"/>
  <c r="G179" i="3"/>
  <c r="D172" i="5" s="1"/>
  <c r="M172" i="5" s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H9" i="9"/>
  <c r="I9" i="9" s="1"/>
  <c r="G173" i="3"/>
  <c r="G176" i="3"/>
  <c r="G175" i="3"/>
  <c r="G178" i="3"/>
  <c r="D169" i="5" s="1"/>
  <c r="M169" i="5" s="1"/>
  <c r="G177" i="3"/>
  <c r="D170" i="5" s="1"/>
  <c r="M170" i="5" s="1"/>
  <c r="K2826" i="1" s="1"/>
  <c r="G180" i="3"/>
  <c r="D171" i="5" s="1"/>
  <c r="M171" i="5" s="1"/>
  <c r="F146" i="1"/>
  <c r="F147" i="1"/>
  <c r="F148" i="1"/>
  <c r="F149" i="1"/>
  <c r="F150" i="1"/>
  <c r="F145" i="1"/>
  <c r="G174" i="3"/>
  <c r="F144" i="1"/>
  <c r="F143" i="1"/>
  <c r="F142" i="1"/>
  <c r="F141" i="1"/>
  <c r="F140" i="1"/>
  <c r="G155" i="3"/>
  <c r="G165" i="3"/>
  <c r="G164" i="3"/>
  <c r="G160" i="3"/>
  <c r="G154" i="3"/>
  <c r="G170" i="3"/>
  <c r="G161" i="3"/>
  <c r="F139" i="1"/>
  <c r="G169" i="3"/>
  <c r="G158" i="3"/>
  <c r="G162" i="3"/>
  <c r="G172" i="3"/>
  <c r="G171" i="3"/>
  <c r="G166" i="3"/>
  <c r="G156" i="3"/>
  <c r="G168" i="3"/>
  <c r="G167" i="3"/>
  <c r="G157" i="3"/>
  <c r="G163" i="3"/>
  <c r="G159" i="3"/>
  <c r="F131" i="1"/>
  <c r="G153" i="3"/>
  <c r="F138" i="1"/>
  <c r="F137" i="1"/>
  <c r="F136" i="1"/>
  <c r="F135" i="1"/>
  <c r="G69" i="2"/>
  <c r="G70" i="2"/>
  <c r="G71" i="2"/>
  <c r="G72" i="2"/>
  <c r="G73" i="2"/>
  <c r="F134" i="1"/>
  <c r="F133" i="1"/>
  <c r="F132" i="1"/>
  <c r="F130" i="1"/>
  <c r="F129" i="1"/>
  <c r="F128" i="1"/>
  <c r="F127" i="1"/>
  <c r="F126" i="1"/>
  <c r="F125" i="1"/>
  <c r="G151" i="3"/>
  <c r="G152" i="3"/>
  <c r="G150" i="3"/>
  <c r="G149" i="3"/>
  <c r="H236" i="2" l="1"/>
  <c r="E7370" i="1"/>
  <c r="E7392" i="1"/>
  <c r="E7394" i="1"/>
  <c r="I7392" i="1"/>
  <c r="I7394" i="1"/>
  <c r="I7393" i="1"/>
  <c r="I7370" i="1"/>
  <c r="E7341" i="1"/>
  <c r="I7341" i="1"/>
  <c r="I7342" i="1"/>
  <c r="E7343" i="1"/>
  <c r="E7300" i="1"/>
  <c r="I7300" i="1"/>
  <c r="I7343" i="1"/>
  <c r="E7274" i="1"/>
  <c r="E7272" i="1"/>
  <c r="E7252" i="1"/>
  <c r="I7274" i="1"/>
  <c r="I7272" i="1"/>
  <c r="I7273" i="1"/>
  <c r="I7252" i="1"/>
  <c r="E7219" i="1"/>
  <c r="E7217" i="1"/>
  <c r="I7218" i="1"/>
  <c r="I7219" i="1"/>
  <c r="I7217" i="1"/>
  <c r="E7199" i="1"/>
  <c r="I7197" i="1"/>
  <c r="E7170" i="1"/>
  <c r="I7199" i="1"/>
  <c r="I7198" i="1"/>
  <c r="I7170" i="1"/>
  <c r="E7143" i="1"/>
  <c r="I7143" i="1"/>
  <c r="E7145" i="1"/>
  <c r="E7115" i="1"/>
  <c r="E7092" i="1"/>
  <c r="I7145" i="1"/>
  <c r="I7144" i="1"/>
  <c r="I7115" i="1"/>
  <c r="E7090" i="1"/>
  <c r="I7090" i="1"/>
  <c r="E7070" i="1"/>
  <c r="I7091" i="1"/>
  <c r="I7070" i="1"/>
  <c r="I7092" i="1"/>
  <c r="I7051" i="1"/>
  <c r="E7051" i="1"/>
  <c r="E7053" i="1"/>
  <c r="E7015" i="1"/>
  <c r="I7052" i="1"/>
  <c r="I7015" i="1"/>
  <c r="I7053" i="1"/>
  <c r="E6988" i="1"/>
  <c r="E6952" i="1"/>
  <c r="I6988" i="1"/>
  <c r="E6990" i="1"/>
  <c r="I6918" i="1"/>
  <c r="I6990" i="1"/>
  <c r="I6989" i="1"/>
  <c r="I6952" i="1"/>
  <c r="I6919" i="1"/>
  <c r="I6911" i="1"/>
  <c r="I6920" i="1"/>
  <c r="I6898" i="1"/>
  <c r="E6900" i="1"/>
  <c r="E6869" i="1"/>
  <c r="I6899" i="1"/>
  <c r="I6900" i="1"/>
  <c r="I6869" i="1"/>
  <c r="E6831" i="1"/>
  <c r="I6831" i="1"/>
  <c r="M1036" i="5"/>
  <c r="M1037" i="5"/>
  <c r="M1038" i="5"/>
  <c r="M1039" i="5"/>
  <c r="M1040" i="5"/>
  <c r="M1041" i="5"/>
  <c r="E6833" i="1"/>
  <c r="I6832" i="1"/>
  <c r="E6799" i="1"/>
  <c r="I6799" i="1"/>
  <c r="I6833" i="1"/>
  <c r="E6776" i="1"/>
  <c r="E6774" i="1"/>
  <c r="I6774" i="1"/>
  <c r="E6745" i="1"/>
  <c r="I6776" i="1"/>
  <c r="I6775" i="1"/>
  <c r="I6745" i="1"/>
  <c r="M1024" i="5"/>
  <c r="M1025" i="5"/>
  <c r="M1026" i="5"/>
  <c r="M1027" i="5"/>
  <c r="M1028" i="5"/>
  <c r="M1029" i="5"/>
  <c r="M1030" i="5"/>
  <c r="M1031" i="5"/>
  <c r="M1032" i="5"/>
  <c r="M1033" i="5"/>
  <c r="M1034" i="5"/>
  <c r="M1035" i="5"/>
  <c r="I6709" i="1"/>
  <c r="M1022" i="5"/>
  <c r="M1023" i="5"/>
  <c r="M1010" i="5"/>
  <c r="M1011" i="5"/>
  <c r="M1012" i="5"/>
  <c r="M1013" i="5"/>
  <c r="M1014" i="5"/>
  <c r="M1015" i="5"/>
  <c r="M1016" i="5"/>
  <c r="M1017" i="5"/>
  <c r="M1018" i="5"/>
  <c r="M1019" i="5"/>
  <c r="M1020" i="5"/>
  <c r="M1021" i="5"/>
  <c r="D476" i="5"/>
  <c r="K476" i="5" s="1"/>
  <c r="D978" i="5"/>
  <c r="K978" i="5" s="1"/>
  <c r="E6680" i="1"/>
  <c r="I6638" i="1"/>
  <c r="E6711" i="1"/>
  <c r="I6711" i="1"/>
  <c r="I6680" i="1"/>
  <c r="I6710" i="1"/>
  <c r="I6611" i="1"/>
  <c r="I6637" i="1"/>
  <c r="E6637" i="1"/>
  <c r="E6497" i="1"/>
  <c r="E6512" i="1"/>
  <c r="E6514" i="1"/>
  <c r="E6499" i="1"/>
  <c r="I6499" i="1"/>
  <c r="I6497" i="1"/>
  <c r="I6498" i="1"/>
  <c r="E6639" i="1"/>
  <c r="E6611" i="1"/>
  <c r="I6639" i="1"/>
  <c r="E6459" i="1"/>
  <c r="E6457" i="1"/>
  <c r="I6513" i="1"/>
  <c r="E6582" i="1"/>
  <c r="E6580" i="1"/>
  <c r="I6580" i="1"/>
  <c r="I6514" i="1"/>
  <c r="I6512" i="1"/>
  <c r="I6459" i="1"/>
  <c r="I6458" i="1"/>
  <c r="I6581" i="1"/>
  <c r="I6549" i="1"/>
  <c r="E6549" i="1"/>
  <c r="I6582" i="1"/>
  <c r="I6457" i="1"/>
  <c r="M1007" i="5"/>
  <c r="M1008" i="5"/>
  <c r="M1009" i="5"/>
  <c r="K1006" i="5"/>
  <c r="K1004" i="5"/>
  <c r="K1002" i="5"/>
  <c r="K1000" i="5"/>
  <c r="K994" i="5"/>
  <c r="K992" i="5"/>
  <c r="K990" i="5"/>
  <c r="K988" i="5"/>
  <c r="K986" i="5"/>
  <c r="M976" i="5"/>
  <c r="M974" i="5"/>
  <c r="K980" i="5"/>
  <c r="K982" i="5"/>
  <c r="K984" i="5"/>
  <c r="M986" i="5"/>
  <c r="M988" i="5"/>
  <c r="M990" i="5"/>
  <c r="M992" i="5"/>
  <c r="M994" i="5"/>
  <c r="M996" i="5"/>
  <c r="M998" i="5"/>
  <c r="M1000" i="5"/>
  <c r="M1002" i="5"/>
  <c r="M1004" i="5"/>
  <c r="M1006" i="5"/>
  <c r="K997" i="5"/>
  <c r="K995" i="5"/>
  <c r="K993" i="5"/>
  <c r="K991" i="5"/>
  <c r="K989" i="5"/>
  <c r="K985" i="5"/>
  <c r="M977" i="5"/>
  <c r="M975" i="5"/>
  <c r="M979" i="5"/>
  <c r="M981" i="5"/>
  <c r="M983" i="5"/>
  <c r="M985" i="5"/>
  <c r="M987" i="5"/>
  <c r="M989" i="5"/>
  <c r="M991" i="5"/>
  <c r="M993" i="5"/>
  <c r="M995" i="5"/>
  <c r="M997" i="5"/>
  <c r="M999" i="5"/>
  <c r="M1001" i="5"/>
  <c r="M1003" i="5"/>
  <c r="M1005" i="5"/>
  <c r="K974" i="5"/>
  <c r="K975" i="5"/>
  <c r="K976" i="5"/>
  <c r="K977" i="5"/>
  <c r="I6412" i="1"/>
  <c r="I6410" i="1"/>
  <c r="I6411" i="1"/>
  <c r="E6376" i="1"/>
  <c r="E6276" i="1"/>
  <c r="I6303" i="1"/>
  <c r="I6337" i="1"/>
  <c r="E6365" i="1"/>
  <c r="I6365" i="1"/>
  <c r="I6374" i="1"/>
  <c r="I6338" i="1"/>
  <c r="I6375" i="1"/>
  <c r="I6376" i="1"/>
  <c r="E6278" i="1"/>
  <c r="E215" i="2" s="1"/>
  <c r="I6278" i="1"/>
  <c r="E6339" i="1"/>
  <c r="E6337" i="1"/>
  <c r="I6339" i="1"/>
  <c r="M973" i="5"/>
  <c r="M964" i="5"/>
  <c r="M965" i="5"/>
  <c r="M966" i="5"/>
  <c r="M967" i="5"/>
  <c r="M968" i="5"/>
  <c r="M969" i="5"/>
  <c r="M970" i="5"/>
  <c r="M971" i="5"/>
  <c r="M972" i="5"/>
  <c r="K964" i="5"/>
  <c r="K966" i="5"/>
  <c r="K969" i="5"/>
  <c r="K971" i="5"/>
  <c r="E6232" i="1"/>
  <c r="I6276" i="1"/>
  <c r="D215" i="2" s="1"/>
  <c r="I6277" i="1"/>
  <c r="I6232" i="1"/>
  <c r="C215" i="2" s="1"/>
  <c r="E6203" i="1"/>
  <c r="E6205" i="1"/>
  <c r="E214" i="2" s="1"/>
  <c r="M957" i="5"/>
  <c r="I6203" i="1"/>
  <c r="D214" i="2" s="1"/>
  <c r="M961" i="5"/>
  <c r="M959" i="5"/>
  <c r="M963" i="5"/>
  <c r="M945" i="5"/>
  <c r="M946" i="5"/>
  <c r="M947" i="5"/>
  <c r="M948" i="5"/>
  <c r="M949" i="5"/>
  <c r="M950" i="5"/>
  <c r="M951" i="5"/>
  <c r="M952" i="5"/>
  <c r="M953" i="5"/>
  <c r="M954" i="5"/>
  <c r="M955" i="5"/>
  <c r="M956" i="5"/>
  <c r="M958" i="5"/>
  <c r="M960" i="5"/>
  <c r="M962" i="5"/>
  <c r="E6160" i="1"/>
  <c r="I6160" i="1"/>
  <c r="C214" i="2" s="1"/>
  <c r="I6204" i="1"/>
  <c r="I6205" i="1"/>
  <c r="E5747" i="1"/>
  <c r="E6035" i="1"/>
  <c r="I6112" i="1"/>
  <c r="K943" i="5"/>
  <c r="K941" i="5"/>
  <c r="K939" i="5"/>
  <c r="K937" i="5"/>
  <c r="K935" i="5"/>
  <c r="K933" i="5"/>
  <c r="K931" i="5"/>
  <c r="K929" i="5"/>
  <c r="K927" i="5"/>
  <c r="K925" i="5"/>
  <c r="K923" i="5"/>
  <c r="M943" i="5"/>
  <c r="M941" i="5"/>
  <c r="M939" i="5"/>
  <c r="M935" i="5"/>
  <c r="M933" i="5"/>
  <c r="M931" i="5"/>
  <c r="M929" i="5"/>
  <c r="M927" i="5"/>
  <c r="M925" i="5"/>
  <c r="M923" i="5"/>
  <c r="K944" i="5"/>
  <c r="K942" i="5"/>
  <c r="K940" i="5"/>
  <c r="K938" i="5"/>
  <c r="K936" i="5"/>
  <c r="K934" i="5"/>
  <c r="K932" i="5"/>
  <c r="K930" i="5"/>
  <c r="K928" i="5"/>
  <c r="K926" i="5"/>
  <c r="K924" i="5"/>
  <c r="M934" i="5"/>
  <c r="M932" i="5"/>
  <c r="M930" i="5"/>
  <c r="M928" i="5"/>
  <c r="M926" i="5"/>
  <c r="E6114" i="1"/>
  <c r="E6112" i="1"/>
  <c r="E6076" i="1"/>
  <c r="I6114" i="1"/>
  <c r="I6076" i="1"/>
  <c r="I6113" i="1"/>
  <c r="I5974" i="1"/>
  <c r="E5974" i="1"/>
  <c r="E6033" i="1"/>
  <c r="I6033" i="1"/>
  <c r="I6034" i="1"/>
  <c r="I6035" i="1"/>
  <c r="I6004" i="1"/>
  <c r="E5972" i="1"/>
  <c r="I5972" i="1"/>
  <c r="I5973" i="1"/>
  <c r="I5937" i="1"/>
  <c r="E5908" i="1"/>
  <c r="I5908" i="1"/>
  <c r="E5864" i="1"/>
  <c r="E5906" i="1"/>
  <c r="I5906" i="1"/>
  <c r="I5907" i="1"/>
  <c r="I5864" i="1"/>
  <c r="E5806" i="1"/>
  <c r="E5779" i="1"/>
  <c r="I5806" i="1"/>
  <c r="I5807" i="1"/>
  <c r="E5808" i="1"/>
  <c r="I5779" i="1"/>
  <c r="I5808" i="1"/>
  <c r="E5745" i="1"/>
  <c r="E5710" i="1"/>
  <c r="I5745" i="1"/>
  <c r="I5747" i="1"/>
  <c r="I5710" i="1"/>
  <c r="I5746" i="1"/>
  <c r="E5653" i="1"/>
  <c r="I5516" i="1"/>
  <c r="E5651" i="1"/>
  <c r="I5652" i="1"/>
  <c r="I5653" i="1"/>
  <c r="I5651" i="1"/>
  <c r="E5610" i="1"/>
  <c r="I5610" i="1"/>
  <c r="E5612" i="1"/>
  <c r="E5571" i="1"/>
  <c r="I5612" i="1"/>
  <c r="I5611" i="1"/>
  <c r="I5571" i="1"/>
  <c r="K913" i="5"/>
  <c r="E5516" i="1"/>
  <c r="E205" i="2" s="1"/>
  <c r="E5514" i="1"/>
  <c r="K921" i="5"/>
  <c r="K914" i="5"/>
  <c r="K912" i="5"/>
  <c r="M912" i="5"/>
  <c r="M915" i="5"/>
  <c r="M916" i="5"/>
  <c r="M917" i="5"/>
  <c r="M918" i="5"/>
  <c r="M919" i="5"/>
  <c r="M920" i="5"/>
  <c r="M922" i="5"/>
  <c r="K922" i="5"/>
  <c r="I5515" i="1"/>
  <c r="I5514" i="1"/>
  <c r="D205" i="2" s="1"/>
  <c r="K908" i="5"/>
  <c r="M908" i="5"/>
  <c r="K907" i="5"/>
  <c r="M907" i="5"/>
  <c r="K909" i="5"/>
  <c r="M909" i="5"/>
  <c r="E5457" i="1"/>
  <c r="I5457" i="1"/>
  <c r="C205" i="2" s="1"/>
  <c r="K911" i="5"/>
  <c r="K910" i="5"/>
  <c r="K906" i="5"/>
  <c r="K904" i="5"/>
  <c r="M906" i="5"/>
  <c r="M904" i="5"/>
  <c r="K905" i="5"/>
  <c r="K903" i="5"/>
  <c r="E5403" i="1"/>
  <c r="E5405" i="1"/>
  <c r="E204" i="2" s="1"/>
  <c r="I5404" i="1"/>
  <c r="I5405" i="1"/>
  <c r="I5403" i="1"/>
  <c r="D204" i="2" s="1"/>
  <c r="E5333" i="1"/>
  <c r="I5333" i="1"/>
  <c r="C204" i="2" s="1"/>
  <c r="E5299" i="1"/>
  <c r="E5301" i="1"/>
  <c r="E203" i="2" s="1"/>
  <c r="I5299" i="1"/>
  <c r="D203" i="2" s="1"/>
  <c r="I5300" i="1"/>
  <c r="I5244" i="1"/>
  <c r="C203" i="2" s="1"/>
  <c r="E5244" i="1"/>
  <c r="I5301" i="1"/>
  <c r="E5219" i="1"/>
  <c r="E202" i="2" s="1"/>
  <c r="E5200" i="1"/>
  <c r="I5217" i="1"/>
  <c r="D202" i="2" s="1"/>
  <c r="I5219" i="1"/>
  <c r="I5218" i="1"/>
  <c r="I5200" i="1"/>
  <c r="C202" i="2" s="1"/>
  <c r="E5168" i="1"/>
  <c r="I5168" i="1"/>
  <c r="D201" i="2" s="1"/>
  <c r="E5170" i="1"/>
  <c r="E201" i="2" s="1"/>
  <c r="E5141" i="1"/>
  <c r="I5170" i="1"/>
  <c r="I5169" i="1"/>
  <c r="I5141" i="1"/>
  <c r="C201" i="2" s="1"/>
  <c r="E5024" i="1"/>
  <c r="I5091" i="1"/>
  <c r="D200" i="2" s="1"/>
  <c r="E5092" i="1"/>
  <c r="E200" i="2" s="1"/>
  <c r="E5090" i="1"/>
  <c r="I5090" i="1"/>
  <c r="I5092" i="1"/>
  <c r="I5024" i="1"/>
  <c r="D199" i="2" s="1"/>
  <c r="I4806" i="1"/>
  <c r="I4998" i="1"/>
  <c r="C199" i="2" s="1"/>
  <c r="I4807" i="1"/>
  <c r="E4998" i="1"/>
  <c r="I5026" i="1"/>
  <c r="E5026" i="1"/>
  <c r="E199" i="2" s="1"/>
  <c r="I5025" i="1"/>
  <c r="E4946" i="1"/>
  <c r="E4948" i="1"/>
  <c r="E198" i="2" s="1"/>
  <c r="I4946" i="1"/>
  <c r="D198" i="2" s="1"/>
  <c r="I4948" i="1"/>
  <c r="I4897" i="1"/>
  <c r="C198" i="2" s="1"/>
  <c r="I4947" i="1"/>
  <c r="I4868" i="1"/>
  <c r="M902" i="5"/>
  <c r="I4869" i="1"/>
  <c r="I4867" i="1"/>
  <c r="E4869" i="1"/>
  <c r="E4834" i="1"/>
  <c r="I4834" i="1"/>
  <c r="E4808" i="1"/>
  <c r="E4802" i="1"/>
  <c r="I4756" i="1"/>
  <c r="E4757" i="1"/>
  <c r="E195" i="2" s="1"/>
  <c r="I4755" i="1"/>
  <c r="D195" i="2" s="1"/>
  <c r="E4755" i="1"/>
  <c r="I4757" i="1"/>
  <c r="I4802" i="1"/>
  <c r="I4808" i="1"/>
  <c r="E4710" i="1"/>
  <c r="I4710" i="1"/>
  <c r="C195" i="2" s="1"/>
  <c r="E4681" i="1"/>
  <c r="E194" i="2" s="1"/>
  <c r="E4679" i="1"/>
  <c r="I4680" i="1"/>
  <c r="I4679" i="1"/>
  <c r="D194" i="2" s="1"/>
  <c r="I4681" i="1"/>
  <c r="K889" i="5"/>
  <c r="K890" i="5"/>
  <c r="K891" i="5"/>
  <c r="K892" i="5"/>
  <c r="K893" i="5"/>
  <c r="K894" i="5"/>
  <c r="K895" i="5"/>
  <c r="K896" i="5"/>
  <c r="K897" i="5"/>
  <c r="K898" i="5"/>
  <c r="K899" i="5"/>
  <c r="K900" i="5"/>
  <c r="K901" i="5"/>
  <c r="I4617" i="1"/>
  <c r="E4617" i="1"/>
  <c r="D722" i="5"/>
  <c r="K722" i="5" s="1"/>
  <c r="E4520" i="1"/>
  <c r="I4520" i="1"/>
  <c r="E4499" i="1"/>
  <c r="I4497" i="1"/>
  <c r="E4497" i="1"/>
  <c r="I4498" i="1"/>
  <c r="K888" i="5"/>
  <c r="I4499" i="1"/>
  <c r="K887" i="5"/>
  <c r="M887" i="5"/>
  <c r="K886" i="5"/>
  <c r="K873" i="5"/>
  <c r="M873" i="5"/>
  <c r="M862" i="5"/>
  <c r="M863" i="5"/>
  <c r="M864" i="5"/>
  <c r="M865" i="5"/>
  <c r="M866" i="5"/>
  <c r="M867" i="5"/>
  <c r="M868" i="5"/>
  <c r="M869" i="5"/>
  <c r="M870" i="5"/>
  <c r="M871" i="5"/>
  <c r="M872" i="5"/>
  <c r="M874" i="5"/>
  <c r="M875" i="5"/>
  <c r="M876" i="5"/>
  <c r="M877" i="5"/>
  <c r="M878" i="5"/>
  <c r="M879" i="5"/>
  <c r="M880" i="5"/>
  <c r="M881" i="5"/>
  <c r="M882" i="5"/>
  <c r="M883" i="5"/>
  <c r="M884" i="5"/>
  <c r="M885" i="5"/>
  <c r="E4435" i="1"/>
  <c r="I4435" i="1"/>
  <c r="M856" i="5"/>
  <c r="M857" i="5"/>
  <c r="M858" i="5"/>
  <c r="M859" i="5"/>
  <c r="M860" i="5"/>
  <c r="M861" i="5"/>
  <c r="M854" i="5"/>
  <c r="M855" i="5"/>
  <c r="E4406" i="1"/>
  <c r="I4406" i="1"/>
  <c r="I4405" i="1"/>
  <c r="I4341" i="1"/>
  <c r="E4342" i="1"/>
  <c r="I4342" i="1"/>
  <c r="I4155" i="1"/>
  <c r="E4258" i="1"/>
  <c r="I4258" i="1"/>
  <c r="I4257" i="1"/>
  <c r="I4192" i="1"/>
  <c r="E4193" i="1"/>
  <c r="I4193" i="1"/>
  <c r="I4009" i="1"/>
  <c r="D184" i="2" s="1"/>
  <c r="H184" i="2" s="1"/>
  <c r="I3987" i="1"/>
  <c r="D181" i="2" s="1"/>
  <c r="H181" i="2" s="1"/>
  <c r="I3988" i="1"/>
  <c r="I4010" i="1"/>
  <c r="I4108" i="1"/>
  <c r="I4051" i="1"/>
  <c r="I4154" i="1"/>
  <c r="E4155" i="1"/>
  <c r="I3954" i="1"/>
  <c r="E3954" i="1"/>
  <c r="E179" i="2" s="1"/>
  <c r="I4052" i="1"/>
  <c r="I3953" i="1"/>
  <c r="D179" i="2" s="1"/>
  <c r="H179" i="2" s="1"/>
  <c r="I3824" i="1"/>
  <c r="D173" i="2" s="1"/>
  <c r="I3867" i="1"/>
  <c r="D175" i="2" s="1"/>
  <c r="H175" i="2" s="1"/>
  <c r="I3745" i="1"/>
  <c r="E3745" i="1"/>
  <c r="E171" i="2" s="1"/>
  <c r="E3825" i="1"/>
  <c r="E173" i="2" s="1"/>
  <c r="I3908" i="1"/>
  <c r="E3908" i="1"/>
  <c r="E178" i="2" s="1"/>
  <c r="I3907" i="1"/>
  <c r="D178" i="2" s="1"/>
  <c r="I3825" i="1"/>
  <c r="I3868" i="1"/>
  <c r="E4109" i="1"/>
  <c r="I4109" i="1"/>
  <c r="I3783" i="1"/>
  <c r="E3783" i="1"/>
  <c r="E172" i="2" s="1"/>
  <c r="I3782" i="1"/>
  <c r="D172" i="2" s="1"/>
  <c r="E4052" i="1"/>
  <c r="I3744" i="1"/>
  <c r="D171" i="2" s="1"/>
  <c r="M843" i="5"/>
  <c r="M841" i="5"/>
  <c r="M845" i="5"/>
  <c r="M842" i="5"/>
  <c r="M844" i="5"/>
  <c r="M846" i="5"/>
  <c r="M847" i="5"/>
  <c r="M848" i="5"/>
  <c r="M849" i="5"/>
  <c r="M850" i="5"/>
  <c r="M851" i="5"/>
  <c r="M852" i="5"/>
  <c r="M853" i="5"/>
  <c r="I3717" i="1"/>
  <c r="I3716" i="1"/>
  <c r="D2" i="4"/>
  <c r="B3" i="8"/>
  <c r="K840" i="5"/>
  <c r="M840" i="5"/>
  <c r="M839" i="5"/>
  <c r="K816" i="5"/>
  <c r="M817" i="5"/>
  <c r="K820" i="5"/>
  <c r="K819" i="5"/>
  <c r="K823" i="5"/>
  <c r="K827" i="5"/>
  <c r="K831" i="5"/>
  <c r="K835" i="5"/>
  <c r="M824" i="5"/>
  <c r="M828" i="5"/>
  <c r="M832" i="5"/>
  <c r="M836" i="5"/>
  <c r="M821" i="5"/>
  <c r="M825" i="5"/>
  <c r="M829" i="5"/>
  <c r="M833" i="5"/>
  <c r="M837" i="5"/>
  <c r="M818" i="5"/>
  <c r="M822" i="5"/>
  <c r="M826" i="5"/>
  <c r="M830" i="5"/>
  <c r="M834" i="5"/>
  <c r="M838" i="5"/>
  <c r="E3679" i="1"/>
  <c r="E168" i="2" s="1"/>
  <c r="I3679" i="1"/>
  <c r="E3662" i="1"/>
  <c r="E167" i="2" s="1"/>
  <c r="I3661" i="1"/>
  <c r="D167" i="2" s="1"/>
  <c r="I3678" i="1"/>
  <c r="D168" i="2" s="1"/>
  <c r="H168" i="2" s="1"/>
  <c r="M813" i="5"/>
  <c r="M814" i="5"/>
  <c r="M815" i="5"/>
  <c r="M810" i="5"/>
  <c r="M811" i="5"/>
  <c r="M812" i="5"/>
  <c r="I3662" i="1"/>
  <c r="E3620" i="1"/>
  <c r="E164" i="2" s="1"/>
  <c r="I3619" i="1"/>
  <c r="D164" i="2" s="1"/>
  <c r="I3631" i="1"/>
  <c r="D165" i="2" s="1"/>
  <c r="H165" i="2" s="1"/>
  <c r="I3632" i="1"/>
  <c r="M809" i="5"/>
  <c r="K807" i="5"/>
  <c r="M808" i="5"/>
  <c r="K801" i="5"/>
  <c r="M801" i="5"/>
  <c r="K786" i="5"/>
  <c r="M786" i="5"/>
  <c r="K794" i="5"/>
  <c r="M794" i="5"/>
  <c r="K802" i="5"/>
  <c r="M802" i="5"/>
  <c r="M787" i="5"/>
  <c r="K787" i="5"/>
  <c r="M795" i="5"/>
  <c r="K795" i="5"/>
  <c r="M803" i="5"/>
  <c r="K803" i="5"/>
  <c r="K788" i="5"/>
  <c r="M788" i="5"/>
  <c r="K796" i="5"/>
  <c r="M796" i="5"/>
  <c r="K804" i="5"/>
  <c r="M804" i="5"/>
  <c r="K781" i="5"/>
  <c r="M781" i="5"/>
  <c r="K789" i="5"/>
  <c r="M789" i="5"/>
  <c r="K797" i="5"/>
  <c r="M797" i="5"/>
  <c r="K805" i="5"/>
  <c r="M805" i="5"/>
  <c r="K785" i="5"/>
  <c r="M785" i="5"/>
  <c r="K782" i="5"/>
  <c r="M782" i="5"/>
  <c r="K790" i="5"/>
  <c r="M790" i="5"/>
  <c r="K798" i="5"/>
  <c r="M798" i="5"/>
  <c r="K806" i="5"/>
  <c r="M806" i="5"/>
  <c r="K793" i="5"/>
  <c r="M793" i="5"/>
  <c r="M783" i="5"/>
  <c r="K783" i="5"/>
  <c r="M791" i="5"/>
  <c r="K791" i="5"/>
  <c r="M799" i="5"/>
  <c r="K799" i="5"/>
  <c r="M768" i="5"/>
  <c r="K784" i="5"/>
  <c r="M784" i="5"/>
  <c r="K792" i="5"/>
  <c r="M792" i="5"/>
  <c r="K800" i="5"/>
  <c r="M800" i="5"/>
  <c r="M744" i="5"/>
  <c r="M748" i="5"/>
  <c r="M752" i="5"/>
  <c r="M756" i="5"/>
  <c r="M760" i="5"/>
  <c r="M764" i="5"/>
  <c r="M772" i="5"/>
  <c r="M776" i="5"/>
  <c r="K752" i="5"/>
  <c r="K756" i="5"/>
  <c r="K760" i="5"/>
  <c r="K764" i="5"/>
  <c r="K768" i="5"/>
  <c r="K772" i="5"/>
  <c r="K776" i="5"/>
  <c r="M745" i="5"/>
  <c r="M749" i="5"/>
  <c r="M753" i="5"/>
  <c r="M757" i="5"/>
  <c r="M761" i="5"/>
  <c r="M765" i="5"/>
  <c r="M769" i="5"/>
  <c r="M773" i="5"/>
  <c r="M777" i="5"/>
  <c r="K753" i="5"/>
  <c r="K761" i="5"/>
  <c r="K769" i="5"/>
  <c r="M746" i="5"/>
  <c r="M750" i="5"/>
  <c r="M754" i="5"/>
  <c r="M758" i="5"/>
  <c r="M762" i="5"/>
  <c r="M766" i="5"/>
  <c r="M770" i="5"/>
  <c r="M774" i="5"/>
  <c r="M778" i="5"/>
  <c r="M747" i="5"/>
  <c r="M751" i="5"/>
  <c r="M755" i="5"/>
  <c r="M759" i="5"/>
  <c r="M763" i="5"/>
  <c r="M767" i="5"/>
  <c r="M771" i="5"/>
  <c r="M775" i="5"/>
  <c r="M779" i="5"/>
  <c r="K759" i="5"/>
  <c r="K771" i="5"/>
  <c r="K775" i="5"/>
  <c r="M780" i="5"/>
  <c r="K780" i="5"/>
  <c r="I3584" i="1"/>
  <c r="D163" i="2" s="1"/>
  <c r="I3620" i="1"/>
  <c r="E3585" i="1"/>
  <c r="E163" i="2" s="1"/>
  <c r="I3585" i="1"/>
  <c r="M742" i="5"/>
  <c r="I3531" i="1"/>
  <c r="D161" i="2" s="1"/>
  <c r="K743" i="5"/>
  <c r="C3385" i="1"/>
  <c r="I3549" i="1"/>
  <c r="D162" i="2" s="1"/>
  <c r="H162" i="2" s="1"/>
  <c r="I3550" i="1"/>
  <c r="E3532" i="1"/>
  <c r="E161" i="2" s="1"/>
  <c r="I3481" i="1"/>
  <c r="I3406" i="1"/>
  <c r="I3480" i="1"/>
  <c r="D160" i="2" s="1"/>
  <c r="E3481" i="1"/>
  <c r="E160" i="2" s="1"/>
  <c r="I3444" i="1"/>
  <c r="D159" i="2" s="1"/>
  <c r="H159" i="2" s="1"/>
  <c r="I3532" i="1"/>
  <c r="M739" i="5"/>
  <c r="M740" i="5"/>
  <c r="M737" i="5"/>
  <c r="M741" i="5"/>
  <c r="M738" i="5"/>
  <c r="K719" i="5"/>
  <c r="K723" i="5"/>
  <c r="M726" i="5"/>
  <c r="K731" i="5"/>
  <c r="M734" i="5"/>
  <c r="K735" i="5"/>
  <c r="M718" i="5"/>
  <c r="M730" i="5"/>
  <c r="M727" i="5"/>
  <c r="M716" i="5"/>
  <c r="M720" i="5"/>
  <c r="M724" i="5"/>
  <c r="M728" i="5"/>
  <c r="M732" i="5"/>
  <c r="M736" i="5"/>
  <c r="K720" i="5"/>
  <c r="M717" i="5"/>
  <c r="M721" i="5"/>
  <c r="M725" i="5"/>
  <c r="M729" i="5"/>
  <c r="M733" i="5"/>
  <c r="E3355" i="1"/>
  <c r="I3348" i="1"/>
  <c r="I3387" i="1"/>
  <c r="I3337" i="1"/>
  <c r="I3336" i="1"/>
  <c r="D155" i="2" s="1"/>
  <c r="E3337" i="1"/>
  <c r="E155" i="2" s="1"/>
  <c r="E3348" i="1"/>
  <c r="E156" i="2" s="1"/>
  <c r="I3151" i="1"/>
  <c r="I3347" i="1"/>
  <c r="D156" i="2" s="1"/>
  <c r="I3386" i="1"/>
  <c r="C158" i="2" s="1"/>
  <c r="E3387" i="1"/>
  <c r="E158" i="2" s="1"/>
  <c r="I3445" i="1"/>
  <c r="I3355" i="1"/>
  <c r="M712" i="5"/>
  <c r="M713" i="5"/>
  <c r="M714" i="5"/>
  <c r="M715" i="5"/>
  <c r="M711" i="5"/>
  <c r="M708" i="5"/>
  <c r="M709" i="5"/>
  <c r="K3340" i="1"/>
  <c r="L3340" i="1" s="1"/>
  <c r="M710" i="5"/>
  <c r="K3328" i="1"/>
  <c r="L3328" i="1" s="1"/>
  <c r="M706" i="5"/>
  <c r="M707" i="5"/>
  <c r="K3305" i="1"/>
  <c r="L3305" i="1" s="1"/>
  <c r="I3290" i="1"/>
  <c r="C154" i="2" s="1"/>
  <c r="E3230" i="1"/>
  <c r="I3229" i="1"/>
  <c r="E3280" i="1"/>
  <c r="I3311" i="1"/>
  <c r="E3311" i="1"/>
  <c r="E154" i="2" s="1"/>
  <c r="I3230" i="1"/>
  <c r="I3280" i="1"/>
  <c r="I3146" i="1"/>
  <c r="M705" i="5"/>
  <c r="K697" i="5"/>
  <c r="K701" i="5"/>
  <c r="M698" i="5"/>
  <c r="M702" i="5"/>
  <c r="M699" i="5"/>
  <c r="M703" i="5"/>
  <c r="M696" i="5"/>
  <c r="M700" i="5"/>
  <c r="M704" i="5"/>
  <c r="M692" i="5"/>
  <c r="M693" i="5"/>
  <c r="M690" i="5"/>
  <c r="M694" i="5"/>
  <c r="K3259" i="1"/>
  <c r="L3259" i="1" s="1"/>
  <c r="M691" i="5"/>
  <c r="M695" i="5"/>
  <c r="K3187" i="1"/>
  <c r="L3187" i="1" s="1"/>
  <c r="K3226" i="1"/>
  <c r="L3226" i="1" s="1"/>
  <c r="K3210" i="1"/>
  <c r="L3210" i="1" s="1"/>
  <c r="K3194" i="1"/>
  <c r="L3194" i="1" s="1"/>
  <c r="K3257" i="1"/>
  <c r="L3257" i="1" s="1"/>
  <c r="K3256" i="1"/>
  <c r="L3256" i="1" s="1"/>
  <c r="K3184" i="1"/>
  <c r="L3184" i="1" s="1"/>
  <c r="K3255" i="1"/>
  <c r="L3255" i="1" s="1"/>
  <c r="K3223" i="1"/>
  <c r="L3223" i="1" s="1"/>
  <c r="K3270" i="1"/>
  <c r="L3270" i="1" s="1"/>
  <c r="K3262" i="1"/>
  <c r="L3262" i="1" s="1"/>
  <c r="K3214" i="1"/>
  <c r="L3214" i="1" s="1"/>
  <c r="K3166" i="1"/>
  <c r="L3166" i="1" s="1"/>
  <c r="K3261" i="1"/>
  <c r="L3261" i="1" s="1"/>
  <c r="K3152" i="1"/>
  <c r="L3152" i="1" s="1"/>
  <c r="K3205" i="1"/>
  <c r="L3205" i="1" s="1"/>
  <c r="E3146" i="1"/>
  <c r="E146" i="2" s="1"/>
  <c r="I3145" i="1"/>
  <c r="D146" i="2" s="1"/>
  <c r="M689" i="5"/>
  <c r="K3148" i="1"/>
  <c r="L3148" i="1" s="1"/>
  <c r="M686" i="5"/>
  <c r="M687" i="5"/>
  <c r="M688" i="5"/>
  <c r="K3120" i="1"/>
  <c r="L3120" i="1" s="1"/>
  <c r="I3100" i="1"/>
  <c r="C145" i="2" s="1"/>
  <c r="E3103" i="1"/>
  <c r="E145" i="2" s="1"/>
  <c r="K3093" i="1"/>
  <c r="L3093" i="1" s="1"/>
  <c r="K3090" i="1"/>
  <c r="L3090" i="1" s="1"/>
  <c r="I3103" i="1"/>
  <c r="D218" i="4"/>
  <c r="D186" i="4"/>
  <c r="D138" i="4"/>
  <c r="D74" i="4"/>
  <c r="D18" i="4"/>
  <c r="D10" i="4"/>
  <c r="D217" i="4"/>
  <c r="D137" i="4"/>
  <c r="D129" i="4"/>
  <c r="D89" i="4"/>
  <c r="D33" i="4"/>
  <c r="D9" i="4"/>
  <c r="D216" i="4"/>
  <c r="D168" i="4"/>
  <c r="D144" i="4"/>
  <c r="D136" i="4"/>
  <c r="D120" i="4"/>
  <c r="D96" i="4"/>
  <c r="D215" i="4"/>
  <c r="D159" i="4"/>
  <c r="D135" i="4"/>
  <c r="D103" i="4"/>
  <c r="D158" i="4"/>
  <c r="D102" i="4"/>
  <c r="D6" i="4"/>
  <c r="D221" i="4"/>
  <c r="D213" i="4"/>
  <c r="D101" i="4"/>
  <c r="D5" i="4"/>
  <c r="D220" i="4"/>
  <c r="D164" i="4"/>
  <c r="D100" i="4"/>
  <c r="D4" i="4"/>
  <c r="D219" i="4"/>
  <c r="D203" i="4"/>
  <c r="D163" i="4"/>
  <c r="D75" i="4"/>
  <c r="D43" i="4"/>
  <c r="D11" i="4"/>
  <c r="E3082" i="1"/>
  <c r="E144" i="2" s="1"/>
  <c r="K3055" i="1"/>
  <c r="L3055" i="1" s="1"/>
  <c r="I3032" i="1"/>
  <c r="C144" i="2" s="1"/>
  <c r="I3081" i="1"/>
  <c r="D144" i="2" s="1"/>
  <c r="K3049" i="1"/>
  <c r="L3049" i="1" s="1"/>
  <c r="K3040" i="1"/>
  <c r="L3040" i="1" s="1"/>
  <c r="K3028" i="1"/>
  <c r="L3028" i="1" s="1"/>
  <c r="I3082" i="1"/>
  <c r="K685" i="5"/>
  <c r="E3020" i="1"/>
  <c r="I3019" i="1"/>
  <c r="E143" i="2"/>
  <c r="I2984" i="1"/>
  <c r="C143" i="2" s="1"/>
  <c r="I3020" i="1"/>
  <c r="K2992" i="1"/>
  <c r="L2992" i="1" s="1"/>
  <c r="N57" i="5"/>
  <c r="N8" i="5"/>
  <c r="N162" i="5"/>
  <c r="N143" i="5"/>
  <c r="N54" i="5"/>
  <c r="N6" i="5"/>
  <c r="N160" i="5"/>
  <c r="N103" i="5"/>
  <c r="N47" i="5"/>
  <c r="N245" i="5"/>
  <c r="N159" i="5"/>
  <c r="N100" i="5"/>
  <c r="N35" i="5"/>
  <c r="N158" i="5"/>
  <c r="N89" i="5"/>
  <c r="N34" i="5"/>
  <c r="N176" i="5"/>
  <c r="N157" i="5"/>
  <c r="N88" i="5"/>
  <c r="N33" i="5"/>
  <c r="N167" i="5"/>
  <c r="N148" i="5"/>
  <c r="N87" i="5"/>
  <c r="N4" i="5"/>
  <c r="N164" i="5"/>
  <c r="N147" i="5"/>
  <c r="N72" i="5"/>
  <c r="N3" i="5"/>
  <c r="N163" i="5"/>
  <c r="N146" i="5"/>
  <c r="K2965" i="1"/>
  <c r="K2964" i="1"/>
  <c r="D212" i="5"/>
  <c r="K212" i="5" s="1"/>
  <c r="K218" i="5"/>
  <c r="K2958" i="1"/>
  <c r="K2960" i="1"/>
  <c r="K2936" i="1"/>
  <c r="K2337" i="1"/>
  <c r="I2961" i="1"/>
  <c r="K2653" i="1"/>
  <c r="K2660" i="1"/>
  <c r="K2678" i="1"/>
  <c r="K2685" i="1"/>
  <c r="K2603" i="1"/>
  <c r="K2657" i="1"/>
  <c r="K2602" i="1"/>
  <c r="K2675" i="1"/>
  <c r="K2592" i="1"/>
  <c r="K2630" i="1"/>
  <c r="K2615" i="1"/>
  <c r="K2593" i="1"/>
  <c r="K2572" i="1"/>
  <c r="K2569" i="1"/>
  <c r="K2561" i="1"/>
  <c r="K2567" i="1"/>
  <c r="K2513" i="1"/>
  <c r="K2501" i="1"/>
  <c r="K2500" i="1"/>
  <c r="K2490" i="1"/>
  <c r="K2517" i="1"/>
  <c r="K2515" i="1"/>
  <c r="K2460" i="1"/>
  <c r="K2465" i="1"/>
  <c r="K2464" i="1"/>
  <c r="K2444" i="1"/>
  <c r="K2434" i="1"/>
  <c r="K2435" i="1"/>
  <c r="K2446" i="1"/>
  <c r="K2445" i="1"/>
  <c r="K2421" i="1"/>
  <c r="K2426" i="1"/>
  <c r="K2405" i="1"/>
  <c r="K2340" i="1"/>
  <c r="K2338" i="1"/>
  <c r="K2339" i="1"/>
  <c r="K2382" i="1"/>
  <c r="K2378" i="1"/>
  <c r="K2396" i="1"/>
  <c r="K2411" i="1"/>
  <c r="K2352" i="1"/>
  <c r="K2402" i="1"/>
  <c r="K2351" i="1"/>
  <c r="K2359" i="1"/>
  <c r="K2350" i="1"/>
  <c r="K2328" i="1"/>
  <c r="K2304" i="1"/>
  <c r="K2296" i="1"/>
  <c r="K2319" i="1"/>
  <c r="K2290" i="1"/>
  <c r="K2294" i="1"/>
  <c r="K2252" i="1"/>
  <c r="K2308" i="1"/>
  <c r="K2242" i="1"/>
  <c r="K2264" i="1"/>
  <c r="K2322" i="1"/>
  <c r="K2329" i="1"/>
  <c r="K2305" i="1"/>
  <c r="K2220" i="1"/>
  <c r="K2238" i="1"/>
  <c r="K2230" i="1"/>
  <c r="K2184" i="1"/>
  <c r="K2199" i="1"/>
  <c r="K2207" i="1"/>
  <c r="K2206" i="1"/>
  <c r="K2151" i="1"/>
  <c r="K2178" i="1"/>
  <c r="K2152" i="1"/>
  <c r="K2163" i="1"/>
  <c r="K2725" i="1"/>
  <c r="K2695" i="1"/>
  <c r="K2701" i="1"/>
  <c r="K2720" i="1"/>
  <c r="K2722" i="1"/>
  <c r="B4" i="8"/>
  <c r="B6" i="8"/>
  <c r="B5" i="8"/>
  <c r="F6" i="8"/>
  <c r="K2754" i="1"/>
  <c r="K2758" i="1"/>
  <c r="K2773" i="1"/>
  <c r="K2767" i="1"/>
  <c r="K2749" i="1"/>
  <c r="K2801" i="1"/>
  <c r="K2835" i="1"/>
  <c r="K2846" i="1"/>
  <c r="K2116" i="1"/>
  <c r="I2905" i="1"/>
  <c r="I2934" i="1"/>
  <c r="D141" i="2" s="1"/>
  <c r="H141" i="2" s="1"/>
  <c r="M664" i="5"/>
  <c r="K657" i="5"/>
  <c r="K667" i="5"/>
  <c r="M673" i="5"/>
  <c r="M681" i="5"/>
  <c r="M661" i="5"/>
  <c r="M663" i="5"/>
  <c r="M672" i="5"/>
  <c r="M680" i="5"/>
  <c r="M662" i="5"/>
  <c r="M671" i="5"/>
  <c r="M679" i="5"/>
  <c r="K684" i="5"/>
  <c r="M669" i="5"/>
  <c r="M678" i="5"/>
  <c r="M670" i="5"/>
  <c r="K683" i="5"/>
  <c r="M668" i="5"/>
  <c r="M677" i="5"/>
  <c r="K676" i="5"/>
  <c r="M653" i="5"/>
  <c r="K675" i="5"/>
  <c r="M666" i="5"/>
  <c r="M665" i="5"/>
  <c r="M674" i="5"/>
  <c r="M682" i="5"/>
  <c r="M654" i="5"/>
  <c r="M658" i="5"/>
  <c r="M651" i="5"/>
  <c r="M655" i="5"/>
  <c r="M659" i="5"/>
  <c r="M652" i="5"/>
  <c r="M656" i="5"/>
  <c r="C2825" i="1"/>
  <c r="C2856" i="1"/>
  <c r="K2856" i="1" s="1"/>
  <c r="I2864" i="1"/>
  <c r="I2793" i="1"/>
  <c r="I2814" i="1"/>
  <c r="C2747" i="1"/>
  <c r="C2748" i="1"/>
  <c r="C2769" i="1"/>
  <c r="C2770" i="1"/>
  <c r="M641" i="5"/>
  <c r="K642" i="5"/>
  <c r="M645" i="5"/>
  <c r="M649" i="5"/>
  <c r="K638" i="5"/>
  <c r="M646" i="5"/>
  <c r="M650" i="5"/>
  <c r="M639" i="5"/>
  <c r="M643" i="5"/>
  <c r="M647" i="5"/>
  <c r="M640" i="5"/>
  <c r="M644" i="5"/>
  <c r="M648" i="5"/>
  <c r="I2552" i="1"/>
  <c r="I2737" i="1"/>
  <c r="I2584" i="1"/>
  <c r="I2632" i="1"/>
  <c r="I2692" i="1"/>
  <c r="K634" i="5"/>
  <c r="M631" i="5"/>
  <c r="M635" i="5"/>
  <c r="M632" i="5"/>
  <c r="M636" i="5"/>
  <c r="M633" i="5"/>
  <c r="M637" i="5"/>
  <c r="C2629" i="1"/>
  <c r="C2617" i="1"/>
  <c r="M624" i="5"/>
  <c r="K624" i="5"/>
  <c r="M620" i="5"/>
  <c r="K620" i="5"/>
  <c r="M628" i="5"/>
  <c r="K628" i="5"/>
  <c r="K616" i="5"/>
  <c r="M617" i="5"/>
  <c r="M621" i="5"/>
  <c r="M625" i="5"/>
  <c r="M629" i="5"/>
  <c r="M618" i="5"/>
  <c r="M622" i="5"/>
  <c r="M626" i="5"/>
  <c r="M630" i="5"/>
  <c r="M615" i="5"/>
  <c r="M619" i="5"/>
  <c r="M623" i="5"/>
  <c r="M627" i="5"/>
  <c r="C2495" i="1"/>
  <c r="C2516" i="1"/>
  <c r="I2532" i="1"/>
  <c r="D133" i="2" s="1"/>
  <c r="I2451" i="1"/>
  <c r="I2497" i="1"/>
  <c r="C133" i="2" s="1"/>
  <c r="I2447" i="1"/>
  <c r="D131" i="2" s="1"/>
  <c r="H131" i="2" s="1"/>
  <c r="I2482" i="1"/>
  <c r="K610" i="5"/>
  <c r="M610" i="5"/>
  <c r="K611" i="5"/>
  <c r="M611" i="5"/>
  <c r="K612" i="5"/>
  <c r="M612" i="5"/>
  <c r="K613" i="5"/>
  <c r="M613" i="5"/>
  <c r="K614" i="5"/>
  <c r="M614" i="5"/>
  <c r="K596" i="5"/>
  <c r="M596" i="5"/>
  <c r="M607" i="5"/>
  <c r="K607" i="5"/>
  <c r="K605" i="5"/>
  <c r="M605" i="5"/>
  <c r="K600" i="5"/>
  <c r="M600" i="5"/>
  <c r="K606" i="5"/>
  <c r="M606" i="5"/>
  <c r="M604" i="5"/>
  <c r="M608" i="5"/>
  <c r="M609" i="5"/>
  <c r="M588" i="5"/>
  <c r="M592" i="5"/>
  <c r="M589" i="5"/>
  <c r="M593" i="5"/>
  <c r="M597" i="5"/>
  <c r="M601" i="5"/>
  <c r="M586" i="5"/>
  <c r="M590" i="5"/>
  <c r="M594" i="5"/>
  <c r="M598" i="5"/>
  <c r="M602" i="5"/>
  <c r="M587" i="5"/>
  <c r="M591" i="5"/>
  <c r="M595" i="5"/>
  <c r="M599" i="5"/>
  <c r="M603" i="5"/>
  <c r="C2323" i="1"/>
  <c r="C2302" i="1"/>
  <c r="C2414" i="1"/>
  <c r="I2411" i="1"/>
  <c r="M585" i="5"/>
  <c r="M577" i="5"/>
  <c r="M581" i="5"/>
  <c r="M574" i="5"/>
  <c r="M578" i="5"/>
  <c r="M582" i="5"/>
  <c r="M575" i="5"/>
  <c r="M579" i="5"/>
  <c r="M583" i="5"/>
  <c r="M576" i="5"/>
  <c r="M580" i="5"/>
  <c r="M584" i="5"/>
  <c r="I2363" i="1"/>
  <c r="C130" i="2" s="1"/>
  <c r="H130" i="2" s="1"/>
  <c r="I2329" i="1"/>
  <c r="I2298" i="1"/>
  <c r="C129" i="2" s="1"/>
  <c r="H129" i="2" s="1"/>
  <c r="K572" i="5"/>
  <c r="M573" i="5"/>
  <c r="C2284" i="1"/>
  <c r="I2274" i="1"/>
  <c r="I2220" i="1"/>
  <c r="C127" i="2" s="1"/>
  <c r="H127" i="2" s="1"/>
  <c r="I2236" i="1"/>
  <c r="C128" i="2" s="1"/>
  <c r="I2225" i="1"/>
  <c r="M559" i="5"/>
  <c r="K561" i="5"/>
  <c r="K565" i="5"/>
  <c r="K569" i="5"/>
  <c r="K557" i="5"/>
  <c r="M558" i="5"/>
  <c r="M562" i="5"/>
  <c r="M566" i="5"/>
  <c r="M570" i="5"/>
  <c r="M555" i="5"/>
  <c r="M563" i="5"/>
  <c r="M567" i="5"/>
  <c r="M571" i="5"/>
  <c r="M556" i="5"/>
  <c r="M560" i="5"/>
  <c r="M564" i="5"/>
  <c r="M568" i="5"/>
  <c r="K550" i="5"/>
  <c r="K554" i="5"/>
  <c r="M547" i="5"/>
  <c r="M551" i="5"/>
  <c r="M548" i="5"/>
  <c r="M552" i="5"/>
  <c r="M549" i="5"/>
  <c r="M553" i="5"/>
  <c r="I2185" i="1"/>
  <c r="I2217" i="1"/>
  <c r="C2148" i="1"/>
  <c r="I2141" i="1"/>
  <c r="C125" i="2" s="1"/>
  <c r="I2180" i="1"/>
  <c r="I2132" i="1"/>
  <c r="I2112" i="1"/>
  <c r="C124" i="2" s="1"/>
  <c r="I2099" i="1"/>
  <c r="D123" i="2" s="1"/>
  <c r="H123" i="2" s="1"/>
  <c r="K544" i="5"/>
  <c r="M544" i="5"/>
  <c r="K545" i="5"/>
  <c r="M545" i="5"/>
  <c r="K546" i="5"/>
  <c r="M546" i="5"/>
  <c r="C2005" i="1"/>
  <c r="C2032" i="1"/>
  <c r="C1959" i="1"/>
  <c r="I1985" i="1"/>
  <c r="I2009" i="1"/>
  <c r="I2061" i="1"/>
  <c r="I1967" i="1"/>
  <c r="C120" i="2" s="1"/>
  <c r="M543" i="5"/>
  <c r="M541" i="5"/>
  <c r="M542" i="5"/>
  <c r="M540" i="5"/>
  <c r="I1977" i="1"/>
  <c r="K515" i="5"/>
  <c r="K519" i="5"/>
  <c r="K523" i="5"/>
  <c r="K531" i="5"/>
  <c r="K535" i="5"/>
  <c r="K527" i="5"/>
  <c r="K539" i="5"/>
  <c r="M516" i="5"/>
  <c r="M520" i="5"/>
  <c r="M524" i="5"/>
  <c r="M528" i="5"/>
  <c r="M532" i="5"/>
  <c r="M536" i="5"/>
  <c r="M517" i="5"/>
  <c r="M521" i="5"/>
  <c r="M525" i="5"/>
  <c r="M529" i="5"/>
  <c r="M533" i="5"/>
  <c r="M537" i="5"/>
  <c r="M518" i="5"/>
  <c r="M522" i="5"/>
  <c r="M526" i="5"/>
  <c r="M530" i="5"/>
  <c r="M534" i="5"/>
  <c r="M538" i="5"/>
  <c r="I1939" i="1"/>
  <c r="D119" i="2" s="1"/>
  <c r="H119" i="2" s="1"/>
  <c r="M514" i="5"/>
  <c r="K514" i="5"/>
  <c r="D474" i="5"/>
  <c r="K474" i="5" s="1"/>
  <c r="I1912" i="1"/>
  <c r="D118" i="2" s="1"/>
  <c r="H118" i="2" s="1"/>
  <c r="I1885" i="1"/>
  <c r="I1841" i="1"/>
  <c r="I1861" i="1"/>
  <c r="I1824" i="1"/>
  <c r="I1866" i="1"/>
  <c r="I1725" i="1"/>
  <c r="K513" i="5"/>
  <c r="M512" i="5"/>
  <c r="C1842" i="1"/>
  <c r="C1840" i="1"/>
  <c r="K508" i="5"/>
  <c r="K494" i="5"/>
  <c r="K498" i="5"/>
  <c r="M506" i="5"/>
  <c r="M495" i="5"/>
  <c r="M499" i="5"/>
  <c r="K507" i="5"/>
  <c r="M505" i="5"/>
  <c r="M496" i="5"/>
  <c r="M511" i="5"/>
  <c r="M503" i="5"/>
  <c r="K496" i="5"/>
  <c r="M510" i="5"/>
  <c r="M502" i="5"/>
  <c r="M497" i="5"/>
  <c r="M509" i="5"/>
  <c r="M501" i="5"/>
  <c r="A200" i="5"/>
  <c r="C1824" i="1"/>
  <c r="C1810" i="1"/>
  <c r="I1771" i="1"/>
  <c r="I1670" i="1"/>
  <c r="D111" i="2" s="1"/>
  <c r="H111" i="2" s="1"/>
  <c r="I1789" i="1"/>
  <c r="C115" i="2" s="1"/>
  <c r="H115" i="2" s="1"/>
  <c r="I1632" i="1"/>
  <c r="I1722" i="1"/>
  <c r="I1692" i="1"/>
  <c r="I1745" i="1"/>
  <c r="M490" i="5"/>
  <c r="K492" i="5"/>
  <c r="M489" i="5"/>
  <c r="M493" i="5"/>
  <c r="M491" i="5"/>
  <c r="K486" i="5"/>
  <c r="M486" i="5"/>
  <c r="K488" i="5"/>
  <c r="M488" i="5"/>
  <c r="M487" i="5"/>
  <c r="M467" i="5"/>
  <c r="M479" i="5"/>
  <c r="M464" i="5"/>
  <c r="M475" i="5"/>
  <c r="M476" i="5"/>
  <c r="M468" i="5"/>
  <c r="M480" i="5"/>
  <c r="M483" i="5"/>
  <c r="M460" i="5"/>
  <c r="M471" i="5"/>
  <c r="M484" i="5"/>
  <c r="M472" i="5"/>
  <c r="M463" i="5"/>
  <c r="M461" i="5"/>
  <c r="M465" i="5"/>
  <c r="M469" i="5"/>
  <c r="M473" i="5"/>
  <c r="M477" i="5"/>
  <c r="M481" i="5"/>
  <c r="M485" i="5"/>
  <c r="M462" i="5"/>
  <c r="M466" i="5"/>
  <c r="M470" i="5"/>
  <c r="M478" i="5"/>
  <c r="M482" i="5"/>
  <c r="C1683" i="1"/>
  <c r="I1625" i="1"/>
  <c r="K453" i="5"/>
  <c r="K457" i="5"/>
  <c r="I1601" i="1"/>
  <c r="I1543" i="1"/>
  <c r="K452" i="5"/>
  <c r="K456" i="5"/>
  <c r="M450" i="5"/>
  <c r="M454" i="5"/>
  <c r="M458" i="5"/>
  <c r="M451" i="5"/>
  <c r="M455" i="5"/>
  <c r="M459" i="5"/>
  <c r="C1487" i="1"/>
  <c r="I1537" i="1"/>
  <c r="I1501" i="1"/>
  <c r="I1323" i="1"/>
  <c r="I1366" i="1"/>
  <c r="I1476" i="1"/>
  <c r="I1374" i="1"/>
  <c r="I1421" i="1"/>
  <c r="I1455" i="1"/>
  <c r="M446" i="5"/>
  <c r="M447" i="5"/>
  <c r="M448" i="5"/>
  <c r="M445" i="5"/>
  <c r="M449" i="5"/>
  <c r="C1445" i="1"/>
  <c r="K444" i="5"/>
  <c r="M438" i="5"/>
  <c r="M430" i="5"/>
  <c r="M419" i="5"/>
  <c r="M423" i="5"/>
  <c r="M427" i="5"/>
  <c r="K439" i="5"/>
  <c r="K431" i="5"/>
  <c r="M437" i="5"/>
  <c r="M429" i="5"/>
  <c r="M420" i="5"/>
  <c r="M424" i="5"/>
  <c r="M428" i="5"/>
  <c r="M436" i="5"/>
  <c r="M443" i="5"/>
  <c r="M435" i="5"/>
  <c r="M417" i="5"/>
  <c r="M421" i="5"/>
  <c r="M425" i="5"/>
  <c r="M442" i="5"/>
  <c r="M434" i="5"/>
  <c r="M441" i="5"/>
  <c r="M433" i="5"/>
  <c r="M418" i="5"/>
  <c r="M422" i="5"/>
  <c r="M426" i="5"/>
  <c r="M440" i="5"/>
  <c r="M432" i="5"/>
  <c r="C1365" i="1"/>
  <c r="K403" i="5"/>
  <c r="M406" i="5"/>
  <c r="K411" i="5"/>
  <c r="M414" i="5"/>
  <c r="K410" i="5"/>
  <c r="M407" i="5"/>
  <c r="M415" i="5"/>
  <c r="M404" i="5"/>
  <c r="M408" i="5"/>
  <c r="M412" i="5"/>
  <c r="M416" i="5"/>
  <c r="M405" i="5"/>
  <c r="M409" i="5"/>
  <c r="M413" i="5"/>
  <c r="D348" i="5"/>
  <c r="K348" i="5" s="1"/>
  <c r="M294" i="5"/>
  <c r="D296" i="5"/>
  <c r="M296" i="5" s="1"/>
  <c r="D352" i="5"/>
  <c r="K352" i="5" s="1"/>
  <c r="C1323" i="1"/>
  <c r="C1307" i="1"/>
  <c r="I1311" i="1"/>
  <c r="I1312" i="1" s="1"/>
  <c r="I1269" i="1"/>
  <c r="C103" i="2" s="1"/>
  <c r="I1289" i="1"/>
  <c r="D103" i="2" s="1"/>
  <c r="I1222" i="1"/>
  <c r="M402" i="5"/>
  <c r="C1267" i="1"/>
  <c r="M401" i="5"/>
  <c r="I1260" i="1"/>
  <c r="C1209" i="1"/>
  <c r="C1244" i="1"/>
  <c r="M398" i="5"/>
  <c r="M399" i="5"/>
  <c r="M400" i="5"/>
  <c r="I1112" i="1"/>
  <c r="I1150" i="1"/>
  <c r="I1136" i="1"/>
  <c r="I1199" i="1"/>
  <c r="I1105" i="1"/>
  <c r="I1218" i="1"/>
  <c r="I1068" i="1"/>
  <c r="I1072" i="1"/>
  <c r="K397" i="5"/>
  <c r="M388" i="5"/>
  <c r="K389" i="5"/>
  <c r="M389" i="5"/>
  <c r="K396" i="5"/>
  <c r="K395" i="5"/>
  <c r="K387" i="5"/>
  <c r="K386" i="5"/>
  <c r="M381" i="5"/>
  <c r="K391" i="5"/>
  <c r="K383" i="5"/>
  <c r="K390" i="5"/>
  <c r="K382" i="5"/>
  <c r="D292" i="5"/>
  <c r="K292" i="5" s="1"/>
  <c r="C1166" i="1"/>
  <c r="M380" i="5"/>
  <c r="C1133" i="1"/>
  <c r="C1103" i="1"/>
  <c r="M379" i="5"/>
  <c r="C1063" i="1"/>
  <c r="M378" i="5"/>
  <c r="I983" i="1"/>
  <c r="I928" i="1"/>
  <c r="I978" i="1"/>
  <c r="I882" i="1"/>
  <c r="I892" i="1"/>
  <c r="I1036" i="1"/>
  <c r="I1054" i="1"/>
  <c r="I776" i="1"/>
  <c r="I1020" i="1"/>
  <c r="I720" i="1"/>
  <c r="I848" i="1"/>
  <c r="M376" i="5"/>
  <c r="M377" i="5"/>
  <c r="K371" i="5"/>
  <c r="K372" i="5"/>
  <c r="M370" i="5"/>
  <c r="K374" i="5"/>
  <c r="M375" i="5"/>
  <c r="K369" i="5"/>
  <c r="K373" i="5"/>
  <c r="M368" i="5"/>
  <c r="K354" i="5"/>
  <c r="M327" i="5"/>
  <c r="M341" i="5"/>
  <c r="M333" i="5"/>
  <c r="M345" i="5"/>
  <c r="M360" i="5"/>
  <c r="K362" i="5"/>
  <c r="K366" i="5"/>
  <c r="K358" i="5"/>
  <c r="M328" i="5"/>
  <c r="M337" i="5"/>
  <c r="M357" i="5"/>
  <c r="M349" i="5"/>
  <c r="M364" i="5"/>
  <c r="K365" i="5"/>
  <c r="M344" i="5"/>
  <c r="M336" i="5"/>
  <c r="M356" i="5"/>
  <c r="M363" i="5"/>
  <c r="M343" i="5"/>
  <c r="M335" i="5"/>
  <c r="M355" i="5"/>
  <c r="M347" i="5"/>
  <c r="M342" i="5"/>
  <c r="M334" i="5"/>
  <c r="M346" i="5"/>
  <c r="M361" i="5"/>
  <c r="M353" i="5"/>
  <c r="M331" i="5"/>
  <c r="M340" i="5"/>
  <c r="M332" i="5"/>
  <c r="M367" i="5"/>
  <c r="M330" i="5"/>
  <c r="M339" i="5"/>
  <c r="M359" i="5"/>
  <c r="M351" i="5"/>
  <c r="M329" i="5"/>
  <c r="M338" i="5"/>
  <c r="M350" i="5"/>
  <c r="I830" i="1"/>
  <c r="K323" i="5"/>
  <c r="K324" i="5"/>
  <c r="M326" i="5"/>
  <c r="M325" i="5"/>
  <c r="H765" i="1"/>
  <c r="I531" i="1"/>
  <c r="I292" i="1"/>
  <c r="I741" i="1"/>
  <c r="I636" i="1"/>
  <c r="I700" i="1"/>
  <c r="I713" i="1"/>
  <c r="I495" i="1"/>
  <c r="I584" i="1"/>
  <c r="I615" i="1"/>
  <c r="I516" i="1"/>
  <c r="I682" i="1"/>
  <c r="I625" i="1"/>
  <c r="I565" i="1"/>
  <c r="I653" i="1"/>
  <c r="I441" i="1"/>
  <c r="M250" i="5"/>
  <c r="K263" i="5"/>
  <c r="M314" i="5"/>
  <c r="K255" i="5"/>
  <c r="M306" i="5"/>
  <c r="K319" i="5"/>
  <c r="K239" i="5"/>
  <c r="M298" i="5"/>
  <c r="K311" i="5"/>
  <c r="M290" i="5"/>
  <c r="K303" i="5"/>
  <c r="M282" i="5"/>
  <c r="K295" i="5"/>
  <c r="M274" i="5"/>
  <c r="K279" i="5"/>
  <c r="M266" i="5"/>
  <c r="K271" i="5"/>
  <c r="M322" i="5"/>
  <c r="M258" i="5"/>
  <c r="K321" i="5"/>
  <c r="K313" i="5"/>
  <c r="K305" i="5"/>
  <c r="K297" i="5"/>
  <c r="K289" i="5"/>
  <c r="K281" i="5"/>
  <c r="K273" i="5"/>
  <c r="K265" i="5"/>
  <c r="K257" i="5"/>
  <c r="K249" i="5"/>
  <c r="K241" i="5"/>
  <c r="K181" i="5"/>
  <c r="K173" i="5"/>
  <c r="K165" i="5"/>
  <c r="M316" i="5"/>
  <c r="M308" i="5"/>
  <c r="M300" i="5"/>
  <c r="M284" i="5"/>
  <c r="M276" i="5"/>
  <c r="M268" i="5"/>
  <c r="M260" i="5"/>
  <c r="M252" i="5"/>
  <c r="M244" i="5"/>
  <c r="M184" i="5"/>
  <c r="M176" i="5"/>
  <c r="K320" i="5"/>
  <c r="K312" i="5"/>
  <c r="K304" i="5"/>
  <c r="K288" i="5"/>
  <c r="K280" i="5"/>
  <c r="K272" i="5"/>
  <c r="K264" i="5"/>
  <c r="K256" i="5"/>
  <c r="K248" i="5"/>
  <c r="K240" i="5"/>
  <c r="K180" i="5"/>
  <c r="K172" i="5"/>
  <c r="M315" i="5"/>
  <c r="M307" i="5"/>
  <c r="M299" i="5"/>
  <c r="M291" i="5"/>
  <c r="M283" i="5"/>
  <c r="M275" i="5"/>
  <c r="M267" i="5"/>
  <c r="M259" i="5"/>
  <c r="M251" i="5"/>
  <c r="M243" i="5"/>
  <c r="M183" i="5"/>
  <c r="M175" i="5"/>
  <c r="K287" i="5"/>
  <c r="K171" i="5"/>
  <c r="M242" i="5"/>
  <c r="M182" i="5"/>
  <c r="M174" i="5"/>
  <c r="K2970" i="1" s="1"/>
  <c r="K318" i="5"/>
  <c r="K310" i="5"/>
  <c r="K302" i="5"/>
  <c r="K286" i="5"/>
  <c r="K278" i="5"/>
  <c r="K270" i="5"/>
  <c r="K262" i="5"/>
  <c r="K254" i="5"/>
  <c r="K246" i="5"/>
  <c r="K238" i="5"/>
  <c r="K178" i="5"/>
  <c r="K170" i="5"/>
  <c r="K247" i="5"/>
  <c r="K179" i="5"/>
  <c r="K317" i="5"/>
  <c r="K309" i="5"/>
  <c r="K301" i="5"/>
  <c r="K293" i="5"/>
  <c r="K285" i="5"/>
  <c r="K277" i="5"/>
  <c r="K269" i="5"/>
  <c r="K261" i="5"/>
  <c r="K253" i="5"/>
  <c r="K245" i="5"/>
  <c r="K235" i="5"/>
  <c r="K177" i="5"/>
  <c r="K169" i="5"/>
  <c r="K223" i="5"/>
  <c r="K215" i="5"/>
  <c r="M218" i="5"/>
  <c r="M224" i="5"/>
  <c r="I235" i="1"/>
  <c r="I312" i="1"/>
  <c r="I401" i="1"/>
  <c r="I436" i="1"/>
  <c r="I437" i="1" s="1"/>
  <c r="I272" i="1"/>
  <c r="I273" i="1" s="1"/>
  <c r="I231" i="1"/>
  <c r="I361" i="1"/>
  <c r="I253" i="1"/>
  <c r="I288" i="1"/>
  <c r="I410" i="1"/>
  <c r="I187" i="1"/>
  <c r="I278" i="1"/>
  <c r="I341" i="1"/>
  <c r="I373" i="1"/>
  <c r="I328" i="1"/>
  <c r="I329" i="1" s="1"/>
  <c r="I388" i="1"/>
  <c r="I204" i="1"/>
  <c r="I232" i="1"/>
  <c r="H27" i="9"/>
  <c r="D29" i="9"/>
  <c r="D237" i="5"/>
  <c r="A194" i="5"/>
  <c r="A214" i="5"/>
  <c r="A225" i="5"/>
  <c r="A236" i="5"/>
  <c r="A191" i="5"/>
  <c r="A233" i="5"/>
  <c r="A209" i="5"/>
  <c r="A219" i="5"/>
  <c r="A231" i="5"/>
  <c r="C3137" i="1" s="1"/>
  <c r="C326" i="1"/>
  <c r="D230" i="5"/>
  <c r="D229" i="5"/>
  <c r="A226" i="5"/>
  <c r="C6098" i="1" s="1"/>
  <c r="A220" i="5"/>
  <c r="C3489" i="1" s="1"/>
  <c r="A234" i="5"/>
  <c r="A232" i="5"/>
  <c r="C3374" i="1" s="1"/>
  <c r="A228" i="5"/>
  <c r="C6109" i="1" s="1"/>
  <c r="A217" i="5"/>
  <c r="A227" i="5"/>
  <c r="C309" i="1"/>
  <c r="C295" i="1"/>
  <c r="D213" i="5"/>
  <c r="D198" i="5"/>
  <c r="C271" i="1"/>
  <c r="C267" i="1"/>
  <c r="C268" i="1"/>
  <c r="C241" i="1"/>
  <c r="D197" i="5"/>
  <c r="C214" i="1"/>
  <c r="C208" i="1"/>
  <c r="C216" i="1"/>
  <c r="A192" i="5"/>
  <c r="I169" i="1"/>
  <c r="I183" i="1"/>
  <c r="I177" i="1"/>
  <c r="I164" i="1"/>
  <c r="I151" i="1"/>
  <c r="J152" i="1" s="1"/>
  <c r="I138" i="1"/>
  <c r="G68" i="2"/>
  <c r="G67" i="2"/>
  <c r="F124" i="1"/>
  <c r="C14" i="8"/>
  <c r="B14" i="8"/>
  <c r="C13" i="8"/>
  <c r="B13" i="8"/>
  <c r="C12" i="8"/>
  <c r="B12" i="8"/>
  <c r="C11" i="8"/>
  <c r="B11" i="8"/>
  <c r="C10" i="8"/>
  <c r="C9" i="8"/>
  <c r="C8" i="8"/>
  <c r="C7" i="8"/>
  <c r="G143" i="3"/>
  <c r="G148" i="3"/>
  <c r="G142" i="3"/>
  <c r="G141" i="3"/>
  <c r="G145" i="3"/>
  <c r="G147" i="3"/>
  <c r="G146" i="3"/>
  <c r="G144" i="3"/>
  <c r="G138" i="3"/>
  <c r="D201" i="5" s="1"/>
  <c r="G125" i="3"/>
  <c r="G134" i="3"/>
  <c r="G132" i="3"/>
  <c r="G135" i="3"/>
  <c r="G137" i="3"/>
  <c r="G140" i="3"/>
  <c r="G127" i="3"/>
  <c r="G136" i="3"/>
  <c r="G133" i="3"/>
  <c r="G124" i="3"/>
  <c r="G126" i="3"/>
  <c r="G131" i="3"/>
  <c r="G139" i="3"/>
  <c r="G128" i="3"/>
  <c r="G130" i="3"/>
  <c r="G123" i="3"/>
  <c r="G129" i="3"/>
  <c r="G105" i="3"/>
  <c r="G104" i="3"/>
  <c r="G121" i="3"/>
  <c r="G111" i="3"/>
  <c r="G109" i="3"/>
  <c r="G108" i="3"/>
  <c r="G119" i="3"/>
  <c r="G118" i="3"/>
  <c r="G115" i="3"/>
  <c r="G114" i="3"/>
  <c r="G100" i="3"/>
  <c r="G106" i="3"/>
  <c r="G107" i="3"/>
  <c r="G122" i="3"/>
  <c r="G112" i="3"/>
  <c r="G103" i="3"/>
  <c r="G117" i="3"/>
  <c r="G110" i="3"/>
  <c r="G116" i="3"/>
  <c r="D188" i="5" s="1"/>
  <c r="G113" i="3"/>
  <c r="G102" i="3"/>
  <c r="G120" i="3"/>
  <c r="G101" i="3"/>
  <c r="G98" i="3"/>
  <c r="G99" i="3"/>
  <c r="G97" i="3"/>
  <c r="G86" i="3"/>
  <c r="G85" i="3"/>
  <c r="G91" i="3"/>
  <c r="G76" i="3"/>
  <c r="G75" i="3"/>
  <c r="G88" i="3"/>
  <c r="G81" i="3"/>
  <c r="G77" i="3"/>
  <c r="G89" i="3"/>
  <c r="G74" i="3"/>
  <c r="G94" i="3"/>
  <c r="G80" i="3"/>
  <c r="G72" i="3"/>
  <c r="G73" i="3"/>
  <c r="G96" i="3"/>
  <c r="G95" i="3"/>
  <c r="G84" i="3"/>
  <c r="G70" i="3"/>
  <c r="G79" i="3"/>
  <c r="G82" i="3"/>
  <c r="G83" i="3"/>
  <c r="G93" i="3"/>
  <c r="G90" i="3"/>
  <c r="G87" i="3"/>
  <c r="G92" i="3"/>
  <c r="G78" i="3"/>
  <c r="G71" i="3"/>
  <c r="G51" i="3"/>
  <c r="G68" i="3"/>
  <c r="G49" i="3"/>
  <c r="G52" i="3"/>
  <c r="G53" i="3"/>
  <c r="G50" i="3"/>
  <c r="G67" i="3"/>
  <c r="D205" i="5" s="1"/>
  <c r="G66" i="3"/>
  <c r="G69" i="3"/>
  <c r="D222" i="5" s="1"/>
  <c r="G59" i="3"/>
  <c r="D190" i="5" s="1"/>
  <c r="G61" i="3"/>
  <c r="G58" i="3"/>
  <c r="D189" i="5" s="1"/>
  <c r="G60" i="3"/>
  <c r="G55" i="3"/>
  <c r="D185" i="5" s="1"/>
  <c r="G57" i="3"/>
  <c r="D187" i="5" s="1"/>
  <c r="G54" i="3"/>
  <c r="G56" i="3"/>
  <c r="D186" i="5" s="1"/>
  <c r="G63" i="3"/>
  <c r="G65" i="3"/>
  <c r="D196" i="5" s="1"/>
  <c r="G62" i="3"/>
  <c r="D193" i="5" s="1"/>
  <c r="G64" i="3"/>
  <c r="D195" i="5" s="1"/>
  <c r="G41" i="3"/>
  <c r="G48" i="3"/>
  <c r="D221" i="5" s="1"/>
  <c r="G34" i="3"/>
  <c r="G38" i="3"/>
  <c r="G39" i="3"/>
  <c r="G46" i="3"/>
  <c r="D199" i="5" s="1"/>
  <c r="G37" i="3"/>
  <c r="G36" i="3"/>
  <c r="G40" i="3"/>
  <c r="G47" i="3"/>
  <c r="D206" i="5" s="1"/>
  <c r="G42" i="3"/>
  <c r="G43" i="3"/>
  <c r="G44" i="3"/>
  <c r="G35" i="3"/>
  <c r="G26" i="3"/>
  <c r="G23" i="3"/>
  <c r="G24" i="3"/>
  <c r="G3" i="3"/>
  <c r="G2" i="3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B22" i="2"/>
  <c r="B21" i="2"/>
  <c r="B20" i="2"/>
  <c r="B19" i="2"/>
  <c r="B18" i="2"/>
  <c r="B17" i="2"/>
  <c r="B16" i="2"/>
  <c r="G13" i="2"/>
  <c r="B14" i="2" s="1"/>
  <c r="G14" i="2" s="1"/>
  <c r="B15" i="2" s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M978" i="5" l="1"/>
  <c r="H215" i="2"/>
  <c r="H214" i="2"/>
  <c r="H205" i="2"/>
  <c r="H204" i="2"/>
  <c r="H203" i="2"/>
  <c r="H200" i="2"/>
  <c r="H201" i="2"/>
  <c r="H202" i="2"/>
  <c r="H199" i="2"/>
  <c r="H198" i="2"/>
  <c r="H195" i="2"/>
  <c r="H194" i="2"/>
  <c r="M722" i="5"/>
  <c r="H171" i="2"/>
  <c r="H172" i="2"/>
  <c r="H178" i="2"/>
  <c r="H173" i="2"/>
  <c r="H167" i="2"/>
  <c r="H164" i="2"/>
  <c r="H163" i="2"/>
  <c r="H161" i="2"/>
  <c r="H160" i="2"/>
  <c r="H154" i="2"/>
  <c r="H156" i="2"/>
  <c r="H155" i="2"/>
  <c r="H158" i="2"/>
  <c r="K3341" i="1"/>
  <c r="L3341" i="1" s="1"/>
  <c r="K3344" i="1"/>
  <c r="L3344" i="1" s="1"/>
  <c r="K3352" i="1"/>
  <c r="L3352" i="1" s="1"/>
  <c r="K3353" i="1"/>
  <c r="L3353" i="1" s="1"/>
  <c r="K3350" i="1"/>
  <c r="L3350" i="1" s="1"/>
  <c r="K3346" i="1"/>
  <c r="L3346" i="1" s="1"/>
  <c r="K3342" i="1"/>
  <c r="L3342" i="1" s="1"/>
  <c r="K3345" i="1"/>
  <c r="L3345" i="1" s="1"/>
  <c r="K3349" i="1"/>
  <c r="L3349" i="1" s="1"/>
  <c r="K3339" i="1"/>
  <c r="L3339" i="1" s="1"/>
  <c r="K3351" i="1"/>
  <c r="L3351" i="1" s="1"/>
  <c r="K3343" i="1"/>
  <c r="L3343" i="1" s="1"/>
  <c r="K3338" i="1"/>
  <c r="L3338" i="1" s="1"/>
  <c r="K3333" i="1"/>
  <c r="L3333" i="1" s="1"/>
  <c r="K3314" i="1"/>
  <c r="L3314" i="1" s="1"/>
  <c r="K3329" i="1"/>
  <c r="L3329" i="1" s="1"/>
  <c r="K3327" i="1"/>
  <c r="L3327" i="1" s="1"/>
  <c r="K3323" i="1"/>
  <c r="L3323" i="1" s="1"/>
  <c r="K3320" i="1"/>
  <c r="L3320" i="1" s="1"/>
  <c r="K3322" i="1"/>
  <c r="L3322" i="1" s="1"/>
  <c r="K3321" i="1"/>
  <c r="L3321" i="1" s="1"/>
  <c r="K3334" i="1"/>
  <c r="L3334" i="1" s="1"/>
  <c r="C15" i="8"/>
  <c r="K3326" i="1"/>
  <c r="L3326" i="1" s="1"/>
  <c r="K3324" i="1"/>
  <c r="L3324" i="1" s="1"/>
  <c r="K3330" i="1"/>
  <c r="L3330" i="1" s="1"/>
  <c r="K3316" i="1"/>
  <c r="L3316" i="1" s="1"/>
  <c r="K3325" i="1"/>
  <c r="L3325" i="1" s="1"/>
  <c r="K3315" i="1"/>
  <c r="L3315" i="1" s="1"/>
  <c r="K3318" i="1"/>
  <c r="L3318" i="1" s="1"/>
  <c r="K3313" i="1"/>
  <c r="L3313" i="1" s="1"/>
  <c r="K3335" i="1"/>
  <c r="L3335" i="1" s="1"/>
  <c r="K3332" i="1"/>
  <c r="L3332" i="1" s="1"/>
  <c r="K3312" i="1"/>
  <c r="L3312" i="1" s="1"/>
  <c r="K3317" i="1"/>
  <c r="L3317" i="1" s="1"/>
  <c r="K3319" i="1"/>
  <c r="L3319" i="1" s="1"/>
  <c r="K3295" i="1"/>
  <c r="L3295" i="1" s="1"/>
  <c r="K3293" i="1"/>
  <c r="L3293" i="1" s="1"/>
  <c r="K3307" i="1"/>
  <c r="L3307" i="1" s="1"/>
  <c r="K3285" i="1"/>
  <c r="L3285" i="1" s="1"/>
  <c r="K3288" i="1"/>
  <c r="L3288" i="1" s="1"/>
  <c r="K3301" i="1"/>
  <c r="L3301" i="1" s="1"/>
  <c r="K3297" i="1"/>
  <c r="L3297" i="1" s="1"/>
  <c r="K3292" i="1"/>
  <c r="L3292" i="1" s="1"/>
  <c r="K3298" i="1"/>
  <c r="L3298" i="1" s="1"/>
  <c r="K3304" i="1"/>
  <c r="L3304" i="1" s="1"/>
  <c r="K3284" i="1"/>
  <c r="L3284" i="1" s="1"/>
  <c r="K3283" i="1"/>
  <c r="L3283" i="1" s="1"/>
  <c r="K3287" i="1"/>
  <c r="L3287" i="1" s="1"/>
  <c r="K3308" i="1"/>
  <c r="L3308" i="1" s="1"/>
  <c r="K3303" i="1"/>
  <c r="L3303" i="1" s="1"/>
  <c r="K3286" i="1"/>
  <c r="L3286" i="1" s="1"/>
  <c r="K3290" i="1"/>
  <c r="L3290" i="1" s="1"/>
  <c r="K3306" i="1"/>
  <c r="L3306" i="1" s="1"/>
  <c r="K3282" i="1"/>
  <c r="L3282" i="1" s="1"/>
  <c r="K3302" i="1"/>
  <c r="L3302" i="1" s="1"/>
  <c r="K3294" i="1"/>
  <c r="L3294" i="1" s="1"/>
  <c r="K3289" i="1"/>
  <c r="L3289" i="1" s="1"/>
  <c r="K3296" i="1"/>
  <c r="L3296" i="1" s="1"/>
  <c r="K3291" i="1"/>
  <c r="L3291" i="1" s="1"/>
  <c r="K3299" i="1"/>
  <c r="L3299" i="1" s="1"/>
  <c r="K3300" i="1"/>
  <c r="L3300" i="1" s="1"/>
  <c r="K154" i="2"/>
  <c r="H146" i="2"/>
  <c r="C2994" i="1"/>
  <c r="C3281" i="1"/>
  <c r="K3222" i="1"/>
  <c r="L3222" i="1" s="1"/>
  <c r="K3158" i="1"/>
  <c r="L3158" i="1" s="1"/>
  <c r="K3269" i="1"/>
  <c r="L3269" i="1" s="1"/>
  <c r="K3266" i="1"/>
  <c r="L3266" i="1" s="1"/>
  <c r="K3159" i="1"/>
  <c r="L3159" i="1" s="1"/>
  <c r="K3247" i="1"/>
  <c r="L3247" i="1" s="1"/>
  <c r="K3176" i="1"/>
  <c r="L3176" i="1" s="1"/>
  <c r="K3192" i="1"/>
  <c r="L3192" i="1" s="1"/>
  <c r="K3171" i="1"/>
  <c r="L3171" i="1" s="1"/>
  <c r="K3225" i="1"/>
  <c r="L3225" i="1" s="1"/>
  <c r="K3197" i="1"/>
  <c r="L3197" i="1" s="1"/>
  <c r="K3246" i="1"/>
  <c r="L3246" i="1" s="1"/>
  <c r="K3277" i="1"/>
  <c r="L3277" i="1" s="1"/>
  <c r="K3160" i="1"/>
  <c r="L3160" i="1" s="1"/>
  <c r="K3181" i="1"/>
  <c r="L3181" i="1" s="1"/>
  <c r="K3209" i="1"/>
  <c r="L3209" i="1" s="1"/>
  <c r="K3251" i="1"/>
  <c r="L3251" i="1" s="1"/>
  <c r="K3275" i="1"/>
  <c r="L3275" i="1" s="1"/>
  <c r="K3252" i="1"/>
  <c r="L3252" i="1" s="1"/>
  <c r="K3254" i="1"/>
  <c r="L3254" i="1" s="1"/>
  <c r="K3219" i="1"/>
  <c r="L3219" i="1" s="1"/>
  <c r="K3172" i="1"/>
  <c r="L3172" i="1" s="1"/>
  <c r="K3208" i="1"/>
  <c r="L3208" i="1" s="1"/>
  <c r="K3241" i="1"/>
  <c r="L3241" i="1" s="1"/>
  <c r="K3165" i="1"/>
  <c r="L3165" i="1" s="1"/>
  <c r="K3168" i="1"/>
  <c r="L3168" i="1" s="1"/>
  <c r="K3206" i="1"/>
  <c r="L3206" i="1" s="1"/>
  <c r="K3248" i="1"/>
  <c r="L3248" i="1" s="1"/>
  <c r="K3200" i="1"/>
  <c r="L3200" i="1" s="1"/>
  <c r="K3276" i="1"/>
  <c r="L3276" i="1" s="1"/>
  <c r="K3217" i="1"/>
  <c r="L3217" i="1" s="1"/>
  <c r="K3267" i="1"/>
  <c r="L3267" i="1" s="1"/>
  <c r="K3278" i="1"/>
  <c r="L3278" i="1" s="1"/>
  <c r="K3263" i="1"/>
  <c r="L3263" i="1" s="1"/>
  <c r="K3215" i="1"/>
  <c r="L3215" i="1" s="1"/>
  <c r="K3180" i="1"/>
  <c r="L3180" i="1" s="1"/>
  <c r="K3167" i="1"/>
  <c r="L3167" i="1" s="1"/>
  <c r="K3190" i="1"/>
  <c r="L3190" i="1" s="1"/>
  <c r="K3228" i="1"/>
  <c r="L3228" i="1" s="1"/>
  <c r="K3186" i="1"/>
  <c r="L3186" i="1" s="1"/>
  <c r="K3227" i="1"/>
  <c r="L3227" i="1" s="1"/>
  <c r="K3178" i="1"/>
  <c r="L3178" i="1" s="1"/>
  <c r="K3183" i="1"/>
  <c r="L3183" i="1" s="1"/>
  <c r="K3260" i="1"/>
  <c r="L3260" i="1" s="1"/>
  <c r="K3268" i="1"/>
  <c r="L3268" i="1" s="1"/>
  <c r="K3161" i="1"/>
  <c r="L3161" i="1" s="1"/>
  <c r="K3156" i="1"/>
  <c r="L3156" i="1" s="1"/>
  <c r="K3174" i="1"/>
  <c r="L3174" i="1" s="1"/>
  <c r="K3244" i="1"/>
  <c r="L3244" i="1" s="1"/>
  <c r="K3163" i="1"/>
  <c r="L3163" i="1" s="1"/>
  <c r="K3216" i="1"/>
  <c r="L3216" i="1" s="1"/>
  <c r="K3164" i="1"/>
  <c r="L3164" i="1" s="1"/>
  <c r="K3207" i="1"/>
  <c r="L3207" i="1" s="1"/>
  <c r="K3258" i="1"/>
  <c r="L3258" i="1" s="1"/>
  <c r="K3177" i="1"/>
  <c r="L3177" i="1" s="1"/>
  <c r="K3221" i="1"/>
  <c r="L3221" i="1" s="1"/>
  <c r="K3264" i="1"/>
  <c r="L3264" i="1" s="1"/>
  <c r="K3185" i="1"/>
  <c r="L3185" i="1" s="1"/>
  <c r="K3253" i="1"/>
  <c r="L3253" i="1" s="1"/>
  <c r="K3265" i="1"/>
  <c r="L3265" i="1" s="1"/>
  <c r="K3198" i="1"/>
  <c r="L3198" i="1" s="1"/>
  <c r="K3195" i="1"/>
  <c r="L3195" i="1" s="1"/>
  <c r="K3202" i="1"/>
  <c r="L3202" i="1" s="1"/>
  <c r="K3272" i="1"/>
  <c r="L3272" i="1" s="1"/>
  <c r="K3191" i="1"/>
  <c r="L3191" i="1" s="1"/>
  <c r="K3249" i="1"/>
  <c r="L3249" i="1" s="1"/>
  <c r="K3189" i="1"/>
  <c r="L3189" i="1" s="1"/>
  <c r="K3154" i="1"/>
  <c r="L3154" i="1" s="1"/>
  <c r="K3157" i="1"/>
  <c r="L3157" i="1" s="1"/>
  <c r="K3224" i="1"/>
  <c r="L3224" i="1" s="1"/>
  <c r="K3273" i="1"/>
  <c r="L3273" i="1" s="1"/>
  <c r="K3203" i="1"/>
  <c r="L3203" i="1" s="1"/>
  <c r="K3173" i="1"/>
  <c r="L3173" i="1" s="1"/>
  <c r="K3204" i="1"/>
  <c r="L3204" i="1" s="1"/>
  <c r="K3250" i="1"/>
  <c r="L3250" i="1" s="1"/>
  <c r="K3201" i="1"/>
  <c r="L3201" i="1" s="1"/>
  <c r="K3155" i="1"/>
  <c r="L3155" i="1" s="1"/>
  <c r="K3179" i="1"/>
  <c r="L3179" i="1" s="1"/>
  <c r="K3211" i="1"/>
  <c r="L3211" i="1" s="1"/>
  <c r="K3271" i="1"/>
  <c r="L3271" i="1" s="1"/>
  <c r="K3153" i="1"/>
  <c r="L3153" i="1" s="1"/>
  <c r="K3220" i="1"/>
  <c r="L3220" i="1" s="1"/>
  <c r="K3182" i="1"/>
  <c r="L3182" i="1" s="1"/>
  <c r="K3193" i="1"/>
  <c r="L3193" i="1" s="1"/>
  <c r="K3274" i="1"/>
  <c r="L3274" i="1" s="1"/>
  <c r="K3218" i="1"/>
  <c r="L3218" i="1" s="1"/>
  <c r="K3196" i="1"/>
  <c r="L3196" i="1" s="1"/>
  <c r="K3213" i="1"/>
  <c r="L3213" i="1" s="1"/>
  <c r="K3170" i="1"/>
  <c r="L3170" i="1" s="1"/>
  <c r="K3169" i="1"/>
  <c r="L3169" i="1" s="1"/>
  <c r="K3162" i="1"/>
  <c r="L3162" i="1" s="1"/>
  <c r="K3175" i="1"/>
  <c r="L3175" i="1" s="1"/>
  <c r="K3199" i="1"/>
  <c r="L3199" i="1" s="1"/>
  <c r="K3212" i="1"/>
  <c r="L3212" i="1" s="1"/>
  <c r="K3135" i="1"/>
  <c r="L3135" i="1" s="1"/>
  <c r="K3129" i="1"/>
  <c r="L3129" i="1" s="1"/>
  <c r="K3112" i="1"/>
  <c r="L3112" i="1" s="1"/>
  <c r="K3140" i="1"/>
  <c r="L3140" i="1" s="1"/>
  <c r="K3141" i="1"/>
  <c r="L3141" i="1" s="1"/>
  <c r="K3126" i="1"/>
  <c r="L3126" i="1" s="1"/>
  <c r="K3110" i="1"/>
  <c r="L3110" i="1" s="1"/>
  <c r="K3138" i="1"/>
  <c r="L3138" i="1" s="1"/>
  <c r="K3143" i="1"/>
  <c r="L3143" i="1" s="1"/>
  <c r="K3080" i="1"/>
  <c r="L3080" i="1" s="1"/>
  <c r="K3083" i="1"/>
  <c r="L3083" i="1" s="1"/>
  <c r="K3087" i="1"/>
  <c r="L3087" i="1" s="1"/>
  <c r="K3119" i="1"/>
  <c r="L3119" i="1" s="1"/>
  <c r="K3147" i="1"/>
  <c r="L3147" i="1" s="1"/>
  <c r="K3149" i="1"/>
  <c r="K3086" i="1"/>
  <c r="L3086" i="1" s="1"/>
  <c r="K3084" i="1"/>
  <c r="L3084" i="1" s="1"/>
  <c r="K3121" i="1"/>
  <c r="L3121" i="1" s="1"/>
  <c r="K3123" i="1"/>
  <c r="L3123" i="1" s="1"/>
  <c r="K3105" i="1"/>
  <c r="L3105" i="1" s="1"/>
  <c r="K3092" i="1"/>
  <c r="L3092" i="1" s="1"/>
  <c r="K3144" i="1"/>
  <c r="L3144" i="1" s="1"/>
  <c r="K3117" i="1"/>
  <c r="L3117" i="1" s="1"/>
  <c r="K3107" i="1"/>
  <c r="L3107" i="1" s="1"/>
  <c r="K3109" i="1"/>
  <c r="L3109" i="1" s="1"/>
  <c r="K3136" i="1"/>
  <c r="L3136" i="1" s="1"/>
  <c r="K3127" i="1"/>
  <c r="L3127" i="1" s="1"/>
  <c r="K3097" i="1"/>
  <c r="L3097" i="1" s="1"/>
  <c r="K3132" i="1"/>
  <c r="L3132" i="1" s="1"/>
  <c r="K3108" i="1"/>
  <c r="L3108" i="1" s="1"/>
  <c r="K3104" i="1"/>
  <c r="L3104" i="1" s="1"/>
  <c r="K3096" i="1"/>
  <c r="L3096" i="1" s="1"/>
  <c r="K3079" i="1"/>
  <c r="L3079" i="1" s="1"/>
  <c r="K3101" i="1"/>
  <c r="K3131" i="1"/>
  <c r="L3131" i="1" s="1"/>
  <c r="K3115" i="1"/>
  <c r="L3115" i="1" s="1"/>
  <c r="K3114" i="1"/>
  <c r="L3114" i="1" s="1"/>
  <c r="K3122" i="1"/>
  <c r="L3122" i="1" s="1"/>
  <c r="K3134" i="1"/>
  <c r="L3134" i="1" s="1"/>
  <c r="K3099" i="1"/>
  <c r="L3099" i="1" s="1"/>
  <c r="K3098" i="1"/>
  <c r="L3098" i="1" s="1"/>
  <c r="K3089" i="1"/>
  <c r="L3089" i="1" s="1"/>
  <c r="K3085" i="1"/>
  <c r="L3085" i="1" s="1"/>
  <c r="K3095" i="1"/>
  <c r="L3095" i="1" s="1"/>
  <c r="K3125" i="1"/>
  <c r="L3125" i="1" s="1"/>
  <c r="K3116" i="1"/>
  <c r="L3116" i="1" s="1"/>
  <c r="K3133" i="1"/>
  <c r="L3133" i="1" s="1"/>
  <c r="K3091" i="1"/>
  <c r="L3091" i="1" s="1"/>
  <c r="K3128" i="1"/>
  <c r="L3128" i="1" s="1"/>
  <c r="K3118" i="1"/>
  <c r="L3118" i="1" s="1"/>
  <c r="K3142" i="1"/>
  <c r="L3142" i="1" s="1"/>
  <c r="K3113" i="1"/>
  <c r="L3113" i="1" s="1"/>
  <c r="K3124" i="1"/>
  <c r="L3124" i="1" s="1"/>
  <c r="K3094" i="1"/>
  <c r="L3094" i="1" s="1"/>
  <c r="K3106" i="1"/>
  <c r="L3106" i="1" s="1"/>
  <c r="H145" i="2"/>
  <c r="I1021" i="1"/>
  <c r="H144" i="2"/>
  <c r="K3077" i="1"/>
  <c r="L3077" i="1" s="1"/>
  <c r="K3078" i="1"/>
  <c r="L3078" i="1" s="1"/>
  <c r="K3057" i="1"/>
  <c r="L3057" i="1" s="1"/>
  <c r="K3061" i="1"/>
  <c r="L3061" i="1" s="1"/>
  <c r="K3038" i="1"/>
  <c r="L3038" i="1" s="1"/>
  <c r="K3044" i="1"/>
  <c r="L3044" i="1" s="1"/>
  <c r="K3051" i="1"/>
  <c r="L3051" i="1" s="1"/>
  <c r="K3042" i="1"/>
  <c r="L3042" i="1" s="1"/>
  <c r="K3046" i="1"/>
  <c r="L3046" i="1" s="1"/>
  <c r="K3041" i="1"/>
  <c r="L3041" i="1" s="1"/>
  <c r="K3065" i="1"/>
  <c r="L3065" i="1" s="1"/>
  <c r="K3045" i="1"/>
  <c r="L3045" i="1" s="1"/>
  <c r="K3068" i="1"/>
  <c r="L3068" i="1" s="1"/>
  <c r="K3056" i="1"/>
  <c r="L3056" i="1" s="1"/>
  <c r="K3062" i="1"/>
  <c r="L3062" i="1" s="1"/>
  <c r="K3067" i="1"/>
  <c r="L3067" i="1" s="1"/>
  <c r="K3059" i="1"/>
  <c r="L3059" i="1" s="1"/>
  <c r="K3048" i="1"/>
  <c r="L3048" i="1" s="1"/>
  <c r="K3070" i="1"/>
  <c r="L3070" i="1" s="1"/>
  <c r="K3058" i="1"/>
  <c r="L3058" i="1" s="1"/>
  <c r="K3060" i="1"/>
  <c r="L3060" i="1" s="1"/>
  <c r="K3072" i="1"/>
  <c r="L3072" i="1" s="1"/>
  <c r="K3073" i="1"/>
  <c r="L3073" i="1" s="1"/>
  <c r="K3074" i="1"/>
  <c r="L3074" i="1" s="1"/>
  <c r="K3075" i="1"/>
  <c r="L3075" i="1" s="1"/>
  <c r="K3071" i="1"/>
  <c r="L3071" i="1" s="1"/>
  <c r="K3076" i="1"/>
  <c r="L3076" i="1" s="1"/>
  <c r="K3039" i="1"/>
  <c r="L3039" i="1" s="1"/>
  <c r="K3047" i="1"/>
  <c r="L3047" i="1" s="1"/>
  <c r="K3054" i="1"/>
  <c r="L3054" i="1" s="1"/>
  <c r="K3043" i="1"/>
  <c r="L3043" i="1" s="1"/>
  <c r="K3063" i="1"/>
  <c r="L3063" i="1" s="1"/>
  <c r="K3069" i="1"/>
  <c r="L3069" i="1" s="1"/>
  <c r="K3050" i="1"/>
  <c r="L3050" i="1" s="1"/>
  <c r="K3064" i="1"/>
  <c r="L3064" i="1" s="1"/>
  <c r="K3066" i="1"/>
  <c r="L3066" i="1" s="1"/>
  <c r="K3036" i="1"/>
  <c r="L3036" i="1" s="1"/>
  <c r="K3037" i="1"/>
  <c r="L3037" i="1" s="1"/>
  <c r="K3035" i="1"/>
  <c r="L3035" i="1" s="1"/>
  <c r="K3052" i="1"/>
  <c r="L3052" i="1" s="1"/>
  <c r="K3053" i="1"/>
  <c r="L3053" i="1" s="1"/>
  <c r="K3033" i="1"/>
  <c r="K3034" i="1"/>
  <c r="L3034" i="1" s="1"/>
  <c r="K2980" i="1"/>
  <c r="K3030" i="1"/>
  <c r="L3030" i="1" s="1"/>
  <c r="K2976" i="1"/>
  <c r="K2981" i="1"/>
  <c r="K3018" i="1"/>
  <c r="L3018" i="1" s="1"/>
  <c r="K2973" i="1"/>
  <c r="K3007" i="1"/>
  <c r="L3007" i="1" s="1"/>
  <c r="K3031" i="1"/>
  <c r="L3031" i="1" s="1"/>
  <c r="K3021" i="1"/>
  <c r="K3013" i="1"/>
  <c r="L3013" i="1" s="1"/>
  <c r="K3016" i="1"/>
  <c r="L3016" i="1" s="1"/>
  <c r="K2982" i="1"/>
  <c r="K2997" i="1"/>
  <c r="L2997" i="1" s="1"/>
  <c r="K2989" i="1"/>
  <c r="L2989" i="1" s="1"/>
  <c r="K2978" i="1"/>
  <c r="K2991" i="1"/>
  <c r="L2991" i="1" s="1"/>
  <c r="K3015" i="1"/>
  <c r="L3015" i="1" s="1"/>
  <c r="K2975" i="1"/>
  <c r="K3027" i="1"/>
  <c r="L3027" i="1" s="1"/>
  <c r="K3017" i="1"/>
  <c r="L3017" i="1" s="1"/>
  <c r="K3025" i="1"/>
  <c r="L3025" i="1" s="1"/>
  <c r="K3014" i="1"/>
  <c r="L3014" i="1" s="1"/>
  <c r="K2986" i="1"/>
  <c r="L2986" i="1" s="1"/>
  <c r="K2993" i="1"/>
  <c r="L2993" i="1" s="1"/>
  <c r="K2996" i="1"/>
  <c r="L2996" i="1" s="1"/>
  <c r="K2974" i="1"/>
  <c r="K3000" i="1"/>
  <c r="L3000" i="1" s="1"/>
  <c r="K2987" i="1"/>
  <c r="L2987" i="1" s="1"/>
  <c r="K2985" i="1"/>
  <c r="L2985" i="1" s="1"/>
  <c r="K2990" i="1"/>
  <c r="L2990" i="1" s="1"/>
  <c r="K2988" i="1"/>
  <c r="L2988" i="1" s="1"/>
  <c r="K3001" i="1"/>
  <c r="L3001" i="1" s="1"/>
  <c r="K3029" i="1"/>
  <c r="L3029" i="1" s="1"/>
  <c r="K2979" i="1"/>
  <c r="K3008" i="1"/>
  <c r="L3008" i="1" s="1"/>
  <c r="K3003" i="1"/>
  <c r="L3003" i="1" s="1"/>
  <c r="K3011" i="1"/>
  <c r="L3011" i="1" s="1"/>
  <c r="K3009" i="1"/>
  <c r="L3009" i="1" s="1"/>
  <c r="K3004" i="1"/>
  <c r="L3004" i="1" s="1"/>
  <c r="K3002" i="1"/>
  <c r="L3002" i="1" s="1"/>
  <c r="K3010" i="1"/>
  <c r="L3010" i="1" s="1"/>
  <c r="K2998" i="1"/>
  <c r="L2998" i="1" s="1"/>
  <c r="K3005" i="1"/>
  <c r="L3005" i="1" s="1"/>
  <c r="K3022" i="1"/>
  <c r="L3022" i="1" s="1"/>
  <c r="K2995" i="1"/>
  <c r="L2995" i="1" s="1"/>
  <c r="K2999" i="1"/>
  <c r="L2999" i="1" s="1"/>
  <c r="K2983" i="1"/>
  <c r="K3023" i="1"/>
  <c r="L3023" i="1" s="1"/>
  <c r="K3024" i="1"/>
  <c r="L3024" i="1" s="1"/>
  <c r="K3012" i="1"/>
  <c r="L3012" i="1" s="1"/>
  <c r="K3026" i="1"/>
  <c r="L3026" i="1" s="1"/>
  <c r="D142" i="2"/>
  <c r="H142" i="2" s="1"/>
  <c r="I2962" i="1"/>
  <c r="K2969" i="1"/>
  <c r="K2972" i="1"/>
  <c r="K2971" i="1"/>
  <c r="K2968" i="1"/>
  <c r="K2963" i="1"/>
  <c r="K2967" i="1"/>
  <c r="C257" i="1"/>
  <c r="C283" i="1"/>
  <c r="M212" i="5"/>
  <c r="D220" i="5"/>
  <c r="M220" i="5" s="1"/>
  <c r="D226" i="5"/>
  <c r="K226" i="5" s="1"/>
  <c r="C206" i="1"/>
  <c r="C2955" i="1"/>
  <c r="D236" i="5"/>
  <c r="K236" i="5" s="1"/>
  <c r="D227" i="5"/>
  <c r="K227" i="5" s="1"/>
  <c r="C2944" i="1"/>
  <c r="D214" i="5"/>
  <c r="K214" i="5" s="1"/>
  <c r="K2959" i="1"/>
  <c r="K2957" i="1"/>
  <c r="K2956" i="1"/>
  <c r="K2954" i="1"/>
  <c r="K2953" i="1"/>
  <c r="K2950" i="1"/>
  <c r="K2951" i="1"/>
  <c r="K2952" i="1"/>
  <c r="K2946" i="1"/>
  <c r="K2949" i="1"/>
  <c r="K2318" i="1"/>
  <c r="K2177" i="1"/>
  <c r="K2253" i="1"/>
  <c r="K2625" i="1"/>
  <c r="K2260" i="1"/>
  <c r="K2945" i="1"/>
  <c r="K2187" i="1"/>
  <c r="K2398" i="1"/>
  <c r="K2604" i="1"/>
  <c r="K2629" i="1"/>
  <c r="K2161" i="1"/>
  <c r="K2584" i="1"/>
  <c r="K2837" i="1"/>
  <c r="K2942" i="1"/>
  <c r="K2769" i="1"/>
  <c r="K2708" i="1"/>
  <c r="K2239" i="1"/>
  <c r="K2297" i="1"/>
  <c r="K2211" i="1"/>
  <c r="K2424" i="1"/>
  <c r="K2485" i="1"/>
  <c r="K2563" i="1"/>
  <c r="K2600" i="1"/>
  <c r="K2937" i="1"/>
  <c r="K2882" i="1"/>
  <c r="K2130" i="1"/>
  <c r="K2457" i="1"/>
  <c r="K2888" i="1"/>
  <c r="K2869" i="1"/>
  <c r="K2654" i="1"/>
  <c r="K2474" i="1"/>
  <c r="K2132" i="1"/>
  <c r="K2278" i="1"/>
  <c r="K2383" i="1"/>
  <c r="K2277" i="1"/>
  <c r="K2940" i="1"/>
  <c r="K2902" i="1"/>
  <c r="K2838" i="1"/>
  <c r="K2814" i="1"/>
  <c r="K2752" i="1"/>
  <c r="K2162" i="1"/>
  <c r="K2205" i="1"/>
  <c r="K2247" i="1"/>
  <c r="K2200" i="1"/>
  <c r="K2279" i="1"/>
  <c r="K2301" i="1"/>
  <c r="K2399" i="1"/>
  <c r="K2425" i="1"/>
  <c r="K2468" i="1"/>
  <c r="K2526" i="1"/>
  <c r="K2534" i="1"/>
  <c r="K2551" i="1"/>
  <c r="K2616" i="1"/>
  <c r="K2608" i="1"/>
  <c r="K2646" i="1"/>
  <c r="K2938" i="1"/>
  <c r="K2908" i="1"/>
  <c r="K2135" i="1"/>
  <c r="K2452" i="1"/>
  <c r="K2943" i="1"/>
  <c r="K2140" i="1"/>
  <c r="K2101" i="1"/>
  <c r="K2189" i="1"/>
  <c r="K2335" i="1"/>
  <c r="K2233" i="1"/>
  <c r="K2295" i="1"/>
  <c r="K2803" i="1"/>
  <c r="K2889" i="1"/>
  <c r="K2861" i="1"/>
  <c r="K2711" i="1"/>
  <c r="K2717" i="1"/>
  <c r="K2356" i="1"/>
  <c r="K2470" i="1"/>
  <c r="K2714" i="1"/>
  <c r="K2516" i="1"/>
  <c r="K2898" i="1"/>
  <c r="K2744" i="1"/>
  <c r="K2222" i="1"/>
  <c r="K2237" i="1"/>
  <c r="K2288" i="1"/>
  <c r="K2466" i="1"/>
  <c r="K2549" i="1"/>
  <c r="K2560" i="1"/>
  <c r="K2813" i="1"/>
  <c r="K2259" i="1"/>
  <c r="K2771" i="1"/>
  <c r="K2176" i="1"/>
  <c r="K2620" i="1"/>
  <c r="K2797" i="1"/>
  <c r="K2379" i="1"/>
  <c r="K2670" i="1"/>
  <c r="K2787" i="1"/>
  <c r="K2893" i="1"/>
  <c r="K2914" i="1"/>
  <c r="K2885" i="1"/>
  <c r="K2827" i="1"/>
  <c r="K2117" i="1"/>
  <c r="K2776" i="1"/>
  <c r="K2702" i="1"/>
  <c r="K2144" i="1"/>
  <c r="K2271" i="1"/>
  <c r="K2236" i="1"/>
  <c r="K2192" i="1"/>
  <c r="K2313" i="1"/>
  <c r="K2317" i="1"/>
  <c r="K2436" i="1"/>
  <c r="K2527" i="1"/>
  <c r="K2502" i="1"/>
  <c r="K2577" i="1"/>
  <c r="K2587" i="1"/>
  <c r="K2643" i="1"/>
  <c r="K2800" i="1"/>
  <c r="K2139" i="1"/>
  <c r="K2931" i="1"/>
  <c r="K2710" i="1"/>
  <c r="K2467" i="1"/>
  <c r="K2309" i="1"/>
  <c r="K2848" i="1"/>
  <c r="K2918" i="1"/>
  <c r="K2928" i="1"/>
  <c r="K2476" i="1"/>
  <c r="K2640" i="1"/>
  <c r="K2543" i="1"/>
  <c r="K2573" i="1"/>
  <c r="K2687" i="1"/>
  <c r="K2864" i="1"/>
  <c r="K2636" i="1"/>
  <c r="K2175" i="1"/>
  <c r="K2679" i="1"/>
  <c r="K2323" i="1"/>
  <c r="K2680" i="1"/>
  <c r="K2874" i="1"/>
  <c r="K2836" i="1"/>
  <c r="K2746" i="1"/>
  <c r="K2136" i="1"/>
  <c r="K2696" i="1"/>
  <c r="K2159" i="1"/>
  <c r="K2263" i="1"/>
  <c r="K2292" i="1"/>
  <c r="K2289" i="1"/>
  <c r="K2394" i="1"/>
  <c r="K2397" i="1"/>
  <c r="K2469" i="1"/>
  <c r="K2511" i="1"/>
  <c r="K2487" i="1"/>
  <c r="K2557" i="1"/>
  <c r="K2595" i="1"/>
  <c r="K2673" i="1"/>
  <c r="K2818" i="1"/>
  <c r="K2774" i="1"/>
  <c r="K2810" i="1"/>
  <c r="K2922" i="1"/>
  <c r="K2225" i="1"/>
  <c r="K2124" i="1"/>
  <c r="K2728" i="1"/>
  <c r="K2128" i="1"/>
  <c r="K2147" i="1"/>
  <c r="K2566" i="1"/>
  <c r="K2699" i="1"/>
  <c r="K2598" i="1"/>
  <c r="K2664" i="1"/>
  <c r="K2761" i="1"/>
  <c r="K2849" i="1"/>
  <c r="K2542" i="1"/>
  <c r="K2401" i="1"/>
  <c r="K2740" i="1"/>
  <c r="K2254" i="1"/>
  <c r="K2684" i="1"/>
  <c r="K2755" i="1"/>
  <c r="K2580" i="1"/>
  <c r="K2911" i="1"/>
  <c r="K2709" i="1"/>
  <c r="K2900" i="1"/>
  <c r="K2909" i="1"/>
  <c r="K2867" i="1"/>
  <c r="K2811" i="1"/>
  <c r="K2704" i="1"/>
  <c r="K2718" i="1"/>
  <c r="K2134" i="1"/>
  <c r="K2712" i="1"/>
  <c r="K2191" i="1"/>
  <c r="K2249" i="1"/>
  <c r="K2300" i="1"/>
  <c r="K2320" i="1"/>
  <c r="K2390" i="1"/>
  <c r="K2400" i="1"/>
  <c r="K2471" i="1"/>
  <c r="K2481" i="1"/>
  <c r="K2581" i="1"/>
  <c r="K2536" i="1"/>
  <c r="K2627" i="1"/>
  <c r="K2553" i="1"/>
  <c r="K2662" i="1"/>
  <c r="K2677" i="1"/>
  <c r="K2804" i="1"/>
  <c r="K2859" i="1"/>
  <c r="K2796" i="1"/>
  <c r="K2766" i="1"/>
  <c r="K2113" i="1"/>
  <c r="K2745" i="1"/>
  <c r="K2354" i="1"/>
  <c r="K2716" i="1"/>
  <c r="K2591" i="1"/>
  <c r="K2652" i="1"/>
  <c r="K2843" i="1"/>
  <c r="K2919" i="1"/>
  <c r="K2579" i="1"/>
  <c r="K2388" i="1"/>
  <c r="K2649" i="1"/>
  <c r="K2896" i="1"/>
  <c r="K2802" i="1"/>
  <c r="K2141" i="1"/>
  <c r="K2315" i="1"/>
  <c r="K2185" i="1"/>
  <c r="K2641" i="1"/>
  <c r="K2530" i="1"/>
  <c r="K2529" i="1"/>
  <c r="K2303" i="1"/>
  <c r="K2164" i="1"/>
  <c r="K2901" i="1"/>
  <c r="K2105" i="1"/>
  <c r="K2897" i="1"/>
  <c r="K2739" i="1"/>
  <c r="K2617" i="1"/>
  <c r="K2934" i="1"/>
  <c r="K2112" i="1"/>
  <c r="K2830" i="1"/>
  <c r="K2736" i="1"/>
  <c r="K2727" i="1"/>
  <c r="K2703" i="1"/>
  <c r="K2179" i="1"/>
  <c r="K2269" i="1"/>
  <c r="K2235" i="1"/>
  <c r="K2183" i="1"/>
  <c r="K2368" i="1"/>
  <c r="K2372" i="1"/>
  <c r="K2431" i="1"/>
  <c r="K2455" i="1"/>
  <c r="K2508" i="1"/>
  <c r="K2574" i="1"/>
  <c r="K2606" i="1"/>
  <c r="K2663" i="1"/>
  <c r="K2107" i="1"/>
  <c r="K2531" i="1"/>
  <c r="K2799" i="1"/>
  <c r="K2886" i="1"/>
  <c r="K2876" i="1"/>
  <c r="K2659" i="1"/>
  <c r="K2114" i="1"/>
  <c r="K2344" i="1"/>
  <c r="K2380" i="1"/>
  <c r="K2377" i="1"/>
  <c r="K2520" i="1"/>
  <c r="K2556" i="1"/>
  <c r="K2612" i="1"/>
  <c r="K2588" i="1"/>
  <c r="K2658" i="1"/>
  <c r="K2270" i="1"/>
  <c r="K2844" i="1"/>
  <c r="K2878" i="1"/>
  <c r="K2655" i="1"/>
  <c r="K2772" i="1"/>
  <c r="K2188" i="1"/>
  <c r="K2419" i="1"/>
  <c r="K2127" i="1"/>
  <c r="K2149" i="1"/>
  <c r="K2243" i="1"/>
  <c r="K2256" i="1"/>
  <c r="K2316" i="1"/>
  <c r="K2195" i="1"/>
  <c r="K2545" i="1"/>
  <c r="K2370" i="1"/>
  <c r="K2757" i="1"/>
  <c r="K2547" i="1"/>
  <c r="K2854" i="1"/>
  <c r="K2131" i="1"/>
  <c r="K2812" i="1"/>
  <c r="K2597" i="1"/>
  <c r="K2939" i="1"/>
  <c r="K2809" i="1"/>
  <c r="K2743" i="1"/>
  <c r="K2791" i="1"/>
  <c r="K2912" i="1"/>
  <c r="K2118" i="1"/>
  <c r="K2862" i="1"/>
  <c r="K2750" i="1"/>
  <c r="K2742" i="1"/>
  <c r="K2705" i="1"/>
  <c r="K2165" i="1"/>
  <c r="K2146" i="1"/>
  <c r="K2221" i="1"/>
  <c r="K2198" i="1"/>
  <c r="K2250" i="1"/>
  <c r="K2307" i="1"/>
  <c r="K2280" i="1"/>
  <c r="K2384" i="1"/>
  <c r="K2345" i="1"/>
  <c r="K2422" i="1"/>
  <c r="K2447" i="1"/>
  <c r="K2498" i="1"/>
  <c r="K2575" i="1"/>
  <c r="K2594" i="1"/>
  <c r="K2656" i="1"/>
  <c r="K2104" i="1"/>
  <c r="K2126" i="1"/>
  <c r="K2245" i="1"/>
  <c r="K2915" i="1"/>
  <c r="K2741" i="1"/>
  <c r="K2847" i="1"/>
  <c r="K2868" i="1"/>
  <c r="K2494" i="1"/>
  <c r="K2638" i="1"/>
  <c r="K2941" i="1"/>
  <c r="K2302" i="1"/>
  <c r="K2570" i="1"/>
  <c r="K2639" i="1"/>
  <c r="K2681" i="1"/>
  <c r="K2671" i="1"/>
  <c r="K2672" i="1"/>
  <c r="K2661" i="1"/>
  <c r="K2665" i="1"/>
  <c r="K2669" i="1"/>
  <c r="K2621" i="1"/>
  <c r="K2644" i="1"/>
  <c r="K2780" i="1"/>
  <c r="K2689" i="1"/>
  <c r="K2596" i="1"/>
  <c r="K2692" i="1"/>
  <c r="K2637" i="1"/>
  <c r="K2589" i="1"/>
  <c r="K2688" i="1"/>
  <c r="K2691" i="1"/>
  <c r="K2642" i="1"/>
  <c r="K2550" i="1"/>
  <c r="K2645" i="1"/>
  <c r="K2614" i="1"/>
  <c r="K2668" i="1"/>
  <c r="K2890" i="1"/>
  <c r="K2683" i="1"/>
  <c r="K2647" i="1"/>
  <c r="K2690" i="1"/>
  <c r="K2751" i="1"/>
  <c r="K2635" i="1"/>
  <c r="K2666" i="1"/>
  <c r="K2674" i="1"/>
  <c r="K2634" i="1"/>
  <c r="K2682" i="1"/>
  <c r="K2676" i="1"/>
  <c r="K2484" i="1"/>
  <c r="K2667" i="1"/>
  <c r="K2831" i="1"/>
  <c r="K2648" i="1"/>
  <c r="K2686" i="1"/>
  <c r="K2393" i="1"/>
  <c r="K2601" i="1"/>
  <c r="K2548" i="1"/>
  <c r="K2586" i="1"/>
  <c r="K2628" i="1"/>
  <c r="K2610" i="1"/>
  <c r="K2611" i="1"/>
  <c r="K2590" i="1"/>
  <c r="K2391" i="1"/>
  <c r="K2632" i="1"/>
  <c r="K2724" i="1"/>
  <c r="K2624" i="1"/>
  <c r="K2599" i="1"/>
  <c r="K2618" i="1"/>
  <c r="K2631" i="1"/>
  <c r="K2609" i="1"/>
  <c r="K2626" i="1"/>
  <c r="K2613" i="1"/>
  <c r="K2375" i="1"/>
  <c r="K2607" i="1"/>
  <c r="K2374" i="1"/>
  <c r="K2623" i="1"/>
  <c r="K2544" i="1"/>
  <c r="K2537" i="1"/>
  <c r="K2496" i="1"/>
  <c r="K2554" i="1"/>
  <c r="K2438" i="1"/>
  <c r="K2578" i="1"/>
  <c r="K2456" i="1"/>
  <c r="K2552" i="1"/>
  <c r="K2429" i="1"/>
  <c r="K2558" i="1"/>
  <c r="K2510" i="1"/>
  <c r="K2535" i="1"/>
  <c r="K2497" i="1"/>
  <c r="K2564" i="1"/>
  <c r="K2583" i="1"/>
  <c r="K2568" i="1"/>
  <c r="K2571" i="1"/>
  <c r="K2505" i="1"/>
  <c r="K2559" i="1"/>
  <c r="K2109" i="1"/>
  <c r="K2582" i="1"/>
  <c r="K2512" i="1"/>
  <c r="K2576" i="1"/>
  <c r="K2562" i="1"/>
  <c r="K2798" i="1"/>
  <c r="K2565" i="1"/>
  <c r="K2732" i="1"/>
  <c r="K2503" i="1"/>
  <c r="K2472" i="1"/>
  <c r="K2525" i="1"/>
  <c r="K2499" i="1"/>
  <c r="K2440" i="1"/>
  <c r="K2504" i="1"/>
  <c r="K2463" i="1"/>
  <c r="K2507" i="1"/>
  <c r="K2357" i="1"/>
  <c r="K2514" i="1"/>
  <c r="K2216" i="1"/>
  <c r="K2488" i="1"/>
  <c r="K2366" i="1"/>
  <c r="K2506" i="1"/>
  <c r="K2753" i="1"/>
  <c r="K2509" i="1"/>
  <c r="K2443" i="1"/>
  <c r="K2522" i="1"/>
  <c r="K2519" i="1"/>
  <c r="K2486" i="1"/>
  <c r="K2343" i="1"/>
  <c r="K2528" i="1"/>
  <c r="K2441" i="1"/>
  <c r="K2523" i="1"/>
  <c r="K2524" i="1"/>
  <c r="K2281" i="1"/>
  <c r="K2489" i="1"/>
  <c r="K2385" i="1"/>
  <c r="K2521" i="1"/>
  <c r="K2367" i="1"/>
  <c r="K2461" i="1"/>
  <c r="K2430" i="1"/>
  <c r="K2458" i="1"/>
  <c r="K2477" i="1"/>
  <c r="K2790" i="1"/>
  <c r="K2478" i="1"/>
  <c r="K2729" i="1"/>
  <c r="K2473" i="1"/>
  <c r="K2180" i="1"/>
  <c r="K2475" i="1"/>
  <c r="K2248" i="1"/>
  <c r="K2462" i="1"/>
  <c r="K2782" i="1"/>
  <c r="K2479" i="1"/>
  <c r="K2449" i="1"/>
  <c r="K2480" i="1"/>
  <c r="K2459" i="1"/>
  <c r="K2420" i="1"/>
  <c r="K2454" i="1"/>
  <c r="K2437" i="1"/>
  <c r="K2839" i="1"/>
  <c r="K2428" i="1"/>
  <c r="K2442" i="1"/>
  <c r="K2433" i="1"/>
  <c r="K2321" i="1"/>
  <c r="K2439" i="1"/>
  <c r="K2697" i="1"/>
  <c r="K2415" i="1"/>
  <c r="K2283" i="1"/>
  <c r="K2413" i="1"/>
  <c r="K2274" i="1"/>
  <c r="K2418" i="1"/>
  <c r="K2332" i="1"/>
  <c r="K2408" i="1"/>
  <c r="K2293" i="1"/>
  <c r="K2407" i="1"/>
  <c r="K2362" i="1"/>
  <c r="K2298" i="1"/>
  <c r="K2360" i="1"/>
  <c r="K2387" i="1"/>
  <c r="K2286" i="1"/>
  <c r="K2334" i="1"/>
  <c r="K2406" i="1"/>
  <c r="K2386" i="1"/>
  <c r="K2347" i="1"/>
  <c r="K2358" i="1"/>
  <c r="K2333" i="1"/>
  <c r="K2170" i="1"/>
  <c r="K2376" i="1"/>
  <c r="K2355" i="1"/>
  <c r="K2348" i="1"/>
  <c r="K2403" i="1"/>
  <c r="K2361" i="1"/>
  <c r="K2353" i="1"/>
  <c r="K2306" i="1"/>
  <c r="K2336" i="1"/>
  <c r="K2364" i="1"/>
  <c r="K2365" i="1"/>
  <c r="K2154" i="1"/>
  <c r="K2381" i="1"/>
  <c r="K2395" i="1"/>
  <c r="K2363" i="1"/>
  <c r="K2373" i="1"/>
  <c r="K2341" i="1"/>
  <c r="K2371" i="1"/>
  <c r="K2282" i="1"/>
  <c r="K2410" i="1"/>
  <c r="K2409" i="1"/>
  <c r="K2389" i="1"/>
  <c r="K2342" i="1"/>
  <c r="K2346" i="1"/>
  <c r="K2829" i="1"/>
  <c r="K2331" i="1"/>
  <c r="K2756" i="1"/>
  <c r="K2324" i="1"/>
  <c r="K2172" i="1"/>
  <c r="K2312" i="1"/>
  <c r="K2257" i="1"/>
  <c r="K2291" i="1"/>
  <c r="K2155" i="1"/>
  <c r="K2285" i="1"/>
  <c r="K2325" i="1"/>
  <c r="K2276" i="1"/>
  <c r="K2262" i="1"/>
  <c r="K2314" i="1"/>
  <c r="K2926" i="1"/>
  <c r="K2311" i="1"/>
  <c r="K2327" i="1"/>
  <c r="K2137" i="1"/>
  <c r="K2310" i="1"/>
  <c r="K2784" i="1"/>
  <c r="K2326" i="1"/>
  <c r="K2244" i="1"/>
  <c r="K2224" i="1"/>
  <c r="K2227" i="1"/>
  <c r="K2219" i="1"/>
  <c r="K2255" i="1"/>
  <c r="K2143" i="1"/>
  <c r="K2209" i="1"/>
  <c r="K2265" i="1"/>
  <c r="K2182" i="1"/>
  <c r="K2272" i="1"/>
  <c r="K2707" i="1"/>
  <c r="K2196" i="1"/>
  <c r="K2223" i="1"/>
  <c r="K2214" i="1"/>
  <c r="K2273" i="1"/>
  <c r="K2228" i="1"/>
  <c r="K2231" i="1"/>
  <c r="K2186" i="1"/>
  <c r="K2190" i="1"/>
  <c r="K2241" i="1"/>
  <c r="K2258" i="1"/>
  <c r="K2240" i="1"/>
  <c r="K2142" i="1"/>
  <c r="K2212" i="1"/>
  <c r="K2213" i="1"/>
  <c r="K2201" i="1"/>
  <c r="K2197" i="1"/>
  <c r="K2208" i="1"/>
  <c r="K2853" i="1"/>
  <c r="K2234" i="1"/>
  <c r="K2268" i="1"/>
  <c r="K2246" i="1"/>
  <c r="K2173" i="1"/>
  <c r="K2194" i="1"/>
  <c r="K2875" i="1"/>
  <c r="K2232" i="1"/>
  <c r="K2229" i="1"/>
  <c r="K2694" i="1"/>
  <c r="K2267" i="1"/>
  <c r="K2150" i="1"/>
  <c r="K2203" i="1"/>
  <c r="K2202" i="1"/>
  <c r="K2193" i="1"/>
  <c r="K2217" i="1"/>
  <c r="K2204" i="1"/>
  <c r="K2823" i="1"/>
  <c r="K2145" i="1"/>
  <c r="K2103" i="1"/>
  <c r="K2156" i="1"/>
  <c r="K2788" i="1"/>
  <c r="K2160" i="1"/>
  <c r="K2158" i="1"/>
  <c r="K2764" i="1"/>
  <c r="K2174" i="1"/>
  <c r="K2824" i="1"/>
  <c r="K2166" i="1"/>
  <c r="K2157" i="1"/>
  <c r="K2930" i="1"/>
  <c r="K2734" i="1"/>
  <c r="K2841" i="1"/>
  <c r="K2719" i="1"/>
  <c r="K2730" i="1"/>
  <c r="K2100" i="1"/>
  <c r="K2698" i="1"/>
  <c r="K2923" i="1"/>
  <c r="K2706" i="1"/>
  <c r="K2762" i="1"/>
  <c r="K2723" i="1"/>
  <c r="K2733" i="1"/>
  <c r="K2726" i="1"/>
  <c r="K2760" i="1"/>
  <c r="K2721" i="1"/>
  <c r="K2715" i="1"/>
  <c r="K2833" i="1"/>
  <c r="K2737" i="1"/>
  <c r="K2700" i="1"/>
  <c r="K2832" i="1"/>
  <c r="K2713" i="1"/>
  <c r="K2121" i="1"/>
  <c r="K2792" i="1"/>
  <c r="K2786" i="1"/>
  <c r="K2759" i="1"/>
  <c r="K2777" i="1"/>
  <c r="K2855" i="1"/>
  <c r="K2763" i="1"/>
  <c r="K2887" i="1"/>
  <c r="K2778" i="1"/>
  <c r="K2789" i="1"/>
  <c r="K2779" i="1"/>
  <c r="K2783" i="1"/>
  <c r="K2910" i="1"/>
  <c r="K2765" i="1"/>
  <c r="K2821" i="1"/>
  <c r="K2822" i="1"/>
  <c r="K2929" i="1"/>
  <c r="K2816" i="1"/>
  <c r="K2817" i="1"/>
  <c r="K2892" i="1"/>
  <c r="K2857" i="1"/>
  <c r="K2828" i="1"/>
  <c r="K2863" i="1"/>
  <c r="K2807" i="1"/>
  <c r="K2917" i="1"/>
  <c r="K2815" i="1"/>
  <c r="K2907" i="1"/>
  <c r="K2806" i="1"/>
  <c r="K2840" i="1"/>
  <c r="K2850" i="1"/>
  <c r="K2834" i="1"/>
  <c r="K2851" i="1"/>
  <c r="K2881" i="1"/>
  <c r="K2858" i="1"/>
  <c r="K2933" i="1"/>
  <c r="K2795" i="1"/>
  <c r="K2115" i="1"/>
  <c r="K2808" i="1"/>
  <c r="K2819" i="1"/>
  <c r="K2860" i="1"/>
  <c r="K2904" i="1"/>
  <c r="K2106" i="1"/>
  <c r="K2119" i="1"/>
  <c r="K2129" i="1"/>
  <c r="K2920" i="1"/>
  <c r="K2123" i="1"/>
  <c r="K2879" i="1"/>
  <c r="K2895" i="1"/>
  <c r="K2921" i="1"/>
  <c r="K2891" i="1"/>
  <c r="K2899" i="1"/>
  <c r="K2894" i="1"/>
  <c r="K2880" i="1"/>
  <c r="K2872" i="1"/>
  <c r="K2873" i="1"/>
  <c r="K2870" i="1"/>
  <c r="K2884" i="1"/>
  <c r="K2903" i="1"/>
  <c r="K2866" i="1"/>
  <c r="K2916" i="1"/>
  <c r="K2925" i="1"/>
  <c r="K2932" i="1"/>
  <c r="K2927" i="1"/>
  <c r="I2585" i="1"/>
  <c r="I2865" i="1"/>
  <c r="D137" i="2"/>
  <c r="H137" i="2" s="1"/>
  <c r="I2738" i="1"/>
  <c r="I2483" i="1"/>
  <c r="H133" i="2"/>
  <c r="I2533" i="1"/>
  <c r="D233" i="5"/>
  <c r="M233" i="5" s="1"/>
  <c r="K2541" i="1" s="1"/>
  <c r="D200" i="5"/>
  <c r="M200" i="5" s="1"/>
  <c r="I2412" i="1"/>
  <c r="I2226" i="1"/>
  <c r="I2330" i="1"/>
  <c r="I2275" i="1"/>
  <c r="D128" i="2"/>
  <c r="H128" i="2" s="1"/>
  <c r="D126" i="2"/>
  <c r="H126" i="2" s="1"/>
  <c r="I2218" i="1"/>
  <c r="D125" i="2"/>
  <c r="H125" i="2" s="1"/>
  <c r="I2181" i="1"/>
  <c r="I2010" i="1"/>
  <c r="D124" i="2"/>
  <c r="H124" i="2" s="1"/>
  <c r="I2133" i="1"/>
  <c r="I1940" i="1"/>
  <c r="D120" i="2"/>
  <c r="H120" i="2" s="1"/>
  <c r="I1978" i="1"/>
  <c r="I1862" i="1"/>
  <c r="D231" i="5"/>
  <c r="K231" i="5" s="1"/>
  <c r="M474" i="5"/>
  <c r="K2947" i="1" s="1"/>
  <c r="I1886" i="1"/>
  <c r="I1671" i="1"/>
  <c r="I1746" i="1"/>
  <c r="G115" i="2"/>
  <c r="B116" i="2" s="1"/>
  <c r="G116" i="2" s="1"/>
  <c r="B117" i="2" s="1"/>
  <c r="G117" i="2" s="1"/>
  <c r="B118" i="2" s="1"/>
  <c r="G118" i="2" s="1"/>
  <c r="B119" i="2" s="1"/>
  <c r="G119" i="2" s="1"/>
  <c r="B120" i="2" s="1"/>
  <c r="I1723" i="1"/>
  <c r="I1825" i="1"/>
  <c r="C270" i="1"/>
  <c r="C261" i="1"/>
  <c r="I1422" i="1"/>
  <c r="I1626" i="1"/>
  <c r="D110" i="2"/>
  <c r="G109" i="2"/>
  <c r="I1602" i="1"/>
  <c r="H109" i="2"/>
  <c r="I1367" i="1"/>
  <c r="I1538" i="1"/>
  <c r="D105" i="2"/>
  <c r="G105" i="2" s="1"/>
  <c r="G103" i="2"/>
  <c r="I1290" i="1"/>
  <c r="I1477" i="1"/>
  <c r="M348" i="5"/>
  <c r="K294" i="5"/>
  <c r="K296" i="5"/>
  <c r="M352" i="5"/>
  <c r="K2169" i="1" s="1"/>
  <c r="H103" i="2"/>
  <c r="I1137" i="1"/>
  <c r="D102" i="2"/>
  <c r="I1261" i="1"/>
  <c r="I929" i="1"/>
  <c r="I1219" i="1"/>
  <c r="I1106" i="1"/>
  <c r="M292" i="5"/>
  <c r="K2423" i="1" s="1"/>
  <c r="I1055" i="1"/>
  <c r="I742" i="1"/>
  <c r="I831" i="1"/>
  <c r="I883" i="1"/>
  <c r="I714" i="1"/>
  <c r="I313" i="1"/>
  <c r="D93" i="2"/>
  <c r="G93" i="2" s="1"/>
  <c r="I566" i="1"/>
  <c r="I616" i="1"/>
  <c r="I411" i="1"/>
  <c r="I389" i="1"/>
  <c r="I637" i="1"/>
  <c r="I683" i="1"/>
  <c r="I254" i="1"/>
  <c r="M199" i="5"/>
  <c r="K199" i="5"/>
  <c r="K229" i="5"/>
  <c r="M229" i="5"/>
  <c r="K190" i="5"/>
  <c r="M190" i="5"/>
  <c r="K186" i="5"/>
  <c r="M186" i="5"/>
  <c r="K222" i="5"/>
  <c r="M222" i="5"/>
  <c r="K217" i="5"/>
  <c r="M217" i="5"/>
  <c r="K201" i="5"/>
  <c r="M201" i="5"/>
  <c r="K230" i="5"/>
  <c r="M230" i="5"/>
  <c r="K203" i="5"/>
  <c r="M203" i="5"/>
  <c r="K204" i="5"/>
  <c r="M204" i="5"/>
  <c r="K196" i="5"/>
  <c r="M196" i="5"/>
  <c r="K202" i="5"/>
  <c r="M202" i="5"/>
  <c r="K185" i="5"/>
  <c r="M185" i="5"/>
  <c r="K197" i="5"/>
  <c r="M197" i="5"/>
  <c r="K216" i="5"/>
  <c r="M216" i="5"/>
  <c r="K219" i="5"/>
  <c r="M219" i="5"/>
  <c r="K237" i="5"/>
  <c r="M237" i="5"/>
  <c r="K221" i="5"/>
  <c r="M221" i="5"/>
  <c r="K187" i="5"/>
  <c r="M187" i="5"/>
  <c r="K198" i="5"/>
  <c r="M198" i="5"/>
  <c r="K188" i="5"/>
  <c r="M188" i="5"/>
  <c r="K195" i="5"/>
  <c r="M195" i="5"/>
  <c r="K213" i="5"/>
  <c r="M213" i="5"/>
  <c r="K209" i="5"/>
  <c r="M209" i="5"/>
  <c r="K206" i="5"/>
  <c r="M206" i="5"/>
  <c r="K205" i="5"/>
  <c r="M205" i="5"/>
  <c r="K193" i="5"/>
  <c r="M193" i="5"/>
  <c r="K189" i="5"/>
  <c r="M189" i="5"/>
  <c r="K208" i="5"/>
  <c r="M208" i="5"/>
  <c r="I289" i="1"/>
  <c r="I197" i="1"/>
  <c r="I362" i="1"/>
  <c r="D194" i="5"/>
  <c r="C260" i="1"/>
  <c r="D191" i="5"/>
  <c r="D234" i="5"/>
  <c r="D232" i="5"/>
  <c r="D228" i="5"/>
  <c r="C205" i="1"/>
  <c r="D192" i="5"/>
  <c r="F72" i="1"/>
  <c r="I129" i="1"/>
  <c r="J130" i="1" s="1"/>
  <c r="E6" i="8"/>
  <c r="I113" i="1"/>
  <c r="E11" i="8"/>
  <c r="K8" i="8"/>
  <c r="E13" i="8"/>
  <c r="E14" i="8"/>
  <c r="E4" i="8"/>
  <c r="E12" i="8"/>
  <c r="E5" i="8"/>
  <c r="K7" i="8"/>
  <c r="F1041" i="5" l="1"/>
  <c r="F1039" i="5"/>
  <c r="F1038" i="5"/>
  <c r="F1036" i="5"/>
  <c r="F1037" i="5"/>
  <c r="F1040" i="5"/>
  <c r="F1010" i="5"/>
  <c r="F1022" i="5"/>
  <c r="F1018" i="5"/>
  <c r="F1028" i="5"/>
  <c r="F1034" i="5"/>
  <c r="F1025" i="5"/>
  <c r="F1021" i="5"/>
  <c r="F1017" i="5"/>
  <c r="F1027" i="5"/>
  <c r="F1033" i="5"/>
  <c r="F1016" i="5"/>
  <c r="F1014" i="5"/>
  <c r="F1012" i="5"/>
  <c r="F1024" i="5"/>
  <c r="F1020" i="5"/>
  <c r="F1030" i="5"/>
  <c r="F1026" i="5"/>
  <c r="F1032" i="5"/>
  <c r="F1023" i="5"/>
  <c r="F1019" i="5"/>
  <c r="F1029" i="5"/>
  <c r="F1035" i="5"/>
  <c r="F1031" i="5"/>
  <c r="F1015" i="5"/>
  <c r="F1013" i="5"/>
  <c r="F1011" i="5"/>
  <c r="F1007" i="5"/>
  <c r="F1008" i="5"/>
  <c r="F1009" i="5"/>
  <c r="F988" i="5"/>
  <c r="F989" i="5"/>
  <c r="F990" i="5"/>
  <c r="F991" i="5"/>
  <c r="F992" i="5"/>
  <c r="F993" i="5"/>
  <c r="F994" i="5"/>
  <c r="F995" i="5"/>
  <c r="F974" i="5"/>
  <c r="F975" i="5"/>
  <c r="F976" i="5"/>
  <c r="F977" i="5"/>
  <c r="F978" i="5"/>
  <c r="F979" i="5"/>
  <c r="F980" i="5"/>
  <c r="F981" i="5"/>
  <c r="F982" i="5"/>
  <c r="F983" i="5"/>
  <c r="F984" i="5"/>
  <c r="F985" i="5"/>
  <c r="F986" i="5"/>
  <c r="F987" i="5"/>
  <c r="F1000" i="5"/>
  <c r="F1001" i="5"/>
  <c r="F1002" i="5"/>
  <c r="F1003" i="5"/>
  <c r="F1004" i="5"/>
  <c r="F1005" i="5"/>
  <c r="F1006" i="5"/>
  <c r="F996" i="5"/>
  <c r="F997" i="5"/>
  <c r="F998" i="5"/>
  <c r="F999" i="5"/>
  <c r="F973" i="5"/>
  <c r="F945" i="5"/>
  <c r="F947" i="5"/>
  <c r="F949" i="5"/>
  <c r="F951" i="5"/>
  <c r="F953" i="5"/>
  <c r="F955" i="5"/>
  <c r="F957" i="5"/>
  <c r="F959" i="5"/>
  <c r="F960" i="5"/>
  <c r="F963" i="5"/>
  <c r="F964" i="5"/>
  <c r="F967" i="5"/>
  <c r="F968" i="5"/>
  <c r="F971" i="5"/>
  <c r="F972" i="5"/>
  <c r="F946" i="5"/>
  <c r="F948" i="5"/>
  <c r="F950" i="5"/>
  <c r="F952" i="5"/>
  <c r="F954" i="5"/>
  <c r="F956" i="5"/>
  <c r="F958" i="5"/>
  <c r="F961" i="5"/>
  <c r="F962" i="5"/>
  <c r="F965" i="5"/>
  <c r="F966" i="5"/>
  <c r="F969" i="5"/>
  <c r="F970" i="5"/>
  <c r="F924" i="5"/>
  <c r="F926" i="5"/>
  <c r="F928" i="5"/>
  <c r="F930" i="5"/>
  <c r="F932" i="5"/>
  <c r="F934" i="5"/>
  <c r="F936" i="5"/>
  <c r="F938" i="5"/>
  <c r="F940" i="5"/>
  <c r="F942" i="5"/>
  <c r="F944" i="5"/>
  <c r="F923" i="5"/>
  <c r="F925" i="5"/>
  <c r="F927" i="5"/>
  <c r="F929" i="5"/>
  <c r="F931" i="5"/>
  <c r="F933" i="5"/>
  <c r="F935" i="5"/>
  <c r="F937" i="5"/>
  <c r="F939" i="5"/>
  <c r="F941" i="5"/>
  <c r="F943" i="5"/>
  <c r="F922" i="5"/>
  <c r="F912" i="5"/>
  <c r="F913" i="5"/>
  <c r="F914" i="5"/>
  <c r="F915" i="5"/>
  <c r="F916" i="5"/>
  <c r="F917" i="5"/>
  <c r="F918" i="5"/>
  <c r="F919" i="5"/>
  <c r="F920" i="5"/>
  <c r="F921" i="5"/>
  <c r="F909" i="5"/>
  <c r="F907" i="5"/>
  <c r="F908" i="5"/>
  <c r="F910" i="5"/>
  <c r="F911" i="5"/>
  <c r="F905" i="5"/>
  <c r="F904" i="5"/>
  <c r="F906" i="5"/>
  <c r="F890" i="5"/>
  <c r="F903" i="5"/>
  <c r="F899" i="5"/>
  <c r="F895" i="5"/>
  <c r="F891" i="5"/>
  <c r="F902" i="5"/>
  <c r="F898" i="5"/>
  <c r="F894" i="5"/>
  <c r="F901" i="5"/>
  <c r="F897" i="5"/>
  <c r="F893" i="5"/>
  <c r="F889" i="5"/>
  <c r="F900" i="5"/>
  <c r="F896" i="5"/>
  <c r="F892" i="5"/>
  <c r="F887" i="5"/>
  <c r="F888" i="5"/>
  <c r="F886" i="5"/>
  <c r="F884" i="5"/>
  <c r="F856" i="5"/>
  <c r="F880" i="5"/>
  <c r="F876" i="5"/>
  <c r="F872" i="5"/>
  <c r="F869" i="5"/>
  <c r="F865" i="5"/>
  <c r="F861" i="5"/>
  <c r="F857" i="5"/>
  <c r="F882" i="5"/>
  <c r="F878" i="5"/>
  <c r="F874" i="5"/>
  <c r="F868" i="5"/>
  <c r="F864" i="5"/>
  <c r="F860" i="5"/>
  <c r="F885" i="5"/>
  <c r="F881" i="5"/>
  <c r="F877" i="5"/>
  <c r="F873" i="5"/>
  <c r="F870" i="5"/>
  <c r="F866" i="5"/>
  <c r="F858" i="5"/>
  <c r="F883" i="5"/>
  <c r="F871" i="5"/>
  <c r="F867" i="5"/>
  <c r="F862" i="5"/>
  <c r="F879" i="5"/>
  <c r="F875" i="5"/>
  <c r="F863" i="5"/>
  <c r="F859" i="5"/>
  <c r="E1062" i="4"/>
  <c r="F1062" i="4" s="1"/>
  <c r="E1211" i="4"/>
  <c r="F1211" i="4" s="1"/>
  <c r="E1194" i="4"/>
  <c r="F1194" i="4" s="1"/>
  <c r="E1178" i="4"/>
  <c r="F1178" i="4" s="1"/>
  <c r="E1163" i="4"/>
  <c r="F1163" i="4" s="1"/>
  <c r="E1155" i="4"/>
  <c r="F1155" i="4" s="1"/>
  <c r="E1147" i="4"/>
  <c r="F1147" i="4" s="1"/>
  <c r="E1139" i="4"/>
  <c r="F1139" i="4" s="1"/>
  <c r="E1131" i="4"/>
  <c r="F1131" i="4" s="1"/>
  <c r="E1123" i="4"/>
  <c r="F1123" i="4" s="1"/>
  <c r="E1115" i="4"/>
  <c r="F1115" i="4" s="1"/>
  <c r="E1107" i="4"/>
  <c r="F1107" i="4" s="1"/>
  <c r="E1099" i="4"/>
  <c r="F1099" i="4" s="1"/>
  <c r="E1091" i="4"/>
  <c r="F1091" i="4" s="1"/>
  <c r="E1083" i="4"/>
  <c r="F1083" i="4" s="1"/>
  <c r="E1075" i="4"/>
  <c r="F1075" i="4" s="1"/>
  <c r="E1070" i="4"/>
  <c r="F1070" i="4" s="1"/>
  <c r="E903" i="4"/>
  <c r="F903" i="4" s="1"/>
  <c r="N923" i="5" s="1"/>
  <c r="E907" i="4"/>
  <c r="F907" i="4" s="1"/>
  <c r="N927" i="5" s="1"/>
  <c r="E911" i="4"/>
  <c r="F911" i="4" s="1"/>
  <c r="N931" i="5" s="1"/>
  <c r="E915" i="4"/>
  <c r="F915" i="4" s="1"/>
  <c r="N935" i="5" s="1"/>
  <c r="E919" i="4"/>
  <c r="F919" i="4" s="1"/>
  <c r="N939" i="5" s="1"/>
  <c r="E923" i="4"/>
  <c r="F923" i="4" s="1"/>
  <c r="N943" i="5" s="1"/>
  <c r="E927" i="4"/>
  <c r="F927" i="4" s="1"/>
  <c r="N947" i="5" s="1"/>
  <c r="E931" i="4"/>
  <c r="F931" i="4" s="1"/>
  <c r="N951" i="5" s="1"/>
  <c r="E934" i="4"/>
  <c r="F934" i="4" s="1"/>
  <c r="N954" i="5" s="1"/>
  <c r="E938" i="4"/>
  <c r="F938" i="4" s="1"/>
  <c r="N958" i="5" s="1"/>
  <c r="E942" i="4"/>
  <c r="F942" i="4" s="1"/>
  <c r="N962" i="5" s="1"/>
  <c r="E946" i="4"/>
  <c r="F946" i="4" s="1"/>
  <c r="N966" i="5" s="1"/>
  <c r="E950" i="4"/>
  <c r="F950" i="4" s="1"/>
  <c r="N970" i="5" s="1"/>
  <c r="E954" i="4"/>
  <c r="F954" i="4" s="1"/>
  <c r="N974" i="5" s="1"/>
  <c r="E958" i="4"/>
  <c r="F958" i="4" s="1"/>
  <c r="E962" i="4"/>
  <c r="F962" i="4" s="1"/>
  <c r="N982" i="5" s="1"/>
  <c r="E966" i="4"/>
  <c r="F966" i="4" s="1"/>
  <c r="N986" i="5" s="1"/>
  <c r="E970" i="4"/>
  <c r="F970" i="4" s="1"/>
  <c r="N990" i="5" s="1"/>
  <c r="E974" i="4"/>
  <c r="F974" i="4" s="1"/>
  <c r="N994" i="5" s="1"/>
  <c r="E978" i="4"/>
  <c r="F978" i="4" s="1"/>
  <c r="N998" i="5" s="1"/>
  <c r="E982" i="4"/>
  <c r="F982" i="4" s="1"/>
  <c r="N1002" i="5" s="1"/>
  <c r="E986" i="4"/>
  <c r="F986" i="4" s="1"/>
  <c r="N1006" i="5" s="1"/>
  <c r="E990" i="4"/>
  <c r="F990" i="4" s="1"/>
  <c r="N1010" i="5" s="1"/>
  <c r="E994" i="4"/>
  <c r="F994" i="4" s="1"/>
  <c r="N1014" i="5" s="1"/>
  <c r="E998" i="4"/>
  <c r="F998" i="4" s="1"/>
  <c r="N1018" i="5" s="1"/>
  <c r="E1002" i="4"/>
  <c r="F1002" i="4" s="1"/>
  <c r="N1022" i="5" s="1"/>
  <c r="E1006" i="4"/>
  <c r="F1006" i="4" s="1"/>
  <c r="N1026" i="5" s="1"/>
  <c r="E1010" i="4"/>
  <c r="F1010" i="4" s="1"/>
  <c r="N1030" i="5" s="1"/>
  <c r="E902" i="4"/>
  <c r="F902" i="4" s="1"/>
  <c r="N922" i="5" s="1"/>
  <c r="E906" i="4"/>
  <c r="F906" i="4" s="1"/>
  <c r="N926" i="5" s="1"/>
  <c r="E910" i="4"/>
  <c r="F910" i="4" s="1"/>
  <c r="N930" i="5" s="1"/>
  <c r="E914" i="4"/>
  <c r="F914" i="4" s="1"/>
  <c r="N934" i="5" s="1"/>
  <c r="E918" i="4"/>
  <c r="F918" i="4" s="1"/>
  <c r="N938" i="5" s="1"/>
  <c r="E922" i="4"/>
  <c r="F922" i="4" s="1"/>
  <c r="N942" i="5" s="1"/>
  <c r="E926" i="4"/>
  <c r="F926" i="4" s="1"/>
  <c r="N946" i="5" s="1"/>
  <c r="E930" i="4"/>
  <c r="F930" i="4" s="1"/>
  <c r="N950" i="5" s="1"/>
  <c r="E935" i="4"/>
  <c r="F935" i="4" s="1"/>
  <c r="N955" i="5" s="1"/>
  <c r="E939" i="4"/>
  <c r="F939" i="4" s="1"/>
  <c r="N959" i="5" s="1"/>
  <c r="E943" i="4"/>
  <c r="F943" i="4" s="1"/>
  <c r="N963" i="5" s="1"/>
  <c r="E947" i="4"/>
  <c r="F947" i="4" s="1"/>
  <c r="N967" i="5" s="1"/>
  <c r="E951" i="4"/>
  <c r="F951" i="4" s="1"/>
  <c r="N971" i="5" s="1"/>
  <c r="E955" i="4"/>
  <c r="F955" i="4" s="1"/>
  <c r="N975" i="5" s="1"/>
  <c r="E959" i="4"/>
  <c r="F959" i="4" s="1"/>
  <c r="N979" i="5" s="1"/>
  <c r="E963" i="4"/>
  <c r="F963" i="4" s="1"/>
  <c r="N983" i="5" s="1"/>
  <c r="E967" i="4"/>
  <c r="F967" i="4" s="1"/>
  <c r="N987" i="5" s="1"/>
  <c r="E971" i="4"/>
  <c r="F971" i="4" s="1"/>
  <c r="N991" i="5" s="1"/>
  <c r="E975" i="4"/>
  <c r="F975" i="4" s="1"/>
  <c r="N995" i="5" s="1"/>
  <c r="E979" i="4"/>
  <c r="F979" i="4" s="1"/>
  <c r="N999" i="5" s="1"/>
  <c r="E983" i="4"/>
  <c r="F983" i="4" s="1"/>
  <c r="N1003" i="5" s="1"/>
  <c r="E987" i="4"/>
  <c r="F987" i="4" s="1"/>
  <c r="N1007" i="5" s="1"/>
  <c r="E991" i="4"/>
  <c r="F991" i="4" s="1"/>
  <c r="N1011" i="5" s="1"/>
  <c r="E995" i="4"/>
  <c r="F995" i="4" s="1"/>
  <c r="N1015" i="5" s="1"/>
  <c r="E999" i="4"/>
  <c r="F999" i="4" s="1"/>
  <c r="N1019" i="5" s="1"/>
  <c r="E1003" i="4"/>
  <c r="F1003" i="4" s="1"/>
  <c r="N1023" i="5" s="1"/>
  <c r="E1007" i="4"/>
  <c r="F1007" i="4" s="1"/>
  <c r="N1027" i="5" s="1"/>
  <c r="E1015" i="4"/>
  <c r="F1015" i="4" s="1"/>
  <c r="N1035" i="5" s="1"/>
  <c r="E1019" i="4"/>
  <c r="F1019" i="4" s="1"/>
  <c r="N1039" i="5" s="1"/>
  <c r="E1023" i="4"/>
  <c r="F1023" i="4" s="1"/>
  <c r="E1027" i="4"/>
  <c r="F1027" i="4" s="1"/>
  <c r="E1031" i="4"/>
  <c r="F1031" i="4" s="1"/>
  <c r="E1035" i="4"/>
  <c r="F1035" i="4" s="1"/>
  <c r="E1039" i="4"/>
  <c r="F1039" i="4" s="1"/>
  <c r="E1043" i="4"/>
  <c r="F1043" i="4" s="1"/>
  <c r="E1047" i="4"/>
  <c r="F1047" i="4" s="1"/>
  <c r="E1051" i="4"/>
  <c r="F1051" i="4" s="1"/>
  <c r="E1055" i="4"/>
  <c r="F1055" i="4" s="1"/>
  <c r="E1059" i="4"/>
  <c r="F1059" i="4" s="1"/>
  <c r="E1063" i="4"/>
  <c r="F1063" i="4" s="1"/>
  <c r="E1067" i="4"/>
  <c r="F1067" i="4" s="1"/>
  <c r="E1071" i="4"/>
  <c r="F1071" i="4" s="1"/>
  <c r="E1073" i="4"/>
  <c r="F1073" i="4" s="1"/>
  <c r="E1077" i="4"/>
  <c r="F1077" i="4" s="1"/>
  <c r="E893" i="4"/>
  <c r="F893" i="4" s="1"/>
  <c r="N913" i="5" s="1"/>
  <c r="E1203" i="4"/>
  <c r="F1203" i="4" s="1"/>
  <c r="E1187" i="4"/>
  <c r="F1187" i="4" s="1"/>
  <c r="E1171" i="4"/>
  <c r="F1171" i="4" s="1"/>
  <c r="E1162" i="4"/>
  <c r="F1162" i="4" s="1"/>
  <c r="E1154" i="4"/>
  <c r="F1154" i="4" s="1"/>
  <c r="E1146" i="4"/>
  <c r="F1146" i="4" s="1"/>
  <c r="E1138" i="4"/>
  <c r="F1138" i="4" s="1"/>
  <c r="E1130" i="4"/>
  <c r="F1130" i="4" s="1"/>
  <c r="E1122" i="4"/>
  <c r="F1122" i="4" s="1"/>
  <c r="E1114" i="4"/>
  <c r="F1114" i="4" s="1"/>
  <c r="E1106" i="4"/>
  <c r="F1106" i="4" s="1"/>
  <c r="E1098" i="4"/>
  <c r="F1098" i="4" s="1"/>
  <c r="E1090" i="4"/>
  <c r="F1090" i="4" s="1"/>
  <c r="E1082" i="4"/>
  <c r="F1082" i="4" s="1"/>
  <c r="E1074" i="4"/>
  <c r="F1074" i="4" s="1"/>
  <c r="E1069" i="4"/>
  <c r="F1069" i="4" s="1"/>
  <c r="E904" i="4"/>
  <c r="F904" i="4" s="1"/>
  <c r="N924" i="5" s="1"/>
  <c r="E908" i="4"/>
  <c r="F908" i="4" s="1"/>
  <c r="N928" i="5" s="1"/>
  <c r="E912" i="4"/>
  <c r="F912" i="4" s="1"/>
  <c r="N932" i="5" s="1"/>
  <c r="E916" i="4"/>
  <c r="F916" i="4" s="1"/>
  <c r="N936" i="5" s="1"/>
  <c r="E920" i="4"/>
  <c r="F920" i="4" s="1"/>
  <c r="N940" i="5" s="1"/>
  <c r="E924" i="4"/>
  <c r="F924" i="4" s="1"/>
  <c r="N944" i="5" s="1"/>
  <c r="E928" i="4"/>
  <c r="F928" i="4" s="1"/>
  <c r="N948" i="5" s="1"/>
  <c r="E933" i="4"/>
  <c r="F933" i="4" s="1"/>
  <c r="N953" i="5" s="1"/>
  <c r="E937" i="4"/>
  <c r="F937" i="4" s="1"/>
  <c r="N957" i="5" s="1"/>
  <c r="E941" i="4"/>
  <c r="F941" i="4" s="1"/>
  <c r="N961" i="5" s="1"/>
  <c r="E945" i="4"/>
  <c r="F945" i="4" s="1"/>
  <c r="N965" i="5" s="1"/>
  <c r="E949" i="4"/>
  <c r="F949" i="4" s="1"/>
  <c r="N969" i="5" s="1"/>
  <c r="E953" i="4"/>
  <c r="F953" i="4" s="1"/>
  <c r="N973" i="5" s="1"/>
  <c r="E957" i="4"/>
  <c r="F957" i="4" s="1"/>
  <c r="N977" i="5" s="1"/>
  <c r="E961" i="4"/>
  <c r="F961" i="4" s="1"/>
  <c r="N981" i="5" s="1"/>
  <c r="E965" i="4"/>
  <c r="F965" i="4" s="1"/>
  <c r="N985" i="5" s="1"/>
  <c r="E969" i="4"/>
  <c r="F969" i="4" s="1"/>
  <c r="N989" i="5" s="1"/>
  <c r="E973" i="4"/>
  <c r="F973" i="4" s="1"/>
  <c r="N993" i="5" s="1"/>
  <c r="E977" i="4"/>
  <c r="F977" i="4" s="1"/>
  <c r="N997" i="5" s="1"/>
  <c r="E981" i="4"/>
  <c r="F981" i="4" s="1"/>
  <c r="N1001" i="5" s="1"/>
  <c r="E985" i="4"/>
  <c r="F985" i="4" s="1"/>
  <c r="N1005" i="5" s="1"/>
  <c r="E989" i="4"/>
  <c r="F989" i="4" s="1"/>
  <c r="N1009" i="5" s="1"/>
  <c r="E993" i="4"/>
  <c r="F993" i="4" s="1"/>
  <c r="N1013" i="5" s="1"/>
  <c r="E997" i="4"/>
  <c r="F997" i="4" s="1"/>
  <c r="N1017" i="5" s="1"/>
  <c r="E1001" i="4"/>
  <c r="F1001" i="4" s="1"/>
  <c r="N1021" i="5" s="1"/>
  <c r="E1005" i="4"/>
  <c r="F1005" i="4" s="1"/>
  <c r="N1025" i="5" s="1"/>
  <c r="E1009" i="4"/>
  <c r="F1009" i="4" s="1"/>
  <c r="N1029" i="5" s="1"/>
  <c r="E901" i="4"/>
  <c r="F901" i="4" s="1"/>
  <c r="N921" i="5" s="1"/>
  <c r="E905" i="4"/>
  <c r="F905" i="4" s="1"/>
  <c r="N925" i="5" s="1"/>
  <c r="E909" i="4"/>
  <c r="F909" i="4" s="1"/>
  <c r="E913" i="4"/>
  <c r="F913" i="4" s="1"/>
  <c r="N933" i="5" s="1"/>
  <c r="E917" i="4"/>
  <c r="F917" i="4" s="1"/>
  <c r="N937" i="5" s="1"/>
  <c r="E921" i="4"/>
  <c r="F921" i="4" s="1"/>
  <c r="N941" i="5" s="1"/>
  <c r="E925" i="4"/>
  <c r="F925" i="4" s="1"/>
  <c r="N945" i="5" s="1"/>
  <c r="E929" i="4"/>
  <c r="F929" i="4" s="1"/>
  <c r="N949" i="5" s="1"/>
  <c r="E932" i="4"/>
  <c r="F932" i="4" s="1"/>
  <c r="N952" i="5" s="1"/>
  <c r="E936" i="4"/>
  <c r="F936" i="4" s="1"/>
  <c r="N956" i="5" s="1"/>
  <c r="E940" i="4"/>
  <c r="F940" i="4" s="1"/>
  <c r="N960" i="5" s="1"/>
  <c r="E944" i="4"/>
  <c r="F944" i="4" s="1"/>
  <c r="N964" i="5" s="1"/>
  <c r="E948" i="4"/>
  <c r="F948" i="4" s="1"/>
  <c r="N968" i="5" s="1"/>
  <c r="E952" i="4"/>
  <c r="F952" i="4" s="1"/>
  <c r="N972" i="5" s="1"/>
  <c r="E956" i="4"/>
  <c r="F956" i="4" s="1"/>
  <c r="N976" i="5" s="1"/>
  <c r="E960" i="4"/>
  <c r="F960" i="4" s="1"/>
  <c r="N980" i="5" s="1"/>
  <c r="E964" i="4"/>
  <c r="F964" i="4" s="1"/>
  <c r="N984" i="5" s="1"/>
  <c r="E968" i="4"/>
  <c r="F968" i="4" s="1"/>
  <c r="N988" i="5" s="1"/>
  <c r="E972" i="4"/>
  <c r="F972" i="4" s="1"/>
  <c r="N992" i="5" s="1"/>
  <c r="E976" i="4"/>
  <c r="F976" i="4" s="1"/>
  <c r="N996" i="5" s="1"/>
  <c r="E980" i="4"/>
  <c r="F980" i="4" s="1"/>
  <c r="N1000" i="5" s="1"/>
  <c r="E984" i="4"/>
  <c r="F984" i="4" s="1"/>
  <c r="N1004" i="5" s="1"/>
  <c r="E988" i="4"/>
  <c r="F988" i="4" s="1"/>
  <c r="N1008" i="5" s="1"/>
  <c r="E992" i="4"/>
  <c r="F992" i="4" s="1"/>
  <c r="N1012" i="5" s="1"/>
  <c r="E996" i="4"/>
  <c r="F996" i="4" s="1"/>
  <c r="N1016" i="5" s="1"/>
  <c r="E1000" i="4"/>
  <c r="F1000" i="4" s="1"/>
  <c r="N1020" i="5" s="1"/>
  <c r="E1004" i="4"/>
  <c r="F1004" i="4" s="1"/>
  <c r="N1024" i="5" s="1"/>
  <c r="E1008" i="4"/>
  <c r="F1008" i="4" s="1"/>
  <c r="N1028" i="5" s="1"/>
  <c r="E1016" i="4"/>
  <c r="F1016" i="4" s="1"/>
  <c r="N1036" i="5" s="1"/>
  <c r="E1020" i="4"/>
  <c r="F1020" i="4" s="1"/>
  <c r="N1040" i="5" s="1"/>
  <c r="E1024" i="4"/>
  <c r="F1024" i="4" s="1"/>
  <c r="E1028" i="4"/>
  <c r="F1028" i="4" s="1"/>
  <c r="E1032" i="4"/>
  <c r="F1032" i="4" s="1"/>
  <c r="E1036" i="4"/>
  <c r="F1036" i="4" s="1"/>
  <c r="E1040" i="4"/>
  <c r="F1040" i="4" s="1"/>
  <c r="E1044" i="4"/>
  <c r="F1044" i="4" s="1"/>
  <c r="E1048" i="4"/>
  <c r="F1048" i="4" s="1"/>
  <c r="E1052" i="4"/>
  <c r="F1052" i="4" s="1"/>
  <c r="E1056" i="4"/>
  <c r="F1056" i="4" s="1"/>
  <c r="E1060" i="4"/>
  <c r="F1060" i="4" s="1"/>
  <c r="E1064" i="4"/>
  <c r="F1064" i="4" s="1"/>
  <c r="E1068" i="4"/>
  <c r="F1068" i="4" s="1"/>
  <c r="E1076" i="4"/>
  <c r="F1076" i="4" s="1"/>
  <c r="E1081" i="4"/>
  <c r="F1081" i="4" s="1"/>
  <c r="E1085" i="4"/>
  <c r="F1085" i="4" s="1"/>
  <c r="E1089" i="4"/>
  <c r="F1089" i="4" s="1"/>
  <c r="E1093" i="4"/>
  <c r="F1093" i="4" s="1"/>
  <c r="E1097" i="4"/>
  <c r="F1097" i="4" s="1"/>
  <c r="E1101" i="4"/>
  <c r="F1101" i="4" s="1"/>
  <c r="E1105" i="4"/>
  <c r="F1105" i="4" s="1"/>
  <c r="E1109" i="4"/>
  <c r="F1109" i="4" s="1"/>
  <c r="E1113" i="4"/>
  <c r="F1113" i="4" s="1"/>
  <c r="E1117" i="4"/>
  <c r="F1117" i="4" s="1"/>
  <c r="E1121" i="4"/>
  <c r="F1121" i="4" s="1"/>
  <c r="E1125" i="4"/>
  <c r="F1125" i="4" s="1"/>
  <c r="E1129" i="4"/>
  <c r="F1129" i="4" s="1"/>
  <c r="E1133" i="4"/>
  <c r="F1133" i="4" s="1"/>
  <c r="E1137" i="4"/>
  <c r="F1137" i="4" s="1"/>
  <c r="E1141" i="4"/>
  <c r="F1141" i="4" s="1"/>
  <c r="E1145" i="4"/>
  <c r="F1145" i="4" s="1"/>
  <c r="E1149" i="4"/>
  <c r="F1149" i="4" s="1"/>
  <c r="E1153" i="4"/>
  <c r="F1153" i="4" s="1"/>
  <c r="E1157" i="4"/>
  <c r="F1157" i="4" s="1"/>
  <c r="E1161" i="4"/>
  <c r="F1161" i="4" s="1"/>
  <c r="E1165" i="4"/>
  <c r="F1165" i="4" s="1"/>
  <c r="E1169" i="4"/>
  <c r="F1169" i="4" s="1"/>
  <c r="E1173" i="4"/>
  <c r="F1173" i="4" s="1"/>
  <c r="E1177" i="4"/>
  <c r="F1177" i="4" s="1"/>
  <c r="E1181" i="4"/>
  <c r="F1181" i="4" s="1"/>
  <c r="E1185" i="4"/>
  <c r="F1185" i="4" s="1"/>
  <c r="E1189" i="4"/>
  <c r="F1189" i="4" s="1"/>
  <c r="E1193" i="4"/>
  <c r="F1193" i="4" s="1"/>
  <c r="E1197" i="4"/>
  <c r="F1197" i="4" s="1"/>
  <c r="E1201" i="4"/>
  <c r="F1201" i="4" s="1"/>
  <c r="E1205" i="4"/>
  <c r="F1205" i="4" s="1"/>
  <c r="E1209" i="4"/>
  <c r="F1209" i="4" s="1"/>
  <c r="E888" i="4"/>
  <c r="F888" i="4" s="1"/>
  <c r="N908" i="5" s="1"/>
  <c r="E892" i="4"/>
  <c r="F892" i="4" s="1"/>
  <c r="N912" i="5" s="1"/>
  <c r="E896" i="4"/>
  <c r="F896" i="4" s="1"/>
  <c r="N916" i="5" s="1"/>
  <c r="E898" i="4"/>
  <c r="F898" i="4" s="1"/>
  <c r="N918" i="5" s="1"/>
  <c r="E900" i="4"/>
  <c r="F900" i="4" s="1"/>
  <c r="N920" i="5" s="1"/>
  <c r="E884" i="4"/>
  <c r="F884" i="4" s="1"/>
  <c r="N904" i="5" s="1"/>
  <c r="E886" i="4"/>
  <c r="F886" i="4" s="1"/>
  <c r="N906" i="5" s="1"/>
  <c r="E1054" i="4"/>
  <c r="F1054" i="4" s="1"/>
  <c r="E1011" i="4"/>
  <c r="F1011" i="4" s="1"/>
  <c r="N1031" i="5" s="1"/>
  <c r="E1013" i="4"/>
  <c r="F1013" i="4" s="1"/>
  <c r="N1033" i="5" s="1"/>
  <c r="E1017" i="4"/>
  <c r="F1017" i="4" s="1"/>
  <c r="N1037" i="5" s="1"/>
  <c r="E1021" i="4"/>
  <c r="F1021" i="4" s="1"/>
  <c r="N1041" i="5" s="1"/>
  <c r="E1025" i="4"/>
  <c r="F1025" i="4" s="1"/>
  <c r="E1029" i="4"/>
  <c r="F1029" i="4" s="1"/>
  <c r="E1033" i="4"/>
  <c r="F1033" i="4" s="1"/>
  <c r="E1037" i="4"/>
  <c r="F1037" i="4" s="1"/>
  <c r="E1041" i="4"/>
  <c r="F1041" i="4" s="1"/>
  <c r="E1045" i="4"/>
  <c r="F1045" i="4" s="1"/>
  <c r="E1049" i="4"/>
  <c r="F1049" i="4" s="1"/>
  <c r="E1057" i="4"/>
  <c r="F1057" i="4" s="1"/>
  <c r="E894" i="4"/>
  <c r="F894" i="4" s="1"/>
  <c r="N914" i="5" s="1"/>
  <c r="E1202" i="4"/>
  <c r="F1202" i="4" s="1"/>
  <c r="E1186" i="4"/>
  <c r="F1186" i="4" s="1"/>
  <c r="E1170" i="4"/>
  <c r="F1170" i="4" s="1"/>
  <c r="E889" i="4"/>
  <c r="F889" i="4" s="1"/>
  <c r="N909" i="5" s="1"/>
  <c r="E1206" i="4"/>
  <c r="F1206" i="4" s="1"/>
  <c r="E1198" i="4"/>
  <c r="F1198" i="4" s="1"/>
  <c r="E1190" i="4"/>
  <c r="F1190" i="4" s="1"/>
  <c r="E1182" i="4"/>
  <c r="F1182" i="4" s="1"/>
  <c r="E1174" i="4"/>
  <c r="F1174" i="4" s="1"/>
  <c r="E1166" i="4"/>
  <c r="F1166" i="4" s="1"/>
  <c r="E1158" i="4"/>
  <c r="F1158" i="4" s="1"/>
  <c r="E1150" i="4"/>
  <c r="F1150" i="4" s="1"/>
  <c r="E1142" i="4"/>
  <c r="F1142" i="4" s="1"/>
  <c r="E1134" i="4"/>
  <c r="F1134" i="4" s="1"/>
  <c r="E1126" i="4"/>
  <c r="F1126" i="4" s="1"/>
  <c r="E1118" i="4"/>
  <c r="F1118" i="4" s="1"/>
  <c r="E1110" i="4"/>
  <c r="F1110" i="4" s="1"/>
  <c r="E1102" i="4"/>
  <c r="F1102" i="4" s="1"/>
  <c r="E1094" i="4"/>
  <c r="F1094" i="4" s="1"/>
  <c r="E1086" i="4"/>
  <c r="F1086" i="4" s="1"/>
  <c r="E1078" i="4"/>
  <c r="F1078" i="4" s="1"/>
  <c r="E1065" i="4"/>
  <c r="F1065" i="4" s="1"/>
  <c r="E1072" i="4"/>
  <c r="F1072" i="4" s="1"/>
  <c r="E1080" i="4"/>
  <c r="F1080" i="4" s="1"/>
  <c r="E1084" i="4"/>
  <c r="F1084" i="4" s="1"/>
  <c r="E1088" i="4"/>
  <c r="F1088" i="4" s="1"/>
  <c r="E1092" i="4"/>
  <c r="F1092" i="4" s="1"/>
  <c r="E1096" i="4"/>
  <c r="F1096" i="4" s="1"/>
  <c r="E1100" i="4"/>
  <c r="F1100" i="4" s="1"/>
  <c r="E1104" i="4"/>
  <c r="F1104" i="4" s="1"/>
  <c r="E1108" i="4"/>
  <c r="F1108" i="4" s="1"/>
  <c r="E1112" i="4"/>
  <c r="F1112" i="4" s="1"/>
  <c r="E1116" i="4"/>
  <c r="F1116" i="4" s="1"/>
  <c r="E1120" i="4"/>
  <c r="F1120" i="4" s="1"/>
  <c r="E1124" i="4"/>
  <c r="F1124" i="4" s="1"/>
  <c r="E1128" i="4"/>
  <c r="F1128" i="4" s="1"/>
  <c r="E1132" i="4"/>
  <c r="F1132" i="4" s="1"/>
  <c r="E1136" i="4"/>
  <c r="F1136" i="4" s="1"/>
  <c r="E1140" i="4"/>
  <c r="F1140" i="4" s="1"/>
  <c r="E1144" i="4"/>
  <c r="F1144" i="4" s="1"/>
  <c r="E1148" i="4"/>
  <c r="F1148" i="4" s="1"/>
  <c r="E1152" i="4"/>
  <c r="F1152" i="4" s="1"/>
  <c r="E1156" i="4"/>
  <c r="F1156" i="4" s="1"/>
  <c r="E1160" i="4"/>
  <c r="F1160" i="4" s="1"/>
  <c r="E1164" i="4"/>
  <c r="F1164" i="4" s="1"/>
  <c r="E1168" i="4"/>
  <c r="F1168" i="4" s="1"/>
  <c r="E1172" i="4"/>
  <c r="F1172" i="4" s="1"/>
  <c r="E1176" i="4"/>
  <c r="F1176" i="4" s="1"/>
  <c r="E1180" i="4"/>
  <c r="F1180" i="4" s="1"/>
  <c r="E1184" i="4"/>
  <c r="F1184" i="4" s="1"/>
  <c r="E1188" i="4"/>
  <c r="F1188" i="4" s="1"/>
  <c r="E1192" i="4"/>
  <c r="F1192" i="4" s="1"/>
  <c r="E1196" i="4"/>
  <c r="F1196" i="4" s="1"/>
  <c r="E1200" i="4"/>
  <c r="F1200" i="4" s="1"/>
  <c r="E1204" i="4"/>
  <c r="F1204" i="4" s="1"/>
  <c r="E1208" i="4"/>
  <c r="F1208" i="4" s="1"/>
  <c r="E887" i="4"/>
  <c r="F887" i="4" s="1"/>
  <c r="N907" i="5" s="1"/>
  <c r="E891" i="4"/>
  <c r="F891" i="4" s="1"/>
  <c r="N911" i="5" s="1"/>
  <c r="E895" i="4"/>
  <c r="F895" i="4" s="1"/>
  <c r="N915" i="5" s="1"/>
  <c r="E897" i="4"/>
  <c r="F897" i="4" s="1"/>
  <c r="N917" i="5" s="1"/>
  <c r="E899" i="4"/>
  <c r="F899" i="4" s="1"/>
  <c r="N919" i="5" s="1"/>
  <c r="E883" i="4"/>
  <c r="F883" i="4" s="1"/>
  <c r="N903" i="5" s="1"/>
  <c r="E885" i="4"/>
  <c r="F885" i="4" s="1"/>
  <c r="N905" i="5" s="1"/>
  <c r="E1050" i="4"/>
  <c r="F1050" i="4" s="1"/>
  <c r="E1058" i="4"/>
  <c r="F1058" i="4" s="1"/>
  <c r="E1012" i="4"/>
  <c r="F1012" i="4" s="1"/>
  <c r="N1032" i="5" s="1"/>
  <c r="E1014" i="4"/>
  <c r="F1014" i="4" s="1"/>
  <c r="N1034" i="5" s="1"/>
  <c r="E1018" i="4"/>
  <c r="F1018" i="4" s="1"/>
  <c r="N1038" i="5" s="1"/>
  <c r="E1022" i="4"/>
  <c r="F1022" i="4" s="1"/>
  <c r="E1026" i="4"/>
  <c r="F1026" i="4" s="1"/>
  <c r="E1030" i="4"/>
  <c r="F1030" i="4" s="1"/>
  <c r="E1034" i="4"/>
  <c r="F1034" i="4" s="1"/>
  <c r="E1038" i="4"/>
  <c r="F1038" i="4" s="1"/>
  <c r="E1042" i="4"/>
  <c r="F1042" i="4" s="1"/>
  <c r="E1046" i="4"/>
  <c r="F1046" i="4" s="1"/>
  <c r="E1053" i="4"/>
  <c r="F1053" i="4" s="1"/>
  <c r="E1061" i="4"/>
  <c r="F1061" i="4" s="1"/>
  <c r="E1210" i="4"/>
  <c r="F1210" i="4" s="1"/>
  <c r="E1195" i="4"/>
  <c r="F1195" i="4" s="1"/>
  <c r="E1179" i="4"/>
  <c r="F1179" i="4" s="1"/>
  <c r="E890" i="4"/>
  <c r="F890" i="4" s="1"/>
  <c r="N910" i="5" s="1"/>
  <c r="E1207" i="4"/>
  <c r="F1207" i="4" s="1"/>
  <c r="E1199" i="4"/>
  <c r="F1199" i="4" s="1"/>
  <c r="E1191" i="4"/>
  <c r="F1191" i="4" s="1"/>
  <c r="E1183" i="4"/>
  <c r="F1183" i="4" s="1"/>
  <c r="E1175" i="4"/>
  <c r="F1175" i="4" s="1"/>
  <c r="E1167" i="4"/>
  <c r="F1167" i="4" s="1"/>
  <c r="E1159" i="4"/>
  <c r="F1159" i="4" s="1"/>
  <c r="E1151" i="4"/>
  <c r="F1151" i="4" s="1"/>
  <c r="E1143" i="4"/>
  <c r="F1143" i="4" s="1"/>
  <c r="E1135" i="4"/>
  <c r="F1135" i="4" s="1"/>
  <c r="E1127" i="4"/>
  <c r="F1127" i="4" s="1"/>
  <c r="E1119" i="4"/>
  <c r="F1119" i="4" s="1"/>
  <c r="E1111" i="4"/>
  <c r="F1111" i="4" s="1"/>
  <c r="E1103" i="4"/>
  <c r="F1103" i="4" s="1"/>
  <c r="E1095" i="4"/>
  <c r="F1095" i="4" s="1"/>
  <c r="E1087" i="4"/>
  <c r="F1087" i="4" s="1"/>
  <c r="E1079" i="4"/>
  <c r="F1079" i="4" s="1"/>
  <c r="E1066" i="4"/>
  <c r="F1066" i="4" s="1"/>
  <c r="F854" i="5"/>
  <c r="F855" i="5"/>
  <c r="F820" i="5"/>
  <c r="F822" i="5"/>
  <c r="F825" i="5"/>
  <c r="F826" i="5"/>
  <c r="F821" i="5"/>
  <c r="F823" i="5"/>
  <c r="F824" i="5"/>
  <c r="F827" i="5"/>
  <c r="F828" i="5"/>
  <c r="F818" i="5"/>
  <c r="F816" i="5"/>
  <c r="F848" i="5"/>
  <c r="F846" i="5"/>
  <c r="F844" i="5"/>
  <c r="F842" i="5"/>
  <c r="F839" i="5"/>
  <c r="F837" i="5"/>
  <c r="F835" i="5"/>
  <c r="F833" i="5"/>
  <c r="F831" i="5"/>
  <c r="F829" i="5"/>
  <c r="F852" i="5"/>
  <c r="F850" i="5"/>
  <c r="F819" i="5"/>
  <c r="F817" i="5"/>
  <c r="F849" i="5"/>
  <c r="F847" i="5"/>
  <c r="F845" i="5"/>
  <c r="F843" i="5"/>
  <c r="F841" i="5"/>
  <c r="F840" i="5"/>
  <c r="F838" i="5"/>
  <c r="F836" i="5"/>
  <c r="F834" i="5"/>
  <c r="F832" i="5"/>
  <c r="F830" i="5"/>
  <c r="F853" i="5"/>
  <c r="F851" i="5"/>
  <c r="E798" i="4"/>
  <c r="F798" i="4" s="1"/>
  <c r="E800" i="4"/>
  <c r="F800" i="4" s="1"/>
  <c r="E802" i="4"/>
  <c r="F802" i="4" s="1"/>
  <c r="E804" i="4"/>
  <c r="F804" i="4" s="1"/>
  <c r="E806" i="4"/>
  <c r="F806" i="4" s="1"/>
  <c r="E808" i="4"/>
  <c r="F808" i="4" s="1"/>
  <c r="N978" i="5" s="1"/>
  <c r="E810" i="4"/>
  <c r="F810" i="4" s="1"/>
  <c r="E812" i="4"/>
  <c r="F812" i="4" s="1"/>
  <c r="E814" i="4"/>
  <c r="F814" i="4" s="1"/>
  <c r="E816" i="4"/>
  <c r="F816" i="4" s="1"/>
  <c r="E818" i="4"/>
  <c r="F818" i="4" s="1"/>
  <c r="E820" i="4"/>
  <c r="F820" i="4" s="1"/>
  <c r="E822" i="4"/>
  <c r="F822" i="4" s="1"/>
  <c r="E824" i="4"/>
  <c r="F824" i="4" s="1"/>
  <c r="E826" i="4"/>
  <c r="F826" i="4" s="1"/>
  <c r="E828" i="4"/>
  <c r="F828" i="4" s="1"/>
  <c r="E830" i="4"/>
  <c r="F830" i="4" s="1"/>
  <c r="E832" i="4"/>
  <c r="F832" i="4" s="1"/>
  <c r="E834" i="4"/>
  <c r="F834" i="4" s="1"/>
  <c r="N854" i="5" s="1"/>
  <c r="E836" i="4"/>
  <c r="F836" i="4" s="1"/>
  <c r="N856" i="5" s="1"/>
  <c r="E838" i="4"/>
  <c r="F838" i="4" s="1"/>
  <c r="N858" i="5" s="1"/>
  <c r="E840" i="4"/>
  <c r="F840" i="4" s="1"/>
  <c r="N860" i="5" s="1"/>
  <c r="E842" i="4"/>
  <c r="F842" i="4" s="1"/>
  <c r="N862" i="5" s="1"/>
  <c r="E844" i="4"/>
  <c r="F844" i="4" s="1"/>
  <c r="N864" i="5" s="1"/>
  <c r="E846" i="4"/>
  <c r="F846" i="4" s="1"/>
  <c r="N866" i="5" s="1"/>
  <c r="E848" i="4"/>
  <c r="F848" i="4" s="1"/>
  <c r="N868" i="5" s="1"/>
  <c r="E850" i="4"/>
  <c r="F850" i="4" s="1"/>
  <c r="N870" i="5" s="1"/>
  <c r="E852" i="4"/>
  <c r="F852" i="4" s="1"/>
  <c r="N872" i="5" s="1"/>
  <c r="E854" i="4"/>
  <c r="F854" i="4" s="1"/>
  <c r="N874" i="5" s="1"/>
  <c r="E881" i="4"/>
  <c r="F881" i="4" s="1"/>
  <c r="N901" i="5" s="1"/>
  <c r="E879" i="4"/>
  <c r="F879" i="4" s="1"/>
  <c r="N899" i="5" s="1"/>
  <c r="E877" i="4"/>
  <c r="F877" i="4" s="1"/>
  <c r="N897" i="5" s="1"/>
  <c r="E875" i="4"/>
  <c r="F875" i="4" s="1"/>
  <c r="N895" i="5" s="1"/>
  <c r="E873" i="4"/>
  <c r="F873" i="4" s="1"/>
  <c r="N893" i="5" s="1"/>
  <c r="E871" i="4"/>
  <c r="F871" i="4" s="1"/>
  <c r="N891" i="5" s="1"/>
  <c r="E869" i="4"/>
  <c r="F869" i="4" s="1"/>
  <c r="N889" i="5" s="1"/>
  <c r="E867" i="4"/>
  <c r="F867" i="4" s="1"/>
  <c r="N887" i="5" s="1"/>
  <c r="E865" i="4"/>
  <c r="F865" i="4" s="1"/>
  <c r="N885" i="5" s="1"/>
  <c r="E863" i="4"/>
  <c r="F863" i="4" s="1"/>
  <c r="N883" i="5" s="1"/>
  <c r="E861" i="4"/>
  <c r="F861" i="4" s="1"/>
  <c r="N881" i="5" s="1"/>
  <c r="E859" i="4"/>
  <c r="F859" i="4" s="1"/>
  <c r="N879" i="5" s="1"/>
  <c r="E857" i="4"/>
  <c r="F857" i="4" s="1"/>
  <c r="N877" i="5" s="1"/>
  <c r="E855" i="4"/>
  <c r="F855" i="4" s="1"/>
  <c r="N875" i="5" s="1"/>
  <c r="E799" i="4"/>
  <c r="F799" i="4" s="1"/>
  <c r="E801" i="4"/>
  <c r="F801" i="4" s="1"/>
  <c r="E803" i="4"/>
  <c r="F803" i="4" s="1"/>
  <c r="E805" i="4"/>
  <c r="F805" i="4" s="1"/>
  <c r="E807" i="4"/>
  <c r="F807" i="4" s="1"/>
  <c r="E809" i="4"/>
  <c r="F809" i="4" s="1"/>
  <c r="E811" i="4"/>
  <c r="F811" i="4" s="1"/>
  <c r="E813" i="4"/>
  <c r="F813" i="4" s="1"/>
  <c r="E815" i="4"/>
  <c r="F815" i="4" s="1"/>
  <c r="E817" i="4"/>
  <c r="F817" i="4" s="1"/>
  <c r="E819" i="4"/>
  <c r="F819" i="4" s="1"/>
  <c r="E821" i="4"/>
  <c r="F821" i="4" s="1"/>
  <c r="E823" i="4"/>
  <c r="F823" i="4" s="1"/>
  <c r="E825" i="4"/>
  <c r="F825" i="4" s="1"/>
  <c r="E827" i="4"/>
  <c r="F827" i="4" s="1"/>
  <c r="E829" i="4"/>
  <c r="F829" i="4" s="1"/>
  <c r="E831" i="4"/>
  <c r="F831" i="4" s="1"/>
  <c r="E833" i="4"/>
  <c r="F833" i="4" s="1"/>
  <c r="E835" i="4"/>
  <c r="F835" i="4" s="1"/>
  <c r="N855" i="5" s="1"/>
  <c r="E837" i="4"/>
  <c r="F837" i="4" s="1"/>
  <c r="N857" i="5" s="1"/>
  <c r="E839" i="4"/>
  <c r="F839" i="4" s="1"/>
  <c r="N859" i="5" s="1"/>
  <c r="E841" i="4"/>
  <c r="F841" i="4" s="1"/>
  <c r="N861" i="5" s="1"/>
  <c r="E843" i="4"/>
  <c r="F843" i="4" s="1"/>
  <c r="N863" i="5" s="1"/>
  <c r="E845" i="4"/>
  <c r="F845" i="4" s="1"/>
  <c r="N865" i="5" s="1"/>
  <c r="E847" i="4"/>
  <c r="F847" i="4" s="1"/>
  <c r="N867" i="5" s="1"/>
  <c r="E849" i="4"/>
  <c r="F849" i="4" s="1"/>
  <c r="N869" i="5" s="1"/>
  <c r="E851" i="4"/>
  <c r="F851" i="4" s="1"/>
  <c r="N871" i="5" s="1"/>
  <c r="E853" i="4"/>
  <c r="F853" i="4" s="1"/>
  <c r="N873" i="5" s="1"/>
  <c r="E882" i="4"/>
  <c r="F882" i="4" s="1"/>
  <c r="N902" i="5" s="1"/>
  <c r="E880" i="4"/>
  <c r="F880" i="4" s="1"/>
  <c r="N900" i="5" s="1"/>
  <c r="E878" i="4"/>
  <c r="F878" i="4" s="1"/>
  <c r="N898" i="5" s="1"/>
  <c r="E876" i="4"/>
  <c r="F876" i="4" s="1"/>
  <c r="N896" i="5" s="1"/>
  <c r="E874" i="4"/>
  <c r="F874" i="4" s="1"/>
  <c r="N894" i="5" s="1"/>
  <c r="E872" i="4"/>
  <c r="F872" i="4" s="1"/>
  <c r="N892" i="5" s="1"/>
  <c r="E870" i="4"/>
  <c r="F870" i="4" s="1"/>
  <c r="N890" i="5" s="1"/>
  <c r="E868" i="4"/>
  <c r="F868" i="4" s="1"/>
  <c r="N888" i="5" s="1"/>
  <c r="E866" i="4"/>
  <c r="F866" i="4" s="1"/>
  <c r="N886" i="5" s="1"/>
  <c r="E864" i="4"/>
  <c r="F864" i="4" s="1"/>
  <c r="N884" i="5" s="1"/>
  <c r="E862" i="4"/>
  <c r="F862" i="4" s="1"/>
  <c r="N882" i="5" s="1"/>
  <c r="E860" i="4"/>
  <c r="F860" i="4" s="1"/>
  <c r="N880" i="5" s="1"/>
  <c r="E858" i="4"/>
  <c r="F858" i="4" s="1"/>
  <c r="N878" i="5" s="1"/>
  <c r="E856" i="4"/>
  <c r="F856" i="4" s="1"/>
  <c r="N876" i="5" s="1"/>
  <c r="F813" i="5"/>
  <c r="F814" i="5"/>
  <c r="F815" i="5"/>
  <c r="F9" i="8"/>
  <c r="E796" i="4"/>
  <c r="F796" i="4" s="1"/>
  <c r="E793" i="4"/>
  <c r="F793" i="4" s="1"/>
  <c r="E797" i="4"/>
  <c r="F797" i="4" s="1"/>
  <c r="E794" i="4"/>
  <c r="F794" i="4" s="1"/>
  <c r="E795" i="4"/>
  <c r="F795" i="4" s="1"/>
  <c r="F810" i="5"/>
  <c r="E790" i="4"/>
  <c r="F790" i="4" s="1"/>
  <c r="F811" i="5"/>
  <c r="F812" i="5"/>
  <c r="E791" i="4"/>
  <c r="F791" i="4" s="1"/>
  <c r="E792" i="4"/>
  <c r="F792" i="4" s="1"/>
  <c r="F809" i="5"/>
  <c r="F807" i="5"/>
  <c r="F808" i="5"/>
  <c r="E787" i="4"/>
  <c r="F787" i="4" s="1"/>
  <c r="E788" i="4"/>
  <c r="F788" i="4" s="1"/>
  <c r="E789" i="4"/>
  <c r="F789" i="4" s="1"/>
  <c r="F746" i="5"/>
  <c r="F752" i="5"/>
  <c r="F758" i="5"/>
  <c r="F762" i="5"/>
  <c r="F768" i="5"/>
  <c r="F774" i="5"/>
  <c r="F781" i="5"/>
  <c r="F787" i="5"/>
  <c r="F793" i="5"/>
  <c r="F805" i="5"/>
  <c r="E731" i="4"/>
  <c r="F731" i="4" s="1"/>
  <c r="E739" i="4"/>
  <c r="F739" i="4" s="1"/>
  <c r="E747" i="4"/>
  <c r="F747" i="4" s="1"/>
  <c r="E755" i="4"/>
  <c r="F755" i="4" s="1"/>
  <c r="E763" i="4"/>
  <c r="F763" i="4" s="1"/>
  <c r="E771" i="4"/>
  <c r="F771" i="4" s="1"/>
  <c r="E779" i="4"/>
  <c r="F779" i="4" s="1"/>
  <c r="F747" i="5"/>
  <c r="F763" i="5"/>
  <c r="F775" i="5"/>
  <c r="F782" i="5"/>
  <c r="F788" i="5"/>
  <c r="F794" i="5"/>
  <c r="F800" i="5"/>
  <c r="F806" i="5"/>
  <c r="E724" i="4"/>
  <c r="F724" i="4" s="1"/>
  <c r="E732" i="4"/>
  <c r="F732" i="4" s="1"/>
  <c r="E740" i="4"/>
  <c r="F740" i="4" s="1"/>
  <c r="E748" i="4"/>
  <c r="F748" i="4" s="1"/>
  <c r="E756" i="4"/>
  <c r="F756" i="4" s="1"/>
  <c r="E764" i="4"/>
  <c r="F764" i="4" s="1"/>
  <c r="E772" i="4"/>
  <c r="F772" i="4" s="1"/>
  <c r="E780" i="4"/>
  <c r="F780" i="4" s="1"/>
  <c r="F748" i="5"/>
  <c r="F753" i="5"/>
  <c r="F759" i="5"/>
  <c r="F764" i="5"/>
  <c r="F769" i="5"/>
  <c r="F776" i="5"/>
  <c r="F783" i="5"/>
  <c r="F795" i="5"/>
  <c r="E725" i="4"/>
  <c r="F725" i="4" s="1"/>
  <c r="E733" i="4"/>
  <c r="F733" i="4" s="1"/>
  <c r="E741" i="4"/>
  <c r="F741" i="4" s="1"/>
  <c r="E749" i="4"/>
  <c r="F749" i="4" s="1"/>
  <c r="E757" i="4"/>
  <c r="F757" i="4" s="1"/>
  <c r="E765" i="4"/>
  <c r="F765" i="4" s="1"/>
  <c r="E773" i="4"/>
  <c r="F773" i="4" s="1"/>
  <c r="E781" i="4"/>
  <c r="F781" i="4" s="1"/>
  <c r="F749" i="5"/>
  <c r="F754" i="5"/>
  <c r="F760" i="5"/>
  <c r="F770" i="5"/>
  <c r="F784" i="5"/>
  <c r="F789" i="5"/>
  <c r="F796" i="5"/>
  <c r="F801" i="5"/>
  <c r="E726" i="4"/>
  <c r="F726" i="4" s="1"/>
  <c r="E734" i="4"/>
  <c r="F734" i="4" s="1"/>
  <c r="E742" i="4"/>
  <c r="F742" i="4" s="1"/>
  <c r="E750" i="4"/>
  <c r="F750" i="4" s="1"/>
  <c r="E758" i="4"/>
  <c r="F758" i="4" s="1"/>
  <c r="E766" i="4"/>
  <c r="F766" i="4" s="1"/>
  <c r="E774" i="4"/>
  <c r="F774" i="4" s="1"/>
  <c r="E782" i="4"/>
  <c r="F782" i="4" s="1"/>
  <c r="F755" i="5"/>
  <c r="F765" i="5"/>
  <c r="F771" i="5"/>
  <c r="F777" i="5"/>
  <c r="F790" i="5"/>
  <c r="F802" i="5"/>
  <c r="E727" i="4"/>
  <c r="F727" i="4" s="1"/>
  <c r="E735" i="4"/>
  <c r="F735" i="4" s="1"/>
  <c r="E743" i="4"/>
  <c r="F743" i="4" s="1"/>
  <c r="E751" i="4"/>
  <c r="F751" i="4" s="1"/>
  <c r="E759" i="4"/>
  <c r="F759" i="4" s="1"/>
  <c r="E767" i="4"/>
  <c r="F767" i="4" s="1"/>
  <c r="E775" i="4"/>
  <c r="F775" i="4" s="1"/>
  <c r="E783" i="4"/>
  <c r="F783" i="4" s="1"/>
  <c r="F750" i="5"/>
  <c r="F756" i="5"/>
  <c r="F761" i="5"/>
  <c r="F766" i="5"/>
  <c r="F772" i="5"/>
  <c r="F778" i="5"/>
  <c r="F785" i="5"/>
  <c r="F791" i="5"/>
  <c r="F797" i="5"/>
  <c r="F803" i="5"/>
  <c r="E728" i="4"/>
  <c r="F728" i="4" s="1"/>
  <c r="E736" i="4"/>
  <c r="F736" i="4" s="1"/>
  <c r="E744" i="4"/>
  <c r="F744" i="4" s="1"/>
  <c r="E752" i="4"/>
  <c r="F752" i="4" s="1"/>
  <c r="E760" i="4"/>
  <c r="F760" i="4" s="1"/>
  <c r="E768" i="4"/>
  <c r="F768" i="4" s="1"/>
  <c r="E776" i="4"/>
  <c r="F776" i="4" s="1"/>
  <c r="E784" i="4"/>
  <c r="F784" i="4" s="1"/>
  <c r="F744" i="5"/>
  <c r="F779" i="5"/>
  <c r="F792" i="5"/>
  <c r="F798" i="5"/>
  <c r="F804" i="5"/>
  <c r="E729" i="4"/>
  <c r="F729" i="4" s="1"/>
  <c r="E737" i="4"/>
  <c r="F737" i="4" s="1"/>
  <c r="E745" i="4"/>
  <c r="F745" i="4" s="1"/>
  <c r="E753" i="4"/>
  <c r="F753" i="4" s="1"/>
  <c r="E761" i="4"/>
  <c r="F761" i="4" s="1"/>
  <c r="E769" i="4"/>
  <c r="F769" i="4" s="1"/>
  <c r="E777" i="4"/>
  <c r="F777" i="4" s="1"/>
  <c r="E785" i="4"/>
  <c r="F785" i="4" s="1"/>
  <c r="F745" i="5"/>
  <c r="F751" i="5"/>
  <c r="F757" i="5"/>
  <c r="F767" i="5"/>
  <c r="F773" i="5"/>
  <c r="F780" i="5"/>
  <c r="F786" i="5"/>
  <c r="F799" i="5"/>
  <c r="E730" i="4"/>
  <c r="F730" i="4" s="1"/>
  <c r="E738" i="4"/>
  <c r="F738" i="4" s="1"/>
  <c r="E746" i="4"/>
  <c r="F746" i="4" s="1"/>
  <c r="E754" i="4"/>
  <c r="F754" i="4" s="1"/>
  <c r="E762" i="4"/>
  <c r="F762" i="4" s="1"/>
  <c r="E770" i="4"/>
  <c r="F770" i="4" s="1"/>
  <c r="E778" i="4"/>
  <c r="F778" i="4" s="1"/>
  <c r="E786" i="4"/>
  <c r="F786" i="4" s="1"/>
  <c r="F742" i="5"/>
  <c r="F737" i="5"/>
  <c r="F738" i="5"/>
  <c r="F739" i="5"/>
  <c r="E723" i="4"/>
  <c r="F723" i="4" s="1"/>
  <c r="F740" i="5"/>
  <c r="F741" i="5"/>
  <c r="F743" i="5"/>
  <c r="E722" i="4"/>
  <c r="F722" i="4" s="1"/>
  <c r="N743" i="5" s="1"/>
  <c r="B9" i="8"/>
  <c r="E9" i="8" s="1"/>
  <c r="G120" i="2"/>
  <c r="B121" i="2" s="1"/>
  <c r="G121" i="2" s="1"/>
  <c r="B122" i="2" s="1"/>
  <c r="G122" i="2" s="1"/>
  <c r="B123" i="2" s="1"/>
  <c r="G123" i="2" s="1"/>
  <c r="B124" i="2" s="1"/>
  <c r="G124" i="2" s="1"/>
  <c r="B125" i="2" s="1"/>
  <c r="G125" i="2" s="1"/>
  <c r="B126" i="2" s="1"/>
  <c r="G126" i="2" s="1"/>
  <c r="B127" i="2" s="1"/>
  <c r="G127" i="2" s="1"/>
  <c r="B128" i="2" s="1"/>
  <c r="G128" i="2" s="1"/>
  <c r="B129" i="2" s="1"/>
  <c r="G129" i="2" s="1"/>
  <c r="B130" i="2" s="1"/>
  <c r="G130" i="2" s="1"/>
  <c r="B131" i="2" s="1"/>
  <c r="G131" i="2" s="1"/>
  <c r="B132" i="2" s="1"/>
  <c r="G132" i="2" s="1"/>
  <c r="B133" i="2" s="1"/>
  <c r="G133" i="2" s="1"/>
  <c r="B134" i="2" s="1"/>
  <c r="G134" i="2" s="1"/>
  <c r="B135" i="2" s="1"/>
  <c r="G135" i="2" s="1"/>
  <c r="B136" i="2" s="1"/>
  <c r="G136" i="2" s="1"/>
  <c r="B137" i="2" s="1"/>
  <c r="G137" i="2" s="1"/>
  <c r="B138" i="2" s="1"/>
  <c r="G138" i="2" s="1"/>
  <c r="B139" i="2" s="1"/>
  <c r="G139" i="2" s="1"/>
  <c r="B140" i="2" s="1"/>
  <c r="G140" i="2" s="1"/>
  <c r="B141" i="2" s="1"/>
  <c r="G141" i="2" s="1"/>
  <c r="B142" i="2" s="1"/>
  <c r="G142" i="2" s="1"/>
  <c r="B143" i="2" s="1"/>
  <c r="E720" i="4"/>
  <c r="F720" i="4" s="1"/>
  <c r="E717" i="4"/>
  <c r="F717" i="4" s="1"/>
  <c r="E721" i="4"/>
  <c r="F721" i="4" s="1"/>
  <c r="E718" i="4"/>
  <c r="F718" i="4" s="1"/>
  <c r="E719" i="4"/>
  <c r="F719" i="4" s="1"/>
  <c r="F716" i="5"/>
  <c r="E700" i="4"/>
  <c r="F700" i="4" s="1"/>
  <c r="E703" i="4"/>
  <c r="F703" i="4" s="1"/>
  <c r="E707" i="4"/>
  <c r="F707" i="4" s="1"/>
  <c r="F717" i="5"/>
  <c r="F726" i="5"/>
  <c r="F730" i="5"/>
  <c r="F736" i="5"/>
  <c r="E711" i="4"/>
  <c r="F711" i="4" s="1"/>
  <c r="E715" i="4"/>
  <c r="F715" i="4" s="1"/>
  <c r="F721" i="5"/>
  <c r="F727" i="5"/>
  <c r="F731" i="5"/>
  <c r="E697" i="4"/>
  <c r="F697" i="4" s="1"/>
  <c r="E701" i="4"/>
  <c r="F701" i="4" s="1"/>
  <c r="E704" i="4"/>
  <c r="F704" i="4" s="1"/>
  <c r="E708" i="4"/>
  <c r="F708" i="4" s="1"/>
  <c r="F718" i="5"/>
  <c r="F732" i="5"/>
  <c r="E712" i="4"/>
  <c r="F712" i="4" s="1"/>
  <c r="E716" i="4"/>
  <c r="F716" i="4" s="1"/>
  <c r="F719" i="5"/>
  <c r="F722" i="5"/>
  <c r="F728" i="5"/>
  <c r="F733" i="5"/>
  <c r="E698" i="4"/>
  <c r="F698" i="4" s="1"/>
  <c r="E705" i="4"/>
  <c r="F705" i="4" s="1"/>
  <c r="E709" i="4"/>
  <c r="F709" i="4" s="1"/>
  <c r="F723" i="5"/>
  <c r="F734" i="5"/>
  <c r="E702" i="4"/>
  <c r="F702" i="4" s="1"/>
  <c r="N929" i="5" s="1"/>
  <c r="E713" i="4"/>
  <c r="F713" i="4" s="1"/>
  <c r="F720" i="5"/>
  <c r="F724" i="5"/>
  <c r="F735" i="5"/>
  <c r="E699" i="4"/>
  <c r="F699" i="4" s="1"/>
  <c r="E706" i="4"/>
  <c r="F706" i="4" s="1"/>
  <c r="E710" i="4"/>
  <c r="F710" i="4" s="1"/>
  <c r="F725" i="5"/>
  <c r="F729" i="5"/>
  <c r="E714" i="4"/>
  <c r="F714" i="4" s="1"/>
  <c r="E693" i="4"/>
  <c r="F693" i="4" s="1"/>
  <c r="E694" i="4"/>
  <c r="F694" i="4" s="1"/>
  <c r="F712" i="5"/>
  <c r="F713" i="5"/>
  <c r="E695" i="4"/>
  <c r="F695" i="4" s="1"/>
  <c r="F714" i="5"/>
  <c r="F715" i="5"/>
  <c r="E692" i="4"/>
  <c r="F692" i="4" s="1"/>
  <c r="E696" i="4"/>
  <c r="F696" i="4" s="1"/>
  <c r="L3354" i="1"/>
  <c r="J157" i="2" s="1"/>
  <c r="F708" i="5"/>
  <c r="E691" i="4"/>
  <c r="F691" i="4" s="1"/>
  <c r="F709" i="5"/>
  <c r="E688" i="4"/>
  <c r="F688" i="4" s="1"/>
  <c r="F710" i="5"/>
  <c r="F711" i="5"/>
  <c r="E689" i="4"/>
  <c r="F689" i="4" s="1"/>
  <c r="E690" i="4"/>
  <c r="F690" i="4" s="1"/>
  <c r="L3347" i="1"/>
  <c r="J156" i="2" s="1"/>
  <c r="L3336" i="1"/>
  <c r="J155" i="2" s="1"/>
  <c r="F706" i="5"/>
  <c r="F707" i="5"/>
  <c r="E687" i="4"/>
  <c r="F687" i="4" s="1"/>
  <c r="L3279" i="1"/>
  <c r="I153" i="2" s="1"/>
  <c r="J153" i="2" s="1"/>
  <c r="F705" i="5"/>
  <c r="F692" i="5"/>
  <c r="F697" i="5"/>
  <c r="F701" i="5"/>
  <c r="E674" i="4"/>
  <c r="F674" i="4" s="1"/>
  <c r="E682" i="4"/>
  <c r="F682" i="4" s="1"/>
  <c r="F693" i="5"/>
  <c r="F702" i="5"/>
  <c r="E675" i="4"/>
  <c r="F675" i="4" s="1"/>
  <c r="E683" i="4"/>
  <c r="F683" i="4" s="1"/>
  <c r="F694" i="5"/>
  <c r="F703" i="5"/>
  <c r="E676" i="4"/>
  <c r="F676" i="4" s="1"/>
  <c r="E684" i="4"/>
  <c r="F684" i="4" s="1"/>
  <c r="F698" i="5"/>
  <c r="F704" i="5"/>
  <c r="E677" i="4"/>
  <c r="F677" i="4" s="1"/>
  <c r="E685" i="4"/>
  <c r="F685" i="4" s="1"/>
  <c r="F690" i="5"/>
  <c r="F695" i="5"/>
  <c r="F699" i="5"/>
  <c r="E678" i="4"/>
  <c r="F678" i="4" s="1"/>
  <c r="E686" i="4"/>
  <c r="F686" i="4" s="1"/>
  <c r="F691" i="5"/>
  <c r="E671" i="4"/>
  <c r="F671" i="4" s="1"/>
  <c r="E679" i="4"/>
  <c r="F679" i="4" s="1"/>
  <c r="F696" i="5"/>
  <c r="E672" i="4"/>
  <c r="F672" i="4" s="1"/>
  <c r="E680" i="4"/>
  <c r="F680" i="4" s="1"/>
  <c r="F700" i="5"/>
  <c r="E673" i="4"/>
  <c r="F673" i="4" s="1"/>
  <c r="E681" i="4"/>
  <c r="F681" i="4" s="1"/>
  <c r="L3149" i="1"/>
  <c r="L3150" i="1" s="1"/>
  <c r="F689" i="5"/>
  <c r="K3150" i="1"/>
  <c r="L3101" i="1"/>
  <c r="L3102" i="1" s="1"/>
  <c r="K3102" i="1"/>
  <c r="F686" i="5"/>
  <c r="F688" i="5"/>
  <c r="F687" i="5"/>
  <c r="E670" i="4"/>
  <c r="F670" i="4" s="1"/>
  <c r="E666" i="4"/>
  <c r="F666" i="4" s="1"/>
  <c r="E667" i="4"/>
  <c r="F667" i="4" s="1"/>
  <c r="E668" i="4"/>
  <c r="F668" i="4" s="1"/>
  <c r="E669" i="4"/>
  <c r="F669" i="4" s="1"/>
  <c r="K3100" i="1"/>
  <c r="L3100" i="1"/>
  <c r="K3081" i="1"/>
  <c r="E665" i="4"/>
  <c r="F665" i="4" s="1"/>
  <c r="H665" i="4" s="1"/>
  <c r="I665" i="4" s="1"/>
  <c r="L3033" i="1"/>
  <c r="L3081" i="1" s="1"/>
  <c r="L3021" i="1"/>
  <c r="L3032" i="1" s="1"/>
  <c r="K3032" i="1"/>
  <c r="F685" i="5"/>
  <c r="E664" i="4"/>
  <c r="F664" i="4" s="1"/>
  <c r="L2984" i="1"/>
  <c r="K220" i="5"/>
  <c r="K2955" i="1"/>
  <c r="M236" i="5"/>
  <c r="M227" i="5"/>
  <c r="F638" i="5"/>
  <c r="F647" i="5"/>
  <c r="F651" i="5"/>
  <c r="F666" i="5"/>
  <c r="F671" i="5"/>
  <c r="F679" i="5"/>
  <c r="F683" i="5"/>
  <c r="F639" i="5"/>
  <c r="F643" i="5"/>
  <c r="F652" i="5"/>
  <c r="F656" i="5"/>
  <c r="F667" i="5"/>
  <c r="F675" i="5"/>
  <c r="F680" i="5"/>
  <c r="F684" i="5"/>
  <c r="F644" i="5"/>
  <c r="F648" i="5"/>
  <c r="F653" i="5"/>
  <c r="F657" i="5"/>
  <c r="F668" i="5"/>
  <c r="F672" i="5"/>
  <c r="F676" i="5"/>
  <c r="F681" i="5"/>
  <c r="F640" i="5"/>
  <c r="F645" i="5"/>
  <c r="F649" i="5"/>
  <c r="F658" i="5"/>
  <c r="F662" i="5"/>
  <c r="F669" i="5"/>
  <c r="F673" i="5"/>
  <c r="F677" i="5"/>
  <c r="F641" i="5"/>
  <c r="F663" i="5"/>
  <c r="F650" i="5"/>
  <c r="F659" i="5"/>
  <c r="F642" i="5"/>
  <c r="F654" i="5"/>
  <c r="F660" i="5"/>
  <c r="F664" i="5"/>
  <c r="F674" i="5"/>
  <c r="F682" i="5"/>
  <c r="F646" i="5"/>
  <c r="F655" i="5"/>
  <c r="F661" i="5"/>
  <c r="F665" i="5"/>
  <c r="F670" i="5"/>
  <c r="F678" i="5"/>
  <c r="H678" i="5" s="1"/>
  <c r="M214" i="5"/>
  <c r="M226" i="5"/>
  <c r="K2417" i="1" s="1"/>
  <c r="K2825" i="1"/>
  <c r="L2864" i="1" s="1"/>
  <c r="I139" i="2" s="1"/>
  <c r="J139" i="2" s="1"/>
  <c r="K2944" i="1"/>
  <c r="L2692" i="1"/>
  <c r="I136" i="2" s="1"/>
  <c r="J136" i="2" s="1"/>
  <c r="K2102" i="1"/>
  <c r="L2132" i="1" s="1"/>
  <c r="I124" i="2" s="1"/>
  <c r="J124" i="2" s="1"/>
  <c r="K2622" i="1"/>
  <c r="K2432" i="1"/>
  <c r="K2605" i="1"/>
  <c r="K2619" i="1"/>
  <c r="K2414" i="1"/>
  <c r="K2538" i="1"/>
  <c r="L2482" i="1"/>
  <c r="I132" i="2" s="1"/>
  <c r="J132" i="2" s="1"/>
  <c r="K2153" i="1"/>
  <c r="K2349" i="1"/>
  <c r="L2411" i="1" s="1"/>
  <c r="I130" i="2" s="1"/>
  <c r="J130" i="2" s="1"/>
  <c r="L2225" i="1"/>
  <c r="I127" i="2" s="1"/>
  <c r="J127" i="2" s="1"/>
  <c r="L2274" i="1"/>
  <c r="I128" i="2" s="1"/>
  <c r="J128" i="2" s="1"/>
  <c r="L2217" i="1"/>
  <c r="I126" i="2" s="1"/>
  <c r="J126" i="2" s="1"/>
  <c r="K2770" i="1"/>
  <c r="K2148" i="1"/>
  <c r="L2737" i="1"/>
  <c r="I137" i="2" s="1"/>
  <c r="J137" i="2" s="1"/>
  <c r="L2905" i="1"/>
  <c r="I140" i="2" s="1"/>
  <c r="J140" i="2" s="1"/>
  <c r="L2934" i="1"/>
  <c r="I141" i="2" s="1"/>
  <c r="J141" i="2" s="1"/>
  <c r="E632" i="4"/>
  <c r="F632" i="4" s="1"/>
  <c r="E640" i="4"/>
  <c r="F640" i="4" s="1"/>
  <c r="E648" i="4"/>
  <c r="F648" i="4" s="1"/>
  <c r="E656" i="4"/>
  <c r="F656" i="4" s="1"/>
  <c r="E639" i="4"/>
  <c r="F639" i="4" s="1"/>
  <c r="H639" i="4" s="1"/>
  <c r="I639" i="4" s="1"/>
  <c r="E633" i="4"/>
  <c r="F633" i="4" s="1"/>
  <c r="E641" i="4"/>
  <c r="F641" i="4" s="1"/>
  <c r="E649" i="4"/>
  <c r="F649" i="4" s="1"/>
  <c r="E657" i="4"/>
  <c r="F657" i="4" s="1"/>
  <c r="E647" i="4"/>
  <c r="F647" i="4" s="1"/>
  <c r="E634" i="4"/>
  <c r="F634" i="4" s="1"/>
  <c r="E642" i="4"/>
  <c r="F642" i="4" s="1"/>
  <c r="E650" i="4"/>
  <c r="F650" i="4" s="1"/>
  <c r="E658" i="4"/>
  <c r="F658" i="4" s="1"/>
  <c r="E631" i="4"/>
  <c r="F631" i="4" s="1"/>
  <c r="E635" i="4"/>
  <c r="F635" i="4" s="1"/>
  <c r="E643" i="4"/>
  <c r="F643" i="4" s="1"/>
  <c r="E651" i="4"/>
  <c r="F651" i="4" s="1"/>
  <c r="E659" i="4"/>
  <c r="F659" i="4" s="1"/>
  <c r="E636" i="4"/>
  <c r="F636" i="4" s="1"/>
  <c r="E644" i="4"/>
  <c r="F644" i="4" s="1"/>
  <c r="E652" i="4"/>
  <c r="F652" i="4" s="1"/>
  <c r="E660" i="4"/>
  <c r="F660" i="4" s="1"/>
  <c r="E663" i="4"/>
  <c r="F663" i="4" s="1"/>
  <c r="E637" i="4"/>
  <c r="F637" i="4" s="1"/>
  <c r="E645" i="4"/>
  <c r="F645" i="4" s="1"/>
  <c r="E653" i="4"/>
  <c r="F653" i="4" s="1"/>
  <c r="E661" i="4"/>
  <c r="F661" i="4" s="1"/>
  <c r="E655" i="4"/>
  <c r="F655" i="4" s="1"/>
  <c r="E630" i="4"/>
  <c r="F630" i="4" s="1"/>
  <c r="E638" i="4"/>
  <c r="F638" i="4" s="1"/>
  <c r="E646" i="4"/>
  <c r="F646" i="4" s="1"/>
  <c r="E654" i="4"/>
  <c r="F654" i="4" s="1"/>
  <c r="E662" i="4"/>
  <c r="F662" i="4" s="1"/>
  <c r="E627" i="4"/>
  <c r="F627" i="4" s="1"/>
  <c r="E629" i="4"/>
  <c r="F629" i="4" s="1"/>
  <c r="E628" i="4"/>
  <c r="F628" i="4" s="1"/>
  <c r="E625" i="4"/>
  <c r="F625" i="4" s="1"/>
  <c r="E626" i="4"/>
  <c r="F626" i="4" s="1"/>
  <c r="E611" i="4"/>
  <c r="F611" i="4" s="1"/>
  <c r="E624" i="4"/>
  <c r="F624" i="4" s="1"/>
  <c r="E595" i="4"/>
  <c r="F595" i="4" s="1"/>
  <c r="E596" i="4"/>
  <c r="F596" i="4" s="1"/>
  <c r="E598" i="4"/>
  <c r="F598" i="4" s="1"/>
  <c r="E597" i="4"/>
  <c r="F597" i="4" s="1"/>
  <c r="E607" i="4"/>
  <c r="F607" i="4" s="1"/>
  <c r="E616" i="4"/>
  <c r="F616" i="4" s="1"/>
  <c r="E619" i="4"/>
  <c r="F619" i="4" s="1"/>
  <c r="E617" i="4"/>
  <c r="F617" i="4" s="1"/>
  <c r="E621" i="4"/>
  <c r="F621" i="4" s="1"/>
  <c r="E594" i="4"/>
  <c r="F594" i="4" s="1"/>
  <c r="E606" i="4"/>
  <c r="F606" i="4" s="1"/>
  <c r="E613" i="4"/>
  <c r="F613" i="4" s="1"/>
  <c r="E600" i="4"/>
  <c r="F600" i="4" s="1"/>
  <c r="E609" i="4"/>
  <c r="F609" i="4" s="1"/>
  <c r="E623" i="4"/>
  <c r="F623" i="4" s="1"/>
  <c r="E603" i="4"/>
  <c r="F603" i="4" s="1"/>
  <c r="E601" i="4"/>
  <c r="F601" i="4" s="1"/>
  <c r="E615" i="4"/>
  <c r="F615" i="4" s="1"/>
  <c r="E620" i="4"/>
  <c r="F620" i="4" s="1"/>
  <c r="E618" i="4"/>
  <c r="F618" i="4" s="1"/>
  <c r="E605" i="4"/>
  <c r="F605" i="4" s="1"/>
  <c r="E612" i="4"/>
  <c r="F612" i="4" s="1"/>
  <c r="E599" i="4"/>
  <c r="F599" i="4" s="1"/>
  <c r="E622" i="4"/>
  <c r="F622" i="4" s="1"/>
  <c r="E610" i="4"/>
  <c r="F610" i="4" s="1"/>
  <c r="E608" i="4"/>
  <c r="F608" i="4" s="1"/>
  <c r="E614" i="4"/>
  <c r="F614" i="4" s="1"/>
  <c r="E602" i="4"/>
  <c r="F602" i="4" s="1"/>
  <c r="E604" i="4"/>
  <c r="F604" i="4" s="1"/>
  <c r="F635" i="5"/>
  <c r="F631" i="5"/>
  <c r="F634" i="5"/>
  <c r="F633" i="5"/>
  <c r="F636" i="5"/>
  <c r="F632" i="5"/>
  <c r="F637" i="5"/>
  <c r="F588" i="5"/>
  <c r="F596" i="5"/>
  <c r="F604" i="5"/>
  <c r="F612" i="5"/>
  <c r="F620" i="5"/>
  <c r="F628" i="5"/>
  <c r="F589" i="5"/>
  <c r="F597" i="5"/>
  <c r="F605" i="5"/>
  <c r="F613" i="5"/>
  <c r="F621" i="5"/>
  <c r="F629" i="5"/>
  <c r="F590" i="5"/>
  <c r="F598" i="5"/>
  <c r="F606" i="5"/>
  <c r="F614" i="5"/>
  <c r="F622" i="5"/>
  <c r="F630" i="5"/>
  <c r="F591" i="5"/>
  <c r="F599" i="5"/>
  <c r="F607" i="5"/>
  <c r="F615" i="5"/>
  <c r="F623" i="5"/>
  <c r="F592" i="5"/>
  <c r="F600" i="5"/>
  <c r="F608" i="5"/>
  <c r="F616" i="5"/>
  <c r="F624" i="5"/>
  <c r="F593" i="5"/>
  <c r="F601" i="5"/>
  <c r="F609" i="5"/>
  <c r="F617" i="5"/>
  <c r="F625" i="5"/>
  <c r="F586" i="5"/>
  <c r="F594" i="5"/>
  <c r="F602" i="5"/>
  <c r="F610" i="5"/>
  <c r="F618" i="5"/>
  <c r="F626" i="5"/>
  <c r="F587" i="5"/>
  <c r="F595" i="5"/>
  <c r="F603" i="5"/>
  <c r="F611" i="5"/>
  <c r="F619" i="5"/>
  <c r="F627" i="5"/>
  <c r="E593" i="4"/>
  <c r="F593" i="4" s="1"/>
  <c r="E592" i="4"/>
  <c r="F592" i="4" s="1"/>
  <c r="E572" i="4"/>
  <c r="F572" i="4" s="1"/>
  <c r="E580" i="4"/>
  <c r="F580" i="4" s="1"/>
  <c r="E588" i="4"/>
  <c r="F588" i="4" s="1"/>
  <c r="E573" i="4"/>
  <c r="F573" i="4" s="1"/>
  <c r="E581" i="4"/>
  <c r="F581" i="4" s="1"/>
  <c r="E589" i="4"/>
  <c r="F589" i="4" s="1"/>
  <c r="E574" i="4"/>
  <c r="F574" i="4" s="1"/>
  <c r="E582" i="4"/>
  <c r="F582" i="4" s="1"/>
  <c r="E590" i="4"/>
  <c r="F590" i="4" s="1"/>
  <c r="E567" i="4"/>
  <c r="F567" i="4" s="1"/>
  <c r="E575" i="4"/>
  <c r="F575" i="4" s="1"/>
  <c r="E583" i="4"/>
  <c r="F583" i="4" s="1"/>
  <c r="E591" i="4"/>
  <c r="F591" i="4" s="1"/>
  <c r="E568" i="4"/>
  <c r="F568" i="4" s="1"/>
  <c r="E576" i="4"/>
  <c r="F576" i="4" s="1"/>
  <c r="E584" i="4"/>
  <c r="F584" i="4" s="1"/>
  <c r="E579" i="4"/>
  <c r="F579" i="4" s="1"/>
  <c r="E569" i="4"/>
  <c r="F569" i="4" s="1"/>
  <c r="E577" i="4"/>
  <c r="F577" i="4" s="1"/>
  <c r="E585" i="4"/>
  <c r="F585" i="4" s="1"/>
  <c r="E587" i="4"/>
  <c r="F587" i="4" s="1"/>
  <c r="E570" i="4"/>
  <c r="F570" i="4" s="1"/>
  <c r="E578" i="4"/>
  <c r="F578" i="4" s="1"/>
  <c r="E586" i="4"/>
  <c r="F586" i="4" s="1"/>
  <c r="E571" i="4"/>
  <c r="F571" i="4" s="1"/>
  <c r="K200" i="5"/>
  <c r="K233" i="5"/>
  <c r="F585" i="5"/>
  <c r="F584" i="5"/>
  <c r="E562" i="4"/>
  <c r="F562" i="4" s="1"/>
  <c r="F577" i="5"/>
  <c r="E559" i="4"/>
  <c r="F559" i="4" s="1"/>
  <c r="E564" i="4"/>
  <c r="F564" i="4" s="1"/>
  <c r="E561" i="4"/>
  <c r="F561" i="4" s="1"/>
  <c r="F581" i="5"/>
  <c r="E556" i="4"/>
  <c r="F556" i="4" s="1"/>
  <c r="F583" i="5"/>
  <c r="E566" i="4"/>
  <c r="F566" i="4" s="1"/>
  <c r="F578" i="5"/>
  <c r="F575" i="5"/>
  <c r="E558" i="4"/>
  <c r="F558" i="4" s="1"/>
  <c r="E563" i="4"/>
  <c r="F563" i="4" s="1"/>
  <c r="F576" i="5"/>
  <c r="F580" i="5"/>
  <c r="E555" i="4"/>
  <c r="F555" i="4" s="1"/>
  <c r="E560" i="4"/>
  <c r="F560" i="4" s="1"/>
  <c r="E565" i="4"/>
  <c r="F565" i="4" s="1"/>
  <c r="F579" i="5"/>
  <c r="F582" i="5"/>
  <c r="E557" i="4"/>
  <c r="F557" i="4" s="1"/>
  <c r="F574" i="5"/>
  <c r="E554" i="4"/>
  <c r="F554" i="4" s="1"/>
  <c r="F572" i="5"/>
  <c r="F555" i="5"/>
  <c r="E553" i="4"/>
  <c r="F553" i="4" s="1"/>
  <c r="F562" i="5"/>
  <c r="F560" i="5"/>
  <c r="F564" i="5"/>
  <c r="F556" i="5"/>
  <c r="F561" i="5"/>
  <c r="F573" i="5"/>
  <c r="F558" i="5"/>
  <c r="F567" i="5"/>
  <c r="F566" i="5"/>
  <c r="F569" i="5"/>
  <c r="F571" i="5"/>
  <c r="E552" i="4"/>
  <c r="F552" i="4" s="1"/>
  <c r="F565" i="5"/>
  <c r="F563" i="5"/>
  <c r="F559" i="5"/>
  <c r="F557" i="5"/>
  <c r="F570" i="5"/>
  <c r="F568" i="5"/>
  <c r="E540" i="4"/>
  <c r="F540" i="4" s="1"/>
  <c r="E551" i="4"/>
  <c r="F551" i="4" s="1"/>
  <c r="E547" i="4"/>
  <c r="F547" i="4" s="1"/>
  <c r="E539" i="4"/>
  <c r="F539" i="4" s="1"/>
  <c r="E548" i="4"/>
  <c r="F548" i="4" s="1"/>
  <c r="E541" i="4"/>
  <c r="F541" i="4" s="1"/>
  <c r="E549" i="4"/>
  <c r="F549" i="4" s="1"/>
  <c r="E542" i="4"/>
  <c r="F542" i="4" s="1"/>
  <c r="E546" i="4"/>
  <c r="F546" i="4" s="1"/>
  <c r="E538" i="4"/>
  <c r="F538" i="4" s="1"/>
  <c r="E545" i="4"/>
  <c r="F545" i="4" s="1"/>
  <c r="E550" i="4"/>
  <c r="F550" i="4" s="1"/>
  <c r="E544" i="4"/>
  <c r="F544" i="4" s="1"/>
  <c r="E543" i="4"/>
  <c r="F543" i="4" s="1"/>
  <c r="E536" i="4"/>
  <c r="F536" i="4" s="1"/>
  <c r="E537" i="4"/>
  <c r="F537" i="4" s="1"/>
  <c r="E533" i="4"/>
  <c r="F533" i="4" s="1"/>
  <c r="E534" i="4"/>
  <c r="F534" i="4" s="1"/>
  <c r="F551" i="5"/>
  <c r="E535" i="4"/>
  <c r="F535" i="4" s="1"/>
  <c r="E532" i="4"/>
  <c r="F532" i="4" s="1"/>
  <c r="F552" i="5"/>
  <c r="F550" i="5"/>
  <c r="F547" i="5"/>
  <c r="E531" i="4"/>
  <c r="F531" i="4" s="1"/>
  <c r="F554" i="5"/>
  <c r="F549" i="5"/>
  <c r="F548" i="5"/>
  <c r="E530" i="4"/>
  <c r="F530" i="4" s="1"/>
  <c r="F553" i="5"/>
  <c r="E529" i="4"/>
  <c r="F529" i="4" s="1"/>
  <c r="E526" i="4"/>
  <c r="F526" i="4" s="1"/>
  <c r="E525" i="4"/>
  <c r="F525" i="4" s="1"/>
  <c r="E524" i="4"/>
  <c r="F524" i="4" s="1"/>
  <c r="F546" i="5"/>
  <c r="E528" i="4"/>
  <c r="F528" i="4" s="1"/>
  <c r="F545" i="5"/>
  <c r="E527" i="4"/>
  <c r="F527" i="4" s="1"/>
  <c r="F544" i="5"/>
  <c r="E523" i="4"/>
  <c r="F523" i="4" s="1"/>
  <c r="F543" i="5"/>
  <c r="E522" i="4"/>
  <c r="F522" i="4" s="1"/>
  <c r="E521" i="4"/>
  <c r="F521" i="4" s="1"/>
  <c r="F542" i="5"/>
  <c r="F541" i="5"/>
  <c r="F532" i="5"/>
  <c r="F540" i="5"/>
  <c r="F524" i="5"/>
  <c r="F525" i="5"/>
  <c r="F529" i="5"/>
  <c r="F533" i="5"/>
  <c r="F539" i="5"/>
  <c r="F521" i="5"/>
  <c r="F526" i="5"/>
  <c r="F531" i="5"/>
  <c r="F536" i="5"/>
  <c r="F535" i="5"/>
  <c r="F537" i="5"/>
  <c r="F523" i="5"/>
  <c r="F528" i="5"/>
  <c r="F538" i="5"/>
  <c r="F530" i="5"/>
  <c r="F527" i="5"/>
  <c r="F522" i="5"/>
  <c r="F534" i="5"/>
  <c r="E519" i="4"/>
  <c r="F519" i="4" s="1"/>
  <c r="E520" i="4"/>
  <c r="F520" i="4" s="1"/>
  <c r="E507" i="4"/>
  <c r="F507" i="4" s="1"/>
  <c r="E503" i="4"/>
  <c r="F503" i="4" s="1"/>
  <c r="E514" i="4"/>
  <c r="F514" i="4" s="1"/>
  <c r="E518" i="4"/>
  <c r="F518" i="4" s="1"/>
  <c r="E506" i="4"/>
  <c r="F506" i="4" s="1"/>
  <c r="E510" i="4"/>
  <c r="F510" i="4" s="1"/>
  <c r="E513" i="4"/>
  <c r="F513" i="4" s="1"/>
  <c r="E517" i="4"/>
  <c r="F517" i="4" s="1"/>
  <c r="E516" i="4"/>
  <c r="F516" i="4" s="1"/>
  <c r="E505" i="4"/>
  <c r="F505" i="4" s="1"/>
  <c r="E509" i="4"/>
  <c r="F509" i="4" s="1"/>
  <c r="E512" i="4"/>
  <c r="F512" i="4" s="1"/>
  <c r="E515" i="4"/>
  <c r="F515" i="4" s="1"/>
  <c r="E504" i="4"/>
  <c r="F504" i="4" s="1"/>
  <c r="E508" i="4"/>
  <c r="F508" i="4" s="1"/>
  <c r="E511" i="4"/>
  <c r="F511" i="4" s="1"/>
  <c r="F514" i="5"/>
  <c r="H514" i="5" s="1"/>
  <c r="E498" i="4"/>
  <c r="F498" i="4" s="1"/>
  <c r="E496" i="4"/>
  <c r="F496" i="4" s="1"/>
  <c r="M231" i="5"/>
  <c r="K3137" i="1" s="1"/>
  <c r="L3137" i="1" s="1"/>
  <c r="L3145" i="1" s="1"/>
  <c r="F520" i="5"/>
  <c r="H520" i="5" s="1"/>
  <c r="E502" i="4"/>
  <c r="F502" i="4" s="1"/>
  <c r="E494" i="4"/>
  <c r="F494" i="4" s="1"/>
  <c r="E493" i="4"/>
  <c r="F493" i="4" s="1"/>
  <c r="E497" i="4"/>
  <c r="F497" i="4" s="1"/>
  <c r="F516" i="5"/>
  <c r="F519" i="5"/>
  <c r="E501" i="4"/>
  <c r="F501" i="4" s="1"/>
  <c r="F518" i="5"/>
  <c r="F515" i="5"/>
  <c r="E495" i="4"/>
  <c r="F495" i="4" s="1"/>
  <c r="E500" i="4"/>
  <c r="F500" i="4" s="1"/>
  <c r="E499" i="4"/>
  <c r="F499" i="4" s="1"/>
  <c r="F517" i="5"/>
  <c r="E489" i="4"/>
  <c r="F489" i="4" s="1"/>
  <c r="F513" i="5"/>
  <c r="E492" i="4"/>
  <c r="F492" i="4" s="1"/>
  <c r="F512" i="5"/>
  <c r="E491" i="4"/>
  <c r="F491" i="4" s="1"/>
  <c r="F511" i="5"/>
  <c r="E490" i="4"/>
  <c r="F490" i="4" s="1"/>
  <c r="F501" i="5"/>
  <c r="F506" i="5"/>
  <c r="E478" i="4"/>
  <c r="F478" i="4" s="1"/>
  <c r="E486" i="4"/>
  <c r="F486" i="4" s="1"/>
  <c r="F495" i="5"/>
  <c r="F507" i="5"/>
  <c r="E479" i="4"/>
  <c r="F479" i="4" s="1"/>
  <c r="H479" i="4" s="1"/>
  <c r="I479" i="4" s="1"/>
  <c r="E487" i="4"/>
  <c r="F487" i="4" s="1"/>
  <c r="F496" i="5"/>
  <c r="F502" i="5"/>
  <c r="E480" i="4"/>
  <c r="F480" i="4" s="1"/>
  <c r="E488" i="4"/>
  <c r="F488" i="4" s="1"/>
  <c r="F497" i="5"/>
  <c r="E481" i="4"/>
  <c r="F481" i="4" s="1"/>
  <c r="F498" i="5"/>
  <c r="F508" i="5"/>
  <c r="E482" i="4"/>
  <c r="F482" i="4" s="1"/>
  <c r="F499" i="5"/>
  <c r="F503" i="5"/>
  <c r="F509" i="5"/>
  <c r="E475" i="4"/>
  <c r="F475" i="4" s="1"/>
  <c r="E483" i="4"/>
  <c r="F483" i="4" s="1"/>
  <c r="F504" i="5"/>
  <c r="E476" i="4"/>
  <c r="F476" i="4" s="1"/>
  <c r="E484" i="4"/>
  <c r="F484" i="4" s="1"/>
  <c r="F500" i="5"/>
  <c r="F505" i="5"/>
  <c r="F510" i="5"/>
  <c r="E477" i="4"/>
  <c r="F477" i="4" s="1"/>
  <c r="E485" i="4"/>
  <c r="F485" i="4" s="1"/>
  <c r="E473" i="4"/>
  <c r="F473" i="4" s="1"/>
  <c r="E474" i="4"/>
  <c r="F474" i="4" s="1"/>
  <c r="E471" i="4"/>
  <c r="F471" i="4" s="1"/>
  <c r="F494" i="5"/>
  <c r="E468" i="4"/>
  <c r="F468" i="4" s="1"/>
  <c r="E469" i="4"/>
  <c r="F469" i="4" s="1"/>
  <c r="F490" i="5"/>
  <c r="F493" i="5"/>
  <c r="E470" i="4"/>
  <c r="F470" i="4" s="1"/>
  <c r="F489" i="5"/>
  <c r="F492" i="5"/>
  <c r="E472" i="4"/>
  <c r="F472" i="4" s="1"/>
  <c r="F491" i="5"/>
  <c r="H110" i="2"/>
  <c r="G110" i="2"/>
  <c r="B111" i="2" s="1"/>
  <c r="G111" i="2" s="1"/>
  <c r="E465" i="4"/>
  <c r="F465" i="4" s="1"/>
  <c r="F488" i="5"/>
  <c r="E466" i="4"/>
  <c r="F466" i="4" s="1"/>
  <c r="F487" i="5"/>
  <c r="F486" i="5"/>
  <c r="E467" i="4"/>
  <c r="F467" i="4" s="1"/>
  <c r="F450" i="5"/>
  <c r="E447" i="4"/>
  <c r="F447" i="4" s="1"/>
  <c r="F455" i="5"/>
  <c r="F481" i="5"/>
  <c r="E464" i="4"/>
  <c r="F464" i="4" s="1"/>
  <c r="E455" i="4"/>
  <c r="F455" i="4" s="1"/>
  <c r="F466" i="5"/>
  <c r="E463" i="4"/>
  <c r="F463" i="4" s="1"/>
  <c r="F458" i="5"/>
  <c r="E439" i="4"/>
  <c r="F439" i="4" s="1"/>
  <c r="E460" i="4"/>
  <c r="F460" i="4" s="1"/>
  <c r="F465" i="5"/>
  <c r="F454" i="5"/>
  <c r="F461" i="5"/>
  <c r="F468" i="5"/>
  <c r="F471" i="5"/>
  <c r="F456" i="5"/>
  <c r="E445" i="4"/>
  <c r="F445" i="4" s="1"/>
  <c r="E452" i="4"/>
  <c r="F452" i="4" s="1"/>
  <c r="E459" i="4"/>
  <c r="F459" i="4" s="1"/>
  <c r="F457" i="5"/>
  <c r="F464" i="5"/>
  <c r="F463" i="5"/>
  <c r="F451" i="5"/>
  <c r="F477" i="5"/>
  <c r="E444" i="4"/>
  <c r="F444" i="4" s="1"/>
  <c r="E451" i="4"/>
  <c r="F451" i="4" s="1"/>
  <c r="F453" i="5"/>
  <c r="F460" i="5"/>
  <c r="E456" i="4"/>
  <c r="F456" i="4" s="1"/>
  <c r="E462" i="4"/>
  <c r="F462" i="4" s="1"/>
  <c r="F473" i="5"/>
  <c r="F485" i="5"/>
  <c r="E443" i="4"/>
  <c r="F443" i="4" s="1"/>
  <c r="E458" i="4"/>
  <c r="F458" i="4" s="1"/>
  <c r="F452" i="5"/>
  <c r="E448" i="4"/>
  <c r="F448" i="4" s="1"/>
  <c r="E454" i="4"/>
  <c r="F454" i="4" s="1"/>
  <c r="F469" i="5"/>
  <c r="E453" i="4"/>
  <c r="F453" i="4" s="1"/>
  <c r="F480" i="5"/>
  <c r="F484" i="5"/>
  <c r="E450" i="4"/>
  <c r="F450" i="4" s="1"/>
  <c r="E457" i="4"/>
  <c r="F457" i="4" s="1"/>
  <c r="E440" i="4"/>
  <c r="F440" i="4" s="1"/>
  <c r="E446" i="4"/>
  <c r="F446" i="4" s="1"/>
  <c r="F472" i="5"/>
  <c r="F476" i="5"/>
  <c r="F479" i="5"/>
  <c r="E442" i="4"/>
  <c r="F442" i="4" s="1"/>
  <c r="E449" i="4"/>
  <c r="F449" i="4" s="1"/>
  <c r="F482" i="5"/>
  <c r="F478" i="5"/>
  <c r="F483" i="5"/>
  <c r="F470" i="5"/>
  <c r="F475" i="5"/>
  <c r="F474" i="5"/>
  <c r="E441" i="4"/>
  <c r="F441" i="4" s="1"/>
  <c r="F467" i="5"/>
  <c r="E461" i="4"/>
  <c r="F461" i="4" s="1"/>
  <c r="F462" i="5"/>
  <c r="F459" i="5"/>
  <c r="H105" i="2"/>
  <c r="E438" i="4"/>
  <c r="F438" i="4" s="1"/>
  <c r="E430" i="4"/>
  <c r="F430" i="4" s="1"/>
  <c r="E432" i="4"/>
  <c r="F432" i="4" s="1"/>
  <c r="E431" i="4"/>
  <c r="F431" i="4" s="1"/>
  <c r="E437" i="4"/>
  <c r="F437" i="4" s="1"/>
  <c r="E429" i="4"/>
  <c r="F429" i="4" s="1"/>
  <c r="E436" i="4"/>
  <c r="F436" i="4" s="1"/>
  <c r="E435" i="4"/>
  <c r="F435" i="4" s="1"/>
  <c r="E434" i="4"/>
  <c r="F434" i="4" s="1"/>
  <c r="E433" i="4"/>
  <c r="F433" i="4" s="1"/>
  <c r="F448" i="5"/>
  <c r="F449" i="5"/>
  <c r="E424" i="4"/>
  <c r="F424" i="4" s="1"/>
  <c r="F447" i="5"/>
  <c r="F446" i="5"/>
  <c r="E428" i="4"/>
  <c r="F428" i="4" s="1"/>
  <c r="F445" i="5"/>
  <c r="E426" i="4"/>
  <c r="F426" i="4" s="1"/>
  <c r="E427" i="4"/>
  <c r="F427" i="4" s="1"/>
  <c r="E425" i="4"/>
  <c r="F425" i="4" s="1"/>
  <c r="F444" i="5"/>
  <c r="E423" i="4"/>
  <c r="F423" i="4" s="1"/>
  <c r="E400" i="4"/>
  <c r="F400" i="4" s="1"/>
  <c r="E408" i="4"/>
  <c r="F408" i="4" s="1"/>
  <c r="E416" i="4"/>
  <c r="F416" i="4" s="1"/>
  <c r="E421" i="4"/>
  <c r="F421" i="4" s="1"/>
  <c r="F433" i="5"/>
  <c r="E397" i="4"/>
  <c r="F397" i="4" s="1"/>
  <c r="F426" i="5"/>
  <c r="E405" i="4"/>
  <c r="F405" i="4" s="1"/>
  <c r="E413" i="4"/>
  <c r="F413" i="4" s="1"/>
  <c r="F419" i="5"/>
  <c r="E407" i="4"/>
  <c r="F407" i="4" s="1"/>
  <c r="F421" i="5"/>
  <c r="F424" i="5"/>
  <c r="F428" i="5"/>
  <c r="E399" i="4"/>
  <c r="F399" i="4" s="1"/>
  <c r="E415" i="4"/>
  <c r="F415" i="4" s="1"/>
  <c r="F443" i="5"/>
  <c r="F427" i="5"/>
  <c r="F441" i="5"/>
  <c r="E401" i="4"/>
  <c r="F401" i="4" s="1"/>
  <c r="F438" i="5"/>
  <c r="F423" i="5"/>
  <c r="F437" i="5"/>
  <c r="F440" i="5"/>
  <c r="F435" i="5"/>
  <c r="F420" i="5"/>
  <c r="F422" i="5"/>
  <c r="F431" i="5"/>
  <c r="F430" i="5"/>
  <c r="F442" i="5"/>
  <c r="F434" i="5"/>
  <c r="F425" i="5"/>
  <c r="F417" i="5"/>
  <c r="F429" i="5"/>
  <c r="E419" i="4"/>
  <c r="F419" i="4" s="1"/>
  <c r="E422" i="4"/>
  <c r="F422" i="4" s="1"/>
  <c r="E420" i="4"/>
  <c r="F420" i="4" s="1"/>
  <c r="F418" i="5"/>
  <c r="F432" i="5"/>
  <c r="F439" i="5"/>
  <c r="E414" i="4"/>
  <c r="F414" i="4" s="1"/>
  <c r="E412" i="4"/>
  <c r="F412" i="4" s="1"/>
  <c r="E418" i="4"/>
  <c r="F418" i="4" s="1"/>
  <c r="F436" i="5"/>
  <c r="E406" i="4"/>
  <c r="F406" i="4" s="1"/>
  <c r="E404" i="4"/>
  <c r="F404" i="4" s="1"/>
  <c r="E411" i="4"/>
  <c r="F411" i="4" s="1"/>
  <c r="E410" i="4"/>
  <c r="F410" i="4" s="1"/>
  <c r="E417" i="4"/>
  <c r="F417" i="4" s="1"/>
  <c r="E398" i="4"/>
  <c r="F398" i="4" s="1"/>
  <c r="E396" i="4"/>
  <c r="F396" i="4" s="1"/>
  <c r="E403" i="4"/>
  <c r="F403" i="4" s="1"/>
  <c r="E402" i="4"/>
  <c r="F402" i="4" s="1"/>
  <c r="E409" i="4"/>
  <c r="F409" i="4" s="1"/>
  <c r="E391" i="4"/>
  <c r="F391" i="4" s="1"/>
  <c r="E395" i="4"/>
  <c r="F395" i="4" s="1"/>
  <c r="E387" i="4"/>
  <c r="F387" i="4" s="1"/>
  <c r="F416" i="5"/>
  <c r="E392" i="4"/>
  <c r="F392" i="4" s="1"/>
  <c r="F408" i="5"/>
  <c r="E388" i="4"/>
  <c r="F388" i="4" s="1"/>
  <c r="F409" i="5"/>
  <c r="E390" i="4"/>
  <c r="F390" i="4" s="1"/>
  <c r="F410" i="5"/>
  <c r="F415" i="5"/>
  <c r="E386" i="4"/>
  <c r="F386" i="4" s="1"/>
  <c r="F407" i="5"/>
  <c r="F412" i="5"/>
  <c r="F414" i="5"/>
  <c r="F404" i="5"/>
  <c r="E393" i="4"/>
  <c r="F393" i="4" s="1"/>
  <c r="F406" i="5"/>
  <c r="F411" i="5"/>
  <c r="F413" i="5"/>
  <c r="F403" i="5"/>
  <c r="E394" i="4"/>
  <c r="F394" i="4" s="1"/>
  <c r="F405" i="5"/>
  <c r="E389" i="4"/>
  <c r="F389" i="4" s="1"/>
  <c r="F402" i="5"/>
  <c r="F401" i="5"/>
  <c r="G102" i="2"/>
  <c r="H102" i="2"/>
  <c r="E383" i="4"/>
  <c r="F383" i="4" s="1"/>
  <c r="E384" i="4"/>
  <c r="F384" i="4" s="1"/>
  <c r="E380" i="4"/>
  <c r="F380" i="4" s="1"/>
  <c r="E385" i="4"/>
  <c r="F385" i="4" s="1"/>
  <c r="E381" i="4"/>
  <c r="F381" i="4" s="1"/>
  <c r="E382" i="4"/>
  <c r="F382" i="4" s="1"/>
  <c r="E379" i="4"/>
  <c r="F379" i="4" s="1"/>
  <c r="E378" i="4"/>
  <c r="F378" i="4" s="1"/>
  <c r="F400" i="5"/>
  <c r="F399" i="5"/>
  <c r="F398" i="5"/>
  <c r="E374" i="4"/>
  <c r="F374" i="4" s="1"/>
  <c r="E370" i="4"/>
  <c r="F370" i="4" s="1"/>
  <c r="E377" i="4"/>
  <c r="F377" i="4" s="1"/>
  <c r="F385" i="5"/>
  <c r="F389" i="5"/>
  <c r="F394" i="5"/>
  <c r="F392" i="5"/>
  <c r="F396" i="5"/>
  <c r="F386" i="5"/>
  <c r="E366" i="4"/>
  <c r="F366" i="4" s="1"/>
  <c r="F388" i="5"/>
  <c r="E375" i="4"/>
  <c r="F375" i="4" s="1"/>
  <c r="F391" i="5"/>
  <c r="E376" i="4"/>
  <c r="F376" i="4" s="1"/>
  <c r="E371" i="4"/>
  <c r="F371" i="4" s="1"/>
  <c r="H371" i="4" s="1"/>
  <c r="I371" i="4" s="1"/>
  <c r="F390" i="5"/>
  <c r="E372" i="4"/>
  <c r="F372" i="4" s="1"/>
  <c r="H372" i="4" s="1"/>
  <c r="I372" i="4" s="1"/>
  <c r="E367" i="4"/>
  <c r="F367" i="4" s="1"/>
  <c r="E373" i="4"/>
  <c r="F373" i="4" s="1"/>
  <c r="E368" i="4"/>
  <c r="F368" i="4" s="1"/>
  <c r="F393" i="5"/>
  <c r="E369" i="4"/>
  <c r="F369" i="4" s="1"/>
  <c r="F395" i="5"/>
  <c r="F397" i="5"/>
  <c r="F387" i="5"/>
  <c r="F383" i="5"/>
  <c r="E362" i="4"/>
  <c r="F362" i="4" s="1"/>
  <c r="E363" i="4"/>
  <c r="F363" i="4" s="1"/>
  <c r="E360" i="4"/>
  <c r="F360" i="4" s="1"/>
  <c r="E364" i="4"/>
  <c r="F364" i="4" s="1"/>
  <c r="H364" i="4" s="1"/>
  <c r="I364" i="4" s="1"/>
  <c r="E365" i="4"/>
  <c r="F365" i="4" s="1"/>
  <c r="F384" i="5"/>
  <c r="F382" i="5"/>
  <c r="F381" i="5"/>
  <c r="E361" i="4"/>
  <c r="F361" i="4" s="1"/>
  <c r="F380" i="5"/>
  <c r="F379" i="5"/>
  <c r="G379" i="5" s="1"/>
  <c r="E358" i="4"/>
  <c r="F358" i="4" s="1"/>
  <c r="E359" i="4"/>
  <c r="F359" i="4" s="1"/>
  <c r="F378" i="5"/>
  <c r="E357" i="4"/>
  <c r="F357" i="4" s="1"/>
  <c r="H93" i="2"/>
  <c r="F376" i="5"/>
  <c r="F377" i="5"/>
  <c r="E355" i="4"/>
  <c r="F355" i="4" s="1"/>
  <c r="E356" i="4"/>
  <c r="F356" i="4" s="1"/>
  <c r="E70" i="4"/>
  <c r="F70" i="4" s="1"/>
  <c r="E205" i="4"/>
  <c r="F205" i="4" s="1"/>
  <c r="E253" i="4"/>
  <c r="F253" i="4" s="1"/>
  <c r="E293" i="4"/>
  <c r="F293" i="4" s="1"/>
  <c r="E325" i="4"/>
  <c r="F325" i="4" s="1"/>
  <c r="E142" i="4"/>
  <c r="F142" i="4" s="1"/>
  <c r="H142" i="4" s="1"/>
  <c r="I142" i="4" s="1"/>
  <c r="E190" i="4"/>
  <c r="F190" i="4" s="1"/>
  <c r="E262" i="4"/>
  <c r="F262" i="4" s="1"/>
  <c r="E318" i="4"/>
  <c r="F318" i="4" s="1"/>
  <c r="E94" i="4"/>
  <c r="F94" i="4" s="1"/>
  <c r="H94" i="4" s="1"/>
  <c r="I94" i="4" s="1"/>
  <c r="E79" i="4"/>
  <c r="F79" i="4" s="1"/>
  <c r="E181" i="4"/>
  <c r="F181" i="4" s="1"/>
  <c r="E237" i="4"/>
  <c r="F237" i="4" s="1"/>
  <c r="E285" i="4"/>
  <c r="F285" i="4" s="1"/>
  <c r="E317" i="4"/>
  <c r="F317" i="4" s="1"/>
  <c r="E101" i="4"/>
  <c r="F101" i="4" s="1"/>
  <c r="E81" i="4"/>
  <c r="F81" i="4" s="1"/>
  <c r="E118" i="4"/>
  <c r="F118" i="4" s="1"/>
  <c r="E158" i="4"/>
  <c r="F158" i="4" s="1"/>
  <c r="H158" i="4" s="1"/>
  <c r="I158" i="4" s="1"/>
  <c r="E206" i="4"/>
  <c r="F206" i="4" s="1"/>
  <c r="H206" i="4" s="1"/>
  <c r="I206" i="4" s="1"/>
  <c r="E246" i="4"/>
  <c r="F246" i="4" s="1"/>
  <c r="E302" i="4"/>
  <c r="F302" i="4" s="1"/>
  <c r="E350" i="4"/>
  <c r="F350" i="4" s="1"/>
  <c r="E67" i="4"/>
  <c r="F67" i="4" s="1"/>
  <c r="E72" i="4"/>
  <c r="F72" i="4" s="1"/>
  <c r="E294" i="4"/>
  <c r="F294" i="4" s="1"/>
  <c r="E76" i="4"/>
  <c r="F76" i="4" s="1"/>
  <c r="H76" i="4" s="1"/>
  <c r="I76" i="4" s="1"/>
  <c r="E64" i="4"/>
  <c r="F64" i="4" s="1"/>
  <c r="E197" i="4"/>
  <c r="F197" i="4" s="1"/>
  <c r="E229" i="4"/>
  <c r="F229" i="4" s="1"/>
  <c r="E277" i="4"/>
  <c r="F277" i="4" s="1"/>
  <c r="E301" i="4"/>
  <c r="F301" i="4" s="1"/>
  <c r="E341" i="4"/>
  <c r="F341" i="4" s="1"/>
  <c r="E86" i="4"/>
  <c r="F86" i="4" s="1"/>
  <c r="E126" i="4"/>
  <c r="F126" i="4" s="1"/>
  <c r="H126" i="4" s="1"/>
  <c r="I126" i="4" s="1"/>
  <c r="E174" i="4"/>
  <c r="F174" i="4" s="1"/>
  <c r="E214" i="4"/>
  <c r="F214" i="4" s="1"/>
  <c r="E254" i="4"/>
  <c r="F254" i="4" s="1"/>
  <c r="E310" i="4"/>
  <c r="F310" i="4" s="1"/>
  <c r="E102" i="4"/>
  <c r="F102" i="4" s="1"/>
  <c r="H102" i="4" s="1"/>
  <c r="I102" i="4" s="1"/>
  <c r="E165" i="4"/>
  <c r="F165" i="4" s="1"/>
  <c r="H165" i="4" s="1"/>
  <c r="I165" i="4" s="1"/>
  <c r="E173" i="4"/>
  <c r="F173" i="4" s="1"/>
  <c r="E213" i="4"/>
  <c r="F213" i="4" s="1"/>
  <c r="E245" i="4"/>
  <c r="F245" i="4" s="1"/>
  <c r="E93" i="4"/>
  <c r="F93" i="4" s="1"/>
  <c r="H93" i="4" s="1"/>
  <c r="I93" i="4" s="1"/>
  <c r="E110" i="4"/>
  <c r="F110" i="4" s="1"/>
  <c r="E166" i="4"/>
  <c r="F166" i="4" s="1"/>
  <c r="E198" i="4"/>
  <c r="F198" i="4" s="1"/>
  <c r="E238" i="4"/>
  <c r="F238" i="4" s="1"/>
  <c r="E286" i="4"/>
  <c r="F286" i="4" s="1"/>
  <c r="E342" i="4"/>
  <c r="F342" i="4" s="1"/>
  <c r="E157" i="4"/>
  <c r="F157" i="4" s="1"/>
  <c r="E261" i="4"/>
  <c r="F261" i="4" s="1"/>
  <c r="E333" i="4"/>
  <c r="F333" i="4" s="1"/>
  <c r="E66" i="4"/>
  <c r="F66" i="4" s="1"/>
  <c r="E134" i="4"/>
  <c r="F134" i="4" s="1"/>
  <c r="E222" i="4"/>
  <c r="F222" i="4" s="1"/>
  <c r="E270" i="4"/>
  <c r="F270" i="4" s="1"/>
  <c r="E334" i="4"/>
  <c r="F334" i="4" s="1"/>
  <c r="E87" i="4"/>
  <c r="F87" i="4" s="1"/>
  <c r="E68" i="4"/>
  <c r="F68" i="4" s="1"/>
  <c r="E189" i="4"/>
  <c r="F189" i="4" s="1"/>
  <c r="E221" i="4"/>
  <c r="F221" i="4" s="1"/>
  <c r="E269" i="4"/>
  <c r="F269" i="4" s="1"/>
  <c r="E309" i="4"/>
  <c r="F309" i="4" s="1"/>
  <c r="E349" i="4"/>
  <c r="F349" i="4" s="1"/>
  <c r="H349" i="4" s="1"/>
  <c r="I349" i="4" s="1"/>
  <c r="E150" i="4"/>
  <c r="F150" i="4" s="1"/>
  <c r="E182" i="4"/>
  <c r="F182" i="4" s="1"/>
  <c r="E230" i="4"/>
  <c r="F230" i="4" s="1"/>
  <c r="E278" i="4"/>
  <c r="F278" i="4" s="1"/>
  <c r="E326" i="4"/>
  <c r="F326" i="4" s="1"/>
  <c r="E20" i="4"/>
  <c r="F20" i="4" s="1"/>
  <c r="E327" i="4"/>
  <c r="F327" i="4" s="1"/>
  <c r="E263" i="4"/>
  <c r="F263" i="4" s="1"/>
  <c r="E199" i="4"/>
  <c r="F199" i="4" s="1"/>
  <c r="H199" i="4" s="1"/>
  <c r="I199" i="4" s="1"/>
  <c r="E135" i="4"/>
  <c r="F135" i="4" s="1"/>
  <c r="H135" i="4" s="1"/>
  <c r="I135" i="4" s="1"/>
  <c r="E117" i="4"/>
  <c r="F117" i="4" s="1"/>
  <c r="E340" i="4"/>
  <c r="F340" i="4" s="1"/>
  <c r="E276" i="4"/>
  <c r="F276" i="4" s="1"/>
  <c r="E212" i="4"/>
  <c r="F212" i="4" s="1"/>
  <c r="E148" i="4"/>
  <c r="F148" i="4" s="1"/>
  <c r="E107" i="4"/>
  <c r="F107" i="4" s="1"/>
  <c r="E299" i="4"/>
  <c r="F299" i="4" s="1"/>
  <c r="E235" i="4"/>
  <c r="F235" i="4" s="1"/>
  <c r="E171" i="4"/>
  <c r="F171" i="4" s="1"/>
  <c r="E8" i="4"/>
  <c r="F8" i="4" s="1"/>
  <c r="E338" i="4"/>
  <c r="F338" i="4" s="1"/>
  <c r="E274" i="4"/>
  <c r="F274" i="4" s="1"/>
  <c r="E210" i="4"/>
  <c r="F210" i="4" s="1"/>
  <c r="E146" i="4"/>
  <c r="F146" i="4" s="1"/>
  <c r="E105" i="4"/>
  <c r="F105" i="4" s="1"/>
  <c r="E297" i="4"/>
  <c r="F297" i="4" s="1"/>
  <c r="E233" i="4"/>
  <c r="F233" i="4" s="1"/>
  <c r="E169" i="4"/>
  <c r="F169" i="4" s="1"/>
  <c r="E19" i="4"/>
  <c r="F19" i="4" s="1"/>
  <c r="E336" i="4"/>
  <c r="F336" i="4" s="1"/>
  <c r="E272" i="4"/>
  <c r="F272" i="4" s="1"/>
  <c r="E208" i="4"/>
  <c r="F208" i="4" s="1"/>
  <c r="E144" i="4"/>
  <c r="F144" i="4" s="1"/>
  <c r="H144" i="4" s="1"/>
  <c r="I144" i="4" s="1"/>
  <c r="E284" i="4"/>
  <c r="F284" i="4" s="1"/>
  <c r="E115" i="4"/>
  <c r="F115" i="4" s="1"/>
  <c r="H115" i="4" s="1"/>
  <c r="I115" i="4" s="1"/>
  <c r="E241" i="4"/>
  <c r="F241" i="4" s="1"/>
  <c r="E77" i="4"/>
  <c r="F77" i="4" s="1"/>
  <c r="E319" i="4"/>
  <c r="F319" i="4" s="1"/>
  <c r="E255" i="4"/>
  <c r="F255" i="4" s="1"/>
  <c r="E191" i="4"/>
  <c r="F191" i="4" s="1"/>
  <c r="E127" i="4"/>
  <c r="F127" i="4" s="1"/>
  <c r="H127" i="4" s="1"/>
  <c r="I127" i="4" s="1"/>
  <c r="E109" i="4"/>
  <c r="F109" i="4" s="1"/>
  <c r="E332" i="4"/>
  <c r="F332" i="4" s="1"/>
  <c r="E268" i="4"/>
  <c r="F268" i="4" s="1"/>
  <c r="E204" i="4"/>
  <c r="F204" i="4" s="1"/>
  <c r="E140" i="4"/>
  <c r="F140" i="4" s="1"/>
  <c r="E99" i="4"/>
  <c r="F99" i="4" s="1"/>
  <c r="E291" i="4"/>
  <c r="F291" i="4" s="1"/>
  <c r="E227" i="4"/>
  <c r="F227" i="4" s="1"/>
  <c r="E163" i="4"/>
  <c r="F163" i="4" s="1"/>
  <c r="H163" i="4" s="1"/>
  <c r="I163" i="4" s="1"/>
  <c r="E71" i="4"/>
  <c r="F71" i="4" s="1"/>
  <c r="E330" i="4"/>
  <c r="F330" i="4" s="1"/>
  <c r="E266" i="4"/>
  <c r="F266" i="4" s="1"/>
  <c r="E202" i="4"/>
  <c r="F202" i="4" s="1"/>
  <c r="E138" i="4"/>
  <c r="F138" i="4" s="1"/>
  <c r="E353" i="4"/>
  <c r="F353" i="4" s="1"/>
  <c r="E289" i="4"/>
  <c r="F289" i="4" s="1"/>
  <c r="E225" i="4"/>
  <c r="F225" i="4" s="1"/>
  <c r="E161" i="4"/>
  <c r="F161" i="4" s="1"/>
  <c r="E69" i="4"/>
  <c r="F69" i="4" s="1"/>
  <c r="E328" i="4"/>
  <c r="F328" i="4" s="1"/>
  <c r="E264" i="4"/>
  <c r="F264" i="4" s="1"/>
  <c r="E200" i="4"/>
  <c r="F200" i="4" s="1"/>
  <c r="E136" i="4"/>
  <c r="F136" i="4" s="1"/>
  <c r="H136" i="4" s="1"/>
  <c r="I136" i="4" s="1"/>
  <c r="E156" i="4"/>
  <c r="F156" i="4" s="1"/>
  <c r="E282" i="4"/>
  <c r="F282" i="4" s="1"/>
  <c r="E113" i="4"/>
  <c r="F113" i="4" s="1"/>
  <c r="E88" i="4"/>
  <c r="F88" i="4" s="1"/>
  <c r="E311" i="4"/>
  <c r="F311" i="4" s="1"/>
  <c r="E247" i="4"/>
  <c r="F247" i="4" s="1"/>
  <c r="E183" i="4"/>
  <c r="F183" i="4" s="1"/>
  <c r="H183" i="4" s="1"/>
  <c r="I183" i="4" s="1"/>
  <c r="E119" i="4"/>
  <c r="F119" i="4" s="1"/>
  <c r="H119" i="4" s="1"/>
  <c r="I119" i="4" s="1"/>
  <c r="E65" i="4"/>
  <c r="F65" i="4" s="1"/>
  <c r="E324" i="4"/>
  <c r="F324" i="4" s="1"/>
  <c r="E260" i="4"/>
  <c r="F260" i="4" s="1"/>
  <c r="E196" i="4"/>
  <c r="F196" i="4" s="1"/>
  <c r="E132" i="4"/>
  <c r="F132" i="4" s="1"/>
  <c r="E347" i="4"/>
  <c r="F347" i="4" s="1"/>
  <c r="E283" i="4"/>
  <c r="F283" i="4" s="1"/>
  <c r="E219" i="4"/>
  <c r="F219" i="4" s="1"/>
  <c r="E155" i="4"/>
  <c r="F155" i="4" s="1"/>
  <c r="E80" i="4"/>
  <c r="F80" i="4" s="1"/>
  <c r="E322" i="4"/>
  <c r="F322" i="4" s="1"/>
  <c r="E258" i="4"/>
  <c r="F258" i="4" s="1"/>
  <c r="E194" i="4"/>
  <c r="F194" i="4" s="1"/>
  <c r="E130" i="4"/>
  <c r="F130" i="4" s="1"/>
  <c r="E345" i="4"/>
  <c r="F345" i="4" s="1"/>
  <c r="E281" i="4"/>
  <c r="F281" i="4" s="1"/>
  <c r="E217" i="4"/>
  <c r="F217" i="4" s="1"/>
  <c r="E153" i="4"/>
  <c r="F153" i="4" s="1"/>
  <c r="E78" i="4"/>
  <c r="F78" i="4" s="1"/>
  <c r="E320" i="4"/>
  <c r="F320" i="4" s="1"/>
  <c r="E256" i="4"/>
  <c r="F256" i="4" s="1"/>
  <c r="E192" i="4"/>
  <c r="F192" i="4" s="1"/>
  <c r="E128" i="4"/>
  <c r="F128" i="4" s="1"/>
  <c r="E162" i="4"/>
  <c r="F162" i="4" s="1"/>
  <c r="E224" i="4"/>
  <c r="F224" i="4" s="1"/>
  <c r="E271" i="4"/>
  <c r="F271" i="4" s="1"/>
  <c r="E218" i="4"/>
  <c r="F218" i="4" s="1"/>
  <c r="E216" i="4"/>
  <c r="F216" i="4" s="1"/>
  <c r="E95" i="4"/>
  <c r="F95" i="4" s="1"/>
  <c r="E303" i="4"/>
  <c r="F303" i="4" s="1"/>
  <c r="E239" i="4"/>
  <c r="F239" i="4" s="1"/>
  <c r="E175" i="4"/>
  <c r="F175" i="4" s="1"/>
  <c r="E111" i="4"/>
  <c r="F111" i="4" s="1"/>
  <c r="E84" i="4"/>
  <c r="F84" i="4" s="1"/>
  <c r="H84" i="4" s="1"/>
  <c r="I84" i="4" s="1"/>
  <c r="E316" i="4"/>
  <c r="F316" i="4" s="1"/>
  <c r="E252" i="4"/>
  <c r="F252" i="4" s="1"/>
  <c r="E188" i="4"/>
  <c r="F188" i="4" s="1"/>
  <c r="E124" i="4"/>
  <c r="F124" i="4" s="1"/>
  <c r="E339" i="4"/>
  <c r="F339" i="4" s="1"/>
  <c r="E275" i="4"/>
  <c r="F275" i="4" s="1"/>
  <c r="E211" i="4"/>
  <c r="F211" i="4" s="1"/>
  <c r="E147" i="4"/>
  <c r="F147" i="4" s="1"/>
  <c r="E82" i="4"/>
  <c r="F82" i="4" s="1"/>
  <c r="E314" i="4"/>
  <c r="F314" i="4" s="1"/>
  <c r="E250" i="4"/>
  <c r="F250" i="4" s="1"/>
  <c r="E186" i="4"/>
  <c r="F186" i="4" s="1"/>
  <c r="E122" i="4"/>
  <c r="F122" i="4" s="1"/>
  <c r="E337" i="4"/>
  <c r="F337" i="4" s="1"/>
  <c r="E273" i="4"/>
  <c r="F273" i="4" s="1"/>
  <c r="E209" i="4"/>
  <c r="F209" i="4" s="1"/>
  <c r="E145" i="4"/>
  <c r="F145" i="4" s="1"/>
  <c r="E89" i="4"/>
  <c r="F89" i="4" s="1"/>
  <c r="H89" i="4" s="1"/>
  <c r="I89" i="4" s="1"/>
  <c r="E312" i="4"/>
  <c r="F312" i="4" s="1"/>
  <c r="E248" i="4"/>
  <c r="F248" i="4" s="1"/>
  <c r="E184" i="4"/>
  <c r="F184" i="4" s="1"/>
  <c r="H184" i="4" s="1"/>
  <c r="I184" i="4" s="1"/>
  <c r="E120" i="4"/>
  <c r="F120" i="4" s="1"/>
  <c r="E313" i="4"/>
  <c r="F313" i="4" s="1"/>
  <c r="E352" i="4"/>
  <c r="F352" i="4" s="1"/>
  <c r="E125" i="4"/>
  <c r="F125" i="4" s="1"/>
  <c r="E243" i="4"/>
  <c r="F243" i="4" s="1"/>
  <c r="E97" i="4"/>
  <c r="F97" i="4" s="1"/>
  <c r="E280" i="4"/>
  <c r="F280" i="4" s="1"/>
  <c r="E103" i="4"/>
  <c r="F103" i="4" s="1"/>
  <c r="E295" i="4"/>
  <c r="F295" i="4" s="1"/>
  <c r="H295" i="4" s="1"/>
  <c r="I295" i="4" s="1"/>
  <c r="E231" i="4"/>
  <c r="F231" i="4" s="1"/>
  <c r="E167" i="4"/>
  <c r="F167" i="4" s="1"/>
  <c r="E149" i="4"/>
  <c r="F149" i="4" s="1"/>
  <c r="E85" i="4"/>
  <c r="F85" i="4" s="1"/>
  <c r="E308" i="4"/>
  <c r="F308" i="4" s="1"/>
  <c r="E244" i="4"/>
  <c r="F244" i="4" s="1"/>
  <c r="E180" i="4"/>
  <c r="F180" i="4" s="1"/>
  <c r="E116" i="4"/>
  <c r="F116" i="4" s="1"/>
  <c r="E331" i="4"/>
  <c r="F331" i="4" s="1"/>
  <c r="E267" i="4"/>
  <c r="F267" i="4" s="1"/>
  <c r="E203" i="4"/>
  <c r="F203" i="4" s="1"/>
  <c r="E139" i="4"/>
  <c r="F139" i="4" s="1"/>
  <c r="E98" i="4"/>
  <c r="F98" i="4" s="1"/>
  <c r="E306" i="4"/>
  <c r="F306" i="4" s="1"/>
  <c r="E242" i="4"/>
  <c r="F242" i="4" s="1"/>
  <c r="E178" i="4"/>
  <c r="F178" i="4" s="1"/>
  <c r="E114" i="4"/>
  <c r="F114" i="4" s="1"/>
  <c r="E329" i="4"/>
  <c r="F329" i="4" s="1"/>
  <c r="E265" i="4"/>
  <c r="F265" i="4" s="1"/>
  <c r="E201" i="4"/>
  <c r="F201" i="4" s="1"/>
  <c r="E137" i="4"/>
  <c r="F137" i="4" s="1"/>
  <c r="H137" i="4" s="1"/>
  <c r="I137" i="4" s="1"/>
  <c r="E96" i="4"/>
  <c r="F96" i="4" s="1"/>
  <c r="H96" i="4" s="1"/>
  <c r="I96" i="4" s="1"/>
  <c r="E304" i="4"/>
  <c r="F304" i="4" s="1"/>
  <c r="E240" i="4"/>
  <c r="F240" i="4" s="1"/>
  <c r="E176" i="4"/>
  <c r="F176" i="4" s="1"/>
  <c r="E112" i="4"/>
  <c r="F112" i="4" s="1"/>
  <c r="E90" i="4"/>
  <c r="F90" i="4" s="1"/>
  <c r="E121" i="4"/>
  <c r="F121" i="4" s="1"/>
  <c r="E143" i="4"/>
  <c r="F143" i="4" s="1"/>
  <c r="E91" i="4"/>
  <c r="F91" i="4" s="1"/>
  <c r="H91" i="4" s="1"/>
  <c r="I91" i="4" s="1"/>
  <c r="E346" i="4"/>
  <c r="F346" i="4" s="1"/>
  <c r="E177" i="4"/>
  <c r="F177" i="4" s="1"/>
  <c r="E351" i="4"/>
  <c r="F351" i="4" s="1"/>
  <c r="H351" i="4" s="1"/>
  <c r="I351" i="4" s="1"/>
  <c r="E287" i="4"/>
  <c r="F287" i="4" s="1"/>
  <c r="E223" i="4"/>
  <c r="F223" i="4" s="1"/>
  <c r="H223" i="4" s="1"/>
  <c r="I223" i="4" s="1"/>
  <c r="E159" i="4"/>
  <c r="F159" i="4" s="1"/>
  <c r="E141" i="4"/>
  <c r="F141" i="4" s="1"/>
  <c r="E92" i="4"/>
  <c r="F92" i="4" s="1"/>
  <c r="E300" i="4"/>
  <c r="F300" i="4" s="1"/>
  <c r="E236" i="4"/>
  <c r="F236" i="4" s="1"/>
  <c r="E172" i="4"/>
  <c r="F172" i="4" s="1"/>
  <c r="E108" i="4"/>
  <c r="F108" i="4" s="1"/>
  <c r="E323" i="4"/>
  <c r="F323" i="4" s="1"/>
  <c r="E259" i="4"/>
  <c r="F259" i="4" s="1"/>
  <c r="E195" i="4"/>
  <c r="F195" i="4" s="1"/>
  <c r="E131" i="4"/>
  <c r="F131" i="4" s="1"/>
  <c r="E106" i="4"/>
  <c r="F106" i="4" s="1"/>
  <c r="E298" i="4"/>
  <c r="F298" i="4" s="1"/>
  <c r="E234" i="4"/>
  <c r="F234" i="4" s="1"/>
  <c r="E170" i="4"/>
  <c r="F170" i="4" s="1"/>
  <c r="E12" i="4"/>
  <c r="F12" i="4" s="1"/>
  <c r="H12" i="4" s="1"/>
  <c r="I12" i="4" s="1"/>
  <c r="E321" i="4"/>
  <c r="F321" i="4" s="1"/>
  <c r="E257" i="4"/>
  <c r="F257" i="4" s="1"/>
  <c r="E193" i="4"/>
  <c r="F193" i="4" s="1"/>
  <c r="E129" i="4"/>
  <c r="F129" i="4" s="1"/>
  <c r="H129" i="4" s="1"/>
  <c r="I129" i="4" s="1"/>
  <c r="E104" i="4"/>
  <c r="F104" i="4" s="1"/>
  <c r="E296" i="4"/>
  <c r="F296" i="4" s="1"/>
  <c r="H296" i="4" s="1"/>
  <c r="I296" i="4" s="1"/>
  <c r="E232" i="4"/>
  <c r="F232" i="4" s="1"/>
  <c r="E168" i="4"/>
  <c r="F168" i="4" s="1"/>
  <c r="H168" i="4" s="1"/>
  <c r="I168" i="4" s="1"/>
  <c r="E290" i="4"/>
  <c r="F290" i="4" s="1"/>
  <c r="E185" i="4"/>
  <c r="F185" i="4" s="1"/>
  <c r="E160" i="4"/>
  <c r="F160" i="4" s="1"/>
  <c r="E335" i="4"/>
  <c r="F335" i="4" s="1"/>
  <c r="E207" i="4"/>
  <c r="F207" i="4" s="1"/>
  <c r="E220" i="4"/>
  <c r="F220" i="4" s="1"/>
  <c r="E307" i="4"/>
  <c r="F307" i="4" s="1"/>
  <c r="E154" i="4"/>
  <c r="F154" i="4" s="1"/>
  <c r="E344" i="4"/>
  <c r="F344" i="4" s="1"/>
  <c r="E343" i="4"/>
  <c r="F343" i="4" s="1"/>
  <c r="E279" i="4"/>
  <c r="F279" i="4" s="1"/>
  <c r="E215" i="4"/>
  <c r="F215" i="4" s="1"/>
  <c r="E151" i="4"/>
  <c r="F151" i="4" s="1"/>
  <c r="E133" i="4"/>
  <c r="F133" i="4" s="1"/>
  <c r="E100" i="4"/>
  <c r="F100" i="4" s="1"/>
  <c r="E292" i="4"/>
  <c r="F292" i="4" s="1"/>
  <c r="E228" i="4"/>
  <c r="F228" i="4" s="1"/>
  <c r="E164" i="4"/>
  <c r="F164" i="4" s="1"/>
  <c r="E83" i="4"/>
  <c r="F83" i="4" s="1"/>
  <c r="H83" i="4" s="1"/>
  <c r="I83" i="4" s="1"/>
  <c r="E315" i="4"/>
  <c r="F315" i="4" s="1"/>
  <c r="E251" i="4"/>
  <c r="F251" i="4" s="1"/>
  <c r="E187" i="4"/>
  <c r="F187" i="4" s="1"/>
  <c r="E123" i="4"/>
  <c r="F123" i="4" s="1"/>
  <c r="E354" i="4"/>
  <c r="F354" i="4" s="1"/>
  <c r="E226" i="4"/>
  <c r="F226" i="4" s="1"/>
  <c r="E249" i="4"/>
  <c r="F249" i="4" s="1"/>
  <c r="E288" i="4"/>
  <c r="F288" i="4" s="1"/>
  <c r="E348" i="4"/>
  <c r="F348" i="4" s="1"/>
  <c r="E179" i="4"/>
  <c r="F179" i="4" s="1"/>
  <c r="E305" i="4"/>
  <c r="F305" i="4" s="1"/>
  <c r="E152" i="4"/>
  <c r="F152" i="4" s="1"/>
  <c r="F371" i="5"/>
  <c r="H371" i="5" s="1"/>
  <c r="F372" i="5"/>
  <c r="G372" i="5" s="1"/>
  <c r="F373" i="5"/>
  <c r="G373" i="5" s="1"/>
  <c r="F375" i="5"/>
  <c r="G375" i="5" s="1"/>
  <c r="F374" i="5"/>
  <c r="G374" i="5" s="1"/>
  <c r="F359" i="5"/>
  <c r="F363" i="5"/>
  <c r="F355" i="5"/>
  <c r="F367" i="5"/>
  <c r="F364" i="5"/>
  <c r="F356" i="5"/>
  <c r="F360" i="5"/>
  <c r="F368" i="5"/>
  <c r="F357" i="5"/>
  <c r="F361" i="5"/>
  <c r="F365" i="5"/>
  <c r="F369" i="5"/>
  <c r="F358" i="5"/>
  <c r="F362" i="5"/>
  <c r="F366" i="5"/>
  <c r="F370" i="5"/>
  <c r="F329" i="5"/>
  <c r="F337" i="5"/>
  <c r="F345" i="5"/>
  <c r="F353" i="5"/>
  <c r="F330" i="5"/>
  <c r="F338" i="5"/>
  <c r="F346" i="5"/>
  <c r="F354" i="5"/>
  <c r="F331" i="5"/>
  <c r="F339" i="5"/>
  <c r="F347" i="5"/>
  <c r="F323" i="5"/>
  <c r="F344" i="5"/>
  <c r="F332" i="5"/>
  <c r="F340" i="5"/>
  <c r="F348" i="5"/>
  <c r="F324" i="5"/>
  <c r="F333" i="5"/>
  <c r="F341" i="5"/>
  <c r="F349" i="5"/>
  <c r="F325" i="5"/>
  <c r="F336" i="5"/>
  <c r="F334" i="5"/>
  <c r="F342" i="5"/>
  <c r="F350" i="5"/>
  <c r="F326" i="5"/>
  <c r="F352" i="5"/>
  <c r="F327" i="5"/>
  <c r="F335" i="5"/>
  <c r="F343" i="5"/>
  <c r="F351" i="5"/>
  <c r="F328" i="5"/>
  <c r="K192" i="5"/>
  <c r="M192" i="5"/>
  <c r="K211" i="5"/>
  <c r="M211" i="5"/>
  <c r="K228" i="5"/>
  <c r="M228" i="5"/>
  <c r="K2416" i="1" s="1"/>
  <c r="K232" i="5"/>
  <c r="M232" i="5"/>
  <c r="K2540" i="1" s="1"/>
  <c r="K194" i="5"/>
  <c r="M194" i="5"/>
  <c r="K210" i="5"/>
  <c r="M210" i="5"/>
  <c r="M191" i="5"/>
  <c r="K191" i="5"/>
  <c r="K234" i="5"/>
  <c r="M234" i="5"/>
  <c r="K2994" i="1" s="1"/>
  <c r="L2994" i="1" s="1"/>
  <c r="L3019" i="1" s="1"/>
  <c r="M207" i="5"/>
  <c r="K207" i="5"/>
  <c r="K225" i="5"/>
  <c r="M225" i="5"/>
  <c r="F318" i="5"/>
  <c r="F322" i="5"/>
  <c r="F319" i="5"/>
  <c r="F320" i="5"/>
  <c r="F321" i="5"/>
  <c r="F317" i="5"/>
  <c r="F313" i="5"/>
  <c r="F302" i="5"/>
  <c r="F308" i="5"/>
  <c r="F314" i="5"/>
  <c r="F303" i="5"/>
  <c r="F309" i="5"/>
  <c r="F315" i="5"/>
  <c r="F310" i="5"/>
  <c r="F304" i="5"/>
  <c r="F316" i="5"/>
  <c r="F307" i="5"/>
  <c r="F305" i="5"/>
  <c r="F311" i="5"/>
  <c r="F312" i="5"/>
  <c r="F306" i="5"/>
  <c r="F301" i="5"/>
  <c r="G301" i="5" s="1"/>
  <c r="F288" i="5"/>
  <c r="H288" i="5" s="1"/>
  <c r="F300" i="5"/>
  <c r="F294" i="5"/>
  <c r="F298" i="5"/>
  <c r="F291" i="5"/>
  <c r="F295" i="5"/>
  <c r="F299" i="5"/>
  <c r="F292" i="5"/>
  <c r="F296" i="5"/>
  <c r="F289" i="5"/>
  <c r="F293" i="5"/>
  <c r="F297" i="5"/>
  <c r="F290" i="5"/>
  <c r="F279" i="5"/>
  <c r="F283" i="5"/>
  <c r="F286" i="5"/>
  <c r="F280" i="5"/>
  <c r="F284" i="5"/>
  <c r="F287" i="5"/>
  <c r="F282" i="5"/>
  <c r="F285" i="5"/>
  <c r="F281" i="5"/>
  <c r="F254" i="5"/>
  <c r="F257" i="5"/>
  <c r="F276" i="5"/>
  <c r="F264" i="5"/>
  <c r="F270" i="5"/>
  <c r="F258" i="5"/>
  <c r="F261" i="5"/>
  <c r="F267" i="5"/>
  <c r="F273" i="5"/>
  <c r="F262" i="5"/>
  <c r="F268" i="5"/>
  <c r="F255" i="5"/>
  <c r="F277" i="5"/>
  <c r="F265" i="5"/>
  <c r="F274" i="5"/>
  <c r="F256" i="5"/>
  <c r="F259" i="5"/>
  <c r="F271" i="5"/>
  <c r="F278" i="5"/>
  <c r="F266" i="5"/>
  <c r="F275" i="5"/>
  <c r="F260" i="5"/>
  <c r="F263" i="5"/>
  <c r="F269" i="5"/>
  <c r="F272" i="5"/>
  <c r="E74" i="4"/>
  <c r="F74" i="4" s="1"/>
  <c r="H74" i="4" s="1"/>
  <c r="I74" i="4" s="1"/>
  <c r="F248" i="5"/>
  <c r="F252" i="5"/>
  <c r="F249" i="5"/>
  <c r="F253" i="5"/>
  <c r="F250" i="5"/>
  <c r="F251" i="5"/>
  <c r="F247" i="5"/>
  <c r="G247" i="5" s="1"/>
  <c r="E6" i="4"/>
  <c r="F6" i="4" s="1"/>
  <c r="N239" i="5" s="1"/>
  <c r="E5" i="4"/>
  <c r="F5" i="4" s="1"/>
  <c r="E7" i="4"/>
  <c r="E4" i="4"/>
  <c r="F4" i="4" s="1"/>
  <c r="E3" i="4"/>
  <c r="F3" i="4" s="1"/>
  <c r="F244" i="5"/>
  <c r="F243" i="5"/>
  <c r="F238" i="5"/>
  <c r="F239" i="5"/>
  <c r="F245" i="5"/>
  <c r="F241" i="5"/>
  <c r="F246" i="5"/>
  <c r="F242" i="5"/>
  <c r="F240" i="5"/>
  <c r="F237" i="5"/>
  <c r="G237" i="5" s="1"/>
  <c r="F228" i="5"/>
  <c r="H228" i="5" s="1"/>
  <c r="F236" i="5"/>
  <c r="F230" i="5"/>
  <c r="G230" i="5" s="1"/>
  <c r="F235" i="5"/>
  <c r="H235" i="5" s="1"/>
  <c r="F231" i="5"/>
  <c r="G231" i="5" s="1"/>
  <c r="F234" i="5"/>
  <c r="G234" i="5" s="1"/>
  <c r="F232" i="5"/>
  <c r="G232" i="5" s="1"/>
  <c r="F229" i="5"/>
  <c r="G229" i="5" s="1"/>
  <c r="F233" i="5"/>
  <c r="E73" i="4"/>
  <c r="F73" i="4" s="1"/>
  <c r="F199" i="5"/>
  <c r="F205" i="5"/>
  <c r="F211" i="5"/>
  <c r="F215" i="5"/>
  <c r="F221" i="5"/>
  <c r="E43" i="4"/>
  <c r="F43" i="4" s="1"/>
  <c r="H43" i="4" s="1"/>
  <c r="I43" i="4" s="1"/>
  <c r="E33" i="4"/>
  <c r="F33" i="4" s="1"/>
  <c r="H33" i="4" s="1"/>
  <c r="I33" i="4" s="1"/>
  <c r="F200" i="5"/>
  <c r="F216" i="5"/>
  <c r="F201" i="5"/>
  <c r="F217" i="5"/>
  <c r="F222" i="5"/>
  <c r="E10" i="4"/>
  <c r="F10" i="4" s="1"/>
  <c r="H10" i="4" s="1"/>
  <c r="I10" i="4" s="1"/>
  <c r="E75" i="4"/>
  <c r="F75" i="4" s="1"/>
  <c r="H75" i="4" s="1"/>
  <c r="I75" i="4" s="1"/>
  <c r="F202" i="5"/>
  <c r="F206" i="5"/>
  <c r="F212" i="5"/>
  <c r="F218" i="5"/>
  <c r="F223" i="5"/>
  <c r="E46" i="4"/>
  <c r="F46" i="4" s="1"/>
  <c r="H46" i="4" s="1"/>
  <c r="I46" i="4" s="1"/>
  <c r="F203" i="5"/>
  <c r="F207" i="5"/>
  <c r="F213" i="5"/>
  <c r="F219" i="5"/>
  <c r="F224" i="5"/>
  <c r="E2" i="4"/>
  <c r="F2" i="4" s="1"/>
  <c r="F204" i="5"/>
  <c r="F208" i="5"/>
  <c r="F225" i="5"/>
  <c r="F209" i="5"/>
  <c r="F226" i="5"/>
  <c r="F210" i="5"/>
  <c r="F214" i="5"/>
  <c r="F220" i="5"/>
  <c r="F227" i="5"/>
  <c r="F198" i="5"/>
  <c r="E28" i="4"/>
  <c r="F28" i="4" s="1"/>
  <c r="F192" i="5"/>
  <c r="G192" i="5" s="1"/>
  <c r="F13" i="5"/>
  <c r="F111" i="5"/>
  <c r="F76" i="5"/>
  <c r="F23" i="5"/>
  <c r="F74" i="5"/>
  <c r="F42" i="5"/>
  <c r="F27" i="5"/>
  <c r="F29" i="5"/>
  <c r="F110" i="5"/>
  <c r="F96" i="5"/>
  <c r="F148" i="5"/>
  <c r="E44" i="4"/>
  <c r="F44" i="4" s="1"/>
  <c r="F180" i="5"/>
  <c r="F106" i="5"/>
  <c r="F162" i="5"/>
  <c r="F22" i="5"/>
  <c r="F30" i="5"/>
  <c r="F117" i="5"/>
  <c r="H117" i="5" s="1"/>
  <c r="I117" i="5" s="1"/>
  <c r="J117" i="5" s="1"/>
  <c r="F167" i="5"/>
  <c r="F80" i="5"/>
  <c r="F101" i="5"/>
  <c r="E59" i="4"/>
  <c r="F59" i="4" s="1"/>
  <c r="F65" i="5"/>
  <c r="F156" i="5"/>
  <c r="F183" i="5"/>
  <c r="E40" i="4"/>
  <c r="F40" i="4" s="1"/>
  <c r="F173" i="5"/>
  <c r="F120" i="5"/>
  <c r="F116" i="5"/>
  <c r="F175" i="5"/>
  <c r="F197" i="5"/>
  <c r="F190" i="5"/>
  <c r="F35" i="5"/>
  <c r="F25" i="5"/>
  <c r="F75" i="5"/>
  <c r="E24" i="4"/>
  <c r="F24" i="4" s="1"/>
  <c r="F71" i="5"/>
  <c r="F15" i="5"/>
  <c r="F161" i="5"/>
  <c r="E35" i="4"/>
  <c r="F35" i="4" s="1"/>
  <c r="F86" i="5"/>
  <c r="F47" i="5"/>
  <c r="F66" i="5"/>
  <c r="F37" i="5"/>
  <c r="F129" i="5"/>
  <c r="F91" i="5"/>
  <c r="F55" i="5"/>
  <c r="F61" i="5"/>
  <c r="F7" i="5"/>
  <c r="F68" i="5"/>
  <c r="F160" i="5"/>
  <c r="E51" i="4"/>
  <c r="F51" i="4" s="1"/>
  <c r="F114" i="5"/>
  <c r="F115" i="5"/>
  <c r="F31" i="5"/>
  <c r="F39" i="5"/>
  <c r="F126" i="5"/>
  <c r="F153" i="5"/>
  <c r="E38" i="4"/>
  <c r="F38" i="4" s="1"/>
  <c r="F108" i="5"/>
  <c r="F4" i="5"/>
  <c r="F12" i="5"/>
  <c r="F73" i="5"/>
  <c r="F6" i="5"/>
  <c r="E31" i="4"/>
  <c r="F31" i="4" s="1"/>
  <c r="E11" i="4"/>
  <c r="F11" i="4" s="1"/>
  <c r="E53" i="4"/>
  <c r="F53" i="4" s="1"/>
  <c r="F176" i="5"/>
  <c r="F132" i="5"/>
  <c r="E25" i="4"/>
  <c r="F25" i="4" s="1"/>
  <c r="F195" i="5"/>
  <c r="F189" i="5"/>
  <c r="F49" i="5"/>
  <c r="F32" i="5"/>
  <c r="F113" i="5"/>
  <c r="F90" i="5"/>
  <c r="F3" i="5"/>
  <c r="F77" i="5"/>
  <c r="F97" i="5"/>
  <c r="F95" i="5"/>
  <c r="F20" i="5"/>
  <c r="F99" i="5"/>
  <c r="F10" i="5"/>
  <c r="F125" i="5"/>
  <c r="F168" i="5"/>
  <c r="F60" i="5"/>
  <c r="F59" i="5"/>
  <c r="F136" i="5"/>
  <c r="E23" i="4"/>
  <c r="F23" i="4" s="1"/>
  <c r="F123" i="5"/>
  <c r="F50" i="5"/>
  <c r="F81" i="5"/>
  <c r="F169" i="5"/>
  <c r="E57" i="4"/>
  <c r="F57" i="4" s="1"/>
  <c r="F139" i="5"/>
  <c r="F181" i="5"/>
  <c r="F171" i="5"/>
  <c r="F127" i="5"/>
  <c r="F8" i="5"/>
  <c r="F11" i="5"/>
  <c r="E16" i="4"/>
  <c r="F16" i="4" s="1"/>
  <c r="F131" i="5"/>
  <c r="F174" i="5"/>
  <c r="F158" i="5"/>
  <c r="F79" i="5"/>
  <c r="F178" i="5"/>
  <c r="F177" i="5"/>
  <c r="F67" i="5"/>
  <c r="F191" i="5"/>
  <c r="F58" i="5"/>
  <c r="E63" i="4"/>
  <c r="F63" i="4" s="1"/>
  <c r="F51" i="5"/>
  <c r="F54" i="5"/>
  <c r="E17" i="4"/>
  <c r="F17" i="4" s="1"/>
  <c r="E45" i="4"/>
  <c r="F45" i="4" s="1"/>
  <c r="F193" i="5"/>
  <c r="E22" i="4"/>
  <c r="F22" i="4" s="1"/>
  <c r="E41" i="4"/>
  <c r="F41" i="4" s="1"/>
  <c r="F185" i="5"/>
  <c r="F17" i="5"/>
  <c r="F56" i="5"/>
  <c r="E13" i="4"/>
  <c r="F13" i="4" s="1"/>
  <c r="F89" i="5"/>
  <c r="E48" i="4"/>
  <c r="F48" i="4" s="1"/>
  <c r="F118" i="5"/>
  <c r="F149" i="5"/>
  <c r="F57" i="5"/>
  <c r="F43" i="5"/>
  <c r="F165" i="5"/>
  <c r="F145" i="5"/>
  <c r="F9" i="5"/>
  <c r="F64" i="5"/>
  <c r="F121" i="5"/>
  <c r="F98" i="5"/>
  <c r="F72" i="5"/>
  <c r="E30" i="4"/>
  <c r="F30" i="4" s="1"/>
  <c r="F130" i="5"/>
  <c r="F83" i="5"/>
  <c r="F85" i="5"/>
  <c r="F53" i="5"/>
  <c r="F84" i="5"/>
  <c r="F164" i="5"/>
  <c r="E39" i="4"/>
  <c r="F39" i="4" s="1"/>
  <c r="H39" i="4" s="1"/>
  <c r="I39" i="4" s="1"/>
  <c r="E18" i="4"/>
  <c r="F18" i="4" s="1"/>
  <c r="H18" i="4" s="1"/>
  <c r="I18" i="4" s="1"/>
  <c r="F133" i="5"/>
  <c r="F102" i="5"/>
  <c r="F62" i="5"/>
  <c r="F94" i="5"/>
  <c r="F142" i="5"/>
  <c r="E34" i="4"/>
  <c r="F34" i="4" s="1"/>
  <c r="F128" i="5"/>
  <c r="F166" i="5"/>
  <c r="F26" i="5"/>
  <c r="F112" i="5"/>
  <c r="F105" i="5"/>
  <c r="F172" i="5"/>
  <c r="E15" i="4"/>
  <c r="F15" i="4" s="1"/>
  <c r="H15" i="4" s="1"/>
  <c r="I15" i="4" s="1"/>
  <c r="F182" i="5"/>
  <c r="F147" i="5"/>
  <c r="E52" i="4"/>
  <c r="F52" i="4" s="1"/>
  <c r="F186" i="5"/>
  <c r="F188" i="5"/>
  <c r="E61" i="4"/>
  <c r="F61" i="4" s="1"/>
  <c r="H61" i="4" s="1"/>
  <c r="I61" i="4" s="1"/>
  <c r="F187" i="5"/>
  <c r="F179" i="5"/>
  <c r="F19" i="5"/>
  <c r="F5" i="5"/>
  <c r="F159" i="5"/>
  <c r="E47" i="4"/>
  <c r="F47" i="4" s="1"/>
  <c r="E50" i="4"/>
  <c r="F50" i="4" s="1"/>
  <c r="E62" i="4"/>
  <c r="F62" i="4" s="1"/>
  <c r="H62" i="4" s="1"/>
  <c r="I62" i="4" s="1"/>
  <c r="F119" i="5"/>
  <c r="F143" i="5"/>
  <c r="F38" i="5"/>
  <c r="F151" i="5"/>
  <c r="E29" i="4"/>
  <c r="F29" i="4" s="1"/>
  <c r="F14" i="5"/>
  <c r="F70" i="5"/>
  <c r="F157" i="5"/>
  <c r="E60" i="4"/>
  <c r="F60" i="4" s="1"/>
  <c r="F184" i="5"/>
  <c r="F144" i="5"/>
  <c r="F41" i="5"/>
  <c r="F48" i="5"/>
  <c r="E32" i="4"/>
  <c r="F32" i="4" s="1"/>
  <c r="E54" i="4"/>
  <c r="F54" i="4" s="1"/>
  <c r="F170" i="5"/>
  <c r="F196" i="5"/>
  <c r="F16" i="5"/>
  <c r="F93" i="5"/>
  <c r="F44" i="5"/>
  <c r="F138" i="5"/>
  <c r="E49" i="4"/>
  <c r="F49" i="4" s="1"/>
  <c r="F107" i="5"/>
  <c r="E26" i="4"/>
  <c r="F26" i="4" s="1"/>
  <c r="E55" i="4"/>
  <c r="F55" i="4" s="1"/>
  <c r="E58" i="4"/>
  <c r="F58" i="4" s="1"/>
  <c r="F2" i="5"/>
  <c r="F163" i="5"/>
  <c r="F40" i="5"/>
  <c r="F194" i="5"/>
  <c r="F124" i="5"/>
  <c r="E42" i="4"/>
  <c r="F42" i="4" s="1"/>
  <c r="F100" i="5"/>
  <c r="F137" i="5"/>
  <c r="F141" i="5"/>
  <c r="F28" i="5"/>
  <c r="F109" i="5"/>
  <c r="F46" i="5"/>
  <c r="E36" i="4"/>
  <c r="F36" i="4" s="1"/>
  <c r="F45" i="5"/>
  <c r="F140" i="5"/>
  <c r="E14" i="4"/>
  <c r="F14" i="4" s="1"/>
  <c r="F78" i="5"/>
  <c r="F63" i="5"/>
  <c r="F150" i="5"/>
  <c r="E56" i="4"/>
  <c r="F56" i="4" s="1"/>
  <c r="F135" i="5"/>
  <c r="F152" i="5"/>
  <c r="E37" i="4"/>
  <c r="F37" i="4" s="1"/>
  <c r="F33" i="5"/>
  <c r="F122" i="5"/>
  <c r="E21" i="4"/>
  <c r="F21" i="4" s="1"/>
  <c r="F104" i="5"/>
  <c r="E9" i="4"/>
  <c r="F9" i="4" s="1"/>
  <c r="F154" i="5"/>
  <c r="F36" i="5"/>
  <c r="F34" i="5"/>
  <c r="F155" i="5"/>
  <c r="F69" i="5"/>
  <c r="F52" i="5"/>
  <c r="F134" i="5"/>
  <c r="F24" i="5"/>
  <c r="F18" i="5"/>
  <c r="F88" i="5"/>
  <c r="F103" i="5"/>
  <c r="F21" i="5"/>
  <c r="F146" i="5"/>
  <c r="F92" i="5"/>
  <c r="E27" i="4"/>
  <c r="F27" i="4" s="1"/>
  <c r="F82" i="5"/>
  <c r="F87" i="5"/>
  <c r="E3" i="8"/>
  <c r="G1040" i="5" l="1"/>
  <c r="H1040" i="5"/>
  <c r="G1036" i="5"/>
  <c r="J1036" i="5" s="1"/>
  <c r="H1036" i="5"/>
  <c r="H1039" i="5"/>
  <c r="G1039" i="5"/>
  <c r="H1037" i="5"/>
  <c r="G1037" i="5"/>
  <c r="G1038" i="5"/>
  <c r="H1038" i="5"/>
  <c r="H1041" i="5"/>
  <c r="G1041" i="5"/>
  <c r="G1011" i="5"/>
  <c r="H1011" i="5"/>
  <c r="G1013" i="5"/>
  <c r="H1013" i="5"/>
  <c r="G1015" i="5"/>
  <c r="H1015" i="5"/>
  <c r="G1031" i="5"/>
  <c r="H1031" i="5"/>
  <c r="G1035" i="5"/>
  <c r="H1035" i="5"/>
  <c r="G1029" i="5"/>
  <c r="H1029" i="5"/>
  <c r="G1019" i="5"/>
  <c r="H1019" i="5"/>
  <c r="G1023" i="5"/>
  <c r="H1023" i="5"/>
  <c r="G1032" i="5"/>
  <c r="H1032" i="5"/>
  <c r="G1026" i="5"/>
  <c r="H1026" i="5"/>
  <c r="G1030" i="5"/>
  <c r="H1030" i="5"/>
  <c r="G1020" i="5"/>
  <c r="H1020" i="5"/>
  <c r="G1024" i="5"/>
  <c r="H1024" i="5"/>
  <c r="G1012" i="5"/>
  <c r="H1012" i="5"/>
  <c r="G1014" i="5"/>
  <c r="H1014" i="5"/>
  <c r="G1016" i="5"/>
  <c r="H1016" i="5"/>
  <c r="G1033" i="5"/>
  <c r="H1033" i="5"/>
  <c r="G1027" i="5"/>
  <c r="H1027" i="5"/>
  <c r="G1017" i="5"/>
  <c r="H1017" i="5"/>
  <c r="G1021" i="5"/>
  <c r="J1021" i="5" s="1"/>
  <c r="H1021" i="5"/>
  <c r="G1025" i="5"/>
  <c r="H1025" i="5"/>
  <c r="G1034" i="5"/>
  <c r="H1034" i="5"/>
  <c r="G1028" i="5"/>
  <c r="H1028" i="5"/>
  <c r="G1018" i="5"/>
  <c r="H1018" i="5"/>
  <c r="G1022" i="5"/>
  <c r="H1022" i="5"/>
  <c r="H1010" i="5"/>
  <c r="G1010" i="5"/>
  <c r="G1008" i="5"/>
  <c r="H1008" i="5"/>
  <c r="G1009" i="5"/>
  <c r="H1009" i="5"/>
  <c r="G1007" i="5"/>
  <c r="H1007" i="5"/>
  <c r="G998" i="5"/>
  <c r="H998" i="5"/>
  <c r="G996" i="5"/>
  <c r="H996" i="5"/>
  <c r="G1005" i="5"/>
  <c r="H1005" i="5"/>
  <c r="G1003" i="5"/>
  <c r="H1003" i="5"/>
  <c r="G1001" i="5"/>
  <c r="H1001" i="5"/>
  <c r="G987" i="5"/>
  <c r="H987" i="5"/>
  <c r="G985" i="5"/>
  <c r="H985" i="5"/>
  <c r="G983" i="5"/>
  <c r="H983" i="5"/>
  <c r="G981" i="5"/>
  <c r="H981" i="5"/>
  <c r="G979" i="5"/>
  <c r="H979" i="5"/>
  <c r="G977" i="5"/>
  <c r="H977" i="5"/>
  <c r="G975" i="5"/>
  <c r="H975" i="5"/>
  <c r="G995" i="5"/>
  <c r="H995" i="5"/>
  <c r="G993" i="5"/>
  <c r="H993" i="5"/>
  <c r="G991" i="5"/>
  <c r="H991" i="5"/>
  <c r="G989" i="5"/>
  <c r="H989" i="5"/>
  <c r="G999" i="5"/>
  <c r="J999" i="5" s="1"/>
  <c r="H999" i="5"/>
  <c r="G997" i="5"/>
  <c r="H997" i="5"/>
  <c r="G1006" i="5"/>
  <c r="H1006" i="5"/>
  <c r="G1004" i="5"/>
  <c r="H1004" i="5"/>
  <c r="G1002" i="5"/>
  <c r="H1002" i="5"/>
  <c r="G1000" i="5"/>
  <c r="H1000" i="5"/>
  <c r="G986" i="5"/>
  <c r="H986" i="5"/>
  <c r="G984" i="5"/>
  <c r="H984" i="5"/>
  <c r="G982" i="5"/>
  <c r="H982" i="5"/>
  <c r="G980" i="5"/>
  <c r="H980" i="5"/>
  <c r="G978" i="5"/>
  <c r="H978" i="5"/>
  <c r="G976" i="5"/>
  <c r="H976" i="5"/>
  <c r="G974" i="5"/>
  <c r="H974" i="5"/>
  <c r="G994" i="5"/>
  <c r="H994" i="5"/>
  <c r="G992" i="5"/>
  <c r="H992" i="5"/>
  <c r="G990" i="5"/>
  <c r="H990" i="5"/>
  <c r="G988" i="5"/>
  <c r="H988" i="5"/>
  <c r="P7" i="5"/>
  <c r="K10" i="8" s="1"/>
  <c r="G973" i="5"/>
  <c r="H973" i="5"/>
  <c r="G970" i="5"/>
  <c r="H970" i="5"/>
  <c r="G966" i="5"/>
  <c r="H966" i="5"/>
  <c r="G962" i="5"/>
  <c r="H962" i="5"/>
  <c r="G958" i="5"/>
  <c r="J958" i="5" s="1"/>
  <c r="H958" i="5"/>
  <c r="G954" i="5"/>
  <c r="H954" i="5"/>
  <c r="G950" i="5"/>
  <c r="H950" i="5"/>
  <c r="G946" i="5"/>
  <c r="H946" i="5"/>
  <c r="G971" i="5"/>
  <c r="J971" i="5" s="1"/>
  <c r="H971" i="5"/>
  <c r="G967" i="5"/>
  <c r="H967" i="5"/>
  <c r="G963" i="5"/>
  <c r="H963" i="5"/>
  <c r="G959" i="5"/>
  <c r="J959" i="5" s="1"/>
  <c r="H959" i="5"/>
  <c r="G955" i="5"/>
  <c r="J955" i="5" s="1"/>
  <c r="H955" i="5"/>
  <c r="G951" i="5"/>
  <c r="H951" i="5"/>
  <c r="G947" i="5"/>
  <c r="H947" i="5"/>
  <c r="G969" i="5"/>
  <c r="H969" i="5"/>
  <c r="G965" i="5"/>
  <c r="H965" i="5"/>
  <c r="G961" i="5"/>
  <c r="H961" i="5"/>
  <c r="G956" i="5"/>
  <c r="H956" i="5"/>
  <c r="G952" i="5"/>
  <c r="H952" i="5"/>
  <c r="G948" i="5"/>
  <c r="H948" i="5"/>
  <c r="G972" i="5"/>
  <c r="H972" i="5"/>
  <c r="G968" i="5"/>
  <c r="H968" i="5"/>
  <c r="G964" i="5"/>
  <c r="H964" i="5"/>
  <c r="G960" i="5"/>
  <c r="H960" i="5"/>
  <c r="G957" i="5"/>
  <c r="H957" i="5"/>
  <c r="G953" i="5"/>
  <c r="H953" i="5"/>
  <c r="G949" i="5"/>
  <c r="H949" i="5"/>
  <c r="G945" i="5"/>
  <c r="H945" i="5"/>
  <c r="G941" i="5"/>
  <c r="H941" i="5"/>
  <c r="G937" i="5"/>
  <c r="H937" i="5"/>
  <c r="G933" i="5"/>
  <c r="H933" i="5"/>
  <c r="G929" i="5"/>
  <c r="H929" i="5"/>
  <c r="G925" i="5"/>
  <c r="H925" i="5"/>
  <c r="G944" i="5"/>
  <c r="H944" i="5"/>
  <c r="G940" i="5"/>
  <c r="H940" i="5"/>
  <c r="G936" i="5"/>
  <c r="H936" i="5"/>
  <c r="G932" i="5"/>
  <c r="H932" i="5"/>
  <c r="G928" i="5"/>
  <c r="H928" i="5"/>
  <c r="G924" i="5"/>
  <c r="H924" i="5"/>
  <c r="G943" i="5"/>
  <c r="H943" i="5"/>
  <c r="G939" i="5"/>
  <c r="H939" i="5"/>
  <c r="G935" i="5"/>
  <c r="H935" i="5"/>
  <c r="G931" i="5"/>
  <c r="H931" i="5"/>
  <c r="G927" i="5"/>
  <c r="H927" i="5"/>
  <c r="G923" i="5"/>
  <c r="H923" i="5"/>
  <c r="G942" i="5"/>
  <c r="H942" i="5"/>
  <c r="G938" i="5"/>
  <c r="H938" i="5"/>
  <c r="G934" i="5"/>
  <c r="H934" i="5"/>
  <c r="G930" i="5"/>
  <c r="H930" i="5"/>
  <c r="G926" i="5"/>
  <c r="H926" i="5"/>
  <c r="G920" i="5"/>
  <c r="H920" i="5"/>
  <c r="G918" i="5"/>
  <c r="H918" i="5"/>
  <c r="G916" i="5"/>
  <c r="H916" i="5"/>
  <c r="G914" i="5"/>
  <c r="H914" i="5"/>
  <c r="G912" i="5"/>
  <c r="H912" i="5"/>
  <c r="G921" i="5"/>
  <c r="H921" i="5"/>
  <c r="G919" i="5"/>
  <c r="H919" i="5"/>
  <c r="G917" i="5"/>
  <c r="H917" i="5"/>
  <c r="G915" i="5"/>
  <c r="H915" i="5"/>
  <c r="G913" i="5"/>
  <c r="H913" i="5"/>
  <c r="G922" i="5"/>
  <c r="H922" i="5"/>
  <c r="G911" i="5"/>
  <c r="H911" i="5"/>
  <c r="G910" i="5"/>
  <c r="H910" i="5"/>
  <c r="G908" i="5"/>
  <c r="H908" i="5"/>
  <c r="G907" i="5"/>
  <c r="H907" i="5"/>
  <c r="G909" i="5"/>
  <c r="H909" i="5"/>
  <c r="G904" i="5"/>
  <c r="H904" i="5"/>
  <c r="G906" i="5"/>
  <c r="H906" i="5"/>
  <c r="G905" i="5"/>
  <c r="J905" i="5" s="1"/>
  <c r="H905" i="5"/>
  <c r="G892" i="5"/>
  <c r="H892" i="5"/>
  <c r="G896" i="5"/>
  <c r="H896" i="5"/>
  <c r="G900" i="5"/>
  <c r="H900" i="5"/>
  <c r="G889" i="5"/>
  <c r="H889" i="5"/>
  <c r="H893" i="5"/>
  <c r="G893" i="5"/>
  <c r="H897" i="5"/>
  <c r="G897" i="5"/>
  <c r="H901" i="5"/>
  <c r="G901" i="5"/>
  <c r="G894" i="5"/>
  <c r="H894" i="5"/>
  <c r="G898" i="5"/>
  <c r="H898" i="5"/>
  <c r="G902" i="5"/>
  <c r="H902" i="5"/>
  <c r="G891" i="5"/>
  <c r="H891" i="5"/>
  <c r="H895" i="5"/>
  <c r="G895" i="5"/>
  <c r="H899" i="5"/>
  <c r="G899" i="5"/>
  <c r="G903" i="5"/>
  <c r="H903" i="5"/>
  <c r="G890" i="5"/>
  <c r="H890" i="5"/>
  <c r="G888" i="5"/>
  <c r="H888" i="5"/>
  <c r="G887" i="5"/>
  <c r="H887" i="5"/>
  <c r="G886" i="5"/>
  <c r="H886" i="5"/>
  <c r="G859" i="5"/>
  <c r="H859" i="5"/>
  <c r="G875" i="5"/>
  <c r="H875" i="5"/>
  <c r="G862" i="5"/>
  <c r="J862" i="5" s="1"/>
  <c r="H862" i="5"/>
  <c r="G871" i="5"/>
  <c r="H871" i="5"/>
  <c r="G858" i="5"/>
  <c r="H858" i="5"/>
  <c r="G870" i="5"/>
  <c r="H870" i="5"/>
  <c r="G877" i="5"/>
  <c r="H877" i="5"/>
  <c r="G885" i="5"/>
  <c r="H885" i="5"/>
  <c r="G864" i="5"/>
  <c r="H864" i="5"/>
  <c r="G874" i="5"/>
  <c r="H874" i="5"/>
  <c r="G882" i="5"/>
  <c r="H882" i="5"/>
  <c r="G861" i="5"/>
  <c r="H861" i="5"/>
  <c r="G869" i="5"/>
  <c r="J869" i="5" s="1"/>
  <c r="H869" i="5"/>
  <c r="G876" i="5"/>
  <c r="H876" i="5"/>
  <c r="G856" i="5"/>
  <c r="H856" i="5"/>
  <c r="G863" i="5"/>
  <c r="J863" i="5" s="1"/>
  <c r="H863" i="5"/>
  <c r="G879" i="5"/>
  <c r="H879" i="5"/>
  <c r="G867" i="5"/>
  <c r="J867" i="5" s="1"/>
  <c r="H867" i="5"/>
  <c r="G883" i="5"/>
  <c r="H883" i="5"/>
  <c r="G866" i="5"/>
  <c r="J866" i="5" s="1"/>
  <c r="H866" i="5"/>
  <c r="G873" i="5"/>
  <c r="H873" i="5"/>
  <c r="G881" i="5"/>
  <c r="H881" i="5"/>
  <c r="G860" i="5"/>
  <c r="H860" i="5"/>
  <c r="G868" i="5"/>
  <c r="H868" i="5"/>
  <c r="G878" i="5"/>
  <c r="H878" i="5"/>
  <c r="G857" i="5"/>
  <c r="H857" i="5"/>
  <c r="G865" i="5"/>
  <c r="H865" i="5"/>
  <c r="G872" i="5"/>
  <c r="H872" i="5"/>
  <c r="G880" i="5"/>
  <c r="H880" i="5"/>
  <c r="G884" i="5"/>
  <c r="H884" i="5"/>
  <c r="G855" i="5"/>
  <c r="H855" i="5"/>
  <c r="H854" i="5"/>
  <c r="G854" i="5"/>
  <c r="H851" i="5"/>
  <c r="G851" i="5"/>
  <c r="H830" i="5"/>
  <c r="G830" i="5"/>
  <c r="H834" i="5"/>
  <c r="G834" i="5"/>
  <c r="H838" i="5"/>
  <c r="G838" i="5"/>
  <c r="H841" i="5"/>
  <c r="G841" i="5"/>
  <c r="H845" i="5"/>
  <c r="G845" i="5"/>
  <c r="G849" i="5"/>
  <c r="J849" i="5" s="1"/>
  <c r="H849" i="5"/>
  <c r="H819" i="5"/>
  <c r="G819" i="5"/>
  <c r="G852" i="5"/>
  <c r="H852" i="5"/>
  <c r="G831" i="5"/>
  <c r="H831" i="5"/>
  <c r="G835" i="5"/>
  <c r="H835" i="5"/>
  <c r="G839" i="5"/>
  <c r="H839" i="5"/>
  <c r="H844" i="5"/>
  <c r="G844" i="5"/>
  <c r="H848" i="5"/>
  <c r="G848" i="5"/>
  <c r="H818" i="5"/>
  <c r="G818" i="5"/>
  <c r="G827" i="5"/>
  <c r="H827" i="5"/>
  <c r="G823" i="5"/>
  <c r="H823" i="5"/>
  <c r="G826" i="5"/>
  <c r="H826" i="5"/>
  <c r="G822" i="5"/>
  <c r="H822" i="5"/>
  <c r="G853" i="5"/>
  <c r="H853" i="5"/>
  <c r="H832" i="5"/>
  <c r="G832" i="5"/>
  <c r="H836" i="5"/>
  <c r="G836" i="5"/>
  <c r="H840" i="5"/>
  <c r="G840" i="5"/>
  <c r="H843" i="5"/>
  <c r="G843" i="5"/>
  <c r="H847" i="5"/>
  <c r="G847" i="5"/>
  <c r="H817" i="5"/>
  <c r="G817" i="5"/>
  <c r="G850" i="5"/>
  <c r="H850" i="5"/>
  <c r="G829" i="5"/>
  <c r="H829" i="5"/>
  <c r="G833" i="5"/>
  <c r="H833" i="5"/>
  <c r="G837" i="5"/>
  <c r="H837" i="5"/>
  <c r="H842" i="5"/>
  <c r="G842" i="5"/>
  <c r="H846" i="5"/>
  <c r="G846" i="5"/>
  <c r="H816" i="5"/>
  <c r="G816" i="5"/>
  <c r="G828" i="5"/>
  <c r="H828" i="5"/>
  <c r="G824" i="5"/>
  <c r="H824" i="5"/>
  <c r="G821" i="5"/>
  <c r="H821" i="5"/>
  <c r="G825" i="5"/>
  <c r="H825" i="5"/>
  <c r="G820" i="5"/>
  <c r="H820" i="5"/>
  <c r="H831" i="4"/>
  <c r="I831" i="4" s="1"/>
  <c r="N851" i="5"/>
  <c r="H827" i="4"/>
  <c r="I827" i="4" s="1"/>
  <c r="N847" i="5"/>
  <c r="H823" i="4"/>
  <c r="I823" i="4" s="1"/>
  <c r="N843" i="5"/>
  <c r="H832" i="4"/>
  <c r="I832" i="4" s="1"/>
  <c r="N852" i="5"/>
  <c r="H828" i="4"/>
  <c r="I828" i="4" s="1"/>
  <c r="N848" i="5"/>
  <c r="H824" i="4"/>
  <c r="I824" i="4" s="1"/>
  <c r="N844" i="5"/>
  <c r="H833" i="4"/>
  <c r="I833" i="4" s="1"/>
  <c r="N853" i="5"/>
  <c r="H829" i="4"/>
  <c r="I829" i="4" s="1"/>
  <c r="N849" i="5"/>
  <c r="H825" i="4"/>
  <c r="I825" i="4" s="1"/>
  <c r="N845" i="5"/>
  <c r="H821" i="4"/>
  <c r="I821" i="4" s="1"/>
  <c r="N841" i="5"/>
  <c r="H830" i="4"/>
  <c r="I830" i="4" s="1"/>
  <c r="N850" i="5"/>
  <c r="H826" i="4"/>
  <c r="I826" i="4" s="1"/>
  <c r="N846" i="5"/>
  <c r="H822" i="4"/>
  <c r="I822" i="4" s="1"/>
  <c r="N842" i="5"/>
  <c r="H797" i="4"/>
  <c r="I797" i="4" s="1"/>
  <c r="N817" i="5"/>
  <c r="H796" i="4"/>
  <c r="I796" i="4" s="1"/>
  <c r="N816" i="5"/>
  <c r="H819" i="4"/>
  <c r="I819" i="4" s="1"/>
  <c r="N839" i="5"/>
  <c r="H815" i="4"/>
  <c r="I815" i="4" s="1"/>
  <c r="N835" i="5"/>
  <c r="H811" i="4"/>
  <c r="I811" i="4" s="1"/>
  <c r="N831" i="5"/>
  <c r="H807" i="4"/>
  <c r="I807" i="4" s="1"/>
  <c r="N827" i="5"/>
  <c r="H803" i="4"/>
  <c r="I803" i="4" s="1"/>
  <c r="N823" i="5"/>
  <c r="H799" i="4"/>
  <c r="I799" i="4" s="1"/>
  <c r="N819" i="5"/>
  <c r="H820" i="4"/>
  <c r="I820" i="4" s="1"/>
  <c r="N840" i="5"/>
  <c r="H816" i="4"/>
  <c r="I816" i="4" s="1"/>
  <c r="N836" i="5"/>
  <c r="H812" i="4"/>
  <c r="I812" i="4" s="1"/>
  <c r="N832" i="5"/>
  <c r="H808" i="4"/>
  <c r="I808" i="4" s="1"/>
  <c r="N828" i="5"/>
  <c r="H804" i="4"/>
  <c r="I804" i="4" s="1"/>
  <c r="N824" i="5"/>
  <c r="H800" i="4"/>
  <c r="I800" i="4" s="1"/>
  <c r="N820" i="5"/>
  <c r="H817" i="4"/>
  <c r="I817" i="4" s="1"/>
  <c r="N837" i="5"/>
  <c r="H813" i="4"/>
  <c r="I813" i="4" s="1"/>
  <c r="N833" i="5"/>
  <c r="H809" i="4"/>
  <c r="I809" i="4" s="1"/>
  <c r="N829" i="5"/>
  <c r="H805" i="4"/>
  <c r="I805" i="4" s="1"/>
  <c r="N825" i="5"/>
  <c r="H801" i="4"/>
  <c r="I801" i="4" s="1"/>
  <c r="N821" i="5"/>
  <c r="H818" i="4"/>
  <c r="I818" i="4" s="1"/>
  <c r="N838" i="5"/>
  <c r="H814" i="4"/>
  <c r="I814" i="4" s="1"/>
  <c r="N834" i="5"/>
  <c r="H810" i="4"/>
  <c r="I810" i="4" s="1"/>
  <c r="N830" i="5"/>
  <c r="H806" i="4"/>
  <c r="I806" i="4" s="1"/>
  <c r="N826" i="5"/>
  <c r="H802" i="4"/>
  <c r="I802" i="4" s="1"/>
  <c r="N822" i="5"/>
  <c r="H798" i="4"/>
  <c r="I798" i="4" s="1"/>
  <c r="N818" i="5"/>
  <c r="G815" i="5"/>
  <c r="H815" i="5"/>
  <c r="G814" i="5"/>
  <c r="H814" i="5"/>
  <c r="G813" i="5"/>
  <c r="H813" i="5"/>
  <c r="N815" i="5"/>
  <c r="H795" i="4"/>
  <c r="I795" i="4" s="1"/>
  <c r="N814" i="5"/>
  <c r="H794" i="4"/>
  <c r="I794" i="4" s="1"/>
  <c r="H793" i="4"/>
  <c r="I793" i="4" s="1"/>
  <c r="N813" i="5"/>
  <c r="N812" i="5"/>
  <c r="H792" i="4"/>
  <c r="I792" i="4" s="1"/>
  <c r="N811" i="5"/>
  <c r="H791" i="4"/>
  <c r="I791" i="4" s="1"/>
  <c r="G812" i="5"/>
  <c r="H812" i="5"/>
  <c r="G811" i="5"/>
  <c r="H811" i="5"/>
  <c r="H790" i="4"/>
  <c r="I790" i="4" s="1"/>
  <c r="N810" i="5"/>
  <c r="G810" i="5"/>
  <c r="H810" i="5"/>
  <c r="H789" i="4"/>
  <c r="I789" i="4" s="1"/>
  <c r="N809" i="5"/>
  <c r="G809" i="5"/>
  <c r="H809" i="5"/>
  <c r="N808" i="5"/>
  <c r="H788" i="4"/>
  <c r="I788" i="4" s="1"/>
  <c r="N807" i="5"/>
  <c r="H787" i="4"/>
  <c r="I787" i="4" s="1"/>
  <c r="G808" i="5"/>
  <c r="H808" i="5"/>
  <c r="G807" i="5"/>
  <c r="H807" i="5"/>
  <c r="H730" i="4"/>
  <c r="I730" i="4" s="1"/>
  <c r="N750" i="5"/>
  <c r="G745" i="5"/>
  <c r="H745" i="5"/>
  <c r="H729" i="4"/>
  <c r="I729" i="4" s="1"/>
  <c r="N749" i="5"/>
  <c r="H768" i="4"/>
  <c r="I768" i="4" s="1"/>
  <c r="N788" i="5"/>
  <c r="G791" i="5"/>
  <c r="H791" i="5"/>
  <c r="H783" i="4"/>
  <c r="I783" i="4" s="1"/>
  <c r="N803" i="5"/>
  <c r="G802" i="5"/>
  <c r="H802" i="5"/>
  <c r="H766" i="4"/>
  <c r="I766" i="4" s="1"/>
  <c r="N786" i="5"/>
  <c r="G789" i="5"/>
  <c r="H789" i="5"/>
  <c r="H765" i="4"/>
  <c r="I765" i="4" s="1"/>
  <c r="N785" i="5"/>
  <c r="G776" i="5"/>
  <c r="H776" i="5"/>
  <c r="H764" i="4"/>
  <c r="I764" i="4" s="1"/>
  <c r="N784" i="5"/>
  <c r="G794" i="5"/>
  <c r="H794" i="5"/>
  <c r="H763" i="4"/>
  <c r="I763" i="4" s="1"/>
  <c r="N783" i="5"/>
  <c r="G781" i="5"/>
  <c r="H781" i="5"/>
  <c r="H786" i="4"/>
  <c r="I786" i="4" s="1"/>
  <c r="N806" i="5"/>
  <c r="G799" i="5"/>
  <c r="H799" i="5"/>
  <c r="H785" i="4"/>
  <c r="I785" i="4" s="1"/>
  <c r="N805" i="5"/>
  <c r="G804" i="5"/>
  <c r="H804" i="5"/>
  <c r="H760" i="4"/>
  <c r="I760" i="4" s="1"/>
  <c r="N780" i="5"/>
  <c r="G785" i="5"/>
  <c r="H785" i="5"/>
  <c r="H775" i="4"/>
  <c r="I775" i="4" s="1"/>
  <c r="N795" i="5"/>
  <c r="G790" i="5"/>
  <c r="H790" i="5"/>
  <c r="H758" i="4"/>
  <c r="I758" i="4" s="1"/>
  <c r="N778" i="5"/>
  <c r="G784" i="5"/>
  <c r="H784" i="5"/>
  <c r="H757" i="4"/>
  <c r="I757" i="4" s="1"/>
  <c r="N777" i="5"/>
  <c r="G769" i="5"/>
  <c r="H769" i="5"/>
  <c r="H756" i="4"/>
  <c r="I756" i="4" s="1"/>
  <c r="N776" i="5"/>
  <c r="G788" i="5"/>
  <c r="H788" i="5"/>
  <c r="H755" i="4"/>
  <c r="I755" i="4" s="1"/>
  <c r="N775" i="5"/>
  <c r="G774" i="5"/>
  <c r="H774" i="5"/>
  <c r="H778" i="4"/>
  <c r="I778" i="4" s="1"/>
  <c r="N798" i="5"/>
  <c r="G786" i="5"/>
  <c r="H786" i="5"/>
  <c r="H777" i="4"/>
  <c r="I777" i="4" s="1"/>
  <c r="N797" i="5"/>
  <c r="G798" i="5"/>
  <c r="H798" i="5"/>
  <c r="H752" i="4"/>
  <c r="I752" i="4" s="1"/>
  <c r="N772" i="5"/>
  <c r="G778" i="5"/>
  <c r="H778" i="5"/>
  <c r="H767" i="4"/>
  <c r="I767" i="4" s="1"/>
  <c r="N787" i="5"/>
  <c r="G777" i="5"/>
  <c r="H777" i="5"/>
  <c r="H750" i="4"/>
  <c r="I750" i="4" s="1"/>
  <c r="N770" i="5"/>
  <c r="G770" i="5"/>
  <c r="H770" i="5"/>
  <c r="H749" i="4"/>
  <c r="I749" i="4" s="1"/>
  <c r="N769" i="5"/>
  <c r="G764" i="5"/>
  <c r="H764" i="5"/>
  <c r="H748" i="4"/>
  <c r="I748" i="4" s="1"/>
  <c r="N768" i="5"/>
  <c r="H782" i="5"/>
  <c r="G782" i="5"/>
  <c r="H747" i="4"/>
  <c r="I747" i="4" s="1"/>
  <c r="N767" i="5"/>
  <c r="G768" i="5"/>
  <c r="H768" i="5"/>
  <c r="H770" i="4"/>
  <c r="I770" i="4" s="1"/>
  <c r="N790" i="5"/>
  <c r="G780" i="5"/>
  <c r="H780" i="5"/>
  <c r="H769" i="4"/>
  <c r="I769" i="4" s="1"/>
  <c r="N789" i="5"/>
  <c r="G792" i="5"/>
  <c r="H792" i="5"/>
  <c r="H744" i="4"/>
  <c r="I744" i="4" s="1"/>
  <c r="N764" i="5"/>
  <c r="G772" i="5"/>
  <c r="H772" i="5"/>
  <c r="H759" i="4"/>
  <c r="I759" i="4" s="1"/>
  <c r="N779" i="5"/>
  <c r="G771" i="5"/>
  <c r="H771" i="5"/>
  <c r="H742" i="4"/>
  <c r="I742" i="4" s="1"/>
  <c r="N762" i="5"/>
  <c r="G760" i="5"/>
  <c r="H760" i="5"/>
  <c r="H741" i="4"/>
  <c r="I741" i="4" s="1"/>
  <c r="N761" i="5"/>
  <c r="G759" i="5"/>
  <c r="H759" i="5"/>
  <c r="H740" i="4"/>
  <c r="I740" i="4" s="1"/>
  <c r="N760" i="5"/>
  <c r="G775" i="5"/>
  <c r="H775" i="5"/>
  <c r="H739" i="4"/>
  <c r="I739" i="4" s="1"/>
  <c r="N759" i="5"/>
  <c r="G762" i="5"/>
  <c r="J762" i="5" s="1"/>
  <c r="H762" i="5"/>
  <c r="H762" i="4"/>
  <c r="I762" i="4" s="1"/>
  <c r="N782" i="5"/>
  <c r="G773" i="5"/>
  <c r="H773" i="5"/>
  <c r="H761" i="4"/>
  <c r="I761" i="4" s="1"/>
  <c r="N781" i="5"/>
  <c r="G779" i="5"/>
  <c r="H779" i="5"/>
  <c r="H736" i="4"/>
  <c r="I736" i="4" s="1"/>
  <c r="N756" i="5"/>
  <c r="G766" i="5"/>
  <c r="H766" i="5"/>
  <c r="H751" i="4"/>
  <c r="I751" i="4" s="1"/>
  <c r="N771" i="5"/>
  <c r="G765" i="5"/>
  <c r="H765" i="5"/>
  <c r="H734" i="4"/>
  <c r="I734" i="4" s="1"/>
  <c r="N754" i="5"/>
  <c r="G754" i="5"/>
  <c r="H754" i="5"/>
  <c r="H733" i="4"/>
  <c r="I733" i="4" s="1"/>
  <c r="N753" i="5"/>
  <c r="G753" i="5"/>
  <c r="H753" i="5"/>
  <c r="H732" i="4"/>
  <c r="I732" i="4" s="1"/>
  <c r="N752" i="5"/>
  <c r="G763" i="5"/>
  <c r="H763" i="5"/>
  <c r="H731" i="4"/>
  <c r="I731" i="4" s="1"/>
  <c r="N751" i="5"/>
  <c r="G758" i="5"/>
  <c r="H758" i="5"/>
  <c r="H754" i="4"/>
  <c r="I754" i="4" s="1"/>
  <c r="N774" i="5"/>
  <c r="G767" i="5"/>
  <c r="H767" i="5"/>
  <c r="H753" i="4"/>
  <c r="I753" i="4" s="1"/>
  <c r="N773" i="5"/>
  <c r="G744" i="5"/>
  <c r="H744" i="5"/>
  <c r="H728" i="4"/>
  <c r="I728" i="4" s="1"/>
  <c r="N748" i="5"/>
  <c r="G761" i="5"/>
  <c r="H761" i="5"/>
  <c r="H743" i="4"/>
  <c r="I743" i="4" s="1"/>
  <c r="N763" i="5"/>
  <c r="G755" i="5"/>
  <c r="H755" i="5"/>
  <c r="H726" i="4"/>
  <c r="I726" i="4" s="1"/>
  <c r="N746" i="5"/>
  <c r="G749" i="5"/>
  <c r="H749" i="5"/>
  <c r="H725" i="4"/>
  <c r="I725" i="4" s="1"/>
  <c r="N745" i="5"/>
  <c r="G748" i="5"/>
  <c r="J748" i="5" s="1"/>
  <c r="H748" i="5"/>
  <c r="H724" i="4"/>
  <c r="I724" i="4" s="1"/>
  <c r="N744" i="5"/>
  <c r="G747" i="5"/>
  <c r="H747" i="5"/>
  <c r="G805" i="5"/>
  <c r="H805" i="5"/>
  <c r="G752" i="5"/>
  <c r="H752" i="5"/>
  <c r="H746" i="4"/>
  <c r="I746" i="4" s="1"/>
  <c r="N766" i="5"/>
  <c r="G757" i="5"/>
  <c r="H757" i="5"/>
  <c r="H745" i="4"/>
  <c r="I745" i="4" s="1"/>
  <c r="N765" i="5"/>
  <c r="H784" i="4"/>
  <c r="I784" i="4" s="1"/>
  <c r="N804" i="5"/>
  <c r="G803" i="5"/>
  <c r="H803" i="5"/>
  <c r="G756" i="5"/>
  <c r="H756" i="5"/>
  <c r="H735" i="4"/>
  <c r="I735" i="4" s="1"/>
  <c r="N755" i="5"/>
  <c r="H782" i="4"/>
  <c r="I782" i="4" s="1"/>
  <c r="N802" i="5"/>
  <c r="G801" i="5"/>
  <c r="H801" i="5"/>
  <c r="H781" i="4"/>
  <c r="I781" i="4" s="1"/>
  <c r="N801" i="5"/>
  <c r="G795" i="5"/>
  <c r="H795" i="5"/>
  <c r="H780" i="4"/>
  <c r="I780" i="4" s="1"/>
  <c r="N800" i="5"/>
  <c r="H806" i="5"/>
  <c r="G806" i="5"/>
  <c r="H779" i="4"/>
  <c r="I779" i="4" s="1"/>
  <c r="N799" i="5"/>
  <c r="G793" i="5"/>
  <c r="H793" i="5"/>
  <c r="G746" i="5"/>
  <c r="H746" i="5"/>
  <c r="H738" i="4"/>
  <c r="I738" i="4" s="1"/>
  <c r="N758" i="5"/>
  <c r="G751" i="5"/>
  <c r="H751" i="5"/>
  <c r="H737" i="4"/>
  <c r="I737" i="4" s="1"/>
  <c r="N757" i="5"/>
  <c r="H776" i="4"/>
  <c r="I776" i="4" s="1"/>
  <c r="N796" i="5"/>
  <c r="G797" i="5"/>
  <c r="H797" i="5"/>
  <c r="G750" i="5"/>
  <c r="H750" i="5"/>
  <c r="H727" i="4"/>
  <c r="I727" i="4" s="1"/>
  <c r="N747" i="5"/>
  <c r="H774" i="4"/>
  <c r="I774" i="4" s="1"/>
  <c r="N794" i="5"/>
  <c r="G796" i="5"/>
  <c r="H796" i="5"/>
  <c r="H773" i="4"/>
  <c r="I773" i="4" s="1"/>
  <c r="N793" i="5"/>
  <c r="G783" i="5"/>
  <c r="H783" i="5"/>
  <c r="H772" i="4"/>
  <c r="I772" i="4" s="1"/>
  <c r="N792" i="5"/>
  <c r="G800" i="5"/>
  <c r="H800" i="5"/>
  <c r="H771" i="4"/>
  <c r="I771" i="4" s="1"/>
  <c r="N791" i="5"/>
  <c r="G787" i="5"/>
  <c r="H787" i="5"/>
  <c r="G741" i="5"/>
  <c r="H741" i="5"/>
  <c r="G740" i="5"/>
  <c r="H740" i="5"/>
  <c r="N742" i="5"/>
  <c r="H723" i="4"/>
  <c r="I723" i="4" s="1"/>
  <c r="G739" i="5"/>
  <c r="H739" i="5"/>
  <c r="G738" i="5"/>
  <c r="H738" i="5"/>
  <c r="G737" i="5"/>
  <c r="H737" i="5"/>
  <c r="H742" i="5"/>
  <c r="G742" i="5"/>
  <c r="H722" i="4"/>
  <c r="I722" i="4" s="1"/>
  <c r="H743" i="5"/>
  <c r="G743" i="5"/>
  <c r="N739" i="5"/>
  <c r="H719" i="4"/>
  <c r="I719" i="4" s="1"/>
  <c r="H718" i="4"/>
  <c r="I718" i="4" s="1"/>
  <c r="N738" i="5"/>
  <c r="H721" i="4"/>
  <c r="I721" i="4" s="1"/>
  <c r="N741" i="5"/>
  <c r="H717" i="4"/>
  <c r="I717" i="4" s="1"/>
  <c r="N737" i="5"/>
  <c r="N740" i="5"/>
  <c r="H720" i="4"/>
  <c r="I720" i="4" s="1"/>
  <c r="H713" i="4"/>
  <c r="I713" i="4" s="1"/>
  <c r="N733" i="5"/>
  <c r="H704" i="4"/>
  <c r="I704" i="4" s="1"/>
  <c r="N724" i="5"/>
  <c r="H702" i="4"/>
  <c r="I702" i="4" s="1"/>
  <c r="N722" i="5"/>
  <c r="H701" i="4"/>
  <c r="I701" i="4" s="1"/>
  <c r="N721" i="5"/>
  <c r="H710" i="4"/>
  <c r="I710" i="4" s="1"/>
  <c r="N730" i="5"/>
  <c r="H697" i="4"/>
  <c r="I697" i="4" s="1"/>
  <c r="N717" i="5"/>
  <c r="H706" i="4"/>
  <c r="I706" i="4" s="1"/>
  <c r="N726" i="5"/>
  <c r="H716" i="4"/>
  <c r="I716" i="4" s="1"/>
  <c r="N736" i="5"/>
  <c r="H699" i="4"/>
  <c r="I699" i="4" s="1"/>
  <c r="N719" i="5"/>
  <c r="H709" i="4"/>
  <c r="I709" i="4" s="1"/>
  <c r="N729" i="5"/>
  <c r="H712" i="4"/>
  <c r="I712" i="4" s="1"/>
  <c r="N732" i="5"/>
  <c r="H707" i="4"/>
  <c r="I707" i="4" s="1"/>
  <c r="N727" i="5"/>
  <c r="H705" i="4"/>
  <c r="I705" i="4" s="1"/>
  <c r="N725" i="5"/>
  <c r="H703" i="4"/>
  <c r="I703" i="4" s="1"/>
  <c r="N723" i="5"/>
  <c r="H696" i="4"/>
  <c r="I696" i="4" s="1"/>
  <c r="N716" i="5"/>
  <c r="H698" i="4"/>
  <c r="I698" i="4" s="1"/>
  <c r="N718" i="5"/>
  <c r="H715" i="4"/>
  <c r="I715" i="4" s="1"/>
  <c r="N735" i="5"/>
  <c r="H700" i="4"/>
  <c r="I700" i="4" s="1"/>
  <c r="N720" i="5"/>
  <c r="H714" i="4"/>
  <c r="I714" i="4" s="1"/>
  <c r="N734" i="5"/>
  <c r="H708" i="4"/>
  <c r="I708" i="4" s="1"/>
  <c r="N728" i="5"/>
  <c r="H711" i="4"/>
  <c r="I711" i="4" s="1"/>
  <c r="N731" i="5"/>
  <c r="H729" i="5"/>
  <c r="G729" i="5"/>
  <c r="G728" i="5"/>
  <c r="H728" i="5"/>
  <c r="G736" i="5"/>
  <c r="H736" i="5"/>
  <c r="H725" i="5"/>
  <c r="G725" i="5"/>
  <c r="H722" i="5"/>
  <c r="G722" i="5"/>
  <c r="H730" i="5"/>
  <c r="G730" i="5"/>
  <c r="G734" i="5"/>
  <c r="H734" i="5"/>
  <c r="H719" i="5"/>
  <c r="G719" i="5"/>
  <c r="G726" i="5"/>
  <c r="H726" i="5"/>
  <c r="G723" i="5"/>
  <c r="H723" i="5"/>
  <c r="G731" i="5"/>
  <c r="H731" i="5"/>
  <c r="H717" i="5"/>
  <c r="G717" i="5"/>
  <c r="H727" i="5"/>
  <c r="G727" i="5"/>
  <c r="H735" i="5"/>
  <c r="G735" i="5"/>
  <c r="G732" i="5"/>
  <c r="H732" i="5"/>
  <c r="H721" i="5"/>
  <c r="G721" i="5"/>
  <c r="G724" i="5"/>
  <c r="H724" i="5"/>
  <c r="G718" i="5"/>
  <c r="H718" i="5"/>
  <c r="G720" i="5"/>
  <c r="H720" i="5"/>
  <c r="H733" i="5"/>
  <c r="G733" i="5"/>
  <c r="G716" i="5"/>
  <c r="H716" i="5"/>
  <c r="N712" i="5"/>
  <c r="H692" i="4"/>
  <c r="I692" i="4" s="1"/>
  <c r="H715" i="5"/>
  <c r="G715" i="5"/>
  <c r="G714" i="5"/>
  <c r="H714" i="5"/>
  <c r="N715" i="5"/>
  <c r="H695" i="4"/>
  <c r="I695" i="4" s="1"/>
  <c r="G713" i="5"/>
  <c r="H713" i="5"/>
  <c r="G712" i="5"/>
  <c r="H712" i="5"/>
  <c r="N714" i="5"/>
  <c r="H694" i="4"/>
  <c r="I694" i="4" s="1"/>
  <c r="N713" i="5"/>
  <c r="H693" i="4"/>
  <c r="I693" i="4" s="1"/>
  <c r="H690" i="4"/>
  <c r="I690" i="4" s="1"/>
  <c r="N710" i="5"/>
  <c r="H689" i="4"/>
  <c r="I689" i="4" s="1"/>
  <c r="N709" i="5"/>
  <c r="H686" i="4"/>
  <c r="I686" i="4" s="1"/>
  <c r="N706" i="5"/>
  <c r="H687" i="4"/>
  <c r="I687" i="4" s="1"/>
  <c r="N707" i="5"/>
  <c r="H688" i="4"/>
  <c r="I688" i="4" s="1"/>
  <c r="N708" i="5"/>
  <c r="H691" i="4"/>
  <c r="I691" i="4" s="1"/>
  <c r="N711" i="5"/>
  <c r="H685" i="4"/>
  <c r="I685" i="4" s="1"/>
  <c r="N705" i="5"/>
  <c r="G711" i="5"/>
  <c r="H711" i="5"/>
  <c r="G710" i="5"/>
  <c r="H710" i="5"/>
  <c r="G709" i="5"/>
  <c r="H709" i="5"/>
  <c r="G708" i="5"/>
  <c r="H708" i="5"/>
  <c r="G707" i="5"/>
  <c r="H707" i="5"/>
  <c r="G706" i="5"/>
  <c r="J706" i="5" s="1"/>
  <c r="H706" i="5"/>
  <c r="K3281" i="1"/>
  <c r="L3281" i="1" s="1"/>
  <c r="L3310" i="1" s="1"/>
  <c r="J154" i="2" s="1"/>
  <c r="G9" i="8" s="1"/>
  <c r="H705" i="5"/>
  <c r="G705" i="5"/>
  <c r="H671" i="4"/>
  <c r="I671" i="4" s="1"/>
  <c r="N691" i="5"/>
  <c r="H677" i="4"/>
  <c r="I677" i="4" s="1"/>
  <c r="N697" i="5"/>
  <c r="H675" i="4"/>
  <c r="I675" i="4" s="1"/>
  <c r="N695" i="5"/>
  <c r="H681" i="4"/>
  <c r="I681" i="4" s="1"/>
  <c r="N701" i="5"/>
  <c r="H673" i="4"/>
  <c r="I673" i="4" s="1"/>
  <c r="N693" i="5"/>
  <c r="H678" i="4"/>
  <c r="I678" i="4" s="1"/>
  <c r="N698" i="5"/>
  <c r="H684" i="4"/>
  <c r="I684" i="4" s="1"/>
  <c r="N704" i="5"/>
  <c r="H682" i="4"/>
  <c r="I682" i="4" s="1"/>
  <c r="N702" i="5"/>
  <c r="H680" i="4"/>
  <c r="I680" i="4" s="1"/>
  <c r="N700" i="5"/>
  <c r="H676" i="4"/>
  <c r="I676" i="4" s="1"/>
  <c r="N696" i="5"/>
  <c r="H674" i="4"/>
  <c r="I674" i="4" s="1"/>
  <c r="N694" i="5"/>
  <c r="H672" i="4"/>
  <c r="I672" i="4" s="1"/>
  <c r="N692" i="5"/>
  <c r="H679" i="4"/>
  <c r="I679" i="4" s="1"/>
  <c r="N699" i="5"/>
  <c r="H683" i="4"/>
  <c r="I683" i="4" s="1"/>
  <c r="N703" i="5"/>
  <c r="G691" i="5"/>
  <c r="H691" i="5"/>
  <c r="H704" i="5"/>
  <c r="G704" i="5"/>
  <c r="G702" i="5"/>
  <c r="H702" i="5"/>
  <c r="G698" i="5"/>
  <c r="H698" i="5"/>
  <c r="G693" i="5"/>
  <c r="H693" i="5"/>
  <c r="G700" i="5"/>
  <c r="H700" i="5"/>
  <c r="G699" i="5"/>
  <c r="H699" i="5"/>
  <c r="H695" i="5"/>
  <c r="G695" i="5"/>
  <c r="G703" i="5"/>
  <c r="H703" i="5"/>
  <c r="G701" i="5"/>
  <c r="H701" i="5"/>
  <c r="H696" i="5"/>
  <c r="G696" i="5"/>
  <c r="G690" i="5"/>
  <c r="H690" i="5"/>
  <c r="G694" i="5"/>
  <c r="H694" i="5"/>
  <c r="H697" i="5"/>
  <c r="G697" i="5"/>
  <c r="H670" i="4"/>
  <c r="I670" i="4" s="1"/>
  <c r="N690" i="5"/>
  <c r="G692" i="5"/>
  <c r="H692" i="5"/>
  <c r="K3151" i="1"/>
  <c r="L3151" i="1"/>
  <c r="L3229" i="1" s="1"/>
  <c r="I147" i="2" s="1"/>
  <c r="J147" i="2" s="1"/>
  <c r="G689" i="5"/>
  <c r="H689" i="5"/>
  <c r="H664" i="4"/>
  <c r="I664" i="4" s="1"/>
  <c r="N685" i="5"/>
  <c r="H669" i="4"/>
  <c r="I669" i="4" s="1"/>
  <c r="N689" i="5"/>
  <c r="H668" i="4"/>
  <c r="I668" i="4" s="1"/>
  <c r="N688" i="5"/>
  <c r="H667" i="4"/>
  <c r="I667" i="4" s="1"/>
  <c r="N687" i="5"/>
  <c r="H666" i="4"/>
  <c r="I666" i="4" s="1"/>
  <c r="N686" i="5"/>
  <c r="I145" i="2"/>
  <c r="J145" i="2" s="1"/>
  <c r="K3145" i="1"/>
  <c r="G687" i="5"/>
  <c r="H687" i="5"/>
  <c r="G688" i="5"/>
  <c r="J688" i="5" s="1"/>
  <c r="H688" i="5"/>
  <c r="G686" i="5"/>
  <c r="H686" i="5"/>
  <c r="N242" i="5"/>
  <c r="I144" i="2"/>
  <c r="J144" i="2" s="1"/>
  <c r="L2961" i="1"/>
  <c r="I142" i="2" s="1"/>
  <c r="J142" i="2" s="1"/>
  <c r="G685" i="5"/>
  <c r="H685" i="5"/>
  <c r="K3019" i="1"/>
  <c r="I143" i="2"/>
  <c r="K2747" i="1"/>
  <c r="L2447" i="1"/>
  <c r="I131" i="2" s="1"/>
  <c r="J131" i="2" s="1"/>
  <c r="G674" i="5"/>
  <c r="H674" i="5"/>
  <c r="H641" i="5"/>
  <c r="G641" i="5"/>
  <c r="G640" i="5"/>
  <c r="H640" i="5"/>
  <c r="H644" i="5"/>
  <c r="G644" i="5"/>
  <c r="H639" i="5"/>
  <c r="G639" i="5"/>
  <c r="G678" i="5"/>
  <c r="G664" i="5"/>
  <c r="H664" i="5"/>
  <c r="G677" i="5"/>
  <c r="H677" i="5"/>
  <c r="G681" i="5"/>
  <c r="H681" i="5"/>
  <c r="G684" i="5"/>
  <c r="H684" i="5"/>
  <c r="G683" i="5"/>
  <c r="H683" i="5"/>
  <c r="G670" i="5"/>
  <c r="H670" i="5"/>
  <c r="H660" i="5"/>
  <c r="G660" i="5"/>
  <c r="G673" i="5"/>
  <c r="H673" i="5"/>
  <c r="H676" i="5"/>
  <c r="G676" i="5"/>
  <c r="G680" i="5"/>
  <c r="H680" i="5"/>
  <c r="G679" i="5"/>
  <c r="H679" i="5"/>
  <c r="G665" i="5"/>
  <c r="H665" i="5"/>
  <c r="G654" i="5"/>
  <c r="H654" i="5"/>
  <c r="G669" i="5"/>
  <c r="H669" i="5"/>
  <c r="G672" i="5"/>
  <c r="H672" i="5"/>
  <c r="G675" i="5"/>
  <c r="H675" i="5"/>
  <c r="H671" i="5"/>
  <c r="G671" i="5"/>
  <c r="G661" i="5"/>
  <c r="H661" i="5"/>
  <c r="G642" i="5"/>
  <c r="H642" i="5"/>
  <c r="G662" i="5"/>
  <c r="H662" i="5"/>
  <c r="H668" i="5"/>
  <c r="G668" i="5"/>
  <c r="G667" i="5"/>
  <c r="H667" i="5"/>
  <c r="G666" i="5"/>
  <c r="H666" i="5"/>
  <c r="H655" i="5"/>
  <c r="G655" i="5"/>
  <c r="G659" i="5"/>
  <c r="H659" i="5"/>
  <c r="G658" i="5"/>
  <c r="H658" i="5"/>
  <c r="G657" i="5"/>
  <c r="J657" i="5" s="1"/>
  <c r="H657" i="5"/>
  <c r="G656" i="5"/>
  <c r="H656" i="5"/>
  <c r="G651" i="5"/>
  <c r="H651" i="5"/>
  <c r="G646" i="5"/>
  <c r="H646" i="5"/>
  <c r="G650" i="5"/>
  <c r="H650" i="5"/>
  <c r="H649" i="5"/>
  <c r="G649" i="5"/>
  <c r="G653" i="5"/>
  <c r="H653" i="5"/>
  <c r="H652" i="5"/>
  <c r="G652" i="5"/>
  <c r="H647" i="5"/>
  <c r="G647" i="5"/>
  <c r="G682" i="5"/>
  <c r="H682" i="5"/>
  <c r="H663" i="5"/>
  <c r="G663" i="5"/>
  <c r="G645" i="5"/>
  <c r="H645" i="5"/>
  <c r="G648" i="5"/>
  <c r="H648" i="5"/>
  <c r="G643" i="5"/>
  <c r="H643" i="5"/>
  <c r="G638" i="5"/>
  <c r="H638" i="5"/>
  <c r="H106" i="4"/>
  <c r="I106" i="4" s="1"/>
  <c r="N77" i="5"/>
  <c r="H36" i="4"/>
  <c r="I36" i="4" s="1"/>
  <c r="N46" i="5"/>
  <c r="H133" i="4"/>
  <c r="I133" i="4" s="1"/>
  <c r="N80" i="5"/>
  <c r="H176" i="4"/>
  <c r="I176" i="4" s="1"/>
  <c r="N128" i="5"/>
  <c r="N190" i="5"/>
  <c r="H331" i="4"/>
  <c r="I331" i="4" s="1"/>
  <c r="N352" i="5"/>
  <c r="N392" i="5"/>
  <c r="H273" i="4"/>
  <c r="I273" i="4" s="1"/>
  <c r="N372" i="5"/>
  <c r="N296" i="5"/>
  <c r="N393" i="5"/>
  <c r="H111" i="4"/>
  <c r="I111" i="4" s="1"/>
  <c r="N175" i="5"/>
  <c r="H217" i="4"/>
  <c r="I217" i="4" s="1"/>
  <c r="N230" i="5"/>
  <c r="H65" i="4"/>
  <c r="I65" i="4" s="1"/>
  <c r="N36" i="5"/>
  <c r="H289" i="4"/>
  <c r="I289" i="4" s="1"/>
  <c r="N312" i="5"/>
  <c r="H227" i="4"/>
  <c r="I227" i="4" s="1"/>
  <c r="N250" i="5"/>
  <c r="H105" i="4"/>
  <c r="I105" i="4" s="1"/>
  <c r="N63" i="5"/>
  <c r="H299" i="4"/>
  <c r="I299" i="4" s="1"/>
  <c r="N320" i="5"/>
  <c r="H342" i="4"/>
  <c r="I342" i="4" s="1"/>
  <c r="N363" i="5"/>
  <c r="H253" i="4"/>
  <c r="I253" i="4" s="1"/>
  <c r="N276" i="5"/>
  <c r="H385" i="4"/>
  <c r="I385" i="4" s="1"/>
  <c r="N406" i="5"/>
  <c r="H409" i="4"/>
  <c r="I409" i="4" s="1"/>
  <c r="N430" i="5"/>
  <c r="H404" i="4"/>
  <c r="I404" i="4" s="1"/>
  <c r="N425" i="5"/>
  <c r="H397" i="4"/>
  <c r="I397" i="4" s="1"/>
  <c r="N418" i="5"/>
  <c r="H425" i="4"/>
  <c r="I425" i="4" s="1"/>
  <c r="N446" i="5"/>
  <c r="H431" i="4"/>
  <c r="I431" i="4" s="1"/>
  <c r="N452" i="5"/>
  <c r="H449" i="4"/>
  <c r="I449" i="4" s="1"/>
  <c r="N470" i="5"/>
  <c r="H450" i="4"/>
  <c r="I450" i="4" s="1"/>
  <c r="N471" i="5"/>
  <c r="H458" i="4"/>
  <c r="I458" i="4" s="1"/>
  <c r="N479" i="5"/>
  <c r="H451" i="4"/>
  <c r="I451" i="4" s="1"/>
  <c r="N472" i="5"/>
  <c r="H452" i="4"/>
  <c r="I452" i="4" s="1"/>
  <c r="N473" i="5"/>
  <c r="H460" i="4"/>
  <c r="I460" i="4" s="1"/>
  <c r="N481" i="5"/>
  <c r="H465" i="4"/>
  <c r="I465" i="4" s="1"/>
  <c r="N486" i="5"/>
  <c r="H485" i="4"/>
  <c r="I485" i="4" s="1"/>
  <c r="N506" i="5"/>
  <c r="H483" i="4"/>
  <c r="I483" i="4" s="1"/>
  <c r="N504" i="5"/>
  <c r="H481" i="4"/>
  <c r="I481" i="4" s="1"/>
  <c r="N502" i="5"/>
  <c r="H491" i="4"/>
  <c r="I491" i="4" s="1"/>
  <c r="N512" i="5"/>
  <c r="H495" i="4"/>
  <c r="I495" i="4" s="1"/>
  <c r="N516" i="5"/>
  <c r="H494" i="4"/>
  <c r="I494" i="4" s="1"/>
  <c r="N515" i="5"/>
  <c r="H508" i="4"/>
  <c r="I508" i="4" s="1"/>
  <c r="N529" i="5"/>
  <c r="H513" i="4"/>
  <c r="I513" i="4" s="1"/>
  <c r="N534" i="5"/>
  <c r="H519" i="4"/>
  <c r="I519" i="4" s="1"/>
  <c r="N540" i="5"/>
  <c r="H522" i="4"/>
  <c r="I522" i="4" s="1"/>
  <c r="N543" i="5"/>
  <c r="H524" i="4"/>
  <c r="I524" i="4" s="1"/>
  <c r="N545" i="5"/>
  <c r="H535" i="4"/>
  <c r="I535" i="4" s="1"/>
  <c r="N556" i="5"/>
  <c r="H544" i="4"/>
  <c r="I544" i="4" s="1"/>
  <c r="N565" i="5"/>
  <c r="H548" i="4"/>
  <c r="I548" i="4" s="1"/>
  <c r="N569" i="5"/>
  <c r="H560" i="4"/>
  <c r="I560" i="4" s="1"/>
  <c r="N581" i="5"/>
  <c r="H566" i="4"/>
  <c r="I566" i="4" s="1"/>
  <c r="N587" i="5"/>
  <c r="H562" i="4"/>
  <c r="I562" i="4" s="1"/>
  <c r="N583" i="5"/>
  <c r="H570" i="4"/>
  <c r="I570" i="4" s="1"/>
  <c r="N591" i="5"/>
  <c r="H568" i="4"/>
  <c r="I568" i="4" s="1"/>
  <c r="N589" i="5"/>
  <c r="H589" i="4"/>
  <c r="I589" i="4" s="1"/>
  <c r="N610" i="5"/>
  <c r="H610" i="4"/>
  <c r="I610" i="4" s="1"/>
  <c r="N631" i="5"/>
  <c r="H601" i="4"/>
  <c r="I601" i="4" s="1"/>
  <c r="N622" i="5"/>
  <c r="H621" i="4"/>
  <c r="I621" i="4" s="1"/>
  <c r="N642" i="5"/>
  <c r="H595" i="4"/>
  <c r="I595" i="4" s="1"/>
  <c r="N616" i="5"/>
  <c r="H662" i="4"/>
  <c r="I662" i="4" s="1"/>
  <c r="N683" i="5"/>
  <c r="H645" i="4"/>
  <c r="I645" i="4" s="1"/>
  <c r="N666" i="5"/>
  <c r="H651" i="4"/>
  <c r="I651" i="4" s="1"/>
  <c r="N672" i="5"/>
  <c r="H647" i="4"/>
  <c r="I647" i="4" s="1"/>
  <c r="N668" i="5"/>
  <c r="H640" i="4"/>
  <c r="I640" i="4" s="1"/>
  <c r="N661" i="5"/>
  <c r="H26" i="4"/>
  <c r="I26" i="4" s="1"/>
  <c r="N168" i="5"/>
  <c r="H11" i="4"/>
  <c r="I11" i="4" s="1"/>
  <c r="N181" i="5"/>
  <c r="H73" i="4"/>
  <c r="I73" i="4" s="1"/>
  <c r="N56" i="5"/>
  <c r="H187" i="4"/>
  <c r="I187" i="4" s="1"/>
  <c r="N136" i="5"/>
  <c r="N201" i="5"/>
  <c r="H172" i="4"/>
  <c r="I172" i="4" s="1"/>
  <c r="N124" i="5"/>
  <c r="N186" i="5"/>
  <c r="H114" i="4"/>
  <c r="I114" i="4" s="1"/>
  <c r="N69" i="5"/>
  <c r="H231" i="4"/>
  <c r="I231" i="4" s="1"/>
  <c r="N254" i="5"/>
  <c r="H313" i="4"/>
  <c r="I313" i="4" s="1"/>
  <c r="N334" i="5"/>
  <c r="H211" i="4"/>
  <c r="I211" i="4" s="1"/>
  <c r="N224" i="5"/>
  <c r="H224" i="4"/>
  <c r="I224" i="4" s="1"/>
  <c r="N246" i="5"/>
  <c r="H155" i="4"/>
  <c r="I155" i="4" s="1"/>
  <c r="N113" i="5"/>
  <c r="H156" i="4"/>
  <c r="I156" i="4" s="1"/>
  <c r="N114" i="5"/>
  <c r="H150" i="4"/>
  <c r="I150" i="4" s="1"/>
  <c r="N108" i="5"/>
  <c r="H334" i="4"/>
  <c r="I334" i="4" s="1"/>
  <c r="N355" i="5"/>
  <c r="H213" i="4"/>
  <c r="I213" i="4" s="1"/>
  <c r="N226" i="5"/>
  <c r="H79" i="4"/>
  <c r="I79" i="4" s="1"/>
  <c r="N60" i="5"/>
  <c r="H357" i="4"/>
  <c r="I357" i="4" s="1"/>
  <c r="N378" i="5"/>
  <c r="H374" i="4"/>
  <c r="I374" i="4" s="1"/>
  <c r="N395" i="5"/>
  <c r="H389" i="4"/>
  <c r="I389" i="4" s="1"/>
  <c r="N410" i="5"/>
  <c r="H9" i="4"/>
  <c r="I9" i="4" s="1"/>
  <c r="N180" i="5"/>
  <c r="H56" i="4"/>
  <c r="I56" i="4" s="1"/>
  <c r="N28" i="5"/>
  <c r="H49" i="4"/>
  <c r="I49" i="4" s="1"/>
  <c r="N21" i="5"/>
  <c r="H32" i="4"/>
  <c r="I32" i="4" s="1"/>
  <c r="N44" i="5"/>
  <c r="H47" i="4"/>
  <c r="I47" i="4" s="1"/>
  <c r="N53" i="5"/>
  <c r="H23" i="4"/>
  <c r="I23" i="4" s="1"/>
  <c r="N14" i="5"/>
  <c r="H31" i="4"/>
  <c r="I31" i="4" s="1"/>
  <c r="N43" i="5"/>
  <c r="H179" i="4"/>
  <c r="I179" i="4" s="1"/>
  <c r="N131" i="5"/>
  <c r="N193" i="5"/>
  <c r="H251" i="4"/>
  <c r="I251" i="4" s="1"/>
  <c r="N274" i="5"/>
  <c r="H151" i="4"/>
  <c r="I151" i="4" s="1"/>
  <c r="N109" i="5"/>
  <c r="H207" i="4"/>
  <c r="I207" i="4" s="1"/>
  <c r="N220" i="5"/>
  <c r="H104" i="4"/>
  <c r="I104" i="4" s="1"/>
  <c r="N62" i="5"/>
  <c r="H298" i="4"/>
  <c r="I298" i="4" s="1"/>
  <c r="N319" i="5"/>
  <c r="H236" i="4"/>
  <c r="I236" i="4" s="1"/>
  <c r="N259" i="5"/>
  <c r="H177" i="4"/>
  <c r="I177" i="4" s="1"/>
  <c r="N129" i="5"/>
  <c r="N191" i="5"/>
  <c r="H240" i="4"/>
  <c r="I240" i="4" s="1"/>
  <c r="N263" i="5"/>
  <c r="H178" i="4"/>
  <c r="I178" i="4" s="1"/>
  <c r="N130" i="5"/>
  <c r="N192" i="5"/>
  <c r="H116" i="4"/>
  <c r="I116" i="4" s="1"/>
  <c r="N70" i="5"/>
  <c r="H120" i="4"/>
  <c r="I120" i="4" s="1"/>
  <c r="N236" i="5"/>
  <c r="H337" i="4"/>
  <c r="I337" i="4" s="1"/>
  <c r="N358" i="5"/>
  <c r="H275" i="4"/>
  <c r="I275" i="4" s="1"/>
  <c r="N298" i="5"/>
  <c r="H175" i="4"/>
  <c r="I175" i="4" s="1"/>
  <c r="N127" i="5"/>
  <c r="N189" i="5"/>
  <c r="H162" i="4"/>
  <c r="I162" i="4" s="1"/>
  <c r="N118" i="5"/>
  <c r="H281" i="4"/>
  <c r="I281" i="4" s="1"/>
  <c r="N304" i="5"/>
  <c r="H219" i="4"/>
  <c r="I219" i="4" s="1"/>
  <c r="N232" i="5"/>
  <c r="H353" i="4"/>
  <c r="I353" i="4" s="1"/>
  <c r="N374" i="5"/>
  <c r="H291" i="4"/>
  <c r="I291" i="4" s="1"/>
  <c r="N314" i="5"/>
  <c r="H191" i="4"/>
  <c r="I191" i="4" s="1"/>
  <c r="N140" i="5"/>
  <c r="N205" i="5"/>
  <c r="H208" i="4"/>
  <c r="I208" i="4" s="1"/>
  <c r="N154" i="5"/>
  <c r="N221" i="5"/>
  <c r="H146" i="4"/>
  <c r="I146" i="4" s="1"/>
  <c r="N84" i="5"/>
  <c r="H107" i="4"/>
  <c r="I107" i="4" s="1"/>
  <c r="N161" i="5"/>
  <c r="H263" i="4"/>
  <c r="I263" i="4" s="1"/>
  <c r="N286" i="5"/>
  <c r="H270" i="4"/>
  <c r="I270" i="4" s="1"/>
  <c r="N293" i="5"/>
  <c r="H286" i="4"/>
  <c r="I286" i="4" s="1"/>
  <c r="N309" i="5"/>
  <c r="H173" i="4"/>
  <c r="I173" i="4" s="1"/>
  <c r="N125" i="5"/>
  <c r="N187" i="5"/>
  <c r="H86" i="4"/>
  <c r="I86" i="4" s="1"/>
  <c r="N91" i="5"/>
  <c r="H294" i="4"/>
  <c r="I294" i="4" s="1"/>
  <c r="N317" i="5"/>
  <c r="H118" i="4"/>
  <c r="I118" i="4" s="1"/>
  <c r="N71" i="5"/>
  <c r="H205" i="4"/>
  <c r="I205" i="4" s="1"/>
  <c r="N153" i="5"/>
  <c r="N219" i="5"/>
  <c r="H380" i="4"/>
  <c r="I380" i="4" s="1"/>
  <c r="N401" i="5"/>
  <c r="H388" i="4"/>
  <c r="I388" i="4" s="1"/>
  <c r="N409" i="5"/>
  <c r="H402" i="4"/>
  <c r="I402" i="4" s="1"/>
  <c r="N423" i="5"/>
  <c r="H406" i="4"/>
  <c r="I406" i="4" s="1"/>
  <c r="N427" i="5"/>
  <c r="H420" i="4"/>
  <c r="I420" i="4" s="1"/>
  <c r="N441" i="5"/>
  <c r="H427" i="4"/>
  <c r="I427" i="4" s="1"/>
  <c r="N448" i="5"/>
  <c r="H432" i="4"/>
  <c r="I432" i="4" s="1"/>
  <c r="N453" i="5"/>
  <c r="H441" i="4"/>
  <c r="I441" i="4" s="1"/>
  <c r="N462" i="5"/>
  <c r="H442" i="4"/>
  <c r="I442" i="4" s="1"/>
  <c r="N463" i="5"/>
  <c r="H443" i="4"/>
  <c r="I443" i="4" s="1"/>
  <c r="N464" i="5"/>
  <c r="H444" i="4"/>
  <c r="I444" i="4" s="1"/>
  <c r="N465" i="5"/>
  <c r="H445" i="4"/>
  <c r="I445" i="4" s="1"/>
  <c r="N466" i="5"/>
  <c r="H439" i="4"/>
  <c r="I439" i="4" s="1"/>
  <c r="N460" i="5"/>
  <c r="H447" i="4"/>
  <c r="I447" i="4" s="1"/>
  <c r="N468" i="5"/>
  <c r="H477" i="4"/>
  <c r="I477" i="4" s="1"/>
  <c r="N498" i="5"/>
  <c r="H475" i="4"/>
  <c r="I475" i="4" s="1"/>
  <c r="N496" i="5"/>
  <c r="H502" i="4"/>
  <c r="I502" i="4" s="1"/>
  <c r="N523" i="5"/>
  <c r="H504" i="4"/>
  <c r="I504" i="4" s="1"/>
  <c r="N525" i="5"/>
  <c r="H510" i="4"/>
  <c r="I510" i="4" s="1"/>
  <c r="N531" i="5"/>
  <c r="H525" i="4"/>
  <c r="I525" i="4" s="1"/>
  <c r="N546" i="5"/>
  <c r="H550" i="4"/>
  <c r="I550" i="4" s="1"/>
  <c r="N571" i="5"/>
  <c r="H539" i="4"/>
  <c r="I539" i="4" s="1"/>
  <c r="N560" i="5"/>
  <c r="H555" i="4"/>
  <c r="I555" i="4" s="1"/>
  <c r="N576" i="5"/>
  <c r="H587" i="4"/>
  <c r="I587" i="4" s="1"/>
  <c r="N608" i="5"/>
  <c r="H591" i="4"/>
  <c r="I591" i="4" s="1"/>
  <c r="N612" i="5"/>
  <c r="H581" i="4"/>
  <c r="I581" i="4" s="1"/>
  <c r="N602" i="5"/>
  <c r="H622" i="4"/>
  <c r="I622" i="4" s="1"/>
  <c r="N643" i="5"/>
  <c r="H603" i="4"/>
  <c r="I603" i="4" s="1"/>
  <c r="N624" i="5"/>
  <c r="H617" i="4"/>
  <c r="I617" i="4" s="1"/>
  <c r="N638" i="5"/>
  <c r="H624" i="4"/>
  <c r="I624" i="4" s="1"/>
  <c r="N645" i="5"/>
  <c r="H654" i="4"/>
  <c r="I654" i="4" s="1"/>
  <c r="N675" i="5"/>
  <c r="H637" i="4"/>
  <c r="I637" i="4" s="1"/>
  <c r="N658" i="5"/>
  <c r="H643" i="4"/>
  <c r="I643" i="4" s="1"/>
  <c r="N664" i="5"/>
  <c r="H657" i="4"/>
  <c r="I657" i="4" s="1"/>
  <c r="N678" i="5"/>
  <c r="H632" i="4"/>
  <c r="I632" i="4" s="1"/>
  <c r="N653" i="5"/>
  <c r="H40" i="4"/>
  <c r="I40" i="4" s="1"/>
  <c r="N48" i="5"/>
  <c r="H27" i="4"/>
  <c r="I27" i="4" s="1"/>
  <c r="N17" i="5"/>
  <c r="H29" i="4"/>
  <c r="I29" i="4" s="1"/>
  <c r="N18" i="5"/>
  <c r="H52" i="4"/>
  <c r="I52" i="4" s="1"/>
  <c r="N24" i="5"/>
  <c r="H30" i="4"/>
  <c r="I30" i="4" s="1"/>
  <c r="N20" i="5"/>
  <c r="H35" i="4"/>
  <c r="I35" i="4" s="1"/>
  <c r="N179" i="5"/>
  <c r="H348" i="4"/>
  <c r="I348" i="4" s="1"/>
  <c r="N660" i="5"/>
  <c r="N369" i="5"/>
  <c r="H315" i="4"/>
  <c r="I315" i="4" s="1"/>
  <c r="N336" i="5"/>
  <c r="H215" i="4"/>
  <c r="I215" i="4" s="1"/>
  <c r="N228" i="5"/>
  <c r="H335" i="4"/>
  <c r="I335" i="4" s="1"/>
  <c r="N356" i="5"/>
  <c r="H300" i="4"/>
  <c r="I300" i="4" s="1"/>
  <c r="N321" i="5"/>
  <c r="H346" i="4"/>
  <c r="I346" i="4" s="1"/>
  <c r="N367" i="5"/>
  <c r="H304" i="4"/>
  <c r="I304" i="4" s="1"/>
  <c r="N325" i="5"/>
  <c r="H242" i="4"/>
  <c r="I242" i="4" s="1"/>
  <c r="N265" i="5"/>
  <c r="H180" i="4"/>
  <c r="I180" i="4" s="1"/>
  <c r="N132" i="5"/>
  <c r="N194" i="5"/>
  <c r="H103" i="4"/>
  <c r="I103" i="4" s="1"/>
  <c r="N177" i="5"/>
  <c r="N213" i="5"/>
  <c r="H122" i="4"/>
  <c r="I122" i="4" s="1"/>
  <c r="N73" i="5"/>
  <c r="H339" i="4"/>
  <c r="I339" i="4" s="1"/>
  <c r="N360" i="5"/>
  <c r="H239" i="4"/>
  <c r="I239" i="4" s="1"/>
  <c r="N262" i="5"/>
  <c r="H128" i="4"/>
  <c r="I128" i="4" s="1"/>
  <c r="N101" i="5"/>
  <c r="H345" i="4"/>
  <c r="I345" i="4" s="1"/>
  <c r="N366" i="5"/>
  <c r="H283" i="4"/>
  <c r="I283" i="4" s="1"/>
  <c r="N306" i="5"/>
  <c r="H200" i="4"/>
  <c r="I200" i="4" s="1"/>
  <c r="N214" i="5"/>
  <c r="H138" i="4"/>
  <c r="I138" i="4" s="1"/>
  <c r="N237" i="5"/>
  <c r="H99" i="4"/>
  <c r="I99" i="4" s="1"/>
  <c r="N182" i="5"/>
  <c r="N198" i="5"/>
  <c r="H255" i="4"/>
  <c r="I255" i="4" s="1"/>
  <c r="N278" i="5"/>
  <c r="H272" i="4"/>
  <c r="I272" i="4" s="1"/>
  <c r="N295" i="5"/>
  <c r="H210" i="4"/>
  <c r="I210" i="4" s="1"/>
  <c r="N156" i="5"/>
  <c r="N223" i="5"/>
  <c r="H148" i="4"/>
  <c r="I148" i="4" s="1"/>
  <c r="N106" i="5"/>
  <c r="H327" i="4"/>
  <c r="I327" i="4" s="1"/>
  <c r="N348" i="5"/>
  <c r="N370" i="5"/>
  <c r="H309" i="4"/>
  <c r="I309" i="4" s="1"/>
  <c r="N330" i="5"/>
  <c r="H222" i="4"/>
  <c r="I222" i="4" s="1"/>
  <c r="N244" i="5"/>
  <c r="H238" i="4"/>
  <c r="I238" i="4" s="1"/>
  <c r="N261" i="5"/>
  <c r="H341" i="4"/>
  <c r="I341" i="4" s="1"/>
  <c r="N362" i="5"/>
  <c r="H72" i="4"/>
  <c r="I72" i="4" s="1"/>
  <c r="N55" i="5"/>
  <c r="H81" i="4"/>
  <c r="I81" i="4" s="1"/>
  <c r="N76" i="5"/>
  <c r="H318" i="4"/>
  <c r="I318" i="4" s="1"/>
  <c r="N339" i="5"/>
  <c r="H70" i="4"/>
  <c r="I70" i="4" s="1"/>
  <c r="N41" i="5"/>
  <c r="H359" i="4"/>
  <c r="I359" i="4" s="1"/>
  <c r="N380" i="5"/>
  <c r="H365" i="4"/>
  <c r="I365" i="4" s="1"/>
  <c r="N386" i="5"/>
  <c r="H384" i="4"/>
  <c r="I384" i="4" s="1"/>
  <c r="N405" i="5"/>
  <c r="H394" i="4"/>
  <c r="I394" i="4" s="1"/>
  <c r="N415" i="5"/>
  <c r="H403" i="4"/>
  <c r="I403" i="4" s="1"/>
  <c r="N424" i="5"/>
  <c r="H422" i="4"/>
  <c r="I422" i="4" s="1"/>
  <c r="N443" i="5"/>
  <c r="H401" i="4"/>
  <c r="I401" i="4" s="1"/>
  <c r="N422" i="5"/>
  <c r="H421" i="4"/>
  <c r="I421" i="4" s="1"/>
  <c r="N442" i="5"/>
  <c r="H426" i="4"/>
  <c r="I426" i="4" s="1"/>
  <c r="N447" i="5"/>
  <c r="H433" i="4"/>
  <c r="I433" i="4" s="1"/>
  <c r="N454" i="5"/>
  <c r="H430" i="4"/>
  <c r="I430" i="4" s="1"/>
  <c r="N451" i="5"/>
  <c r="H469" i="4"/>
  <c r="I469" i="4" s="1"/>
  <c r="N490" i="5"/>
  <c r="H488" i="4"/>
  <c r="I488" i="4" s="1"/>
  <c r="N509" i="5"/>
  <c r="H486" i="4"/>
  <c r="I486" i="4" s="1"/>
  <c r="N507" i="5"/>
  <c r="H492" i="4"/>
  <c r="I492" i="4" s="1"/>
  <c r="N513" i="5"/>
  <c r="H515" i="4"/>
  <c r="I515" i="4" s="1"/>
  <c r="N536" i="5"/>
  <c r="H506" i="4"/>
  <c r="I506" i="4" s="1"/>
  <c r="N527" i="5"/>
  <c r="H523" i="4"/>
  <c r="I523" i="4" s="1"/>
  <c r="N544" i="5"/>
  <c r="H526" i="4"/>
  <c r="I526" i="4" s="1"/>
  <c r="N547" i="5"/>
  <c r="H534" i="4"/>
  <c r="I534" i="4" s="1"/>
  <c r="N555" i="5"/>
  <c r="H545" i="4"/>
  <c r="I545" i="4" s="1"/>
  <c r="N566" i="5"/>
  <c r="H547" i="4"/>
  <c r="I547" i="4" s="1"/>
  <c r="N568" i="5"/>
  <c r="H554" i="4"/>
  <c r="I554" i="4" s="1"/>
  <c r="N575" i="5"/>
  <c r="H556" i="4"/>
  <c r="I556" i="4" s="1"/>
  <c r="N577" i="5"/>
  <c r="H585" i="4"/>
  <c r="I585" i="4" s="1"/>
  <c r="N606" i="5"/>
  <c r="H583" i="4"/>
  <c r="I583" i="4" s="1"/>
  <c r="N604" i="5"/>
  <c r="H573" i="4"/>
  <c r="I573" i="4" s="1"/>
  <c r="N594" i="5"/>
  <c r="H599" i="4"/>
  <c r="I599" i="4" s="1"/>
  <c r="N620" i="5"/>
  <c r="H623" i="4"/>
  <c r="I623" i="4" s="1"/>
  <c r="N644" i="5"/>
  <c r="H619" i="4"/>
  <c r="I619" i="4" s="1"/>
  <c r="N640" i="5"/>
  <c r="H611" i="4"/>
  <c r="I611" i="4" s="1"/>
  <c r="N632" i="5"/>
  <c r="H646" i="4"/>
  <c r="I646" i="4" s="1"/>
  <c r="N667" i="5"/>
  <c r="H663" i="4"/>
  <c r="I663" i="4" s="1"/>
  <c r="N684" i="5"/>
  <c r="H635" i="4"/>
  <c r="I635" i="4" s="1"/>
  <c r="N656" i="5"/>
  <c r="H649" i="4"/>
  <c r="I649" i="4" s="1"/>
  <c r="N670" i="5"/>
  <c r="H63" i="4"/>
  <c r="I63" i="4" s="1"/>
  <c r="N172" i="5"/>
  <c r="H288" i="4"/>
  <c r="I288" i="4" s="1"/>
  <c r="N311" i="5"/>
  <c r="H279" i="4"/>
  <c r="I279" i="4" s="1"/>
  <c r="N302" i="5"/>
  <c r="H160" i="4"/>
  <c r="I160" i="4" s="1"/>
  <c r="N116" i="5"/>
  <c r="H193" i="4"/>
  <c r="I193" i="4" s="1"/>
  <c r="N142" i="5"/>
  <c r="N207" i="5"/>
  <c r="H131" i="4"/>
  <c r="I131" i="4" s="1"/>
  <c r="N78" i="5"/>
  <c r="H92" i="4"/>
  <c r="I92" i="4" s="1"/>
  <c r="N95" i="5"/>
  <c r="H306" i="4"/>
  <c r="I306" i="4" s="1"/>
  <c r="N327" i="5"/>
  <c r="H244" i="4"/>
  <c r="I244" i="4" s="1"/>
  <c r="N267" i="5"/>
  <c r="H280" i="4"/>
  <c r="I280" i="4" s="1"/>
  <c r="N303" i="5"/>
  <c r="H248" i="4"/>
  <c r="I248" i="4" s="1"/>
  <c r="N271" i="5"/>
  <c r="H186" i="4"/>
  <c r="I186" i="4" s="1"/>
  <c r="N200" i="5"/>
  <c r="H124" i="4"/>
  <c r="I124" i="4" s="1"/>
  <c r="N75" i="5"/>
  <c r="H303" i="4"/>
  <c r="I303" i="4" s="1"/>
  <c r="N324" i="5"/>
  <c r="H192" i="4"/>
  <c r="I192" i="4" s="1"/>
  <c r="N141" i="5"/>
  <c r="N206" i="5"/>
  <c r="H130" i="4"/>
  <c r="I130" i="4" s="1"/>
  <c r="N102" i="5"/>
  <c r="H347" i="4"/>
  <c r="I347" i="4" s="1"/>
  <c r="N368" i="5"/>
  <c r="H247" i="4"/>
  <c r="I247" i="4" s="1"/>
  <c r="N270" i="5"/>
  <c r="H264" i="4"/>
  <c r="I264" i="4" s="1"/>
  <c r="N287" i="5"/>
  <c r="H202" i="4"/>
  <c r="I202" i="4" s="1"/>
  <c r="N151" i="5"/>
  <c r="N216" i="5"/>
  <c r="H140" i="4"/>
  <c r="I140" i="4" s="1"/>
  <c r="N82" i="5"/>
  <c r="H319" i="4"/>
  <c r="I319" i="4" s="1"/>
  <c r="N340" i="5"/>
  <c r="H336" i="4"/>
  <c r="I336" i="4" s="1"/>
  <c r="N357" i="5"/>
  <c r="H274" i="4"/>
  <c r="I274" i="4" s="1"/>
  <c r="N297" i="5"/>
  <c r="H212" i="4"/>
  <c r="I212" i="4" s="1"/>
  <c r="N225" i="5"/>
  <c r="H20" i="4"/>
  <c r="I20" i="4" s="1"/>
  <c r="N11" i="5"/>
  <c r="H269" i="4"/>
  <c r="I269" i="4" s="1"/>
  <c r="N292" i="5"/>
  <c r="H134" i="4"/>
  <c r="I134" i="4" s="1"/>
  <c r="N81" i="5"/>
  <c r="H198" i="4"/>
  <c r="I198" i="4" s="1"/>
  <c r="N149" i="5"/>
  <c r="N212" i="5"/>
  <c r="H301" i="4"/>
  <c r="I301" i="4" s="1"/>
  <c r="N322" i="5"/>
  <c r="H67" i="4"/>
  <c r="I67" i="4" s="1"/>
  <c r="N38" i="5"/>
  <c r="H101" i="4"/>
  <c r="I101" i="4" s="1"/>
  <c r="N178" i="5"/>
  <c r="N197" i="5"/>
  <c r="H262" i="4"/>
  <c r="I262" i="4" s="1"/>
  <c r="N285" i="5"/>
  <c r="H356" i="4"/>
  <c r="I356" i="4" s="1"/>
  <c r="N377" i="5"/>
  <c r="H358" i="4"/>
  <c r="I358" i="4" s="1"/>
  <c r="N379" i="5"/>
  <c r="H369" i="4"/>
  <c r="I369" i="4" s="1"/>
  <c r="N390" i="5"/>
  <c r="H376" i="4"/>
  <c r="I376" i="4" s="1"/>
  <c r="N397" i="5"/>
  <c r="H383" i="4"/>
  <c r="I383" i="4" s="1"/>
  <c r="N404" i="5"/>
  <c r="H392" i="4"/>
  <c r="I392" i="4" s="1"/>
  <c r="N413" i="5"/>
  <c r="H396" i="4"/>
  <c r="I396" i="4" s="1"/>
  <c r="N417" i="5"/>
  <c r="H418" i="4"/>
  <c r="I418" i="4" s="1"/>
  <c r="N439" i="5"/>
  <c r="H419" i="4"/>
  <c r="I419" i="4" s="1"/>
  <c r="N440" i="5"/>
  <c r="H407" i="4"/>
  <c r="I407" i="4" s="1"/>
  <c r="N428" i="5"/>
  <c r="H416" i="4"/>
  <c r="I416" i="4" s="1"/>
  <c r="N437" i="5"/>
  <c r="H434" i="4"/>
  <c r="I434" i="4" s="1"/>
  <c r="N455" i="5"/>
  <c r="H438" i="4"/>
  <c r="I438" i="4" s="1"/>
  <c r="N459" i="5"/>
  <c r="H453" i="4"/>
  <c r="I453" i="4" s="1"/>
  <c r="N500" i="5"/>
  <c r="N474" i="5"/>
  <c r="H463" i="4"/>
  <c r="I463" i="4" s="1"/>
  <c r="N484" i="5"/>
  <c r="H467" i="4"/>
  <c r="I467" i="4" s="1"/>
  <c r="N488" i="5"/>
  <c r="H468" i="4"/>
  <c r="I468" i="4" s="1"/>
  <c r="N489" i="5"/>
  <c r="H480" i="4"/>
  <c r="I480" i="4" s="1"/>
  <c r="N501" i="5"/>
  <c r="H478" i="4"/>
  <c r="I478" i="4" s="1"/>
  <c r="N499" i="5"/>
  <c r="H501" i="4"/>
  <c r="I501" i="4" s="1"/>
  <c r="N522" i="5"/>
  <c r="H512" i="4"/>
  <c r="I512" i="4" s="1"/>
  <c r="N533" i="5"/>
  <c r="H518" i="4"/>
  <c r="I518" i="4" s="1"/>
  <c r="N539" i="5"/>
  <c r="H529" i="4"/>
  <c r="I529" i="4" s="1"/>
  <c r="N550" i="5"/>
  <c r="H531" i="4"/>
  <c r="I531" i="4" s="1"/>
  <c r="N552" i="5"/>
  <c r="H533" i="4"/>
  <c r="I533" i="4" s="1"/>
  <c r="N554" i="5"/>
  <c r="H538" i="4"/>
  <c r="I538" i="4" s="1"/>
  <c r="N559" i="5"/>
  <c r="H551" i="4"/>
  <c r="I551" i="4" s="1"/>
  <c r="N572" i="5"/>
  <c r="H552" i="4"/>
  <c r="I552" i="4" s="1"/>
  <c r="N573" i="5"/>
  <c r="H577" i="4"/>
  <c r="I577" i="4" s="1"/>
  <c r="N598" i="5"/>
  <c r="H575" i="4"/>
  <c r="I575" i="4" s="1"/>
  <c r="N596" i="5"/>
  <c r="H588" i="4"/>
  <c r="I588" i="4" s="1"/>
  <c r="N609" i="5"/>
  <c r="H612" i="4"/>
  <c r="I612" i="4" s="1"/>
  <c r="N633" i="5"/>
  <c r="H609" i="4"/>
  <c r="I609" i="4" s="1"/>
  <c r="N630" i="5"/>
  <c r="H616" i="4"/>
  <c r="I616" i="4" s="1"/>
  <c r="N637" i="5"/>
  <c r="H626" i="4"/>
  <c r="I626" i="4" s="1"/>
  <c r="N647" i="5"/>
  <c r="H638" i="4"/>
  <c r="I638" i="4" s="1"/>
  <c r="N659" i="5"/>
  <c r="H660" i="4"/>
  <c r="I660" i="4" s="1"/>
  <c r="N681" i="5"/>
  <c r="H631" i="4"/>
  <c r="I631" i="4" s="1"/>
  <c r="N652" i="5"/>
  <c r="H641" i="4"/>
  <c r="I641" i="4" s="1"/>
  <c r="N662" i="5"/>
  <c r="H53" i="4"/>
  <c r="I53" i="4" s="1"/>
  <c r="N25" i="5"/>
  <c r="H54" i="4"/>
  <c r="I54" i="4" s="1"/>
  <c r="N26" i="5"/>
  <c r="H305" i="4"/>
  <c r="I305" i="4" s="1"/>
  <c r="N326" i="5"/>
  <c r="H234" i="4"/>
  <c r="I234" i="4" s="1"/>
  <c r="N257" i="5"/>
  <c r="H21" i="4"/>
  <c r="I21" i="4" s="1"/>
  <c r="N12" i="5"/>
  <c r="H57" i="4"/>
  <c r="I57" i="4" s="1"/>
  <c r="N29" i="5"/>
  <c r="H25" i="4"/>
  <c r="I25" i="4" s="1"/>
  <c r="N16" i="5"/>
  <c r="H59" i="4"/>
  <c r="I59" i="4" s="1"/>
  <c r="N31" i="5"/>
  <c r="H3" i="4"/>
  <c r="N243" i="5"/>
  <c r="H249" i="4"/>
  <c r="I249" i="4" s="1"/>
  <c r="N272" i="5"/>
  <c r="H164" i="4"/>
  <c r="I164" i="4" s="1"/>
  <c r="N247" i="5"/>
  <c r="H343" i="4"/>
  <c r="I343" i="4" s="1"/>
  <c r="N364" i="5"/>
  <c r="H185" i="4"/>
  <c r="I185" i="4" s="1"/>
  <c r="N135" i="5"/>
  <c r="N199" i="5"/>
  <c r="H257" i="4"/>
  <c r="I257" i="4" s="1"/>
  <c r="N280" i="5"/>
  <c r="H195" i="4"/>
  <c r="I195" i="4" s="1"/>
  <c r="N209" i="5"/>
  <c r="H141" i="4"/>
  <c r="I141" i="4" s="1"/>
  <c r="N166" i="5"/>
  <c r="H143" i="4"/>
  <c r="I143" i="4" s="1"/>
  <c r="N105" i="5"/>
  <c r="H98" i="4"/>
  <c r="I98" i="4" s="1"/>
  <c r="N97" i="5"/>
  <c r="H308" i="4"/>
  <c r="I308" i="4" s="1"/>
  <c r="N329" i="5"/>
  <c r="H97" i="4"/>
  <c r="I97" i="4" s="1"/>
  <c r="N173" i="5"/>
  <c r="H312" i="4"/>
  <c r="I312" i="4" s="1"/>
  <c r="N333" i="5"/>
  <c r="H250" i="4"/>
  <c r="I250" i="4" s="1"/>
  <c r="N273" i="5"/>
  <c r="H188" i="4"/>
  <c r="I188" i="4" s="1"/>
  <c r="N137" i="5"/>
  <c r="N202" i="5"/>
  <c r="H95" i="4"/>
  <c r="I95" i="4" s="1"/>
  <c r="N96" i="5"/>
  <c r="H256" i="4"/>
  <c r="I256" i="4" s="1"/>
  <c r="N279" i="5"/>
  <c r="H194" i="4"/>
  <c r="I194" i="4" s="1"/>
  <c r="N144" i="5"/>
  <c r="N208" i="5"/>
  <c r="H132" i="4"/>
  <c r="I132" i="4" s="1"/>
  <c r="N79" i="5"/>
  <c r="H311" i="4"/>
  <c r="I311" i="4" s="1"/>
  <c r="N332" i="5"/>
  <c r="H328" i="4"/>
  <c r="I328" i="4" s="1"/>
  <c r="N349" i="5"/>
  <c r="H266" i="4"/>
  <c r="I266" i="4" s="1"/>
  <c r="N289" i="5"/>
  <c r="H204" i="4"/>
  <c r="I204" i="4" s="1"/>
  <c r="N152" i="5"/>
  <c r="N218" i="5"/>
  <c r="H77" i="4"/>
  <c r="I77" i="4" s="1"/>
  <c r="N58" i="5"/>
  <c r="H19" i="4"/>
  <c r="I19" i="4" s="1"/>
  <c r="N10" i="5"/>
  <c r="H338" i="4"/>
  <c r="I338" i="4" s="1"/>
  <c r="N359" i="5"/>
  <c r="H276" i="4"/>
  <c r="I276" i="4" s="1"/>
  <c r="N299" i="5"/>
  <c r="H326" i="4"/>
  <c r="I326" i="4" s="1"/>
  <c r="N347" i="5"/>
  <c r="H221" i="4"/>
  <c r="I221" i="4" s="1"/>
  <c r="N234" i="5"/>
  <c r="H66" i="4"/>
  <c r="I66" i="4" s="1"/>
  <c r="N37" i="5"/>
  <c r="H166" i="4"/>
  <c r="I166" i="4" s="1"/>
  <c r="N119" i="5"/>
  <c r="H310" i="4"/>
  <c r="I310" i="4" s="1"/>
  <c r="N331" i="5"/>
  <c r="H277" i="4"/>
  <c r="I277" i="4" s="1"/>
  <c r="N300" i="5"/>
  <c r="H350" i="4"/>
  <c r="I350" i="4" s="1"/>
  <c r="N371" i="5"/>
  <c r="H317" i="4"/>
  <c r="I317" i="4" s="1"/>
  <c r="N338" i="5"/>
  <c r="H190" i="4"/>
  <c r="I190" i="4" s="1"/>
  <c r="N139" i="5"/>
  <c r="N204" i="5"/>
  <c r="H355" i="4"/>
  <c r="I355" i="4" s="1"/>
  <c r="N376" i="5"/>
  <c r="H360" i="4"/>
  <c r="I360" i="4" s="1"/>
  <c r="N381" i="5"/>
  <c r="H378" i="4"/>
  <c r="I378" i="4" s="1"/>
  <c r="N399" i="5"/>
  <c r="H386" i="4"/>
  <c r="I386" i="4" s="1"/>
  <c r="N407" i="5"/>
  <c r="H398" i="4"/>
  <c r="I398" i="4" s="1"/>
  <c r="N419" i="5"/>
  <c r="H412" i="4"/>
  <c r="I412" i="4" s="1"/>
  <c r="N433" i="5"/>
  <c r="H408" i="4"/>
  <c r="I408" i="4" s="1"/>
  <c r="N429" i="5"/>
  <c r="H428" i="4"/>
  <c r="I428" i="4" s="1"/>
  <c r="N449" i="5"/>
  <c r="H435" i="4"/>
  <c r="I435" i="4" s="1"/>
  <c r="N456" i="5"/>
  <c r="H462" i="4"/>
  <c r="I462" i="4" s="1"/>
  <c r="N483" i="5"/>
  <c r="H472" i="4"/>
  <c r="I472" i="4" s="1"/>
  <c r="N493" i="5"/>
  <c r="H489" i="4"/>
  <c r="I489" i="4" s="1"/>
  <c r="N510" i="5"/>
  <c r="H496" i="4"/>
  <c r="I496" i="4" s="1"/>
  <c r="N517" i="5"/>
  <c r="H509" i="4"/>
  <c r="I509" i="4" s="1"/>
  <c r="N530" i="5"/>
  <c r="H514" i="4"/>
  <c r="I514" i="4" s="1"/>
  <c r="N535" i="5"/>
  <c r="H527" i="4"/>
  <c r="I527" i="4" s="1"/>
  <c r="N548" i="5"/>
  <c r="H537" i="4"/>
  <c r="I537" i="4" s="1"/>
  <c r="N558" i="5"/>
  <c r="H546" i="4"/>
  <c r="I546" i="4" s="1"/>
  <c r="N567" i="5"/>
  <c r="H540" i="4"/>
  <c r="I540" i="4" s="1"/>
  <c r="N561" i="5"/>
  <c r="H557" i="4"/>
  <c r="I557" i="4" s="1"/>
  <c r="N578" i="5"/>
  <c r="H563" i="4"/>
  <c r="I563" i="4" s="1"/>
  <c r="N584" i="5"/>
  <c r="H561" i="4"/>
  <c r="I561" i="4" s="1"/>
  <c r="N582" i="5"/>
  <c r="H569" i="4"/>
  <c r="I569" i="4" s="1"/>
  <c r="N590" i="5"/>
  <c r="H567" i="4"/>
  <c r="I567" i="4" s="1"/>
  <c r="N588" i="5"/>
  <c r="H580" i="4"/>
  <c r="I580" i="4" s="1"/>
  <c r="N601" i="5"/>
  <c r="H604" i="4"/>
  <c r="I604" i="4" s="1"/>
  <c r="N625" i="5"/>
  <c r="H605" i="4"/>
  <c r="I605" i="4" s="1"/>
  <c r="N626" i="5"/>
  <c r="H600" i="4"/>
  <c r="I600" i="4" s="1"/>
  <c r="N621" i="5"/>
  <c r="H607" i="4"/>
  <c r="I607" i="4" s="1"/>
  <c r="N628" i="5"/>
  <c r="H625" i="4"/>
  <c r="I625" i="4" s="1"/>
  <c r="N646" i="5"/>
  <c r="H630" i="4"/>
  <c r="I630" i="4" s="1"/>
  <c r="N651" i="5"/>
  <c r="H652" i="4"/>
  <c r="I652" i="4" s="1"/>
  <c r="N673" i="5"/>
  <c r="H658" i="4"/>
  <c r="I658" i="4" s="1"/>
  <c r="N679" i="5"/>
  <c r="H633" i="4"/>
  <c r="I633" i="4" s="1"/>
  <c r="N654" i="5"/>
  <c r="H50" i="4"/>
  <c r="I50" i="4" s="1"/>
  <c r="N22" i="5"/>
  <c r="H13" i="4"/>
  <c r="I13" i="4" s="1"/>
  <c r="N5" i="5"/>
  <c r="H28" i="4"/>
  <c r="I28" i="4" s="1"/>
  <c r="N235" i="5"/>
  <c r="H41" i="4"/>
  <c r="I41" i="4" s="1"/>
  <c r="N49" i="5"/>
  <c r="H58" i="4"/>
  <c r="I58" i="4" s="1"/>
  <c r="N30" i="5"/>
  <c r="H16" i="4"/>
  <c r="I16" i="4" s="1"/>
  <c r="N9" i="5"/>
  <c r="H226" i="4"/>
  <c r="I226" i="4" s="1"/>
  <c r="N249" i="5"/>
  <c r="H228" i="4"/>
  <c r="I228" i="4" s="1"/>
  <c r="N251" i="5"/>
  <c r="H344" i="4"/>
  <c r="I344" i="4" s="1"/>
  <c r="N365" i="5"/>
  <c r="H290" i="4"/>
  <c r="I290" i="4" s="1"/>
  <c r="N313" i="5"/>
  <c r="H321" i="4"/>
  <c r="I321" i="4" s="1"/>
  <c r="N342" i="5"/>
  <c r="H259" i="4"/>
  <c r="I259" i="4" s="1"/>
  <c r="N282" i="5"/>
  <c r="H159" i="4"/>
  <c r="I159" i="4" s="1"/>
  <c r="N165" i="5"/>
  <c r="H121" i="4"/>
  <c r="I121" i="4" s="1"/>
  <c r="N98" i="5"/>
  <c r="H201" i="4"/>
  <c r="I201" i="4" s="1"/>
  <c r="N150" i="5"/>
  <c r="N215" i="5"/>
  <c r="H139" i="4"/>
  <c r="I139" i="4" s="1"/>
  <c r="N104" i="5"/>
  <c r="H85" i="4"/>
  <c r="I85" i="4" s="1"/>
  <c r="N90" i="5"/>
  <c r="H243" i="4"/>
  <c r="I243" i="4" s="1"/>
  <c r="N266" i="5"/>
  <c r="H314" i="4"/>
  <c r="I314" i="4" s="1"/>
  <c r="N335" i="5"/>
  <c r="H252" i="4"/>
  <c r="I252" i="4" s="1"/>
  <c r="N275" i="5"/>
  <c r="H216" i="4"/>
  <c r="I216" i="4" s="1"/>
  <c r="N229" i="5"/>
  <c r="H320" i="4"/>
  <c r="I320" i="4" s="1"/>
  <c r="N341" i="5"/>
  <c r="H258" i="4"/>
  <c r="I258" i="4" s="1"/>
  <c r="N281" i="5"/>
  <c r="H196" i="4"/>
  <c r="I196" i="4" s="1"/>
  <c r="N145" i="5"/>
  <c r="N210" i="5"/>
  <c r="H88" i="4"/>
  <c r="I88" i="4" s="1"/>
  <c r="N93" i="5"/>
  <c r="H69" i="4"/>
  <c r="I69" i="4" s="1"/>
  <c r="N40" i="5"/>
  <c r="H330" i="4"/>
  <c r="I330" i="4" s="1"/>
  <c r="N351" i="5"/>
  <c r="H268" i="4"/>
  <c r="I268" i="4" s="1"/>
  <c r="N291" i="5"/>
  <c r="H241" i="4"/>
  <c r="I241" i="4" s="1"/>
  <c r="N264" i="5"/>
  <c r="H169" i="4"/>
  <c r="I169" i="4" s="1"/>
  <c r="N121" i="5"/>
  <c r="H8" i="4"/>
  <c r="I8" i="4" s="1"/>
  <c r="N2" i="5"/>
  <c r="H340" i="4"/>
  <c r="I340" i="4" s="1"/>
  <c r="N361" i="5"/>
  <c r="H278" i="4"/>
  <c r="I278" i="4" s="1"/>
  <c r="N301" i="5"/>
  <c r="H189" i="4"/>
  <c r="I189" i="4" s="1"/>
  <c r="N138" i="5"/>
  <c r="N203" i="5"/>
  <c r="H333" i="4"/>
  <c r="I333" i="4" s="1"/>
  <c r="N354" i="5"/>
  <c r="H110" i="4"/>
  <c r="I110" i="4" s="1"/>
  <c r="N66" i="5"/>
  <c r="H254" i="4"/>
  <c r="I254" i="4" s="1"/>
  <c r="N277" i="5"/>
  <c r="H229" i="4"/>
  <c r="I229" i="4" s="1"/>
  <c r="N252" i="5"/>
  <c r="H302" i="4"/>
  <c r="I302" i="4" s="1"/>
  <c r="N323" i="5"/>
  <c r="H285" i="4"/>
  <c r="I285" i="4" s="1"/>
  <c r="N308" i="5"/>
  <c r="H363" i="4"/>
  <c r="I363" i="4" s="1"/>
  <c r="N384" i="5"/>
  <c r="H368" i="4"/>
  <c r="I368" i="4" s="1"/>
  <c r="N389" i="5"/>
  <c r="H375" i="4"/>
  <c r="I375" i="4" s="1"/>
  <c r="N396" i="5"/>
  <c r="H379" i="4"/>
  <c r="I379" i="4" s="1"/>
  <c r="N400" i="5"/>
  <c r="H387" i="4"/>
  <c r="I387" i="4" s="1"/>
  <c r="N408" i="5"/>
  <c r="H417" i="4"/>
  <c r="I417" i="4" s="1"/>
  <c r="N438" i="5"/>
  <c r="H414" i="4"/>
  <c r="I414" i="4" s="1"/>
  <c r="N435" i="5"/>
  <c r="H413" i="4"/>
  <c r="I413" i="4" s="1"/>
  <c r="N434" i="5"/>
  <c r="H400" i="4"/>
  <c r="I400" i="4" s="1"/>
  <c r="N421" i="5"/>
  <c r="H436" i="4"/>
  <c r="I436" i="4" s="1"/>
  <c r="N457" i="5"/>
  <c r="H446" i="4"/>
  <c r="I446" i="4" s="1"/>
  <c r="N467" i="5"/>
  <c r="H454" i="4"/>
  <c r="I454" i="4" s="1"/>
  <c r="N475" i="5"/>
  <c r="H456" i="4"/>
  <c r="I456" i="4" s="1"/>
  <c r="N477" i="5"/>
  <c r="H455" i="4"/>
  <c r="I455" i="4" s="1"/>
  <c r="N476" i="5"/>
  <c r="H471" i="4"/>
  <c r="I471" i="4" s="1"/>
  <c r="N492" i="5"/>
  <c r="H484" i="4"/>
  <c r="I484" i="4" s="1"/>
  <c r="N505" i="5"/>
  <c r="H482" i="4"/>
  <c r="I482" i="4" s="1"/>
  <c r="N503" i="5"/>
  <c r="H498" i="4"/>
  <c r="I498" i="4" s="1"/>
  <c r="N519" i="5"/>
  <c r="H505" i="4"/>
  <c r="I505" i="4" s="1"/>
  <c r="N526" i="5"/>
  <c r="H503" i="4"/>
  <c r="I503" i="4" s="1"/>
  <c r="N524" i="5"/>
  <c r="H536" i="4"/>
  <c r="I536" i="4" s="1"/>
  <c r="N557" i="5"/>
  <c r="H542" i="4"/>
  <c r="I542" i="4" s="1"/>
  <c r="N563" i="5"/>
  <c r="H558" i="4"/>
  <c r="I558" i="4" s="1"/>
  <c r="N579" i="5"/>
  <c r="H564" i="4"/>
  <c r="I564" i="4" s="1"/>
  <c r="N585" i="5"/>
  <c r="H571" i="4"/>
  <c r="I571" i="4" s="1"/>
  <c r="N592" i="5"/>
  <c r="H579" i="4"/>
  <c r="I579" i="4" s="1"/>
  <c r="N600" i="5"/>
  <c r="H590" i="4"/>
  <c r="I590" i="4" s="1"/>
  <c r="N611" i="5"/>
  <c r="H572" i="4"/>
  <c r="I572" i="4" s="1"/>
  <c r="N593" i="5"/>
  <c r="H602" i="4"/>
  <c r="I602" i="4" s="1"/>
  <c r="N623" i="5"/>
  <c r="H618" i="4"/>
  <c r="I618" i="4" s="1"/>
  <c r="N639" i="5"/>
  <c r="H613" i="4"/>
  <c r="I613" i="4" s="1"/>
  <c r="N634" i="5"/>
  <c r="H597" i="4"/>
  <c r="I597" i="4" s="1"/>
  <c r="N618" i="5"/>
  <c r="H628" i="4"/>
  <c r="I628" i="4" s="1"/>
  <c r="N649" i="5"/>
  <c r="H655" i="4"/>
  <c r="I655" i="4" s="1"/>
  <c r="N676" i="5"/>
  <c r="H644" i="4"/>
  <c r="I644" i="4" s="1"/>
  <c r="N665" i="5"/>
  <c r="H650" i="4"/>
  <c r="I650" i="4" s="1"/>
  <c r="N671" i="5"/>
  <c r="H42" i="4"/>
  <c r="I42" i="4" s="1"/>
  <c r="N50" i="5"/>
  <c r="H45" i="4"/>
  <c r="I45" i="4" s="1"/>
  <c r="N52" i="5"/>
  <c r="H5" i="4"/>
  <c r="N241" i="5"/>
  <c r="H17" i="4"/>
  <c r="I17" i="4" s="1"/>
  <c r="N183" i="5"/>
  <c r="H220" i="4"/>
  <c r="I220" i="4" s="1"/>
  <c r="N233" i="5"/>
  <c r="H34" i="4"/>
  <c r="I34" i="4" s="1"/>
  <c r="N45" i="5"/>
  <c r="H14" i="4"/>
  <c r="I14" i="4" s="1"/>
  <c r="N7" i="5"/>
  <c r="H22" i="4"/>
  <c r="I22" i="4" s="1"/>
  <c r="N13" i="5"/>
  <c r="H4" i="4"/>
  <c r="N240" i="5"/>
  <c r="H37" i="4"/>
  <c r="I37" i="4" s="1"/>
  <c r="N170" i="5"/>
  <c r="H55" i="4"/>
  <c r="I55" i="4" s="1"/>
  <c r="N27" i="5"/>
  <c r="H60" i="4"/>
  <c r="I60" i="4" s="1"/>
  <c r="N32" i="5"/>
  <c r="H48" i="4"/>
  <c r="I48" i="4" s="1"/>
  <c r="N19" i="5"/>
  <c r="H51" i="4"/>
  <c r="I51" i="4" s="1"/>
  <c r="N23" i="5"/>
  <c r="H24" i="4"/>
  <c r="I24" i="4" s="1"/>
  <c r="N15" i="5"/>
  <c r="H44" i="4"/>
  <c r="I44" i="4" s="1"/>
  <c r="N51" i="5"/>
  <c r="H2" i="4"/>
  <c r="I2" i="4" s="1"/>
  <c r="N238" i="5"/>
  <c r="H354" i="4"/>
  <c r="I354" i="4" s="1"/>
  <c r="N375" i="5"/>
  <c r="H292" i="4"/>
  <c r="I292" i="4" s="1"/>
  <c r="N315" i="5"/>
  <c r="H154" i="4"/>
  <c r="I154" i="4" s="1"/>
  <c r="N112" i="5"/>
  <c r="H323" i="4"/>
  <c r="I323" i="4" s="1"/>
  <c r="N344" i="5"/>
  <c r="H90" i="4"/>
  <c r="I90" i="4" s="1"/>
  <c r="N94" i="5"/>
  <c r="H265" i="4"/>
  <c r="I265" i="4" s="1"/>
  <c r="N288" i="5"/>
  <c r="H203" i="4"/>
  <c r="I203" i="4" s="1"/>
  <c r="N217" i="5"/>
  <c r="H149" i="4"/>
  <c r="I149" i="4" s="1"/>
  <c r="N107" i="5"/>
  <c r="H125" i="4"/>
  <c r="I125" i="4" s="1"/>
  <c r="N99" i="5"/>
  <c r="H145" i="4"/>
  <c r="I145" i="4" s="1"/>
  <c r="N83" i="5"/>
  <c r="H82" i="4"/>
  <c r="I82" i="4" s="1"/>
  <c r="N86" i="5"/>
  <c r="H316" i="4"/>
  <c r="I316" i="4" s="1"/>
  <c r="N337" i="5"/>
  <c r="H218" i="4"/>
  <c r="I218" i="4" s="1"/>
  <c r="N231" i="5"/>
  <c r="H78" i="4"/>
  <c r="I78" i="4" s="1"/>
  <c r="N59" i="5"/>
  <c r="H322" i="4"/>
  <c r="I322" i="4" s="1"/>
  <c r="N343" i="5"/>
  <c r="H260" i="4"/>
  <c r="I260" i="4" s="1"/>
  <c r="N283" i="5"/>
  <c r="H113" i="4"/>
  <c r="I113" i="4" s="1"/>
  <c r="N68" i="5"/>
  <c r="H161" i="4"/>
  <c r="I161" i="4" s="1"/>
  <c r="N117" i="5"/>
  <c r="H71" i="4"/>
  <c r="I71" i="4" s="1"/>
  <c r="N42" i="5"/>
  <c r="H332" i="4"/>
  <c r="I332" i="4" s="1"/>
  <c r="N353" i="5"/>
  <c r="H233" i="4"/>
  <c r="I233" i="4" s="1"/>
  <c r="N256" i="5"/>
  <c r="H171" i="4"/>
  <c r="I171" i="4" s="1"/>
  <c r="N123" i="5"/>
  <c r="N185" i="5"/>
  <c r="H117" i="4"/>
  <c r="I117" i="4" s="1"/>
  <c r="N174" i="5"/>
  <c r="H230" i="4"/>
  <c r="I230" i="4" s="1"/>
  <c r="N253" i="5"/>
  <c r="H68" i="4"/>
  <c r="I68" i="4" s="1"/>
  <c r="N39" i="5"/>
  <c r="H261" i="4"/>
  <c r="I261" i="4" s="1"/>
  <c r="N284" i="5"/>
  <c r="H214" i="4"/>
  <c r="I214" i="4" s="1"/>
  <c r="N227" i="5"/>
  <c r="H197" i="4"/>
  <c r="I197" i="4" s="1"/>
  <c r="N211" i="5"/>
  <c r="H246" i="4"/>
  <c r="I246" i="4" s="1"/>
  <c r="N269" i="5"/>
  <c r="H237" i="4"/>
  <c r="I237" i="4" s="1"/>
  <c r="N260" i="5"/>
  <c r="H325" i="4"/>
  <c r="I325" i="4" s="1"/>
  <c r="N346" i="5"/>
  <c r="H361" i="4"/>
  <c r="I361" i="4" s="1"/>
  <c r="N382" i="5"/>
  <c r="H362" i="4"/>
  <c r="I362" i="4" s="1"/>
  <c r="N383" i="5"/>
  <c r="H373" i="4"/>
  <c r="I373" i="4" s="1"/>
  <c r="N394" i="5"/>
  <c r="H377" i="4"/>
  <c r="I377" i="4" s="1"/>
  <c r="N398" i="5"/>
  <c r="H382" i="4"/>
  <c r="I382" i="4" s="1"/>
  <c r="N403" i="5"/>
  <c r="H395" i="4"/>
  <c r="I395" i="4" s="1"/>
  <c r="N416" i="5"/>
  <c r="H410" i="4"/>
  <c r="I410" i="4" s="1"/>
  <c r="N431" i="5"/>
  <c r="H415" i="4"/>
  <c r="I415" i="4" s="1"/>
  <c r="N436" i="5"/>
  <c r="H405" i="4"/>
  <c r="I405" i="4" s="1"/>
  <c r="N426" i="5"/>
  <c r="H423" i="4"/>
  <c r="I423" i="4" s="1"/>
  <c r="N444" i="5"/>
  <c r="H429" i="4"/>
  <c r="I429" i="4" s="1"/>
  <c r="N450" i="5"/>
  <c r="H440" i="4"/>
  <c r="I440" i="4" s="1"/>
  <c r="N461" i="5"/>
  <c r="H448" i="4"/>
  <c r="I448" i="4" s="1"/>
  <c r="N469" i="5"/>
  <c r="H464" i="4"/>
  <c r="I464" i="4" s="1"/>
  <c r="N485" i="5"/>
  <c r="H466" i="4"/>
  <c r="I466" i="4" s="1"/>
  <c r="N487" i="5"/>
  <c r="H474" i="4"/>
  <c r="I474" i="4" s="1"/>
  <c r="N495" i="5"/>
  <c r="H476" i="4"/>
  <c r="I476" i="4" s="1"/>
  <c r="N497" i="5"/>
  <c r="H487" i="4"/>
  <c r="I487" i="4" s="1"/>
  <c r="N508" i="5"/>
  <c r="H490" i="4"/>
  <c r="I490" i="4" s="1"/>
  <c r="N511" i="5"/>
  <c r="H499" i="4"/>
  <c r="I499" i="4" s="1"/>
  <c r="N520" i="5"/>
  <c r="H497" i="4"/>
  <c r="I497" i="4" s="1"/>
  <c r="N518" i="5"/>
  <c r="H516" i="4"/>
  <c r="I516" i="4" s="1"/>
  <c r="N537" i="5"/>
  <c r="H507" i="4"/>
  <c r="I507" i="4" s="1"/>
  <c r="N528" i="5"/>
  <c r="H528" i="4"/>
  <c r="I528" i="4" s="1"/>
  <c r="N549" i="5"/>
  <c r="H549" i="4"/>
  <c r="I549" i="4" s="1"/>
  <c r="N570" i="5"/>
  <c r="H559" i="4"/>
  <c r="I559" i="4" s="1"/>
  <c r="N580" i="5"/>
  <c r="H586" i="4"/>
  <c r="I586" i="4" s="1"/>
  <c r="N607" i="5"/>
  <c r="H584" i="4"/>
  <c r="I584" i="4" s="1"/>
  <c r="N605" i="5"/>
  <c r="H582" i="4"/>
  <c r="I582" i="4" s="1"/>
  <c r="N603" i="5"/>
  <c r="H592" i="4"/>
  <c r="I592" i="4" s="1"/>
  <c r="N613" i="5"/>
  <c r="H614" i="4"/>
  <c r="I614" i="4" s="1"/>
  <c r="N635" i="5"/>
  <c r="H620" i="4"/>
  <c r="I620" i="4" s="1"/>
  <c r="N641" i="5"/>
  <c r="H606" i="4"/>
  <c r="I606" i="4" s="1"/>
  <c r="N627" i="5"/>
  <c r="H598" i="4"/>
  <c r="I598" i="4" s="1"/>
  <c r="N619" i="5"/>
  <c r="H629" i="4"/>
  <c r="I629" i="4" s="1"/>
  <c r="N650" i="5"/>
  <c r="H661" i="4"/>
  <c r="I661" i="4" s="1"/>
  <c r="N682" i="5"/>
  <c r="H636" i="4"/>
  <c r="I636" i="4" s="1"/>
  <c r="N657" i="5"/>
  <c r="H642" i="4"/>
  <c r="I642" i="4" s="1"/>
  <c r="N663" i="5"/>
  <c r="H656" i="4"/>
  <c r="I656" i="4" s="1"/>
  <c r="N677" i="5"/>
  <c r="H38" i="4"/>
  <c r="I38" i="4" s="1"/>
  <c r="N169" i="5"/>
  <c r="H152" i="4"/>
  <c r="I152" i="4" s="1"/>
  <c r="N110" i="5"/>
  <c r="H123" i="4"/>
  <c r="I123" i="4" s="1"/>
  <c r="N74" i="5"/>
  <c r="H100" i="4"/>
  <c r="I100" i="4" s="1"/>
  <c r="N184" i="5"/>
  <c r="H307" i="4"/>
  <c r="I307" i="4" s="1"/>
  <c r="N328" i="5"/>
  <c r="H232" i="4"/>
  <c r="I232" i="4" s="1"/>
  <c r="N255" i="5"/>
  <c r="H170" i="4"/>
  <c r="I170" i="4" s="1"/>
  <c r="N122" i="5"/>
  <c r="H108" i="4"/>
  <c r="I108" i="4" s="1"/>
  <c r="N64" i="5"/>
  <c r="H287" i="4"/>
  <c r="I287" i="4" s="1"/>
  <c r="N310" i="5"/>
  <c r="H112" i="4"/>
  <c r="I112" i="4" s="1"/>
  <c r="N67" i="5"/>
  <c r="H329" i="4"/>
  <c r="I329" i="4" s="1"/>
  <c r="N350" i="5"/>
  <c r="H267" i="4"/>
  <c r="I267" i="4" s="1"/>
  <c r="N290" i="5"/>
  <c r="H167" i="4"/>
  <c r="I167" i="4" s="1"/>
  <c r="N120" i="5"/>
  <c r="H352" i="4"/>
  <c r="I352" i="4" s="1"/>
  <c r="N373" i="5"/>
  <c r="H209" i="4"/>
  <c r="I209" i="4" s="1"/>
  <c r="N155" i="5"/>
  <c r="N222" i="5"/>
  <c r="H147" i="4"/>
  <c r="I147" i="4" s="1"/>
  <c r="N85" i="5"/>
  <c r="H271" i="4"/>
  <c r="I271" i="4" s="1"/>
  <c r="N294" i="5"/>
  <c r="N385" i="5"/>
  <c r="H153" i="4"/>
  <c r="I153" i="4" s="1"/>
  <c r="N111" i="5"/>
  <c r="H80" i="4"/>
  <c r="I80" i="4" s="1"/>
  <c r="N61" i="5"/>
  <c r="H324" i="4"/>
  <c r="I324" i="4" s="1"/>
  <c r="N345" i="5"/>
  <c r="H282" i="4"/>
  <c r="I282" i="4" s="1"/>
  <c r="N305" i="5"/>
  <c r="H225" i="4"/>
  <c r="I225" i="4" s="1"/>
  <c r="N248" i="5"/>
  <c r="H109" i="4"/>
  <c r="I109" i="4" s="1"/>
  <c r="N65" i="5"/>
  <c r="H284" i="4"/>
  <c r="I284" i="4" s="1"/>
  <c r="N307" i="5"/>
  <c r="H297" i="4"/>
  <c r="I297" i="4" s="1"/>
  <c r="N318" i="5"/>
  <c r="H235" i="4"/>
  <c r="I235" i="4" s="1"/>
  <c r="N258" i="5"/>
  <c r="H182" i="4"/>
  <c r="I182" i="4" s="1"/>
  <c r="N134" i="5"/>
  <c r="N196" i="5"/>
  <c r="H87" i="4"/>
  <c r="I87" i="4" s="1"/>
  <c r="N92" i="5"/>
  <c r="H157" i="4"/>
  <c r="I157" i="4" s="1"/>
  <c r="N115" i="5"/>
  <c r="H245" i="4"/>
  <c r="I245" i="4" s="1"/>
  <c r="N268" i="5"/>
  <c r="H174" i="4"/>
  <c r="I174" i="4" s="1"/>
  <c r="N126" i="5"/>
  <c r="N188" i="5"/>
  <c r="H64" i="4"/>
  <c r="I64" i="4" s="1"/>
  <c r="N171" i="5"/>
  <c r="H181" i="4"/>
  <c r="I181" i="4" s="1"/>
  <c r="N133" i="5"/>
  <c r="N195" i="5"/>
  <c r="H293" i="4"/>
  <c r="I293" i="4" s="1"/>
  <c r="N316" i="5"/>
  <c r="H367" i="4"/>
  <c r="I367" i="4" s="1"/>
  <c r="N388" i="5"/>
  <c r="H366" i="4"/>
  <c r="I366" i="4" s="1"/>
  <c r="N387" i="5"/>
  <c r="H370" i="4"/>
  <c r="I370" i="4" s="1"/>
  <c r="N391" i="5"/>
  <c r="H381" i="4"/>
  <c r="I381" i="4" s="1"/>
  <c r="N402" i="5"/>
  <c r="H393" i="4"/>
  <c r="I393" i="4" s="1"/>
  <c r="N414" i="5"/>
  <c r="H390" i="4"/>
  <c r="I390" i="4" s="1"/>
  <c r="N411" i="5"/>
  <c r="H391" i="4"/>
  <c r="I391" i="4" s="1"/>
  <c r="N412" i="5"/>
  <c r="H411" i="4"/>
  <c r="I411" i="4" s="1"/>
  <c r="N432" i="5"/>
  <c r="H399" i="4"/>
  <c r="I399" i="4" s="1"/>
  <c r="N420" i="5"/>
  <c r="H424" i="4"/>
  <c r="I424" i="4" s="1"/>
  <c r="N445" i="5"/>
  <c r="H437" i="4"/>
  <c r="I437" i="4" s="1"/>
  <c r="N458" i="5"/>
  <c r="H461" i="4"/>
  <c r="I461" i="4" s="1"/>
  <c r="N482" i="5"/>
  <c r="H457" i="4"/>
  <c r="I457" i="4" s="1"/>
  <c r="N478" i="5"/>
  <c r="H459" i="4"/>
  <c r="I459" i="4" s="1"/>
  <c r="N480" i="5"/>
  <c r="H470" i="4"/>
  <c r="I470" i="4" s="1"/>
  <c r="N491" i="5"/>
  <c r="H473" i="4"/>
  <c r="I473" i="4" s="1"/>
  <c r="N494" i="5"/>
  <c r="H500" i="4"/>
  <c r="I500" i="4" s="1"/>
  <c r="N521" i="5"/>
  <c r="H493" i="4"/>
  <c r="I493" i="4" s="1"/>
  <c r="N514" i="5"/>
  <c r="H511" i="4"/>
  <c r="I511" i="4" s="1"/>
  <c r="N532" i="5"/>
  <c r="H517" i="4"/>
  <c r="I517" i="4" s="1"/>
  <c r="N538" i="5"/>
  <c r="H520" i="4"/>
  <c r="I520" i="4" s="1"/>
  <c r="N541" i="5"/>
  <c r="H521" i="4"/>
  <c r="I521" i="4" s="1"/>
  <c r="N542" i="5"/>
  <c r="H530" i="4"/>
  <c r="I530" i="4" s="1"/>
  <c r="N551" i="5"/>
  <c r="H532" i="4"/>
  <c r="I532" i="4" s="1"/>
  <c r="N553" i="5"/>
  <c r="H543" i="4"/>
  <c r="I543" i="4" s="1"/>
  <c r="N564" i="5"/>
  <c r="H541" i="4"/>
  <c r="I541" i="4" s="1"/>
  <c r="N562" i="5"/>
  <c r="H553" i="4"/>
  <c r="I553" i="4" s="1"/>
  <c r="N574" i="5"/>
  <c r="H565" i="4"/>
  <c r="I565" i="4" s="1"/>
  <c r="N586" i="5"/>
  <c r="H578" i="4"/>
  <c r="I578" i="4" s="1"/>
  <c r="N599" i="5"/>
  <c r="H576" i="4"/>
  <c r="I576" i="4" s="1"/>
  <c r="N597" i="5"/>
  <c r="H574" i="4"/>
  <c r="I574" i="4" s="1"/>
  <c r="N595" i="5"/>
  <c r="H593" i="4"/>
  <c r="I593" i="4" s="1"/>
  <c r="N614" i="5"/>
  <c r="H608" i="4"/>
  <c r="I608" i="4" s="1"/>
  <c r="N629" i="5"/>
  <c r="H615" i="4"/>
  <c r="I615" i="4" s="1"/>
  <c r="N636" i="5"/>
  <c r="H594" i="4"/>
  <c r="I594" i="4" s="1"/>
  <c r="N615" i="5"/>
  <c r="H596" i="4"/>
  <c r="I596" i="4" s="1"/>
  <c r="N617" i="5"/>
  <c r="H627" i="4"/>
  <c r="I627" i="4" s="1"/>
  <c r="N648" i="5"/>
  <c r="H653" i="4"/>
  <c r="I653" i="4" s="1"/>
  <c r="N674" i="5"/>
  <c r="H659" i="4"/>
  <c r="I659" i="4" s="1"/>
  <c r="N680" i="5"/>
  <c r="H634" i="4"/>
  <c r="I634" i="4" s="1"/>
  <c r="N655" i="5"/>
  <c r="H648" i="4"/>
  <c r="I648" i="4" s="1"/>
  <c r="N669" i="5"/>
  <c r="L2632" i="1"/>
  <c r="I135" i="2" s="1"/>
  <c r="J135" i="2" s="1"/>
  <c r="K2495" i="1"/>
  <c r="L2532" i="1" s="1"/>
  <c r="I133" i="2" s="1"/>
  <c r="J133" i="2" s="1"/>
  <c r="K2539" i="1"/>
  <c r="L2584" i="1" s="1"/>
  <c r="I134" i="2" s="1"/>
  <c r="J134" i="2" s="1"/>
  <c r="L2180" i="1"/>
  <c r="I125" i="2" s="1"/>
  <c r="J125" i="2" s="1"/>
  <c r="K2748" i="1"/>
  <c r="K2284" i="1"/>
  <c r="K93" i="2"/>
  <c r="G633" i="5"/>
  <c r="H633" i="5"/>
  <c r="H637" i="5"/>
  <c r="G637" i="5"/>
  <c r="G632" i="5"/>
  <c r="H632" i="5"/>
  <c r="H634" i="5"/>
  <c r="G634" i="5"/>
  <c r="G631" i="5"/>
  <c r="H631" i="5"/>
  <c r="G635" i="5"/>
  <c r="H635" i="5"/>
  <c r="H636" i="5"/>
  <c r="G636" i="5"/>
  <c r="H587" i="5"/>
  <c r="G587" i="5"/>
  <c r="G617" i="5"/>
  <c r="J617" i="5" s="1"/>
  <c r="H617" i="5"/>
  <c r="H592" i="5"/>
  <c r="G592" i="5"/>
  <c r="G614" i="5"/>
  <c r="H614" i="5"/>
  <c r="H597" i="5"/>
  <c r="G597" i="5"/>
  <c r="H626" i="5"/>
  <c r="G626" i="5"/>
  <c r="G609" i="5"/>
  <c r="J609" i="5" s="1"/>
  <c r="H609" i="5"/>
  <c r="G623" i="5"/>
  <c r="H623" i="5"/>
  <c r="G606" i="5"/>
  <c r="J606" i="5" s="1"/>
  <c r="H606" i="5"/>
  <c r="H589" i="5"/>
  <c r="G589" i="5"/>
  <c r="G618" i="5"/>
  <c r="H618" i="5"/>
  <c r="G601" i="5"/>
  <c r="H601" i="5"/>
  <c r="G615" i="5"/>
  <c r="H615" i="5"/>
  <c r="H598" i="5"/>
  <c r="G598" i="5"/>
  <c r="G628" i="5"/>
  <c r="H628" i="5"/>
  <c r="H627" i="5"/>
  <c r="G627" i="5"/>
  <c r="G610" i="5"/>
  <c r="H610" i="5"/>
  <c r="H593" i="5"/>
  <c r="G593" i="5"/>
  <c r="H607" i="5"/>
  <c r="G607" i="5"/>
  <c r="H590" i="5"/>
  <c r="G590" i="5"/>
  <c r="H620" i="5"/>
  <c r="G620" i="5"/>
  <c r="G619" i="5"/>
  <c r="H619" i="5"/>
  <c r="G602" i="5"/>
  <c r="H602" i="5"/>
  <c r="H624" i="5"/>
  <c r="G624" i="5"/>
  <c r="H599" i="5"/>
  <c r="G599" i="5"/>
  <c r="H629" i="5"/>
  <c r="G629" i="5"/>
  <c r="G612" i="5"/>
  <c r="H612" i="5"/>
  <c r="H611" i="5"/>
  <c r="G611" i="5"/>
  <c r="G594" i="5"/>
  <c r="H594" i="5"/>
  <c r="H616" i="5"/>
  <c r="G616" i="5"/>
  <c r="H591" i="5"/>
  <c r="G591" i="5"/>
  <c r="H621" i="5"/>
  <c r="G621" i="5"/>
  <c r="G604" i="5"/>
  <c r="H604" i="5"/>
  <c r="H603" i="5"/>
  <c r="G603" i="5"/>
  <c r="G586" i="5"/>
  <c r="H586" i="5"/>
  <c r="H608" i="5"/>
  <c r="G608" i="5"/>
  <c r="G630" i="5"/>
  <c r="H630" i="5"/>
  <c r="H613" i="5"/>
  <c r="G613" i="5"/>
  <c r="G596" i="5"/>
  <c r="H596" i="5"/>
  <c r="H595" i="5"/>
  <c r="G595" i="5"/>
  <c r="G625" i="5"/>
  <c r="H625" i="5"/>
  <c r="H600" i="5"/>
  <c r="G600" i="5"/>
  <c r="G622" i="5"/>
  <c r="H622" i="5"/>
  <c r="H605" i="5"/>
  <c r="G605" i="5"/>
  <c r="G588" i="5"/>
  <c r="H588" i="5"/>
  <c r="G585" i="5"/>
  <c r="H585" i="5"/>
  <c r="G580" i="5"/>
  <c r="H580" i="5"/>
  <c r="G574" i="5"/>
  <c r="H574" i="5"/>
  <c r="G576" i="5"/>
  <c r="J576" i="5" s="1"/>
  <c r="H576" i="5"/>
  <c r="G581" i="5"/>
  <c r="H581" i="5"/>
  <c r="G582" i="5"/>
  <c r="H582" i="5"/>
  <c r="H579" i="5"/>
  <c r="G579" i="5"/>
  <c r="G575" i="5"/>
  <c r="H575" i="5"/>
  <c r="H578" i="5"/>
  <c r="G578" i="5"/>
  <c r="H577" i="5"/>
  <c r="G577" i="5"/>
  <c r="G583" i="5"/>
  <c r="H583" i="5"/>
  <c r="G584" i="5"/>
  <c r="H584" i="5"/>
  <c r="H556" i="5"/>
  <c r="G556" i="5"/>
  <c r="G571" i="5"/>
  <c r="H571" i="5"/>
  <c r="G564" i="5"/>
  <c r="H564" i="5"/>
  <c r="G568" i="5"/>
  <c r="H568" i="5"/>
  <c r="G569" i="5"/>
  <c r="H569" i="5"/>
  <c r="H560" i="5"/>
  <c r="G560" i="5"/>
  <c r="H570" i="5"/>
  <c r="G570" i="5"/>
  <c r="H566" i="5"/>
  <c r="G566" i="5"/>
  <c r="H562" i="5"/>
  <c r="G562" i="5"/>
  <c r="G557" i="5"/>
  <c r="H557" i="5"/>
  <c r="G567" i="5"/>
  <c r="H567" i="5"/>
  <c r="H559" i="5"/>
  <c r="G559" i="5"/>
  <c r="H558" i="5"/>
  <c r="G558" i="5"/>
  <c r="G555" i="5"/>
  <c r="H555" i="5"/>
  <c r="G563" i="5"/>
  <c r="H563" i="5"/>
  <c r="G573" i="5"/>
  <c r="H573" i="5"/>
  <c r="H572" i="5"/>
  <c r="G572" i="5"/>
  <c r="G565" i="5"/>
  <c r="H565" i="5"/>
  <c r="H561" i="5"/>
  <c r="G561" i="5"/>
  <c r="H553" i="5"/>
  <c r="G553" i="5"/>
  <c r="H552" i="5"/>
  <c r="G552" i="5"/>
  <c r="G548" i="5"/>
  <c r="H548" i="5"/>
  <c r="G549" i="5"/>
  <c r="H549" i="5"/>
  <c r="H551" i="5"/>
  <c r="G551" i="5"/>
  <c r="G554" i="5"/>
  <c r="H554" i="5"/>
  <c r="G547" i="5"/>
  <c r="H547" i="5"/>
  <c r="G550" i="5"/>
  <c r="H550" i="5"/>
  <c r="G545" i="5"/>
  <c r="H545" i="5"/>
  <c r="G546" i="5"/>
  <c r="H546" i="5"/>
  <c r="G544" i="5"/>
  <c r="H544" i="5"/>
  <c r="G543" i="5"/>
  <c r="H543" i="5"/>
  <c r="G541" i="5"/>
  <c r="J541" i="5" s="1"/>
  <c r="H541" i="5"/>
  <c r="G542" i="5"/>
  <c r="H542" i="5"/>
  <c r="G514" i="5"/>
  <c r="H538" i="5"/>
  <c r="G538" i="5"/>
  <c r="G521" i="5"/>
  <c r="H521" i="5"/>
  <c r="H528" i="5"/>
  <c r="G528" i="5"/>
  <c r="G539" i="5"/>
  <c r="H539" i="5"/>
  <c r="G523" i="5"/>
  <c r="H523" i="5"/>
  <c r="H533" i="5"/>
  <c r="G533" i="5"/>
  <c r="G537" i="5"/>
  <c r="H537" i="5"/>
  <c r="G529" i="5"/>
  <c r="H529" i="5"/>
  <c r="H534" i="5"/>
  <c r="G534" i="5"/>
  <c r="H535" i="5"/>
  <c r="G535" i="5"/>
  <c r="H525" i="5"/>
  <c r="G525" i="5"/>
  <c r="G522" i="5"/>
  <c r="H522" i="5"/>
  <c r="G536" i="5"/>
  <c r="J536" i="5" s="1"/>
  <c r="H536" i="5"/>
  <c r="G524" i="5"/>
  <c r="H524" i="5"/>
  <c r="G527" i="5"/>
  <c r="H527" i="5"/>
  <c r="G531" i="5"/>
  <c r="H531" i="5"/>
  <c r="G540" i="5"/>
  <c r="H540" i="5"/>
  <c r="G530" i="5"/>
  <c r="H530" i="5"/>
  <c r="H526" i="5"/>
  <c r="G526" i="5"/>
  <c r="G532" i="5"/>
  <c r="H532" i="5"/>
  <c r="G520" i="5"/>
  <c r="I520" i="5" s="1"/>
  <c r="G519" i="5"/>
  <c r="H519" i="5"/>
  <c r="G516" i="5"/>
  <c r="H516" i="5"/>
  <c r="G517" i="5"/>
  <c r="H517" i="5"/>
  <c r="H515" i="5"/>
  <c r="G515" i="5"/>
  <c r="G518" i="5"/>
  <c r="H518" i="5"/>
  <c r="G511" i="5"/>
  <c r="H511" i="5"/>
  <c r="G512" i="5"/>
  <c r="H512" i="5"/>
  <c r="G513" i="5"/>
  <c r="H513" i="5"/>
  <c r="B7" i="8"/>
  <c r="F7" i="8"/>
  <c r="G504" i="5"/>
  <c r="H504" i="5"/>
  <c r="G498" i="5"/>
  <c r="H498" i="5"/>
  <c r="G507" i="5"/>
  <c r="H507" i="5"/>
  <c r="G497" i="5"/>
  <c r="H497" i="5"/>
  <c r="G495" i="5"/>
  <c r="H495" i="5"/>
  <c r="G510" i="5"/>
  <c r="H510" i="5"/>
  <c r="G509" i="5"/>
  <c r="H509" i="5"/>
  <c r="G505" i="5"/>
  <c r="H505" i="5"/>
  <c r="G503" i="5"/>
  <c r="H503" i="5"/>
  <c r="G500" i="5"/>
  <c r="H500" i="5"/>
  <c r="G499" i="5"/>
  <c r="H499" i="5"/>
  <c r="G502" i="5"/>
  <c r="H502" i="5"/>
  <c r="G506" i="5"/>
  <c r="J506" i="5" s="1"/>
  <c r="H506" i="5"/>
  <c r="G496" i="5"/>
  <c r="H496" i="5"/>
  <c r="G501" i="5"/>
  <c r="H501" i="5"/>
  <c r="G508" i="5"/>
  <c r="H508" i="5"/>
  <c r="G493" i="5"/>
  <c r="H493" i="5"/>
  <c r="G490" i="5"/>
  <c r="H490" i="5"/>
  <c r="G491" i="5"/>
  <c r="H491" i="5"/>
  <c r="H494" i="5"/>
  <c r="G494" i="5"/>
  <c r="G492" i="5"/>
  <c r="H492" i="5"/>
  <c r="G489" i="5"/>
  <c r="H489" i="5"/>
  <c r="G486" i="5"/>
  <c r="H486" i="5"/>
  <c r="G487" i="5"/>
  <c r="H487" i="5"/>
  <c r="G488" i="5"/>
  <c r="H488" i="5"/>
  <c r="H475" i="5"/>
  <c r="G475" i="5"/>
  <c r="G476" i="5"/>
  <c r="H476" i="5"/>
  <c r="G473" i="5"/>
  <c r="H473" i="5"/>
  <c r="G451" i="5"/>
  <c r="H451" i="5"/>
  <c r="G471" i="5"/>
  <c r="H471" i="5"/>
  <c r="G466" i="5"/>
  <c r="H466" i="5"/>
  <c r="G459" i="5"/>
  <c r="H459" i="5"/>
  <c r="G483" i="5"/>
  <c r="H483" i="5"/>
  <c r="G464" i="5"/>
  <c r="H464" i="5"/>
  <c r="G461" i="5"/>
  <c r="H461" i="5"/>
  <c r="G472" i="5"/>
  <c r="H472" i="5"/>
  <c r="G468" i="5"/>
  <c r="J468" i="5" s="1"/>
  <c r="H468" i="5"/>
  <c r="G462" i="5"/>
  <c r="H462" i="5"/>
  <c r="G478" i="5"/>
  <c r="H478" i="5"/>
  <c r="G460" i="5"/>
  <c r="H460" i="5"/>
  <c r="H457" i="5"/>
  <c r="G457" i="5"/>
  <c r="H454" i="5"/>
  <c r="G454" i="5"/>
  <c r="G469" i="5"/>
  <c r="H469" i="5"/>
  <c r="G463" i="5"/>
  <c r="H463" i="5"/>
  <c r="G482" i="5"/>
  <c r="H482" i="5"/>
  <c r="G452" i="5"/>
  <c r="H452" i="5"/>
  <c r="G453" i="5"/>
  <c r="H453" i="5"/>
  <c r="G465" i="5"/>
  <c r="H465" i="5"/>
  <c r="G481" i="5"/>
  <c r="H481" i="5"/>
  <c r="G470" i="5"/>
  <c r="H470" i="5"/>
  <c r="G467" i="5"/>
  <c r="H467" i="5"/>
  <c r="G455" i="5"/>
  <c r="J455" i="5" s="1"/>
  <c r="H455" i="5"/>
  <c r="G484" i="5"/>
  <c r="H484" i="5"/>
  <c r="G474" i="5"/>
  <c r="H474" i="5"/>
  <c r="G479" i="5"/>
  <c r="H479" i="5"/>
  <c r="G480" i="5"/>
  <c r="H480" i="5"/>
  <c r="H485" i="5"/>
  <c r="G485" i="5"/>
  <c r="H477" i="5"/>
  <c r="G477" i="5"/>
  <c r="G456" i="5"/>
  <c r="H456" i="5"/>
  <c r="G458" i="5"/>
  <c r="H458" i="5"/>
  <c r="G450" i="5"/>
  <c r="H450" i="5"/>
  <c r="G445" i="5"/>
  <c r="H445" i="5"/>
  <c r="G446" i="5"/>
  <c r="H446" i="5"/>
  <c r="G447" i="5"/>
  <c r="H447" i="5"/>
  <c r="H449" i="5"/>
  <c r="G449" i="5"/>
  <c r="H448" i="5"/>
  <c r="G448" i="5"/>
  <c r="G444" i="5"/>
  <c r="H444" i="5"/>
  <c r="G426" i="5"/>
  <c r="H426" i="5"/>
  <c r="G418" i="5"/>
  <c r="H418" i="5"/>
  <c r="G442" i="5"/>
  <c r="H442" i="5"/>
  <c r="H423" i="5"/>
  <c r="G423" i="5"/>
  <c r="G428" i="5"/>
  <c r="H428" i="5"/>
  <c r="G434" i="5"/>
  <c r="H434" i="5"/>
  <c r="G430" i="5"/>
  <c r="H430" i="5"/>
  <c r="G438" i="5"/>
  <c r="H438" i="5"/>
  <c r="G424" i="5"/>
  <c r="H424" i="5"/>
  <c r="G433" i="5"/>
  <c r="H433" i="5"/>
  <c r="G437" i="5"/>
  <c r="H437" i="5"/>
  <c r="H436" i="5"/>
  <c r="G436" i="5"/>
  <c r="G431" i="5"/>
  <c r="H431" i="5"/>
  <c r="G421" i="5"/>
  <c r="H421" i="5"/>
  <c r="H422" i="5"/>
  <c r="G422" i="5"/>
  <c r="G441" i="5"/>
  <c r="H441" i="5"/>
  <c r="G432" i="5"/>
  <c r="H432" i="5"/>
  <c r="G429" i="5"/>
  <c r="H429" i="5"/>
  <c r="G420" i="5"/>
  <c r="H420" i="5"/>
  <c r="G427" i="5"/>
  <c r="H427" i="5"/>
  <c r="G419" i="5"/>
  <c r="H419" i="5"/>
  <c r="G417" i="5"/>
  <c r="H417" i="5"/>
  <c r="G435" i="5"/>
  <c r="H435" i="5"/>
  <c r="G443" i="5"/>
  <c r="H443" i="5"/>
  <c r="G439" i="5"/>
  <c r="H439" i="5"/>
  <c r="G425" i="5"/>
  <c r="H425" i="5"/>
  <c r="G440" i="5"/>
  <c r="H440" i="5"/>
  <c r="G404" i="5"/>
  <c r="H404" i="5"/>
  <c r="H409" i="5"/>
  <c r="G409" i="5"/>
  <c r="G405" i="5"/>
  <c r="H405" i="5"/>
  <c r="G414" i="5"/>
  <c r="H414" i="5"/>
  <c r="H412" i="5"/>
  <c r="G412" i="5"/>
  <c r="H408" i="5"/>
  <c r="G408" i="5"/>
  <c r="G403" i="5"/>
  <c r="H403" i="5"/>
  <c r="H407" i="5"/>
  <c r="G407" i="5"/>
  <c r="G413" i="5"/>
  <c r="H413" i="5"/>
  <c r="H416" i="5"/>
  <c r="G416" i="5"/>
  <c r="G411" i="5"/>
  <c r="H411" i="5"/>
  <c r="G415" i="5"/>
  <c r="H415" i="5"/>
  <c r="G406" i="5"/>
  <c r="H406" i="5"/>
  <c r="H410" i="5"/>
  <c r="G410" i="5"/>
  <c r="G402" i="5"/>
  <c r="H402" i="5"/>
  <c r="G401" i="5"/>
  <c r="H401" i="5"/>
  <c r="G398" i="5"/>
  <c r="H398" i="5"/>
  <c r="H399" i="5"/>
  <c r="G399" i="5"/>
  <c r="G400" i="5"/>
  <c r="H400" i="5"/>
  <c r="G397" i="5"/>
  <c r="H397" i="5"/>
  <c r="G390" i="5"/>
  <c r="H390" i="5"/>
  <c r="G396" i="5"/>
  <c r="H396" i="5"/>
  <c r="G395" i="5"/>
  <c r="H395" i="5"/>
  <c r="G392" i="5"/>
  <c r="H392" i="5"/>
  <c r="G394" i="5"/>
  <c r="H394" i="5"/>
  <c r="G393" i="5"/>
  <c r="H393" i="5"/>
  <c r="G391" i="5"/>
  <c r="H391" i="5"/>
  <c r="G389" i="5"/>
  <c r="H389" i="5"/>
  <c r="G385" i="5"/>
  <c r="H385" i="5"/>
  <c r="G388" i="5"/>
  <c r="H388" i="5"/>
  <c r="G387" i="5"/>
  <c r="H387" i="5"/>
  <c r="G386" i="5"/>
  <c r="H386" i="5"/>
  <c r="G382" i="5"/>
  <c r="H382" i="5"/>
  <c r="G384" i="5"/>
  <c r="H384" i="5"/>
  <c r="G380" i="5"/>
  <c r="H380" i="5"/>
  <c r="G381" i="5"/>
  <c r="H381" i="5"/>
  <c r="H383" i="5"/>
  <c r="G383" i="5"/>
  <c r="H379" i="5"/>
  <c r="I379" i="5" s="1"/>
  <c r="J379" i="5" s="1"/>
  <c r="G378" i="5"/>
  <c r="H378" i="5"/>
  <c r="G377" i="5"/>
  <c r="H377" i="5"/>
  <c r="G376" i="5"/>
  <c r="H376" i="5"/>
  <c r="H372" i="5"/>
  <c r="I372" i="5" s="1"/>
  <c r="J372" i="5" s="1"/>
  <c r="G371" i="5"/>
  <c r="I371" i="5" s="1"/>
  <c r="H374" i="5"/>
  <c r="I374" i="5" s="1"/>
  <c r="J374" i="5" s="1"/>
  <c r="H373" i="5"/>
  <c r="I373" i="5" s="1"/>
  <c r="J373" i="5" s="1"/>
  <c r="H375" i="5"/>
  <c r="I375" i="5" s="1"/>
  <c r="J375" i="5" s="1"/>
  <c r="G357" i="5"/>
  <c r="H357" i="5"/>
  <c r="G370" i="5"/>
  <c r="H370" i="5"/>
  <c r="G366" i="5"/>
  <c r="H366" i="5"/>
  <c r="G367" i="5"/>
  <c r="H367" i="5"/>
  <c r="G361" i="5"/>
  <c r="H361" i="5"/>
  <c r="G362" i="5"/>
  <c r="H362" i="5"/>
  <c r="H368" i="5"/>
  <c r="G368" i="5"/>
  <c r="G355" i="5"/>
  <c r="J355" i="5" s="1"/>
  <c r="H355" i="5"/>
  <c r="G358" i="5"/>
  <c r="H358" i="5"/>
  <c r="G360" i="5"/>
  <c r="H360" i="5"/>
  <c r="H369" i="5"/>
  <c r="G369" i="5"/>
  <c r="H356" i="5"/>
  <c r="G356" i="5"/>
  <c r="H364" i="5"/>
  <c r="G364" i="5"/>
  <c r="G363" i="5"/>
  <c r="H363" i="5"/>
  <c r="G365" i="5"/>
  <c r="H365" i="5"/>
  <c r="G359" i="5"/>
  <c r="H359" i="5"/>
  <c r="G350" i="5"/>
  <c r="H350" i="5"/>
  <c r="G348" i="5"/>
  <c r="H348" i="5"/>
  <c r="G354" i="5"/>
  <c r="H354" i="5"/>
  <c r="H328" i="5"/>
  <c r="G328" i="5"/>
  <c r="G342" i="5"/>
  <c r="H342" i="5"/>
  <c r="G340" i="5"/>
  <c r="H340" i="5"/>
  <c r="G346" i="5"/>
  <c r="H346" i="5"/>
  <c r="G351" i="5"/>
  <c r="H351" i="5"/>
  <c r="G334" i="5"/>
  <c r="H334" i="5"/>
  <c r="G332" i="5"/>
  <c r="H332" i="5"/>
  <c r="G338" i="5"/>
  <c r="H338" i="5"/>
  <c r="G343" i="5"/>
  <c r="H343" i="5"/>
  <c r="H336" i="5"/>
  <c r="G336" i="5"/>
  <c r="G325" i="5"/>
  <c r="H325" i="5"/>
  <c r="H344" i="5"/>
  <c r="G344" i="5"/>
  <c r="G330" i="5"/>
  <c r="H330" i="5"/>
  <c r="G335" i="5"/>
  <c r="H335" i="5"/>
  <c r="G349" i="5"/>
  <c r="H349" i="5"/>
  <c r="G323" i="5"/>
  <c r="H323" i="5"/>
  <c r="H353" i="5"/>
  <c r="G353" i="5"/>
  <c r="G327" i="5"/>
  <c r="H327" i="5"/>
  <c r="G341" i="5"/>
  <c r="H341" i="5"/>
  <c r="G347" i="5"/>
  <c r="H347" i="5"/>
  <c r="G345" i="5"/>
  <c r="H345" i="5"/>
  <c r="G352" i="5"/>
  <c r="H352" i="5"/>
  <c r="G333" i="5"/>
  <c r="H333" i="5"/>
  <c r="G339" i="5"/>
  <c r="H339" i="5"/>
  <c r="G337" i="5"/>
  <c r="H337" i="5"/>
  <c r="H326" i="5"/>
  <c r="G326" i="5"/>
  <c r="G324" i="5"/>
  <c r="H324" i="5"/>
  <c r="G331" i="5"/>
  <c r="H331" i="5"/>
  <c r="G329" i="5"/>
  <c r="J329" i="5" s="1"/>
  <c r="H329" i="5"/>
  <c r="H320" i="5"/>
  <c r="G320" i="5"/>
  <c r="G319" i="5"/>
  <c r="H319" i="5"/>
  <c r="G322" i="5"/>
  <c r="H322" i="5"/>
  <c r="G321" i="5"/>
  <c r="H321" i="5"/>
  <c r="G318" i="5"/>
  <c r="H318" i="5"/>
  <c r="H301" i="5"/>
  <c r="I301" i="5" s="1"/>
  <c r="J301" i="5" s="1"/>
  <c r="G305" i="5"/>
  <c r="H305" i="5"/>
  <c r="G303" i="5"/>
  <c r="H303" i="5"/>
  <c r="G309" i="5"/>
  <c r="H309" i="5"/>
  <c r="G307" i="5"/>
  <c r="H307" i="5"/>
  <c r="G314" i="5"/>
  <c r="H314" i="5"/>
  <c r="G311" i="5"/>
  <c r="H311" i="5"/>
  <c r="G316" i="5"/>
  <c r="H316" i="5"/>
  <c r="G308" i="5"/>
  <c r="H308" i="5"/>
  <c r="G315" i="5"/>
  <c r="H315" i="5"/>
  <c r="G304" i="5"/>
  <c r="H304" i="5"/>
  <c r="G302" i="5"/>
  <c r="H302" i="5"/>
  <c r="G313" i="5"/>
  <c r="H313" i="5"/>
  <c r="G312" i="5"/>
  <c r="H312" i="5"/>
  <c r="G306" i="5"/>
  <c r="H306" i="5"/>
  <c r="G310" i="5"/>
  <c r="H310" i="5"/>
  <c r="G317" i="5"/>
  <c r="H317" i="5"/>
  <c r="G288" i="5"/>
  <c r="I288" i="5" s="1"/>
  <c r="J288" i="5" s="1"/>
  <c r="G289" i="5"/>
  <c r="H289" i="5"/>
  <c r="H296" i="5"/>
  <c r="G296" i="5"/>
  <c r="H291" i="5"/>
  <c r="G291" i="5"/>
  <c r="G290" i="5"/>
  <c r="H290" i="5"/>
  <c r="G297" i="5"/>
  <c r="H297" i="5"/>
  <c r="G292" i="5"/>
  <c r="H292" i="5"/>
  <c r="G298" i="5"/>
  <c r="H298" i="5"/>
  <c r="H299" i="5"/>
  <c r="G299" i="5"/>
  <c r="G294" i="5"/>
  <c r="H294" i="5"/>
  <c r="G295" i="5"/>
  <c r="H295" i="5"/>
  <c r="G300" i="5"/>
  <c r="H300" i="5"/>
  <c r="G293" i="5"/>
  <c r="H293" i="5"/>
  <c r="G285" i="5"/>
  <c r="H285" i="5"/>
  <c r="G282" i="5"/>
  <c r="H282" i="5"/>
  <c r="G287" i="5"/>
  <c r="H287" i="5"/>
  <c r="G284" i="5"/>
  <c r="H284" i="5"/>
  <c r="H280" i="5"/>
  <c r="G280" i="5"/>
  <c r="G286" i="5"/>
  <c r="H286" i="5"/>
  <c r="G283" i="5"/>
  <c r="H283" i="5"/>
  <c r="G281" i="5"/>
  <c r="H281" i="5"/>
  <c r="G279" i="5"/>
  <c r="H279" i="5"/>
  <c r="H267" i="5"/>
  <c r="G267" i="5"/>
  <c r="G274" i="5"/>
  <c r="H274" i="5"/>
  <c r="G260" i="5"/>
  <c r="H260" i="5"/>
  <c r="G265" i="5"/>
  <c r="H265" i="5"/>
  <c r="H258" i="5"/>
  <c r="G258" i="5"/>
  <c r="H275" i="5"/>
  <c r="G275" i="5"/>
  <c r="H277" i="5"/>
  <c r="G277" i="5"/>
  <c r="G270" i="5"/>
  <c r="H270" i="5"/>
  <c r="G256" i="5"/>
  <c r="H256" i="5"/>
  <c r="G263" i="5"/>
  <c r="H263" i="5"/>
  <c r="G266" i="5"/>
  <c r="H266" i="5"/>
  <c r="G255" i="5"/>
  <c r="H255" i="5"/>
  <c r="G264" i="5"/>
  <c r="H264" i="5"/>
  <c r="G269" i="5"/>
  <c r="H269" i="5"/>
  <c r="G261" i="5"/>
  <c r="H261" i="5"/>
  <c r="G278" i="5"/>
  <c r="H278" i="5"/>
  <c r="G268" i="5"/>
  <c r="H268" i="5"/>
  <c r="G276" i="5"/>
  <c r="H276" i="5"/>
  <c r="G271" i="5"/>
  <c r="H271" i="5"/>
  <c r="H262" i="5"/>
  <c r="G262" i="5"/>
  <c r="G257" i="5"/>
  <c r="H257" i="5"/>
  <c r="G272" i="5"/>
  <c r="H272" i="5"/>
  <c r="H259" i="5"/>
  <c r="G259" i="5"/>
  <c r="G273" i="5"/>
  <c r="H273" i="5"/>
  <c r="H254" i="5"/>
  <c r="G254" i="5"/>
  <c r="H251" i="5"/>
  <c r="G251" i="5"/>
  <c r="G250" i="5"/>
  <c r="H250" i="5"/>
  <c r="H253" i="5"/>
  <c r="G253" i="5"/>
  <c r="H247" i="5"/>
  <c r="I247" i="5" s="1"/>
  <c r="J247" i="5" s="1"/>
  <c r="H249" i="5"/>
  <c r="G249" i="5"/>
  <c r="G252" i="5"/>
  <c r="H252" i="5"/>
  <c r="G248" i="5"/>
  <c r="H248" i="5"/>
  <c r="H241" i="5"/>
  <c r="G241" i="5"/>
  <c r="G245" i="5"/>
  <c r="H245" i="5"/>
  <c r="G238" i="5"/>
  <c r="H238" i="5"/>
  <c r="G239" i="5"/>
  <c r="H239" i="5"/>
  <c r="G243" i="5"/>
  <c r="H243" i="5"/>
  <c r="G242" i="5"/>
  <c r="H242" i="5"/>
  <c r="G246" i="5"/>
  <c r="H246" i="5"/>
  <c r="H240" i="5"/>
  <c r="G240" i="5"/>
  <c r="G244" i="5"/>
  <c r="H244" i="5"/>
  <c r="H237" i="5"/>
  <c r="I237" i="5" s="1"/>
  <c r="J237" i="5" s="1"/>
  <c r="G228" i="5"/>
  <c r="I228" i="5" s="1"/>
  <c r="J228" i="5" s="1"/>
  <c r="G235" i="5"/>
  <c r="I235" i="5" s="1"/>
  <c r="J235" i="5" s="1"/>
  <c r="H231" i="5"/>
  <c r="I231" i="5" s="1"/>
  <c r="J231" i="5" s="1"/>
  <c r="H234" i="5"/>
  <c r="I234" i="5" s="1"/>
  <c r="J234" i="5" s="1"/>
  <c r="H230" i="5"/>
  <c r="I230" i="5" s="1"/>
  <c r="J230" i="5" s="1"/>
  <c r="G236" i="5"/>
  <c r="H236" i="5"/>
  <c r="H229" i="5"/>
  <c r="I229" i="5" s="1"/>
  <c r="J229" i="5" s="1"/>
  <c r="G233" i="5"/>
  <c r="H233" i="5"/>
  <c r="H232" i="5"/>
  <c r="I232" i="5" s="1"/>
  <c r="J232" i="5" s="1"/>
  <c r="H192" i="5"/>
  <c r="I192" i="5" s="1"/>
  <c r="J192" i="5" s="1"/>
  <c r="G220" i="5"/>
  <c r="H220" i="5"/>
  <c r="G223" i="5"/>
  <c r="H223" i="5"/>
  <c r="H219" i="5"/>
  <c r="G219" i="5"/>
  <c r="H218" i="5"/>
  <c r="G218" i="5"/>
  <c r="H221" i="5"/>
  <c r="G221" i="5"/>
  <c r="H214" i="5"/>
  <c r="G214" i="5"/>
  <c r="G210" i="5"/>
  <c r="H210" i="5"/>
  <c r="G224" i="5"/>
  <c r="H224" i="5"/>
  <c r="G213" i="5"/>
  <c r="H213" i="5"/>
  <c r="H212" i="5"/>
  <c r="G212" i="5"/>
  <c r="G216" i="5"/>
  <c r="H216" i="5"/>
  <c r="G215" i="5"/>
  <c r="H215" i="5"/>
  <c r="H211" i="5"/>
  <c r="G211" i="5"/>
  <c r="H225" i="5"/>
  <c r="G225" i="5"/>
  <c r="G206" i="5"/>
  <c r="H206" i="5"/>
  <c r="G198" i="5"/>
  <c r="H198" i="5"/>
  <c r="H226" i="5"/>
  <c r="G226" i="5"/>
  <c r="G208" i="5"/>
  <c r="H208" i="5"/>
  <c r="H203" i="5"/>
  <c r="G203" i="5"/>
  <c r="G202" i="5"/>
  <c r="H202" i="5"/>
  <c r="G222" i="5"/>
  <c r="H222" i="5"/>
  <c r="G205" i="5"/>
  <c r="H205" i="5"/>
  <c r="G207" i="5"/>
  <c r="H207" i="5"/>
  <c r="G200" i="5"/>
  <c r="H200" i="5"/>
  <c r="H227" i="5"/>
  <c r="G227" i="5"/>
  <c r="H204" i="5"/>
  <c r="G204" i="5"/>
  <c r="G217" i="5"/>
  <c r="H217" i="5"/>
  <c r="G199" i="5"/>
  <c r="H199" i="5"/>
  <c r="G209" i="5"/>
  <c r="H209" i="5"/>
  <c r="G201" i="5"/>
  <c r="H201" i="5"/>
  <c r="H100" i="5"/>
  <c r="G100" i="5"/>
  <c r="G104" i="5"/>
  <c r="H104" i="5"/>
  <c r="H41" i="5"/>
  <c r="G41" i="5"/>
  <c r="G43" i="5"/>
  <c r="J43" i="5" s="1"/>
  <c r="H43" i="5"/>
  <c r="H67" i="5"/>
  <c r="G67" i="5"/>
  <c r="G171" i="5"/>
  <c r="H171" i="5"/>
  <c r="G12" i="5"/>
  <c r="J12" i="5" s="1"/>
  <c r="H12" i="5"/>
  <c r="H7" i="5"/>
  <c r="G7" i="5"/>
  <c r="G173" i="5"/>
  <c r="H173" i="5"/>
  <c r="H27" i="5"/>
  <c r="G27" i="5"/>
  <c r="H69" i="5"/>
  <c r="G69" i="5"/>
  <c r="G107" i="5"/>
  <c r="H107" i="5"/>
  <c r="G144" i="5"/>
  <c r="H144" i="5"/>
  <c r="H72" i="5"/>
  <c r="G72" i="5"/>
  <c r="H17" i="5"/>
  <c r="G17" i="5"/>
  <c r="G177" i="5"/>
  <c r="H177" i="5"/>
  <c r="G181" i="5"/>
  <c r="H181" i="5"/>
  <c r="H90" i="5"/>
  <c r="G90" i="5"/>
  <c r="H61" i="5"/>
  <c r="G61" i="5"/>
  <c r="H25" i="5"/>
  <c r="G25" i="5"/>
  <c r="H80" i="5"/>
  <c r="G80" i="5"/>
  <c r="H42" i="5"/>
  <c r="G42" i="5"/>
  <c r="H88" i="5"/>
  <c r="G88" i="5"/>
  <c r="H150" i="5"/>
  <c r="G150" i="5"/>
  <c r="H46" i="5"/>
  <c r="G46" i="5"/>
  <c r="G194" i="5"/>
  <c r="H194" i="5"/>
  <c r="G184" i="5"/>
  <c r="H184" i="5"/>
  <c r="G38" i="5"/>
  <c r="H38" i="5"/>
  <c r="H159" i="5"/>
  <c r="G159" i="5"/>
  <c r="G186" i="5"/>
  <c r="H186" i="5"/>
  <c r="G105" i="5"/>
  <c r="H105" i="5"/>
  <c r="G142" i="5"/>
  <c r="H142" i="5"/>
  <c r="G164" i="5"/>
  <c r="H164" i="5"/>
  <c r="H98" i="5"/>
  <c r="G98" i="5"/>
  <c r="H149" i="5"/>
  <c r="G149" i="5"/>
  <c r="G185" i="5"/>
  <c r="H185" i="5"/>
  <c r="G178" i="5"/>
  <c r="H178" i="5"/>
  <c r="G139" i="5"/>
  <c r="J139" i="5" s="1"/>
  <c r="H139" i="5"/>
  <c r="H136" i="5"/>
  <c r="G136" i="5"/>
  <c r="G10" i="5"/>
  <c r="H10" i="5"/>
  <c r="H113" i="5"/>
  <c r="G113" i="5"/>
  <c r="G176" i="5"/>
  <c r="H176" i="5"/>
  <c r="G4" i="5"/>
  <c r="H4" i="5"/>
  <c r="H115" i="5"/>
  <c r="G115" i="5"/>
  <c r="G55" i="5"/>
  <c r="H55" i="5"/>
  <c r="H35" i="5"/>
  <c r="G35" i="5"/>
  <c r="G183" i="5"/>
  <c r="H183" i="5"/>
  <c r="G180" i="5"/>
  <c r="H180" i="5"/>
  <c r="H74" i="5"/>
  <c r="G74" i="5"/>
  <c r="H3" i="5"/>
  <c r="G3" i="5"/>
  <c r="G31" i="5"/>
  <c r="H31" i="5"/>
  <c r="G75" i="5"/>
  <c r="H75" i="5"/>
  <c r="G162" i="5"/>
  <c r="H162" i="5"/>
  <c r="G103" i="5"/>
  <c r="J103" i="5" s="1"/>
  <c r="H103" i="5"/>
  <c r="G188" i="5"/>
  <c r="H188" i="5"/>
  <c r="H57" i="5"/>
  <c r="G57" i="5"/>
  <c r="H132" i="5"/>
  <c r="G132" i="5"/>
  <c r="H106" i="5"/>
  <c r="G106" i="5"/>
  <c r="G87" i="5"/>
  <c r="H87" i="5"/>
  <c r="H155" i="5"/>
  <c r="G155" i="5"/>
  <c r="H82" i="5"/>
  <c r="G82" i="5"/>
  <c r="H18" i="5"/>
  <c r="G18" i="5"/>
  <c r="H34" i="5"/>
  <c r="G34" i="5"/>
  <c r="H122" i="5"/>
  <c r="G122" i="5"/>
  <c r="H63" i="5"/>
  <c r="G63" i="5"/>
  <c r="H109" i="5"/>
  <c r="G109" i="5"/>
  <c r="H40" i="5"/>
  <c r="G40" i="5"/>
  <c r="G112" i="5"/>
  <c r="H112" i="5"/>
  <c r="G94" i="5"/>
  <c r="H94" i="5"/>
  <c r="H84" i="5"/>
  <c r="G84" i="5"/>
  <c r="G121" i="5"/>
  <c r="H121" i="5"/>
  <c r="G118" i="5"/>
  <c r="H118" i="5"/>
  <c r="G54" i="5"/>
  <c r="H54" i="5"/>
  <c r="H59" i="5"/>
  <c r="G59" i="5"/>
  <c r="H99" i="5"/>
  <c r="G99" i="5"/>
  <c r="H32" i="5"/>
  <c r="G32" i="5"/>
  <c r="H108" i="5"/>
  <c r="G108" i="5"/>
  <c r="H114" i="5"/>
  <c r="G114" i="5"/>
  <c r="G91" i="5"/>
  <c r="H91" i="5"/>
  <c r="G190" i="5"/>
  <c r="H190" i="5"/>
  <c r="H167" i="5"/>
  <c r="G167" i="5"/>
  <c r="G23" i="5"/>
  <c r="H23" i="5"/>
  <c r="G131" i="5"/>
  <c r="H131" i="5"/>
  <c r="G123" i="5"/>
  <c r="H123" i="5"/>
  <c r="H86" i="5"/>
  <c r="G86" i="5"/>
  <c r="H101" i="5"/>
  <c r="G101" i="5"/>
  <c r="G124" i="5"/>
  <c r="H124" i="5"/>
  <c r="G170" i="5"/>
  <c r="H170" i="5"/>
  <c r="G151" i="5"/>
  <c r="H151" i="5"/>
  <c r="G172" i="5"/>
  <c r="H172" i="5"/>
  <c r="H24" i="5"/>
  <c r="G24" i="5"/>
  <c r="G36" i="5"/>
  <c r="H36" i="5"/>
  <c r="H33" i="5"/>
  <c r="G33" i="5"/>
  <c r="G78" i="5"/>
  <c r="H78" i="5"/>
  <c r="H28" i="5"/>
  <c r="G28" i="5"/>
  <c r="G163" i="5"/>
  <c r="H163" i="5"/>
  <c r="H138" i="5"/>
  <c r="G138" i="5"/>
  <c r="G157" i="5"/>
  <c r="H157" i="5"/>
  <c r="G143" i="5"/>
  <c r="H143" i="5"/>
  <c r="G5" i="5"/>
  <c r="H5" i="5"/>
  <c r="H26" i="5"/>
  <c r="G26" i="5"/>
  <c r="G62" i="5"/>
  <c r="H62" i="5"/>
  <c r="H53" i="5"/>
  <c r="G53" i="5"/>
  <c r="H64" i="5"/>
  <c r="G64" i="5"/>
  <c r="H51" i="5"/>
  <c r="G51" i="5"/>
  <c r="H79" i="5"/>
  <c r="G79" i="5"/>
  <c r="G169" i="5"/>
  <c r="H169" i="5"/>
  <c r="H60" i="5"/>
  <c r="G60" i="5"/>
  <c r="G20" i="5"/>
  <c r="H20" i="5"/>
  <c r="H49" i="5"/>
  <c r="G49" i="5"/>
  <c r="G129" i="5"/>
  <c r="H129" i="5"/>
  <c r="G161" i="5"/>
  <c r="H161" i="5"/>
  <c r="G197" i="5"/>
  <c r="H197" i="5"/>
  <c r="H156" i="5"/>
  <c r="G156" i="5"/>
  <c r="H148" i="5"/>
  <c r="G148" i="5"/>
  <c r="H76" i="5"/>
  <c r="G76" i="5"/>
  <c r="H135" i="5"/>
  <c r="G135" i="5"/>
  <c r="H52" i="5"/>
  <c r="G52" i="5"/>
  <c r="H45" i="5"/>
  <c r="G45" i="5"/>
  <c r="G196" i="5"/>
  <c r="H196" i="5"/>
  <c r="H141" i="5"/>
  <c r="G141" i="5"/>
  <c r="H48" i="5"/>
  <c r="G48" i="5"/>
  <c r="G119" i="5"/>
  <c r="H119" i="5"/>
  <c r="G147" i="5"/>
  <c r="H147" i="5"/>
  <c r="H85" i="5"/>
  <c r="G85" i="5"/>
  <c r="H9" i="5"/>
  <c r="G9" i="5"/>
  <c r="H89" i="5"/>
  <c r="G89" i="5"/>
  <c r="H11" i="5"/>
  <c r="G11" i="5"/>
  <c r="H81" i="5"/>
  <c r="G81" i="5"/>
  <c r="H95" i="5"/>
  <c r="G95" i="5"/>
  <c r="G189" i="5"/>
  <c r="H189" i="5"/>
  <c r="H153" i="5"/>
  <c r="G153" i="5"/>
  <c r="G37" i="5"/>
  <c r="H37" i="5"/>
  <c r="G15" i="5"/>
  <c r="H15" i="5"/>
  <c r="G175" i="5"/>
  <c r="H175" i="5"/>
  <c r="H65" i="5"/>
  <c r="G65" i="5"/>
  <c r="G30" i="5"/>
  <c r="H30" i="5"/>
  <c r="H96" i="5"/>
  <c r="G96" i="5"/>
  <c r="H111" i="5"/>
  <c r="G111" i="5"/>
  <c r="H21" i="5"/>
  <c r="G21" i="5"/>
  <c r="H154" i="5"/>
  <c r="G154" i="5"/>
  <c r="G2" i="5"/>
  <c r="H2" i="5"/>
  <c r="G44" i="5"/>
  <c r="H44" i="5"/>
  <c r="G70" i="5"/>
  <c r="H70" i="5"/>
  <c r="H19" i="5"/>
  <c r="G19" i="5"/>
  <c r="G92" i="5"/>
  <c r="H92" i="5"/>
  <c r="H134" i="5"/>
  <c r="G134" i="5"/>
  <c r="G152" i="5"/>
  <c r="H152" i="5"/>
  <c r="G137" i="5"/>
  <c r="H137" i="5"/>
  <c r="G93" i="5"/>
  <c r="H93" i="5"/>
  <c r="H14" i="5"/>
  <c r="G14" i="5"/>
  <c r="G179" i="5"/>
  <c r="H179" i="5"/>
  <c r="H182" i="5"/>
  <c r="G182" i="5"/>
  <c r="G166" i="5"/>
  <c r="H166" i="5"/>
  <c r="H102" i="5"/>
  <c r="G102" i="5"/>
  <c r="H83" i="5"/>
  <c r="G83" i="5"/>
  <c r="H145" i="5"/>
  <c r="G145" i="5"/>
  <c r="G58" i="5"/>
  <c r="H58" i="5"/>
  <c r="G158" i="5"/>
  <c r="J158" i="5" s="1"/>
  <c r="H158" i="5"/>
  <c r="G8" i="5"/>
  <c r="H8" i="5"/>
  <c r="H168" i="5"/>
  <c r="G168" i="5"/>
  <c r="G97" i="5"/>
  <c r="H97" i="5"/>
  <c r="G195" i="5"/>
  <c r="H195" i="5"/>
  <c r="H6" i="5"/>
  <c r="G6" i="5"/>
  <c r="H126" i="5"/>
  <c r="G126" i="5"/>
  <c r="H160" i="5"/>
  <c r="G160" i="5"/>
  <c r="H66" i="5"/>
  <c r="G66" i="5"/>
  <c r="H71" i="5"/>
  <c r="G71" i="5"/>
  <c r="G116" i="5"/>
  <c r="H116" i="5"/>
  <c r="G22" i="5"/>
  <c r="H22" i="5"/>
  <c r="H110" i="5"/>
  <c r="G110" i="5"/>
  <c r="G13" i="5"/>
  <c r="H13" i="5"/>
  <c r="G146" i="5"/>
  <c r="J146" i="5" s="1"/>
  <c r="H146" i="5"/>
  <c r="H140" i="5"/>
  <c r="G140" i="5"/>
  <c r="H16" i="5"/>
  <c r="G16" i="5"/>
  <c r="G187" i="5"/>
  <c r="H187" i="5"/>
  <c r="H128" i="5"/>
  <c r="G128" i="5"/>
  <c r="H133" i="5"/>
  <c r="G133" i="5"/>
  <c r="H130" i="5"/>
  <c r="G130" i="5"/>
  <c r="G165" i="5"/>
  <c r="H165" i="5"/>
  <c r="H56" i="5"/>
  <c r="G56" i="5"/>
  <c r="G193" i="5"/>
  <c r="H193" i="5"/>
  <c r="G191" i="5"/>
  <c r="H191" i="5"/>
  <c r="G174" i="5"/>
  <c r="H174" i="5"/>
  <c r="G127" i="5"/>
  <c r="H127" i="5"/>
  <c r="H50" i="5"/>
  <c r="G50" i="5"/>
  <c r="G125" i="5"/>
  <c r="H125" i="5"/>
  <c r="G77" i="5"/>
  <c r="H77" i="5"/>
  <c r="G73" i="5"/>
  <c r="H73" i="5"/>
  <c r="G39" i="5"/>
  <c r="H39" i="5"/>
  <c r="G68" i="5"/>
  <c r="H68" i="5"/>
  <c r="H47" i="5"/>
  <c r="G47" i="5"/>
  <c r="H120" i="5"/>
  <c r="G120" i="5"/>
  <c r="H29" i="5"/>
  <c r="G29" i="5"/>
  <c r="I1036" i="5" l="1"/>
  <c r="I1041" i="5"/>
  <c r="J1041" i="5" s="1"/>
  <c r="I1037" i="5"/>
  <c r="J1037" i="5" s="1"/>
  <c r="I1039" i="5"/>
  <c r="J1039" i="5" s="1"/>
  <c r="I1038" i="5"/>
  <c r="J1038" i="5" s="1"/>
  <c r="J1040" i="5"/>
  <c r="I1040" i="5"/>
  <c r="I1018" i="5"/>
  <c r="J1018" i="5" s="1"/>
  <c r="I1021" i="5"/>
  <c r="I1024" i="5"/>
  <c r="J1024" i="5" s="1"/>
  <c r="I1030" i="5"/>
  <c r="J1030" i="5" s="1"/>
  <c r="I1019" i="5"/>
  <c r="J1019" i="5" s="1"/>
  <c r="I1016" i="5"/>
  <c r="J1016" i="5" s="1"/>
  <c r="I1014" i="5"/>
  <c r="J1014" i="5" s="1"/>
  <c r="J1012" i="5"/>
  <c r="I1012" i="5"/>
  <c r="I1015" i="5"/>
  <c r="J1015" i="5" s="1"/>
  <c r="I1013" i="5"/>
  <c r="J1013" i="5" s="1"/>
  <c r="I1011" i="5"/>
  <c r="J1011" i="5" s="1"/>
  <c r="I1010" i="5"/>
  <c r="J1010" i="5" s="1"/>
  <c r="I1022" i="5"/>
  <c r="J1022" i="5" s="1"/>
  <c r="I1028" i="5"/>
  <c r="J1028" i="5" s="1"/>
  <c r="I1034" i="5"/>
  <c r="J1034" i="5" s="1"/>
  <c r="J1025" i="5"/>
  <c r="I1025" i="5"/>
  <c r="I1017" i="5"/>
  <c r="J1017" i="5" s="1"/>
  <c r="I1027" i="5"/>
  <c r="J1027" i="5" s="1"/>
  <c r="I1033" i="5"/>
  <c r="J1033" i="5" s="1"/>
  <c r="I1020" i="5"/>
  <c r="J1020" i="5"/>
  <c r="J1026" i="5"/>
  <c r="I1026" i="5"/>
  <c r="J1032" i="5"/>
  <c r="I1032" i="5"/>
  <c r="I1023" i="5"/>
  <c r="J1023" i="5" s="1"/>
  <c r="I1029" i="5"/>
  <c r="J1029" i="5" s="1"/>
  <c r="I1035" i="5"/>
  <c r="J1035" i="5"/>
  <c r="I1031" i="5"/>
  <c r="J1031" i="5" s="1"/>
  <c r="I999" i="5"/>
  <c r="I987" i="5"/>
  <c r="J987" i="5" s="1"/>
  <c r="I1007" i="5"/>
  <c r="J1007" i="5" s="1"/>
  <c r="J1009" i="5"/>
  <c r="I1009" i="5"/>
  <c r="I1008" i="5"/>
  <c r="J1008" i="5" s="1"/>
  <c r="J988" i="5"/>
  <c r="I988" i="5"/>
  <c r="I990" i="5"/>
  <c r="J990" i="5" s="1"/>
  <c r="J992" i="5"/>
  <c r="I992" i="5"/>
  <c r="I994" i="5"/>
  <c r="J994" i="5" s="1"/>
  <c r="I974" i="5"/>
  <c r="J974" i="5" s="1"/>
  <c r="I976" i="5"/>
  <c r="J976" i="5"/>
  <c r="I978" i="5"/>
  <c r="J978" i="5" s="1"/>
  <c r="I980" i="5"/>
  <c r="J980" i="5" s="1"/>
  <c r="I982" i="5"/>
  <c r="J982" i="5" s="1"/>
  <c r="I984" i="5"/>
  <c r="J984" i="5" s="1"/>
  <c r="I986" i="5"/>
  <c r="J986" i="5" s="1"/>
  <c r="J1000" i="5"/>
  <c r="I1000" i="5"/>
  <c r="I1002" i="5"/>
  <c r="J1002" i="5" s="1"/>
  <c r="I1004" i="5"/>
  <c r="J1004" i="5" s="1"/>
  <c r="I1006" i="5"/>
  <c r="J1006" i="5" s="1"/>
  <c r="I997" i="5"/>
  <c r="J997" i="5" s="1"/>
  <c r="I989" i="5"/>
  <c r="J989" i="5" s="1"/>
  <c r="I991" i="5"/>
  <c r="J991" i="5" s="1"/>
  <c r="I993" i="5"/>
  <c r="J993" i="5" s="1"/>
  <c r="I995" i="5"/>
  <c r="J995" i="5"/>
  <c r="I975" i="5"/>
  <c r="J975" i="5" s="1"/>
  <c r="I977" i="5"/>
  <c r="J977" i="5" s="1"/>
  <c r="I979" i="5"/>
  <c r="J979" i="5" s="1"/>
  <c r="I981" i="5"/>
  <c r="J981" i="5" s="1"/>
  <c r="I983" i="5"/>
  <c r="J983" i="5" s="1"/>
  <c r="I985" i="5"/>
  <c r="J985" i="5" s="1"/>
  <c r="I1001" i="5"/>
  <c r="J1001" i="5"/>
  <c r="I1003" i="5"/>
  <c r="J1003" i="5" s="1"/>
  <c r="I1005" i="5"/>
  <c r="J1005" i="5" s="1"/>
  <c r="I996" i="5"/>
  <c r="J996" i="5" s="1"/>
  <c r="J998" i="5"/>
  <c r="I998" i="5"/>
  <c r="I973" i="5"/>
  <c r="J973" i="5" s="1"/>
  <c r="I952" i="5"/>
  <c r="J952" i="5" s="1"/>
  <c r="I954" i="5"/>
  <c r="J954" i="5" s="1"/>
  <c r="I945" i="5"/>
  <c r="J945" i="5" s="1"/>
  <c r="I949" i="5"/>
  <c r="J949" i="5" s="1"/>
  <c r="I957" i="5"/>
  <c r="J957" i="5" s="1"/>
  <c r="I968" i="5"/>
  <c r="J968" i="5" s="1"/>
  <c r="I961" i="5"/>
  <c r="J961" i="5" s="1"/>
  <c r="I965" i="5"/>
  <c r="J965" i="5" s="1"/>
  <c r="I969" i="5"/>
  <c r="J969" i="5" s="1"/>
  <c r="I947" i="5"/>
  <c r="J947" i="5" s="1"/>
  <c r="I951" i="5"/>
  <c r="J951" i="5" s="1"/>
  <c r="I955" i="5"/>
  <c r="I959" i="5"/>
  <c r="I963" i="5"/>
  <c r="J963" i="5" s="1"/>
  <c r="I967" i="5"/>
  <c r="J967" i="5" s="1"/>
  <c r="I971" i="5"/>
  <c r="I958" i="5"/>
  <c r="I962" i="5"/>
  <c r="J962" i="5" s="1"/>
  <c r="I970" i="5"/>
  <c r="J970" i="5" s="1"/>
  <c r="I953" i="5"/>
  <c r="J953" i="5" s="1"/>
  <c r="I960" i="5"/>
  <c r="J960" i="5" s="1"/>
  <c r="I964" i="5"/>
  <c r="J964" i="5" s="1"/>
  <c r="I972" i="5"/>
  <c r="J972" i="5" s="1"/>
  <c r="I948" i="5"/>
  <c r="J948" i="5" s="1"/>
  <c r="I956" i="5"/>
  <c r="J956" i="5" s="1"/>
  <c r="I946" i="5"/>
  <c r="J946" i="5" s="1"/>
  <c r="I950" i="5"/>
  <c r="J950" i="5" s="1"/>
  <c r="I966" i="5"/>
  <c r="J966" i="5" s="1"/>
  <c r="I938" i="5"/>
  <c r="J938" i="5" s="1"/>
  <c r="I942" i="5"/>
  <c r="J942" i="5" s="1"/>
  <c r="I939" i="5"/>
  <c r="J939" i="5" s="1"/>
  <c r="I924" i="5"/>
  <c r="J924" i="5" s="1"/>
  <c r="I936" i="5"/>
  <c r="J936" i="5" s="1"/>
  <c r="I940" i="5"/>
  <c r="J940" i="5" s="1"/>
  <c r="I944" i="5"/>
  <c r="J944" i="5" s="1"/>
  <c r="I937" i="5"/>
  <c r="J937" i="5" s="1"/>
  <c r="I926" i="5"/>
  <c r="J926" i="5" s="1"/>
  <c r="I930" i="5"/>
  <c r="J930" i="5" s="1"/>
  <c r="J934" i="5"/>
  <c r="I934" i="5"/>
  <c r="I923" i="5"/>
  <c r="J923" i="5" s="1"/>
  <c r="I927" i="5"/>
  <c r="J927" i="5" s="1"/>
  <c r="I931" i="5"/>
  <c r="J931" i="5" s="1"/>
  <c r="I935" i="5"/>
  <c r="J935" i="5" s="1"/>
  <c r="I943" i="5"/>
  <c r="J943" i="5" s="1"/>
  <c r="I928" i="5"/>
  <c r="J928" i="5" s="1"/>
  <c r="I932" i="5"/>
  <c r="J932" i="5" s="1"/>
  <c r="I925" i="5"/>
  <c r="J925" i="5" s="1"/>
  <c r="I929" i="5"/>
  <c r="J929" i="5" s="1"/>
  <c r="I933" i="5"/>
  <c r="J933" i="5" s="1"/>
  <c r="I941" i="5"/>
  <c r="J941" i="5" s="1"/>
  <c r="I921" i="5"/>
  <c r="J921" i="5" s="1"/>
  <c r="J922" i="5"/>
  <c r="I922" i="5"/>
  <c r="I913" i="5"/>
  <c r="J913" i="5" s="1"/>
  <c r="I915" i="5"/>
  <c r="J915" i="5" s="1"/>
  <c r="I917" i="5"/>
  <c r="J917" i="5" s="1"/>
  <c r="I919" i="5"/>
  <c r="J919" i="5" s="1"/>
  <c r="I912" i="5"/>
  <c r="J912" i="5" s="1"/>
  <c r="I914" i="5"/>
  <c r="J914" i="5" s="1"/>
  <c r="I916" i="5"/>
  <c r="J916" i="5" s="1"/>
  <c r="I918" i="5"/>
  <c r="J918" i="5" s="1"/>
  <c r="I920" i="5"/>
  <c r="J920" i="5" s="1"/>
  <c r="I907" i="5"/>
  <c r="J907" i="5" s="1"/>
  <c r="I908" i="5"/>
  <c r="J908" i="5" s="1"/>
  <c r="I909" i="5"/>
  <c r="J909" i="5" s="1"/>
  <c r="I910" i="5"/>
  <c r="J910" i="5" s="1"/>
  <c r="I911" i="5"/>
  <c r="J911" i="5" s="1"/>
  <c r="I905" i="5"/>
  <c r="I906" i="5"/>
  <c r="J906" i="5" s="1"/>
  <c r="I904" i="5"/>
  <c r="J904" i="5" s="1"/>
  <c r="I900" i="5"/>
  <c r="J900" i="5" s="1"/>
  <c r="I890" i="5"/>
  <c r="J890" i="5" s="1"/>
  <c r="I903" i="5"/>
  <c r="J903" i="5" s="1"/>
  <c r="I891" i="5"/>
  <c r="J891" i="5" s="1"/>
  <c r="I902" i="5"/>
  <c r="J902" i="5" s="1"/>
  <c r="I898" i="5"/>
  <c r="J898" i="5" s="1"/>
  <c r="I894" i="5"/>
  <c r="J894" i="5" s="1"/>
  <c r="I889" i="5"/>
  <c r="J889" i="5" s="1"/>
  <c r="I896" i="5"/>
  <c r="J896" i="5" s="1"/>
  <c r="I892" i="5"/>
  <c r="J892" i="5" s="1"/>
  <c r="I899" i="5"/>
  <c r="J899" i="5" s="1"/>
  <c r="I895" i="5"/>
  <c r="J895" i="5" s="1"/>
  <c r="I901" i="5"/>
  <c r="J901" i="5" s="1"/>
  <c r="I897" i="5"/>
  <c r="J897" i="5" s="1"/>
  <c r="I893" i="5"/>
  <c r="J893" i="5" s="1"/>
  <c r="I888" i="5"/>
  <c r="J888" i="5" s="1"/>
  <c r="I887" i="5"/>
  <c r="J887" i="5" s="1"/>
  <c r="I884" i="5"/>
  <c r="J884" i="5" s="1"/>
  <c r="I880" i="5"/>
  <c r="J880" i="5" s="1"/>
  <c r="I872" i="5"/>
  <c r="J872" i="5" s="1"/>
  <c r="I865" i="5"/>
  <c r="J865" i="5" s="1"/>
  <c r="I857" i="5"/>
  <c r="J857" i="5" s="1"/>
  <c r="I878" i="5"/>
  <c r="J878" i="5" s="1"/>
  <c r="I860" i="5"/>
  <c r="J860" i="5" s="1"/>
  <c r="I866" i="5"/>
  <c r="I883" i="5"/>
  <c r="J883" i="5" s="1"/>
  <c r="I867" i="5"/>
  <c r="I879" i="5"/>
  <c r="J879" i="5" s="1"/>
  <c r="I863" i="5"/>
  <c r="I876" i="5"/>
  <c r="J876" i="5" s="1"/>
  <c r="I869" i="5"/>
  <c r="I861" i="5"/>
  <c r="J861" i="5" s="1"/>
  <c r="I882" i="5"/>
  <c r="J882" i="5" s="1"/>
  <c r="I874" i="5"/>
  <c r="J874" i="5" s="1"/>
  <c r="I877" i="5"/>
  <c r="J877" i="5" s="1"/>
  <c r="I870" i="5"/>
  <c r="J870" i="5" s="1"/>
  <c r="I858" i="5"/>
  <c r="J858" i="5" s="1"/>
  <c r="I871" i="5"/>
  <c r="J871" i="5" s="1"/>
  <c r="I862" i="5"/>
  <c r="I886" i="5"/>
  <c r="J886" i="5" s="1"/>
  <c r="I859" i="5"/>
  <c r="J859" i="5" s="1"/>
  <c r="J868" i="5"/>
  <c r="I868" i="5"/>
  <c r="I881" i="5"/>
  <c r="J881" i="5" s="1"/>
  <c r="I873" i="5"/>
  <c r="J873" i="5" s="1"/>
  <c r="I856" i="5"/>
  <c r="J856" i="5" s="1"/>
  <c r="J864" i="5"/>
  <c r="I864" i="5"/>
  <c r="I885" i="5"/>
  <c r="J885" i="5" s="1"/>
  <c r="I875" i="5"/>
  <c r="J875" i="5" s="1"/>
  <c r="I855" i="5"/>
  <c r="J855" i="5" s="1"/>
  <c r="I854" i="5"/>
  <c r="J854" i="5"/>
  <c r="I821" i="5"/>
  <c r="J821" i="5" s="1"/>
  <c r="I853" i="5"/>
  <c r="J853" i="5" s="1"/>
  <c r="I822" i="5"/>
  <c r="J822" i="5" s="1"/>
  <c r="I826" i="5"/>
  <c r="J826" i="5" s="1"/>
  <c r="I828" i="5"/>
  <c r="J828" i="5" s="1"/>
  <c r="J816" i="5"/>
  <c r="I816" i="5"/>
  <c r="J846" i="5"/>
  <c r="I846" i="5"/>
  <c r="I842" i="5"/>
  <c r="J842" i="5" s="1"/>
  <c r="I817" i="5"/>
  <c r="J817" i="5" s="1"/>
  <c r="I847" i="5"/>
  <c r="J847" i="5" s="1"/>
  <c r="I843" i="5"/>
  <c r="J843" i="5" s="1"/>
  <c r="I840" i="5"/>
  <c r="J840" i="5" s="1"/>
  <c r="I836" i="5"/>
  <c r="J836" i="5" s="1"/>
  <c r="I832" i="5"/>
  <c r="J832" i="5" s="1"/>
  <c r="I818" i="5"/>
  <c r="J818" i="5" s="1"/>
  <c r="J848" i="5"/>
  <c r="I848" i="5"/>
  <c r="J844" i="5"/>
  <c r="I844" i="5"/>
  <c r="I819" i="5"/>
  <c r="J819" i="5" s="1"/>
  <c r="I849" i="5"/>
  <c r="I845" i="5"/>
  <c r="J845" i="5"/>
  <c r="I841" i="5"/>
  <c r="J841" i="5"/>
  <c r="I838" i="5"/>
  <c r="J838" i="5" s="1"/>
  <c r="I834" i="5"/>
  <c r="J834" i="5" s="1"/>
  <c r="I830" i="5"/>
  <c r="J830" i="5" s="1"/>
  <c r="I851" i="5"/>
  <c r="J851" i="5" s="1"/>
  <c r="I820" i="5"/>
  <c r="J820" i="5" s="1"/>
  <c r="I825" i="5"/>
  <c r="J825" i="5" s="1"/>
  <c r="I824" i="5"/>
  <c r="J824" i="5" s="1"/>
  <c r="I837" i="5"/>
  <c r="J837" i="5" s="1"/>
  <c r="I833" i="5"/>
  <c r="J833" i="5" s="1"/>
  <c r="I829" i="5"/>
  <c r="J829" i="5" s="1"/>
  <c r="I850" i="5"/>
  <c r="J850" i="5" s="1"/>
  <c r="I823" i="5"/>
  <c r="J823" i="5" s="1"/>
  <c r="I827" i="5"/>
  <c r="J827" i="5" s="1"/>
  <c r="I839" i="5"/>
  <c r="J839" i="5" s="1"/>
  <c r="I835" i="5"/>
  <c r="J835" i="5" s="1"/>
  <c r="I831" i="5"/>
  <c r="J831" i="5" s="1"/>
  <c r="I852" i="5"/>
  <c r="J852" i="5" s="1"/>
  <c r="I797" i="5"/>
  <c r="J797" i="5" s="1"/>
  <c r="I793" i="5"/>
  <c r="J793" i="5" s="1"/>
  <c r="I805" i="5"/>
  <c r="J805" i="5" s="1"/>
  <c r="I811" i="5"/>
  <c r="J811" i="5" s="1"/>
  <c r="I815" i="5"/>
  <c r="J815" i="5" s="1"/>
  <c r="I813" i="5"/>
  <c r="J813" i="5" s="1"/>
  <c r="I814" i="5"/>
  <c r="J814" i="5" s="1"/>
  <c r="I801" i="5"/>
  <c r="J801" i="5" s="1"/>
  <c r="I812" i="5"/>
  <c r="J812" i="5" s="1"/>
  <c r="I751" i="5"/>
  <c r="J751" i="5" s="1"/>
  <c r="I810" i="5"/>
  <c r="J810" i="5" s="1"/>
  <c r="I750" i="5"/>
  <c r="J750" i="5" s="1"/>
  <c r="I756" i="5"/>
  <c r="J756" i="5" s="1"/>
  <c r="I757" i="5"/>
  <c r="J757" i="5" s="1"/>
  <c r="I747" i="5"/>
  <c r="J747" i="5" s="1"/>
  <c r="I749" i="5"/>
  <c r="J749" i="5" s="1"/>
  <c r="I767" i="5"/>
  <c r="J767" i="5" s="1"/>
  <c r="I763" i="5"/>
  <c r="J763" i="5" s="1"/>
  <c r="I754" i="5"/>
  <c r="J754" i="5" s="1"/>
  <c r="I766" i="5"/>
  <c r="J766" i="5" s="1"/>
  <c r="I773" i="5"/>
  <c r="J773" i="5" s="1"/>
  <c r="I772" i="5"/>
  <c r="J772" i="5" s="1"/>
  <c r="I770" i="5"/>
  <c r="J770" i="5" s="1"/>
  <c r="I778" i="5"/>
  <c r="J778" i="5" s="1"/>
  <c r="I786" i="5"/>
  <c r="J786" i="5" s="1"/>
  <c r="I799" i="5"/>
  <c r="J799" i="5" s="1"/>
  <c r="I794" i="5"/>
  <c r="J794" i="5" s="1"/>
  <c r="I789" i="5"/>
  <c r="J789" i="5" s="1"/>
  <c r="I809" i="5"/>
  <c r="J809" i="5" s="1"/>
  <c r="I746" i="5"/>
  <c r="J746" i="5" s="1"/>
  <c r="I748" i="5"/>
  <c r="I755" i="5"/>
  <c r="J755" i="5" s="1"/>
  <c r="I744" i="5"/>
  <c r="J744" i="5" s="1"/>
  <c r="I758" i="5"/>
  <c r="J758" i="5" s="1"/>
  <c r="I765" i="5"/>
  <c r="J765" i="5" s="1"/>
  <c r="I779" i="5"/>
  <c r="J779" i="5" s="1"/>
  <c r="I762" i="5"/>
  <c r="I777" i="5"/>
  <c r="J777" i="5" s="1"/>
  <c r="I804" i="5"/>
  <c r="J804" i="5" s="1"/>
  <c r="I781" i="5"/>
  <c r="J781" i="5" s="1"/>
  <c r="I802" i="5"/>
  <c r="J802" i="5" s="1"/>
  <c r="I808" i="5"/>
  <c r="J808" i="5" s="1"/>
  <c r="I807" i="5"/>
  <c r="J807" i="5" s="1"/>
  <c r="I745" i="5"/>
  <c r="J745" i="5" s="1"/>
  <c r="I806" i="5"/>
  <c r="J806" i="5" s="1"/>
  <c r="I800" i="5"/>
  <c r="J800" i="5" s="1"/>
  <c r="I796" i="5"/>
  <c r="J796" i="5" s="1"/>
  <c r="I803" i="5"/>
  <c r="J803" i="5" s="1"/>
  <c r="I752" i="5"/>
  <c r="J752" i="5" s="1"/>
  <c r="I753" i="5"/>
  <c r="J753" i="5" s="1"/>
  <c r="I759" i="5"/>
  <c r="J759" i="5"/>
  <c r="I771" i="5"/>
  <c r="J771" i="5" s="1"/>
  <c r="I792" i="5"/>
  <c r="J792" i="5" s="1"/>
  <c r="I768" i="5"/>
  <c r="J768" i="5" s="1"/>
  <c r="J764" i="5"/>
  <c r="I764" i="5"/>
  <c r="I798" i="5"/>
  <c r="J798" i="5" s="1"/>
  <c r="I774" i="5"/>
  <c r="J774" i="5" s="1"/>
  <c r="I769" i="5"/>
  <c r="J769" i="5"/>
  <c r="I790" i="5"/>
  <c r="J790" i="5" s="1"/>
  <c r="I776" i="5"/>
  <c r="J776" i="5" s="1"/>
  <c r="I787" i="5"/>
  <c r="J787" i="5" s="1"/>
  <c r="I783" i="5"/>
  <c r="J783" i="5" s="1"/>
  <c r="I795" i="5"/>
  <c r="J795" i="5" s="1"/>
  <c r="I782" i="5"/>
  <c r="J782" i="5" s="1"/>
  <c r="I761" i="5"/>
  <c r="J761" i="5" s="1"/>
  <c r="I775" i="5"/>
  <c r="J775" i="5" s="1"/>
  <c r="I760" i="5"/>
  <c r="J760" i="5" s="1"/>
  <c r="I780" i="5"/>
  <c r="J780" i="5" s="1"/>
  <c r="I788" i="5"/>
  <c r="J788" i="5" s="1"/>
  <c r="I784" i="5"/>
  <c r="J784" i="5" s="1"/>
  <c r="I785" i="5"/>
  <c r="J785" i="5" s="1"/>
  <c r="I791" i="5"/>
  <c r="J791" i="5" s="1"/>
  <c r="I740" i="5"/>
  <c r="J740" i="5" s="1"/>
  <c r="I737" i="5"/>
  <c r="J737" i="5" s="1"/>
  <c r="I741" i="5"/>
  <c r="J741" i="5" s="1"/>
  <c r="I739" i="5"/>
  <c r="J739" i="5" s="1"/>
  <c r="I742" i="5"/>
  <c r="J742" i="5" s="1"/>
  <c r="I738" i="5"/>
  <c r="J738" i="5" s="1"/>
  <c r="I743" i="5"/>
  <c r="J743" i="5" s="1"/>
  <c r="I716" i="5"/>
  <c r="J716" i="5" s="1"/>
  <c r="I723" i="5"/>
  <c r="J723" i="5" s="1"/>
  <c r="I734" i="5"/>
  <c r="J734" i="5" s="1"/>
  <c r="I736" i="5"/>
  <c r="J736" i="5" s="1"/>
  <c r="I719" i="5"/>
  <c r="J719" i="5" s="1"/>
  <c r="I733" i="5"/>
  <c r="J733" i="5" s="1"/>
  <c r="I721" i="5"/>
  <c r="J721" i="5" s="1"/>
  <c r="I717" i="5"/>
  <c r="J717" i="5" s="1"/>
  <c r="I725" i="5"/>
  <c r="J725" i="5" s="1"/>
  <c r="I720" i="5"/>
  <c r="J720" i="5" s="1"/>
  <c r="I732" i="5"/>
  <c r="J732" i="5" s="1"/>
  <c r="I731" i="5"/>
  <c r="J731" i="5" s="1"/>
  <c r="I730" i="5"/>
  <c r="J730" i="5" s="1"/>
  <c r="I718" i="5"/>
  <c r="J718" i="5" s="1"/>
  <c r="I735" i="5"/>
  <c r="J735" i="5" s="1"/>
  <c r="I728" i="5"/>
  <c r="J728" i="5" s="1"/>
  <c r="I722" i="5"/>
  <c r="J722" i="5" s="1"/>
  <c r="I729" i="5"/>
  <c r="J729" i="5" s="1"/>
  <c r="I724" i="5"/>
  <c r="J724" i="5" s="1"/>
  <c r="I727" i="5"/>
  <c r="J727" i="5" s="1"/>
  <c r="I726" i="5"/>
  <c r="J726" i="5" s="1"/>
  <c r="I714" i="5"/>
  <c r="J714" i="5" s="1"/>
  <c r="E7" i="8"/>
  <c r="I715" i="5"/>
  <c r="J715" i="5" s="1"/>
  <c r="I712" i="5"/>
  <c r="J712" i="5" s="1"/>
  <c r="I713" i="5"/>
  <c r="J713" i="5" s="1"/>
  <c r="I711" i="5"/>
  <c r="J711" i="5" s="1"/>
  <c r="I708" i="5"/>
  <c r="J708" i="5" s="1"/>
  <c r="I709" i="5"/>
  <c r="J709" i="5" s="1"/>
  <c r="I710" i="5"/>
  <c r="J710" i="5" s="1"/>
  <c r="I705" i="5"/>
  <c r="J705" i="5" s="1"/>
  <c r="I707" i="5"/>
  <c r="J707" i="5" s="1"/>
  <c r="I706" i="5"/>
  <c r="I678" i="5"/>
  <c r="J678" i="5" s="1"/>
  <c r="I693" i="5"/>
  <c r="J693" i="5" s="1"/>
  <c r="I701" i="5"/>
  <c r="J701" i="5" s="1"/>
  <c r="I700" i="5"/>
  <c r="J700" i="5" s="1"/>
  <c r="I703" i="5"/>
  <c r="J703" i="5" s="1"/>
  <c r="I702" i="5"/>
  <c r="J702" i="5" s="1"/>
  <c r="I692" i="5"/>
  <c r="J692" i="5" s="1"/>
  <c r="I690" i="5"/>
  <c r="J690" i="5" s="1"/>
  <c r="I695" i="5"/>
  <c r="J695" i="5" s="1"/>
  <c r="I698" i="5"/>
  <c r="J698" i="5" s="1"/>
  <c r="I696" i="5"/>
  <c r="J696" i="5" s="1"/>
  <c r="I699" i="5"/>
  <c r="J699" i="5" s="1"/>
  <c r="I704" i="5"/>
  <c r="J704" i="5" s="1"/>
  <c r="I697" i="5"/>
  <c r="J697" i="5" s="1"/>
  <c r="I694" i="5"/>
  <c r="J694" i="5" s="1"/>
  <c r="I691" i="5"/>
  <c r="J691" i="5" s="1"/>
  <c r="I689" i="5"/>
  <c r="J689" i="5" s="1"/>
  <c r="L2793" i="1"/>
  <c r="I138" i="2" s="1"/>
  <c r="J138" i="2" s="1"/>
  <c r="I686" i="5"/>
  <c r="J686" i="5" s="1"/>
  <c r="I688" i="5"/>
  <c r="J687" i="5"/>
  <c r="I687" i="5"/>
  <c r="L2329" i="1"/>
  <c r="I129" i="2" s="1"/>
  <c r="J129" i="2" s="1"/>
  <c r="I685" i="5"/>
  <c r="J685" i="5" s="1"/>
  <c r="J143" i="2"/>
  <c r="I679" i="5"/>
  <c r="J679" i="5" s="1"/>
  <c r="I655" i="5"/>
  <c r="J655" i="5" s="1"/>
  <c r="I675" i="5"/>
  <c r="J675" i="5" s="1"/>
  <c r="I665" i="5"/>
  <c r="J665" i="5" s="1"/>
  <c r="I648" i="5"/>
  <c r="J648" i="5" s="1"/>
  <c r="I672" i="5"/>
  <c r="J672" i="5" s="1"/>
  <c r="I646" i="5"/>
  <c r="J646" i="5" s="1"/>
  <c r="I657" i="5"/>
  <c r="I652" i="5"/>
  <c r="J652" i="5" s="1"/>
  <c r="I680" i="5"/>
  <c r="J680" i="5" s="1"/>
  <c r="I670" i="5"/>
  <c r="J670" i="5" s="1"/>
  <c r="I644" i="5"/>
  <c r="J644" i="5"/>
  <c r="I645" i="5"/>
  <c r="J645" i="5" s="1"/>
  <c r="I658" i="5"/>
  <c r="J658" i="5" s="1"/>
  <c r="I667" i="5"/>
  <c r="J667" i="5" s="1"/>
  <c r="I661" i="5"/>
  <c r="J661" i="5" s="1"/>
  <c r="I669" i="5"/>
  <c r="J669" i="5" s="1"/>
  <c r="I677" i="5"/>
  <c r="J677" i="5" s="1"/>
  <c r="I663" i="5"/>
  <c r="J663" i="5" s="1"/>
  <c r="I651" i="5"/>
  <c r="J651" i="5" s="1"/>
  <c r="I668" i="5"/>
  <c r="J668" i="5" s="1"/>
  <c r="I671" i="5"/>
  <c r="J671" i="5" s="1"/>
  <c r="I676" i="5"/>
  <c r="J676" i="5" s="1"/>
  <c r="I683" i="5"/>
  <c r="J683" i="5" s="1"/>
  <c r="I664" i="5"/>
  <c r="J664" i="5" s="1"/>
  <c r="I638" i="5"/>
  <c r="J638" i="5" s="1"/>
  <c r="I653" i="5"/>
  <c r="J653" i="5" s="1"/>
  <c r="I659" i="5"/>
  <c r="J659" i="5" s="1"/>
  <c r="I654" i="5"/>
  <c r="J654" i="5" s="1"/>
  <c r="J640" i="5"/>
  <c r="I640" i="5"/>
  <c r="I649" i="5"/>
  <c r="J649" i="5" s="1"/>
  <c r="I641" i="5"/>
  <c r="J641" i="5" s="1"/>
  <c r="I643" i="5"/>
  <c r="J643" i="5" s="1"/>
  <c r="I682" i="5"/>
  <c r="J682" i="5" s="1"/>
  <c r="I656" i="5"/>
  <c r="J656" i="5" s="1"/>
  <c r="I662" i="5"/>
  <c r="J662" i="5" s="1"/>
  <c r="I673" i="5"/>
  <c r="J673" i="5"/>
  <c r="J684" i="5"/>
  <c r="I684" i="5"/>
  <c r="I647" i="5"/>
  <c r="J647" i="5" s="1"/>
  <c r="I666" i="5"/>
  <c r="J666" i="5" s="1"/>
  <c r="I660" i="5"/>
  <c r="J660" i="5" s="1"/>
  <c r="I639" i="5"/>
  <c r="J639" i="5" s="1"/>
  <c r="I650" i="5"/>
  <c r="J650" i="5" s="1"/>
  <c r="I642" i="5"/>
  <c r="J642" i="5" s="1"/>
  <c r="I681" i="5"/>
  <c r="J681" i="5" s="1"/>
  <c r="I674" i="5"/>
  <c r="J674" i="5" s="1"/>
  <c r="I635" i="5"/>
  <c r="J635" i="5" s="1"/>
  <c r="I634" i="5"/>
  <c r="J634" i="5" s="1"/>
  <c r="I636" i="5"/>
  <c r="J636" i="5" s="1"/>
  <c r="I632" i="5"/>
  <c r="J632" i="5" s="1"/>
  <c r="I637" i="5"/>
  <c r="J637" i="5" s="1"/>
  <c r="I631" i="5"/>
  <c r="J631" i="5" s="1"/>
  <c r="I633" i="5"/>
  <c r="J633" i="5" s="1"/>
  <c r="I594" i="5"/>
  <c r="J594" i="5" s="1"/>
  <c r="I610" i="5"/>
  <c r="J610" i="5" s="1"/>
  <c r="I615" i="5"/>
  <c r="J615" i="5" s="1"/>
  <c r="I606" i="5"/>
  <c r="I630" i="5"/>
  <c r="J630" i="5" s="1"/>
  <c r="I588" i="5"/>
  <c r="J588" i="5" s="1"/>
  <c r="I625" i="5"/>
  <c r="J625" i="5" s="1"/>
  <c r="I604" i="5"/>
  <c r="J604" i="5" s="1"/>
  <c r="I617" i="5"/>
  <c r="I619" i="5"/>
  <c r="J619" i="5" s="1"/>
  <c r="I622" i="5"/>
  <c r="J622" i="5" s="1"/>
  <c r="I596" i="5"/>
  <c r="J596" i="5" s="1"/>
  <c r="I586" i="5"/>
  <c r="J586" i="5" s="1"/>
  <c r="I612" i="5"/>
  <c r="J612" i="5" s="1"/>
  <c r="I602" i="5"/>
  <c r="J602" i="5" s="1"/>
  <c r="I628" i="5"/>
  <c r="J628" i="5" s="1"/>
  <c r="I609" i="5"/>
  <c r="I618" i="5"/>
  <c r="J618" i="5" s="1"/>
  <c r="I605" i="5"/>
  <c r="J605" i="5" s="1"/>
  <c r="I595" i="5"/>
  <c r="J595" i="5" s="1"/>
  <c r="I608" i="5"/>
  <c r="J608" i="5"/>
  <c r="I621" i="5"/>
  <c r="J621" i="5" s="1"/>
  <c r="I611" i="5"/>
  <c r="J611" i="5" s="1"/>
  <c r="I624" i="5"/>
  <c r="J624" i="5" s="1"/>
  <c r="I590" i="5"/>
  <c r="J590" i="5" s="1"/>
  <c r="I627" i="5"/>
  <c r="J627" i="5" s="1"/>
  <c r="I601" i="5"/>
  <c r="J601" i="5" s="1"/>
  <c r="I623" i="5"/>
  <c r="J623" i="5" s="1"/>
  <c r="I614" i="5"/>
  <c r="J614" i="5" s="1"/>
  <c r="I591" i="5"/>
  <c r="J591" i="5" s="1"/>
  <c r="I607" i="5"/>
  <c r="J607" i="5" s="1"/>
  <c r="I592" i="5"/>
  <c r="J592" i="5" s="1"/>
  <c r="I600" i="5"/>
  <c r="J600" i="5" s="1"/>
  <c r="I613" i="5"/>
  <c r="J613" i="5" s="1"/>
  <c r="I603" i="5"/>
  <c r="J603" i="5" s="1"/>
  <c r="I616" i="5"/>
  <c r="J616" i="5" s="1"/>
  <c r="I629" i="5"/>
  <c r="J629" i="5" s="1"/>
  <c r="I593" i="5"/>
  <c r="J593" i="5" s="1"/>
  <c r="I598" i="5"/>
  <c r="J598" i="5" s="1"/>
  <c r="I589" i="5"/>
  <c r="J589" i="5" s="1"/>
  <c r="J626" i="5"/>
  <c r="I626" i="5"/>
  <c r="I599" i="5"/>
  <c r="J599" i="5" s="1"/>
  <c r="I620" i="5"/>
  <c r="J620" i="5" s="1"/>
  <c r="I597" i="5"/>
  <c r="J597" i="5" s="1"/>
  <c r="I587" i="5"/>
  <c r="J587" i="5" s="1"/>
  <c r="I585" i="5"/>
  <c r="J585" i="5" s="1"/>
  <c r="I583" i="5"/>
  <c r="J583" i="5" s="1"/>
  <c r="I574" i="5"/>
  <c r="J574" i="5" s="1"/>
  <c r="I582" i="5"/>
  <c r="J582" i="5" s="1"/>
  <c r="I580" i="5"/>
  <c r="J580" i="5" s="1"/>
  <c r="I584" i="5"/>
  <c r="J584" i="5" s="1"/>
  <c r="I575" i="5"/>
  <c r="J575" i="5" s="1"/>
  <c r="I576" i="5"/>
  <c r="I581" i="5"/>
  <c r="J581" i="5" s="1"/>
  <c r="I578" i="5"/>
  <c r="J578" i="5" s="1"/>
  <c r="I579" i="5"/>
  <c r="J579" i="5" s="1"/>
  <c r="I577" i="5"/>
  <c r="J577" i="5" s="1"/>
  <c r="I569" i="5"/>
  <c r="J569" i="5" s="1"/>
  <c r="I565" i="5"/>
  <c r="J565" i="5" s="1"/>
  <c r="I555" i="5"/>
  <c r="J555" i="5" s="1"/>
  <c r="I557" i="5"/>
  <c r="J557" i="5" s="1"/>
  <c r="I571" i="5"/>
  <c r="J571" i="5" s="1"/>
  <c r="I563" i="5"/>
  <c r="J563" i="5" s="1"/>
  <c r="I567" i="5"/>
  <c r="J567" i="5" s="1"/>
  <c r="I564" i="5"/>
  <c r="J564" i="5" s="1"/>
  <c r="I559" i="5"/>
  <c r="J559" i="5" s="1"/>
  <c r="I573" i="5"/>
  <c r="J573" i="5" s="1"/>
  <c r="I561" i="5"/>
  <c r="J561" i="5" s="1"/>
  <c r="I570" i="5"/>
  <c r="J570" i="5" s="1"/>
  <c r="I568" i="5"/>
  <c r="J568" i="5" s="1"/>
  <c r="I560" i="5"/>
  <c r="J560" i="5" s="1"/>
  <c r="I566" i="5"/>
  <c r="J566" i="5" s="1"/>
  <c r="I572" i="5"/>
  <c r="J572" i="5" s="1"/>
  <c r="I558" i="5"/>
  <c r="J558" i="5" s="1"/>
  <c r="J562" i="5"/>
  <c r="I562" i="5"/>
  <c r="I556" i="5"/>
  <c r="J556" i="5" s="1"/>
  <c r="I547" i="5"/>
  <c r="J547" i="5" s="1"/>
  <c r="I550" i="5"/>
  <c r="J550" i="5" s="1"/>
  <c r="I549" i="5"/>
  <c r="J549" i="5" s="1"/>
  <c r="I548" i="5"/>
  <c r="J548" i="5" s="1"/>
  <c r="I552" i="5"/>
  <c r="J552" i="5" s="1"/>
  <c r="I554" i="5"/>
  <c r="J554" i="5" s="1"/>
  <c r="I553" i="5"/>
  <c r="J553" i="5"/>
  <c r="I551" i="5"/>
  <c r="J551" i="5" s="1"/>
  <c r="I544" i="5"/>
  <c r="J544" i="5" s="1"/>
  <c r="I546" i="5"/>
  <c r="J546" i="5" s="1"/>
  <c r="I545" i="5"/>
  <c r="J545" i="5" s="1"/>
  <c r="I543" i="5"/>
  <c r="J543" i="5" s="1"/>
  <c r="I541" i="5"/>
  <c r="I542" i="5"/>
  <c r="J542" i="5" s="1"/>
  <c r="I514" i="5"/>
  <c r="J514" i="5" s="1"/>
  <c r="I540" i="5"/>
  <c r="J540" i="5" s="1"/>
  <c r="I536" i="5"/>
  <c r="I523" i="5"/>
  <c r="J523" i="5" s="1"/>
  <c r="I530" i="5"/>
  <c r="J530" i="5" s="1"/>
  <c r="I524" i="5"/>
  <c r="J524" i="5" s="1"/>
  <c r="I521" i="5"/>
  <c r="J521" i="5" s="1"/>
  <c r="I527" i="5"/>
  <c r="J527" i="5" s="1"/>
  <c r="I537" i="5"/>
  <c r="J537" i="5" s="1"/>
  <c r="I532" i="5"/>
  <c r="J532" i="5" s="1"/>
  <c r="I531" i="5"/>
  <c r="J531" i="5" s="1"/>
  <c r="I522" i="5"/>
  <c r="J522" i="5" s="1"/>
  <c r="I529" i="5"/>
  <c r="J529" i="5" s="1"/>
  <c r="I539" i="5"/>
  <c r="J539" i="5" s="1"/>
  <c r="I526" i="5"/>
  <c r="J526" i="5" s="1"/>
  <c r="I525" i="5"/>
  <c r="J525" i="5" s="1"/>
  <c r="I528" i="5"/>
  <c r="J528" i="5" s="1"/>
  <c r="I535" i="5"/>
  <c r="J535" i="5" s="1"/>
  <c r="I533" i="5"/>
  <c r="J533" i="5" s="1"/>
  <c r="I534" i="5"/>
  <c r="J534" i="5" s="1"/>
  <c r="I538" i="5"/>
  <c r="J538" i="5" s="1"/>
  <c r="J520" i="5"/>
  <c r="I519" i="5"/>
  <c r="J519" i="5" s="1"/>
  <c r="I517" i="5"/>
  <c r="J517" i="5" s="1"/>
  <c r="J518" i="5"/>
  <c r="I518" i="5"/>
  <c r="I516" i="5"/>
  <c r="J516" i="5" s="1"/>
  <c r="I515" i="5"/>
  <c r="J515" i="5" s="1"/>
  <c r="I513" i="5"/>
  <c r="J513" i="5" s="1"/>
  <c r="I511" i="5"/>
  <c r="J511" i="5" s="1"/>
  <c r="I512" i="5"/>
  <c r="J512" i="5" s="1"/>
  <c r="I506" i="5"/>
  <c r="I503" i="5"/>
  <c r="J503" i="5" s="1"/>
  <c r="I495" i="5"/>
  <c r="J495" i="5" s="1"/>
  <c r="I504" i="5"/>
  <c r="J504" i="5" s="1"/>
  <c r="I501" i="5"/>
  <c r="J501" i="5" s="1"/>
  <c r="I499" i="5"/>
  <c r="J499" i="5" s="1"/>
  <c r="I509" i="5"/>
  <c r="J509" i="5" s="1"/>
  <c r="I507" i="5"/>
  <c r="J507" i="5" s="1"/>
  <c r="I500" i="5"/>
  <c r="J500" i="5" s="1"/>
  <c r="I510" i="5"/>
  <c r="J510" i="5" s="1"/>
  <c r="I498" i="5"/>
  <c r="J498" i="5" s="1"/>
  <c r="I502" i="5"/>
  <c r="J502" i="5" s="1"/>
  <c r="I505" i="5"/>
  <c r="J505" i="5" s="1"/>
  <c r="I497" i="5"/>
  <c r="J497" i="5" s="1"/>
  <c r="I508" i="5"/>
  <c r="J508" i="5" s="1"/>
  <c r="I496" i="5"/>
  <c r="J496" i="5" s="1"/>
  <c r="I491" i="5"/>
  <c r="J491" i="5" s="1"/>
  <c r="I489" i="5"/>
  <c r="J489" i="5" s="1"/>
  <c r="I492" i="5"/>
  <c r="J492" i="5" s="1"/>
  <c r="I493" i="5"/>
  <c r="J493" i="5" s="1"/>
  <c r="I494" i="5"/>
  <c r="J494" i="5" s="1"/>
  <c r="I490" i="5"/>
  <c r="J490" i="5" s="1"/>
  <c r="I486" i="5"/>
  <c r="J486" i="5" s="1"/>
  <c r="I487" i="5"/>
  <c r="J487" i="5" s="1"/>
  <c r="I488" i="5"/>
  <c r="J488" i="5" s="1"/>
  <c r="I452" i="5"/>
  <c r="J452" i="5" s="1"/>
  <c r="I458" i="5"/>
  <c r="J458" i="5" s="1"/>
  <c r="I455" i="5"/>
  <c r="I460" i="5"/>
  <c r="J460" i="5" s="1"/>
  <c r="I476" i="5"/>
  <c r="J476" i="5" s="1"/>
  <c r="I471" i="5"/>
  <c r="J471" i="5" s="1"/>
  <c r="I463" i="5"/>
  <c r="J463" i="5" s="1"/>
  <c r="I479" i="5"/>
  <c r="J479" i="5" s="1"/>
  <c r="I453" i="5"/>
  <c r="J453" i="5" s="1"/>
  <c r="I469" i="5"/>
  <c r="J469" i="5" s="1"/>
  <c r="I461" i="5"/>
  <c r="J461" i="5" s="1"/>
  <c r="I466" i="5"/>
  <c r="J466" i="5" s="1"/>
  <c r="I484" i="5"/>
  <c r="J484" i="5" s="1"/>
  <c r="I468" i="5"/>
  <c r="I485" i="5"/>
  <c r="J485" i="5" s="1"/>
  <c r="I450" i="5"/>
  <c r="J450" i="5" s="1"/>
  <c r="I481" i="5"/>
  <c r="J481" i="5" s="1"/>
  <c r="I482" i="5"/>
  <c r="J482" i="5" s="1"/>
  <c r="I457" i="5"/>
  <c r="J457" i="5" s="1"/>
  <c r="I483" i="5"/>
  <c r="J483" i="5" s="1"/>
  <c r="I451" i="5"/>
  <c r="J451" i="5" s="1"/>
  <c r="I480" i="5"/>
  <c r="J480" i="5" s="1"/>
  <c r="I465" i="5"/>
  <c r="J465" i="5" s="1"/>
  <c r="I472" i="5"/>
  <c r="J472" i="5" s="1"/>
  <c r="I459" i="5"/>
  <c r="J459" i="5" s="1"/>
  <c r="I473" i="5"/>
  <c r="J473" i="5" s="1"/>
  <c r="I456" i="5"/>
  <c r="J456" i="5"/>
  <c r="I467" i="5"/>
  <c r="J467" i="5" s="1"/>
  <c r="I478" i="5"/>
  <c r="J478" i="5" s="1"/>
  <c r="I477" i="5"/>
  <c r="J477" i="5"/>
  <c r="I475" i="5"/>
  <c r="J475" i="5" s="1"/>
  <c r="I474" i="5"/>
  <c r="J474" i="5" s="1"/>
  <c r="I470" i="5"/>
  <c r="J470" i="5" s="1"/>
  <c r="I454" i="5"/>
  <c r="J454" i="5" s="1"/>
  <c r="I462" i="5"/>
  <c r="J462" i="5" s="1"/>
  <c r="I464" i="5"/>
  <c r="J464" i="5" s="1"/>
  <c r="I446" i="5"/>
  <c r="J446" i="5" s="1"/>
  <c r="I445" i="5"/>
  <c r="J445" i="5" s="1"/>
  <c r="I447" i="5"/>
  <c r="J447" i="5" s="1"/>
  <c r="I449" i="5"/>
  <c r="J449" i="5" s="1"/>
  <c r="I448" i="5"/>
  <c r="J448" i="5" s="1"/>
  <c r="I444" i="5"/>
  <c r="J444" i="5" s="1"/>
  <c r="I440" i="5"/>
  <c r="J440" i="5" s="1"/>
  <c r="I430" i="5"/>
  <c r="J430" i="5" s="1"/>
  <c r="I442" i="5"/>
  <c r="J442" i="5" s="1"/>
  <c r="I419" i="5"/>
  <c r="J419" i="5" s="1"/>
  <c r="I428" i="5"/>
  <c r="J428" i="5" s="1"/>
  <c r="I425" i="5"/>
  <c r="J425" i="5" s="1"/>
  <c r="I433" i="5"/>
  <c r="J433" i="5" s="1"/>
  <c r="I434" i="5"/>
  <c r="J434" i="5" s="1"/>
  <c r="I443" i="5"/>
  <c r="J443" i="5" s="1"/>
  <c r="I441" i="5"/>
  <c r="J441" i="5" s="1"/>
  <c r="I438" i="5"/>
  <c r="J438" i="5" s="1"/>
  <c r="I436" i="5"/>
  <c r="J436" i="5" s="1"/>
  <c r="I423" i="5"/>
  <c r="J423" i="5" s="1"/>
  <c r="I427" i="5"/>
  <c r="J427" i="5" s="1"/>
  <c r="I422" i="5"/>
  <c r="J422" i="5" s="1"/>
  <c r="I435" i="5"/>
  <c r="J435" i="5" s="1"/>
  <c r="I420" i="5"/>
  <c r="J420" i="5" s="1"/>
  <c r="I437" i="5"/>
  <c r="J437" i="5" s="1"/>
  <c r="I417" i="5"/>
  <c r="J417" i="5" s="1"/>
  <c r="I429" i="5"/>
  <c r="J429" i="5" s="1"/>
  <c r="I421" i="5"/>
  <c r="J421" i="5" s="1"/>
  <c r="I418" i="5"/>
  <c r="J418" i="5" s="1"/>
  <c r="I439" i="5"/>
  <c r="J439" i="5" s="1"/>
  <c r="I432" i="5"/>
  <c r="J432" i="5" s="1"/>
  <c r="I431" i="5"/>
  <c r="J431" i="5" s="1"/>
  <c r="I424" i="5"/>
  <c r="J424" i="5"/>
  <c r="I426" i="5"/>
  <c r="J426" i="5"/>
  <c r="I414" i="5"/>
  <c r="J414" i="5" s="1"/>
  <c r="I406" i="5"/>
  <c r="J406" i="5" s="1"/>
  <c r="I404" i="5"/>
  <c r="J404" i="5" s="1"/>
  <c r="I411" i="5"/>
  <c r="J411" i="5" s="1"/>
  <c r="I403" i="5"/>
  <c r="J403" i="5" s="1"/>
  <c r="I405" i="5"/>
  <c r="J405" i="5" s="1"/>
  <c r="I407" i="5"/>
  <c r="J407" i="5" s="1"/>
  <c r="I410" i="5"/>
  <c r="J410" i="5" s="1"/>
  <c r="I416" i="5"/>
  <c r="J416" i="5" s="1"/>
  <c r="I408" i="5"/>
  <c r="J408" i="5" s="1"/>
  <c r="I409" i="5"/>
  <c r="J409" i="5" s="1"/>
  <c r="I415" i="5"/>
  <c r="J415" i="5" s="1"/>
  <c r="I412" i="5"/>
  <c r="J412" i="5" s="1"/>
  <c r="I413" i="5"/>
  <c r="J413" i="5" s="1"/>
  <c r="I402" i="5"/>
  <c r="J402" i="5" s="1"/>
  <c r="I401" i="5"/>
  <c r="J401" i="5" s="1"/>
  <c r="I400" i="5"/>
  <c r="J400" i="5" s="1"/>
  <c r="I399" i="5"/>
  <c r="J399" i="5" s="1"/>
  <c r="I398" i="5"/>
  <c r="J398" i="5" s="1"/>
  <c r="I388" i="5"/>
  <c r="J388" i="5" s="1"/>
  <c r="I393" i="5"/>
  <c r="J393" i="5" s="1"/>
  <c r="I396" i="5"/>
  <c r="J396" i="5" s="1"/>
  <c r="I386" i="5"/>
  <c r="J386" i="5" s="1"/>
  <c r="I392" i="5"/>
  <c r="J392" i="5" s="1"/>
  <c r="I387" i="5"/>
  <c r="J387" i="5" s="1"/>
  <c r="I391" i="5"/>
  <c r="J391" i="5" s="1"/>
  <c r="I395" i="5"/>
  <c r="J395" i="5" s="1"/>
  <c r="I385" i="5"/>
  <c r="J385" i="5" s="1"/>
  <c r="I394" i="5"/>
  <c r="J394" i="5" s="1"/>
  <c r="I390" i="5"/>
  <c r="J390" i="5" s="1"/>
  <c r="I389" i="5"/>
  <c r="J389" i="5" s="1"/>
  <c r="I397" i="5"/>
  <c r="J397" i="5" s="1"/>
  <c r="I384" i="5"/>
  <c r="J384" i="5" s="1"/>
  <c r="I381" i="5"/>
  <c r="J381" i="5" s="1"/>
  <c r="I380" i="5"/>
  <c r="J380" i="5" s="1"/>
  <c r="I383" i="5"/>
  <c r="J383" i="5" s="1"/>
  <c r="I382" i="5"/>
  <c r="J382" i="5" s="1"/>
  <c r="I378" i="5"/>
  <c r="J378" i="5" s="1"/>
  <c r="I377" i="5"/>
  <c r="J377" i="5" s="1"/>
  <c r="I376" i="5"/>
  <c r="J376" i="5" s="1"/>
  <c r="J371" i="5"/>
  <c r="I365" i="5"/>
  <c r="J365" i="5" s="1"/>
  <c r="I366" i="5"/>
  <c r="J366" i="5" s="1"/>
  <c r="I358" i="5"/>
  <c r="J358" i="5" s="1"/>
  <c r="I361" i="5"/>
  <c r="J361" i="5" s="1"/>
  <c r="I357" i="5"/>
  <c r="J357" i="5" s="1"/>
  <c r="I363" i="5"/>
  <c r="J363" i="5" s="1"/>
  <c r="I360" i="5"/>
  <c r="J360" i="5" s="1"/>
  <c r="I362" i="5"/>
  <c r="J362" i="5" s="1"/>
  <c r="I370" i="5"/>
  <c r="J370" i="5" s="1"/>
  <c r="I359" i="5"/>
  <c r="J359" i="5" s="1"/>
  <c r="I355" i="5"/>
  <c r="I367" i="5"/>
  <c r="J367" i="5" s="1"/>
  <c r="I369" i="5"/>
  <c r="J369" i="5" s="1"/>
  <c r="I368" i="5"/>
  <c r="J368" i="5" s="1"/>
  <c r="I356" i="5"/>
  <c r="J356" i="5" s="1"/>
  <c r="I364" i="5"/>
  <c r="J364" i="5" s="1"/>
  <c r="I345" i="5"/>
  <c r="J345" i="5" s="1"/>
  <c r="I351" i="5"/>
  <c r="J351" i="5" s="1"/>
  <c r="I343" i="5"/>
  <c r="J343" i="5" s="1"/>
  <c r="I329" i="5"/>
  <c r="I335" i="5"/>
  <c r="J335" i="5" s="1"/>
  <c r="I334" i="5"/>
  <c r="J334" i="5" s="1"/>
  <c r="I350" i="5"/>
  <c r="J350" i="5" s="1"/>
  <c r="I337" i="5"/>
  <c r="J337" i="5" s="1"/>
  <c r="I324" i="5"/>
  <c r="J324" i="5" s="1"/>
  <c r="I333" i="5"/>
  <c r="J333" i="5" s="1"/>
  <c r="I341" i="5"/>
  <c r="J341" i="5" s="1"/>
  <c r="I349" i="5"/>
  <c r="J349" i="5" s="1"/>
  <c r="I325" i="5"/>
  <c r="J325" i="5" s="1"/>
  <c r="I332" i="5"/>
  <c r="J332" i="5" s="1"/>
  <c r="I340" i="5"/>
  <c r="J340" i="5" s="1"/>
  <c r="I352" i="5"/>
  <c r="J352" i="5" s="1"/>
  <c r="I327" i="5"/>
  <c r="J327" i="5" s="1"/>
  <c r="I342" i="5"/>
  <c r="J342" i="5" s="1"/>
  <c r="I348" i="5"/>
  <c r="J348" i="5" s="1"/>
  <c r="I330" i="5"/>
  <c r="J330" i="5" s="1"/>
  <c r="I331" i="5"/>
  <c r="J331" i="5" s="1"/>
  <c r="I339" i="5"/>
  <c r="J339" i="5" s="1"/>
  <c r="I347" i="5"/>
  <c r="J347" i="5" s="1"/>
  <c r="I323" i="5"/>
  <c r="J323" i="5" s="1"/>
  <c r="I338" i="5"/>
  <c r="J338" i="5" s="1"/>
  <c r="I346" i="5"/>
  <c r="J346" i="5" s="1"/>
  <c r="I354" i="5"/>
  <c r="J354" i="5" s="1"/>
  <c r="I344" i="5"/>
  <c r="J344" i="5" s="1"/>
  <c r="I353" i="5"/>
  <c r="J353" i="5" s="1"/>
  <c r="I328" i="5"/>
  <c r="J328" i="5" s="1"/>
  <c r="I326" i="5"/>
  <c r="J326" i="5" s="1"/>
  <c r="I336" i="5"/>
  <c r="J336" i="5" s="1"/>
  <c r="I321" i="5"/>
  <c r="J321" i="5" s="1"/>
  <c r="I322" i="5"/>
  <c r="J322" i="5" s="1"/>
  <c r="I320" i="5"/>
  <c r="J320" i="5" s="1"/>
  <c r="I319" i="5"/>
  <c r="J319" i="5" s="1"/>
  <c r="I318" i="5"/>
  <c r="J318" i="5" s="1"/>
  <c r="I312" i="5"/>
  <c r="J312" i="5" s="1"/>
  <c r="I314" i="5"/>
  <c r="J314" i="5" s="1"/>
  <c r="I310" i="5"/>
  <c r="J310" i="5" s="1"/>
  <c r="I302" i="5"/>
  <c r="J302" i="5" s="1"/>
  <c r="I316" i="5"/>
  <c r="J316" i="5" s="1"/>
  <c r="I309" i="5"/>
  <c r="J309" i="5" s="1"/>
  <c r="I305" i="5"/>
  <c r="J305" i="5" s="1"/>
  <c r="I317" i="5"/>
  <c r="J317" i="5" s="1"/>
  <c r="I313" i="5"/>
  <c r="J313" i="5" s="1"/>
  <c r="I308" i="5"/>
  <c r="J308" i="5" s="1"/>
  <c r="I306" i="5"/>
  <c r="J306" i="5" s="1"/>
  <c r="I303" i="5"/>
  <c r="J303" i="5" s="1"/>
  <c r="I307" i="5"/>
  <c r="J307" i="5" s="1"/>
  <c r="I304" i="5"/>
  <c r="J304" i="5" s="1"/>
  <c r="I311" i="5"/>
  <c r="J311" i="5" s="1"/>
  <c r="I315" i="5"/>
  <c r="J315" i="5" s="1"/>
  <c r="I292" i="5"/>
  <c r="J292" i="5" s="1"/>
  <c r="I293" i="5"/>
  <c r="J293" i="5" s="1"/>
  <c r="I297" i="5"/>
  <c r="J297" i="5" s="1"/>
  <c r="I290" i="5"/>
  <c r="J290" i="5" s="1"/>
  <c r="I300" i="5"/>
  <c r="J300" i="5" s="1"/>
  <c r="I298" i="5"/>
  <c r="J298" i="5" s="1"/>
  <c r="I291" i="5"/>
  <c r="J291" i="5" s="1"/>
  <c r="I299" i="5"/>
  <c r="J299" i="5" s="1"/>
  <c r="I296" i="5"/>
  <c r="J296" i="5" s="1"/>
  <c r="I295" i="5"/>
  <c r="J295" i="5" s="1"/>
  <c r="I294" i="5"/>
  <c r="J294" i="5" s="1"/>
  <c r="I289" i="5"/>
  <c r="J289" i="5" s="1"/>
  <c r="I281" i="5"/>
  <c r="J281" i="5" s="1"/>
  <c r="I286" i="5"/>
  <c r="J286" i="5" s="1"/>
  <c r="I283" i="5"/>
  <c r="J283" i="5" s="1"/>
  <c r="I279" i="5"/>
  <c r="J279" i="5" s="1"/>
  <c r="I285" i="5"/>
  <c r="J285" i="5" s="1"/>
  <c r="I284" i="5"/>
  <c r="J284" i="5" s="1"/>
  <c r="I287" i="5"/>
  <c r="J287" i="5" s="1"/>
  <c r="I282" i="5"/>
  <c r="J282" i="5" s="1"/>
  <c r="I280" i="5"/>
  <c r="J280" i="5" s="1"/>
  <c r="I257" i="5"/>
  <c r="J257" i="5" s="1"/>
  <c r="I273" i="5"/>
  <c r="J273" i="5" s="1"/>
  <c r="I255" i="5"/>
  <c r="J255" i="5" s="1"/>
  <c r="I265" i="5"/>
  <c r="J265" i="5" s="1"/>
  <c r="I269" i="5"/>
  <c r="J269" i="5" s="1"/>
  <c r="I259" i="5"/>
  <c r="J259" i="5" s="1"/>
  <c r="I277" i="5"/>
  <c r="J277" i="5" s="1"/>
  <c r="I262" i="5"/>
  <c r="J262" i="5" s="1"/>
  <c r="I271" i="5"/>
  <c r="J271" i="5" s="1"/>
  <c r="I261" i="5"/>
  <c r="J261" i="5" s="1"/>
  <c r="I266" i="5"/>
  <c r="J266" i="5" s="1"/>
  <c r="I275" i="5"/>
  <c r="J275" i="5" s="1"/>
  <c r="I260" i="5"/>
  <c r="J260" i="5" s="1"/>
  <c r="I272" i="5"/>
  <c r="J272" i="5" s="1"/>
  <c r="I276" i="5"/>
  <c r="J276" i="5" s="1"/>
  <c r="I263" i="5"/>
  <c r="J263" i="5" s="1"/>
  <c r="I274" i="5"/>
  <c r="J274" i="5" s="1"/>
  <c r="I278" i="5"/>
  <c r="J278" i="5" s="1"/>
  <c r="I254" i="5"/>
  <c r="J254" i="5" s="1"/>
  <c r="I258" i="5"/>
  <c r="J258" i="5" s="1"/>
  <c r="I267" i="5"/>
  <c r="J267" i="5" s="1"/>
  <c r="I270" i="5"/>
  <c r="J270" i="5" s="1"/>
  <c r="I268" i="5"/>
  <c r="J268" i="5" s="1"/>
  <c r="I264" i="5"/>
  <c r="J264" i="5" s="1"/>
  <c r="I256" i="5"/>
  <c r="J256" i="5" s="1"/>
  <c r="I250" i="5"/>
  <c r="J250" i="5" s="1"/>
  <c r="I252" i="5"/>
  <c r="J252" i="5" s="1"/>
  <c r="I253" i="5"/>
  <c r="J253" i="5"/>
  <c r="I248" i="5"/>
  <c r="J248" i="5" s="1"/>
  <c r="I251" i="5"/>
  <c r="J251" i="5" s="1"/>
  <c r="I249" i="5"/>
  <c r="J249" i="5" s="1"/>
  <c r="I242" i="5"/>
  <c r="J242" i="5" s="1"/>
  <c r="I245" i="5"/>
  <c r="J245" i="5" s="1"/>
  <c r="I246" i="5"/>
  <c r="J246" i="5" s="1"/>
  <c r="I238" i="5"/>
  <c r="J238" i="5" s="1"/>
  <c r="I244" i="5"/>
  <c r="J244" i="5" s="1"/>
  <c r="I243" i="5"/>
  <c r="J243" i="5" s="1"/>
  <c r="I240" i="5"/>
  <c r="J240" i="5" s="1"/>
  <c r="I239" i="5"/>
  <c r="J239" i="5" s="1"/>
  <c r="I241" i="5"/>
  <c r="J241" i="5" s="1"/>
  <c r="I236" i="5"/>
  <c r="J236" i="5" s="1"/>
  <c r="I233" i="5"/>
  <c r="J233" i="5" s="1"/>
  <c r="I174" i="5"/>
  <c r="J174" i="5" s="1"/>
  <c r="I187" i="5"/>
  <c r="J187" i="5" s="1"/>
  <c r="I8" i="5"/>
  <c r="J8" i="5" s="1"/>
  <c r="I11" i="5"/>
  <c r="J11" i="5" s="1"/>
  <c r="I147" i="5"/>
  <c r="J147" i="5" s="1"/>
  <c r="I64" i="5"/>
  <c r="J64" i="5" s="1"/>
  <c r="I163" i="5"/>
  <c r="J163" i="5" s="1"/>
  <c r="I190" i="5"/>
  <c r="J190" i="5" s="1"/>
  <c r="I32" i="5"/>
  <c r="J32" i="5" s="1"/>
  <c r="I112" i="5"/>
  <c r="J112" i="5" s="1"/>
  <c r="I57" i="5"/>
  <c r="J57" i="5" s="1"/>
  <c r="I180" i="5"/>
  <c r="J180" i="5" s="1"/>
  <c r="I115" i="5"/>
  <c r="J115" i="5" s="1"/>
  <c r="I10" i="5"/>
  <c r="J10" i="5" s="1"/>
  <c r="I185" i="5"/>
  <c r="J185" i="5" s="1"/>
  <c r="I177" i="5"/>
  <c r="J177" i="5" s="1"/>
  <c r="I201" i="5"/>
  <c r="J201" i="5" s="1"/>
  <c r="I165" i="5"/>
  <c r="J165" i="5" s="1"/>
  <c r="I170" i="5"/>
  <c r="J170" i="5" s="1"/>
  <c r="I21" i="5"/>
  <c r="J21" i="5" s="1"/>
  <c r="I179" i="5"/>
  <c r="J179" i="5" s="1"/>
  <c r="I118" i="5"/>
  <c r="J118" i="5" s="1"/>
  <c r="I200" i="5"/>
  <c r="J200" i="5" s="1"/>
  <c r="I65" i="5"/>
  <c r="J65" i="5" s="1"/>
  <c r="I216" i="5"/>
  <c r="J216" i="5" s="1"/>
  <c r="I68" i="5"/>
  <c r="J68" i="5" s="1"/>
  <c r="I191" i="5"/>
  <c r="J191" i="5" s="1"/>
  <c r="I66" i="5"/>
  <c r="J66" i="5" s="1"/>
  <c r="I195" i="5"/>
  <c r="J195" i="5" s="1"/>
  <c r="I202" i="5"/>
  <c r="J202" i="5" s="1"/>
  <c r="I210" i="5"/>
  <c r="J210" i="5" s="1"/>
  <c r="I123" i="5"/>
  <c r="J123" i="5" s="1"/>
  <c r="I198" i="5"/>
  <c r="J198" i="5" s="1"/>
  <c r="I158" i="5"/>
  <c r="I175" i="5"/>
  <c r="J175" i="5" s="1"/>
  <c r="I44" i="5"/>
  <c r="J44" i="5" s="1"/>
  <c r="I199" i="5"/>
  <c r="J199" i="5" s="1"/>
  <c r="I222" i="5"/>
  <c r="J222" i="5" s="1"/>
  <c r="I220" i="5"/>
  <c r="J220" i="5" s="1"/>
  <c r="I215" i="5"/>
  <c r="J215" i="5" s="1"/>
  <c r="I206" i="5"/>
  <c r="J206" i="5" s="1"/>
  <c r="I217" i="5"/>
  <c r="J217" i="5" s="1"/>
  <c r="I89" i="5"/>
  <c r="J89" i="5" s="1"/>
  <c r="I119" i="5"/>
  <c r="J119" i="5" s="1"/>
  <c r="I45" i="5"/>
  <c r="J45" i="5" s="1"/>
  <c r="I148" i="5"/>
  <c r="J148" i="5" s="1"/>
  <c r="I129" i="5"/>
  <c r="J129" i="5" s="1"/>
  <c r="I169" i="5"/>
  <c r="J169" i="5" s="1"/>
  <c r="I53" i="5"/>
  <c r="J53" i="5" s="1"/>
  <c r="I143" i="5"/>
  <c r="J143" i="5" s="1"/>
  <c r="I24" i="5"/>
  <c r="J24" i="5" s="1"/>
  <c r="I124" i="5"/>
  <c r="J124" i="5" s="1"/>
  <c r="I131" i="5"/>
  <c r="J131" i="5" s="1"/>
  <c r="I91" i="5"/>
  <c r="J91" i="5" s="1"/>
  <c r="I99" i="5"/>
  <c r="J99" i="5" s="1"/>
  <c r="I121" i="5"/>
  <c r="J121" i="5" s="1"/>
  <c r="I34" i="5"/>
  <c r="J34" i="5" s="1"/>
  <c r="I188" i="5"/>
  <c r="J188" i="5" s="1"/>
  <c r="I183" i="5"/>
  <c r="J183" i="5" s="1"/>
  <c r="I4" i="5"/>
  <c r="J4" i="5" s="1"/>
  <c r="I105" i="5"/>
  <c r="J105" i="5" s="1"/>
  <c r="I209" i="5"/>
  <c r="J209" i="5" s="1"/>
  <c r="I77" i="5"/>
  <c r="J77" i="5" s="1"/>
  <c r="I71" i="5"/>
  <c r="J71" i="5" s="1"/>
  <c r="I218" i="5"/>
  <c r="J218" i="5"/>
  <c r="J204" i="5"/>
  <c r="I204" i="5"/>
  <c r="I203" i="5"/>
  <c r="J203" i="5" s="1"/>
  <c r="I219" i="5"/>
  <c r="J219" i="5" s="1"/>
  <c r="I207" i="5"/>
  <c r="J207" i="5" s="1"/>
  <c r="I224" i="5"/>
  <c r="J224" i="5" s="1"/>
  <c r="I225" i="5"/>
  <c r="J225" i="5" s="1"/>
  <c r="I212" i="5"/>
  <c r="J212" i="5" s="1"/>
  <c r="I214" i="5"/>
  <c r="J214" i="5" s="1"/>
  <c r="I208" i="5"/>
  <c r="J208" i="5" s="1"/>
  <c r="I223" i="5"/>
  <c r="J223" i="5" s="1"/>
  <c r="I227" i="5"/>
  <c r="J227" i="5" s="1"/>
  <c r="I226" i="5"/>
  <c r="J226" i="5" s="1"/>
  <c r="I211" i="5"/>
  <c r="J211" i="5" s="1"/>
  <c r="J221" i="5"/>
  <c r="I221" i="5"/>
  <c r="I205" i="5"/>
  <c r="J205" i="5" s="1"/>
  <c r="I213" i="5"/>
  <c r="J213" i="5" s="1"/>
  <c r="I87" i="5"/>
  <c r="J87" i="5" s="1"/>
  <c r="I40" i="5"/>
  <c r="J40" i="5" s="1"/>
  <c r="I184" i="5"/>
  <c r="J184" i="5" s="1"/>
  <c r="I152" i="5"/>
  <c r="J152" i="5" s="1"/>
  <c r="I75" i="5"/>
  <c r="J75" i="5" s="1"/>
  <c r="I102" i="5"/>
  <c r="J102" i="5" s="1"/>
  <c r="I142" i="5"/>
  <c r="J142" i="5" s="1"/>
  <c r="I107" i="5"/>
  <c r="J107" i="5" s="1"/>
  <c r="I7" i="5"/>
  <c r="J7" i="5" s="1"/>
  <c r="I43" i="5"/>
  <c r="I39" i="5"/>
  <c r="J39" i="5" s="1"/>
  <c r="I50" i="5"/>
  <c r="J50" i="5" s="1"/>
  <c r="I31" i="5"/>
  <c r="J31" i="5" s="1"/>
  <c r="I196" i="5"/>
  <c r="J196" i="5" s="1"/>
  <c r="I88" i="5"/>
  <c r="J88" i="5" s="1"/>
  <c r="I61" i="5"/>
  <c r="J61" i="5" s="1"/>
  <c r="I17" i="5"/>
  <c r="J17" i="5" s="1"/>
  <c r="I69" i="5"/>
  <c r="J69" i="5" s="1"/>
  <c r="I12" i="5"/>
  <c r="I41" i="5"/>
  <c r="J41" i="5" s="1"/>
  <c r="I193" i="5"/>
  <c r="J193" i="5" s="1"/>
  <c r="I133" i="5"/>
  <c r="J133" i="5" s="1"/>
  <c r="I161" i="5"/>
  <c r="J161" i="5" s="1"/>
  <c r="I14" i="5"/>
  <c r="J14" i="5" s="1"/>
  <c r="I126" i="5"/>
  <c r="J126" i="5" s="1"/>
  <c r="I145" i="5"/>
  <c r="J145" i="5" s="1"/>
  <c r="I137" i="5"/>
  <c r="J137" i="5" s="1"/>
  <c r="I30" i="5"/>
  <c r="J30" i="5" s="1"/>
  <c r="I189" i="5"/>
  <c r="J189" i="5" s="1"/>
  <c r="I120" i="5"/>
  <c r="J120" i="5" s="1"/>
  <c r="I73" i="5"/>
  <c r="J73" i="5" s="1"/>
  <c r="I127" i="5"/>
  <c r="J127" i="5" s="1"/>
  <c r="I56" i="5"/>
  <c r="J56" i="5" s="1"/>
  <c r="I146" i="5"/>
  <c r="I116" i="5"/>
  <c r="J116" i="5" s="1"/>
  <c r="I37" i="5"/>
  <c r="J37" i="5" s="1"/>
  <c r="I22" i="5"/>
  <c r="J22" i="5" s="1"/>
  <c r="I97" i="5"/>
  <c r="J97" i="5" s="1"/>
  <c r="I166" i="5"/>
  <c r="J166" i="5" s="1"/>
  <c r="I93" i="5"/>
  <c r="J93" i="5" s="1"/>
  <c r="I92" i="5"/>
  <c r="J92" i="5" s="1"/>
  <c r="I96" i="5"/>
  <c r="J96" i="5" s="1"/>
  <c r="I15" i="5"/>
  <c r="J15" i="5" s="1"/>
  <c r="I95" i="5"/>
  <c r="J95" i="5" s="1"/>
  <c r="I9" i="5"/>
  <c r="J9" i="5" s="1"/>
  <c r="I48" i="5"/>
  <c r="J48" i="5" s="1"/>
  <c r="I156" i="5"/>
  <c r="J156" i="5" s="1"/>
  <c r="I49" i="5"/>
  <c r="J49" i="5" s="1"/>
  <c r="I79" i="5"/>
  <c r="J79" i="5" s="1"/>
  <c r="I62" i="5"/>
  <c r="J62" i="5" s="1"/>
  <c r="I78" i="5"/>
  <c r="J78" i="5" s="1"/>
  <c r="I172" i="5"/>
  <c r="J172" i="5" s="1"/>
  <c r="I101" i="5"/>
  <c r="J101" i="5" s="1"/>
  <c r="I84" i="5"/>
  <c r="J84" i="5" s="1"/>
  <c r="I109" i="5"/>
  <c r="J109" i="5" s="1"/>
  <c r="I18" i="5"/>
  <c r="J18" i="5" s="1"/>
  <c r="I106" i="5"/>
  <c r="J106" i="5" s="1"/>
  <c r="I103" i="5"/>
  <c r="I3" i="5"/>
  <c r="J3" i="5" s="1"/>
  <c r="I176" i="5"/>
  <c r="J176" i="5" s="1"/>
  <c r="I139" i="5"/>
  <c r="I98" i="5"/>
  <c r="J98" i="5" s="1"/>
  <c r="I186" i="5"/>
  <c r="J186" i="5" s="1"/>
  <c r="I194" i="5"/>
  <c r="J194" i="5" s="1"/>
  <c r="I42" i="5"/>
  <c r="J42" i="5" s="1"/>
  <c r="I72" i="5"/>
  <c r="J72" i="5" s="1"/>
  <c r="I171" i="5"/>
  <c r="J171" i="5" s="1"/>
  <c r="I104" i="5"/>
  <c r="J104" i="5" s="1"/>
  <c r="I81" i="5"/>
  <c r="J81" i="5" s="1"/>
  <c r="I197" i="5"/>
  <c r="J197" i="5" s="1"/>
  <c r="I20" i="5"/>
  <c r="J20" i="5" s="1"/>
  <c r="I51" i="5"/>
  <c r="J51" i="5" s="1"/>
  <c r="I33" i="5"/>
  <c r="J33" i="5" s="1"/>
  <c r="I86" i="5"/>
  <c r="J86" i="5" s="1"/>
  <c r="I108" i="5"/>
  <c r="J108" i="5" s="1"/>
  <c r="I54" i="5"/>
  <c r="J54" i="5" s="1"/>
  <c r="I94" i="5"/>
  <c r="J94" i="5" s="1"/>
  <c r="I162" i="5"/>
  <c r="J162" i="5" s="1"/>
  <c r="I74" i="5"/>
  <c r="J74" i="5" s="1"/>
  <c r="I55" i="5"/>
  <c r="J55" i="5" s="1"/>
  <c r="I113" i="5"/>
  <c r="J113" i="5" s="1"/>
  <c r="I178" i="5"/>
  <c r="J178" i="5" s="1"/>
  <c r="I164" i="5"/>
  <c r="J164" i="5" s="1"/>
  <c r="I159" i="5"/>
  <c r="J159" i="5" s="1"/>
  <c r="I46" i="5"/>
  <c r="J46" i="5" s="1"/>
  <c r="I80" i="5"/>
  <c r="J80" i="5" s="1"/>
  <c r="I181" i="5"/>
  <c r="J181" i="5" s="1"/>
  <c r="I144" i="5"/>
  <c r="J144" i="5" s="1"/>
  <c r="I173" i="5"/>
  <c r="J173" i="5" s="1"/>
  <c r="I67" i="5"/>
  <c r="J67" i="5" s="1"/>
  <c r="I70" i="5"/>
  <c r="J70" i="5" s="1"/>
  <c r="I6" i="5"/>
  <c r="J6" i="5"/>
  <c r="I83" i="5"/>
  <c r="J83" i="5" s="1"/>
  <c r="I76" i="5"/>
  <c r="J76" i="5" s="1"/>
  <c r="I60" i="5"/>
  <c r="J60" i="5" s="1"/>
  <c r="I150" i="5"/>
  <c r="J150" i="5" s="1"/>
  <c r="I36" i="5"/>
  <c r="J36" i="5" s="1"/>
  <c r="I136" i="5"/>
  <c r="J136" i="5" s="1"/>
  <c r="I25" i="5"/>
  <c r="J25" i="5" s="1"/>
  <c r="I5" i="5"/>
  <c r="J5" i="5" s="1"/>
  <c r="I38" i="5"/>
  <c r="J38" i="5" s="1"/>
  <c r="I130" i="5"/>
  <c r="J130" i="5" s="1"/>
  <c r="I134" i="5"/>
  <c r="J134" i="5" s="1"/>
  <c r="I125" i="5"/>
  <c r="J125" i="5" s="1"/>
  <c r="I90" i="5"/>
  <c r="J90" i="5" s="1"/>
  <c r="I27" i="5"/>
  <c r="J27" i="5" s="1"/>
  <c r="I153" i="5"/>
  <c r="J153" i="5" s="1"/>
  <c r="I122" i="5"/>
  <c r="J122" i="5" s="1"/>
  <c r="I28" i="5"/>
  <c r="J28" i="5" s="1"/>
  <c r="I149" i="5"/>
  <c r="J149" i="5" s="1"/>
  <c r="I29" i="5"/>
  <c r="J29" i="5" s="1"/>
  <c r="I58" i="5"/>
  <c r="J58" i="5" s="1"/>
  <c r="I2" i="5"/>
  <c r="J2" i="5" s="1"/>
  <c r="I157" i="5"/>
  <c r="J157" i="5" s="1"/>
  <c r="I23" i="5"/>
  <c r="J23" i="5" s="1"/>
  <c r="I140" i="5"/>
  <c r="J140" i="5" s="1"/>
  <c r="J160" i="5"/>
  <c r="I160" i="5"/>
  <c r="I114" i="5"/>
  <c r="J114" i="5" s="1"/>
  <c r="I59" i="5"/>
  <c r="J59" i="5" s="1"/>
  <c r="I168" i="5"/>
  <c r="J168" i="5" s="1"/>
  <c r="I85" i="5"/>
  <c r="J85" i="5" s="1"/>
  <c r="I141" i="5"/>
  <c r="J141" i="5" s="1"/>
  <c r="I135" i="5"/>
  <c r="J135" i="5" s="1"/>
  <c r="I26" i="5"/>
  <c r="J26" i="5" s="1"/>
  <c r="I138" i="5"/>
  <c r="J138" i="5" s="1"/>
  <c r="I167" i="5"/>
  <c r="J167" i="5" s="1"/>
  <c r="I63" i="5"/>
  <c r="J63" i="5" s="1"/>
  <c r="I82" i="5"/>
  <c r="J82" i="5" s="1"/>
  <c r="I132" i="5"/>
  <c r="J132" i="5" s="1"/>
  <c r="J100" i="5"/>
  <c r="I100" i="5"/>
  <c r="I47" i="5"/>
  <c r="J47" i="5"/>
  <c r="J155" i="5"/>
  <c r="I155" i="5"/>
  <c r="I13" i="5"/>
  <c r="J13" i="5" s="1"/>
  <c r="J16" i="5"/>
  <c r="I16" i="5"/>
  <c r="I110" i="5"/>
  <c r="J110" i="5" s="1"/>
  <c r="I111" i="5"/>
  <c r="J111" i="5" s="1"/>
  <c r="I52" i="5"/>
  <c r="J52" i="5" s="1"/>
  <c r="I35" i="5"/>
  <c r="J35" i="5" s="1"/>
  <c r="I128" i="5"/>
  <c r="J128" i="5" s="1"/>
  <c r="I182" i="5"/>
  <c r="J182" i="5" s="1"/>
  <c r="I19" i="5"/>
  <c r="J19" i="5" s="1"/>
  <c r="J154" i="5"/>
  <c r="I154" i="5"/>
  <c r="I151" i="5"/>
  <c r="J151" i="5" s="1"/>
  <c r="D143" i="2"/>
  <c r="G143" i="2" s="1"/>
  <c r="B144" i="2" s="1"/>
  <c r="G144" i="2" s="1"/>
  <c r="B145" i="2" s="1"/>
  <c r="G145" i="2" s="1"/>
  <c r="B146" i="2" s="1"/>
  <c r="G146" i="2" s="1"/>
  <c r="B147" i="2" s="1"/>
  <c r="G147" i="2" s="1"/>
  <c r="B148" i="2" s="1"/>
  <c r="G148" i="2" s="1"/>
  <c r="B149" i="2" s="1"/>
  <c r="G149" i="2" s="1"/>
  <c r="B150" i="2" s="1"/>
  <c r="G150" i="2" s="1"/>
  <c r="B151" i="2" s="1"/>
  <c r="G151" i="2" s="1"/>
  <c r="B152" i="2" s="1"/>
  <c r="G152" i="2" s="1"/>
  <c r="B153" i="2" s="1"/>
  <c r="G153" i="2" s="1"/>
  <c r="B154" i="2" s="1"/>
  <c r="G154" i="2" s="1"/>
  <c r="B155" i="2" s="1"/>
  <c r="G155" i="2" s="1"/>
  <c r="B156" i="2" s="1"/>
  <c r="G156" i="2" s="1"/>
  <c r="B157" i="2" s="1"/>
  <c r="G157" i="2" s="1"/>
  <c r="B158" i="2" s="1"/>
  <c r="G158" i="2" s="1"/>
  <c r="B159" i="2" s="1"/>
  <c r="G159" i="2" s="1"/>
  <c r="B160" i="2" s="1"/>
  <c r="G160" i="2" s="1"/>
  <c r="B161" i="2" s="1"/>
  <c r="G161" i="2" s="1"/>
  <c r="B162" i="2" s="1"/>
  <c r="G162" i="2" s="1"/>
  <c r="B163" i="2" s="1"/>
  <c r="G163" i="2" s="1"/>
  <c r="B164" i="2" s="1"/>
  <c r="G164" i="2" s="1"/>
  <c r="B165" i="2" s="1"/>
  <c r="G165" i="2" s="1"/>
  <c r="B166" i="2" s="1"/>
  <c r="G166" i="2" s="1"/>
  <c r="B167" i="2" s="1"/>
  <c r="G167" i="2" s="1"/>
  <c r="B168" i="2" s="1"/>
  <c r="G168" i="2" s="1"/>
  <c r="B169" i="2" s="1"/>
  <c r="G169" i="2" s="1"/>
  <c r="B170" i="2" s="1"/>
  <c r="G170" i="2" s="1"/>
  <c r="B171" i="2" s="1"/>
  <c r="G171" i="2" s="1"/>
  <c r="B172" i="2" s="1"/>
  <c r="G172" i="2" s="1"/>
  <c r="B173" i="2" s="1"/>
  <c r="G173" i="2" s="1"/>
  <c r="B174" i="2" s="1"/>
  <c r="G174" i="2" s="1"/>
  <c r="B175" i="2" s="1"/>
  <c r="G175" i="2" s="1"/>
  <c r="B176" i="2" s="1"/>
  <c r="G176" i="2" s="1"/>
  <c r="B177" i="2" s="1"/>
  <c r="G177" i="2" s="1"/>
  <c r="B178" i="2" s="1"/>
  <c r="G178" i="2" s="1"/>
  <c r="B179" i="2" s="1"/>
  <c r="G179" i="2" s="1"/>
  <c r="B180" i="2" s="1"/>
  <c r="G180" i="2" s="1"/>
  <c r="B181" i="2" s="1"/>
  <c r="G181" i="2" s="1"/>
  <c r="B182" i="2" s="1"/>
  <c r="G182" i="2" s="1"/>
  <c r="B183" i="2" s="1"/>
  <c r="G183" i="2" s="1"/>
  <c r="B184" i="2" s="1"/>
  <c r="G184" i="2" s="1"/>
  <c r="B185" i="2" s="1"/>
  <c r="G185" i="2" s="1"/>
  <c r="B186" i="2" s="1"/>
  <c r="G186" i="2" s="1"/>
  <c r="B187" i="2" s="1"/>
  <c r="G187" i="2" s="1"/>
  <c r="B188" i="2" s="1"/>
  <c r="G188" i="2" s="1"/>
  <c r="B189" i="2" s="1"/>
  <c r="G189" i="2" s="1"/>
  <c r="B190" i="2" s="1"/>
  <c r="G190" i="2" s="1"/>
  <c r="B191" i="2" s="1"/>
  <c r="G191" i="2" s="1"/>
  <c r="B192" i="2" s="1"/>
  <c r="G192" i="2" s="1"/>
  <c r="B193" i="2" s="1"/>
  <c r="G8" i="8" l="1"/>
  <c r="H143" i="2"/>
  <c r="K124" i="2" s="1"/>
  <c r="B8" i="8" l="1"/>
  <c r="F8" i="8"/>
  <c r="E8" i="8" l="1"/>
  <c r="F4546" i="1"/>
  <c r="F4544" i="1"/>
  <c r="F4542" i="1"/>
  <c r="F4540" i="1"/>
  <c r="F4538" i="1"/>
  <c r="F4536" i="1"/>
  <c r="F4534" i="1"/>
  <c r="F4532" i="1"/>
  <c r="F4530" i="1"/>
  <c r="F4528" i="1"/>
  <c r="F4526" i="1"/>
  <c r="F4524" i="1"/>
  <c r="F4522" i="1"/>
  <c r="F4560" i="1"/>
  <c r="F4558" i="1"/>
  <c r="F4556" i="1"/>
  <c r="F4554" i="1"/>
  <c r="F4552" i="1"/>
  <c r="F4550" i="1"/>
  <c r="F4562" i="1"/>
  <c r="F4564" i="1"/>
  <c r="F4566" i="1"/>
  <c r="F4568" i="1"/>
  <c r="F4570" i="1"/>
  <c r="F4572" i="1"/>
  <c r="F4521" i="1"/>
  <c r="F4571" i="1"/>
  <c r="F4569" i="1"/>
  <c r="F4567" i="1"/>
  <c r="F4565" i="1"/>
  <c r="F4563" i="1"/>
  <c r="F4561" i="1"/>
  <c r="F4559" i="1"/>
  <c r="F4557" i="1"/>
  <c r="F4555" i="1"/>
  <c r="F4553" i="1"/>
  <c r="F4551" i="1"/>
  <c r="F4549" i="1"/>
  <c r="F4547" i="1"/>
  <c r="F4545" i="1"/>
  <c r="F4543" i="1"/>
  <c r="F4541" i="1"/>
  <c r="F4539" i="1"/>
  <c r="F4537" i="1"/>
  <c r="F4535" i="1"/>
  <c r="F4533" i="1"/>
  <c r="F4531" i="1"/>
  <c r="F4529" i="1"/>
  <c r="F4527" i="1"/>
  <c r="F4525" i="1"/>
  <c r="F4523" i="1"/>
  <c r="I4574" i="1" l="1"/>
  <c r="E4575" i="1"/>
  <c r="I4573" i="1"/>
  <c r="D193" i="2" s="1"/>
  <c r="I4575" i="1"/>
  <c r="E4573" i="1"/>
  <c r="E193" i="2"/>
  <c r="H193" i="2" l="1"/>
  <c r="G193" i="2"/>
  <c r="B194" i="2" s="1"/>
  <c r="G194" i="2" s="1"/>
  <c r="B195" i="2" s="1"/>
  <c r="G195" i="2" s="1"/>
  <c r="B196" i="2" s="1"/>
  <c r="G196" i="2" s="1"/>
  <c r="B197" i="2" s="1"/>
  <c r="G197" i="2" s="1"/>
  <c r="B198" i="2" s="1"/>
  <c r="G198" i="2" s="1"/>
  <c r="B199" i="2" s="1"/>
  <c r="G199" i="2" s="1"/>
  <c r="B200" i="2" s="1"/>
  <c r="G200" i="2" s="1"/>
  <c r="B201" i="2" s="1"/>
  <c r="G201" i="2" s="1"/>
  <c r="B202" i="2" s="1"/>
  <c r="G202" i="2" s="1"/>
  <c r="B203" i="2" s="1"/>
  <c r="G203" i="2" s="1"/>
  <c r="B204" i="2" s="1"/>
  <c r="G204" i="2" s="1"/>
  <c r="B205" i="2" s="1"/>
  <c r="G205" i="2" s="1"/>
  <c r="B206" i="2" s="1"/>
  <c r="G206" i="2" s="1"/>
  <c r="B207" i="2" s="1"/>
  <c r="G207" i="2" s="1"/>
  <c r="B208" i="2" s="1"/>
  <c r="G208" i="2" s="1"/>
  <c r="B209" i="2" s="1"/>
  <c r="G209" i="2" s="1"/>
  <c r="B210" i="2" s="1"/>
  <c r="G210" i="2" s="1"/>
  <c r="B211" i="2" s="1"/>
  <c r="G211" i="2" s="1"/>
  <c r="B212" i="2" s="1"/>
  <c r="G212" i="2" s="1"/>
  <c r="B213" i="2" s="1"/>
  <c r="G213" i="2" s="1"/>
  <c r="B214" i="2" s="1"/>
  <c r="G214" i="2" s="1"/>
  <c r="B215" i="2" s="1"/>
  <c r="G215" i="2" s="1"/>
  <c r="B216" i="2" s="1"/>
  <c r="G216" i="2" s="1"/>
  <c r="B217" i="2" s="1"/>
  <c r="G217" i="2" s="1"/>
  <c r="B218" i="2" s="1"/>
  <c r="G218" i="2" s="1"/>
  <c r="B219" i="2" s="1"/>
  <c r="G219" i="2" s="1"/>
  <c r="B220" i="2" s="1"/>
  <c r="G220" i="2" s="1"/>
  <c r="B221" i="2" s="1"/>
  <c r="G221" i="2" s="1"/>
  <c r="B222" i="2" s="1"/>
  <c r="G222" i="2" s="1"/>
  <c r="B223" i="2" s="1"/>
  <c r="G223" i="2" s="1"/>
  <c r="B224" i="2" s="1"/>
  <c r="G224" i="2" s="1"/>
  <c r="B225" i="2" s="1"/>
  <c r="G225" i="2" s="1"/>
  <c r="B226" i="2" s="1"/>
  <c r="G226" i="2" s="1"/>
  <c r="B227" i="2" s="1"/>
  <c r="G227" i="2" s="1"/>
  <c r="B228" i="2" s="1"/>
  <c r="G228" i="2" s="1"/>
  <c r="B229" i="2" s="1"/>
  <c r="G229" i="2" s="1"/>
  <c r="B230" i="2" s="1"/>
  <c r="G230" i="2" s="1"/>
  <c r="B231" i="2" s="1"/>
  <c r="G231" i="2" s="1"/>
  <c r="B232" i="2" s="1"/>
  <c r="G232" i="2" s="1"/>
  <c r="B233" i="2" s="1"/>
  <c r="G233" i="2" s="1"/>
  <c r="B234" i="2" s="1"/>
  <c r="G234" i="2" s="1"/>
  <c r="B235" i="2" s="1"/>
  <c r="G235" i="2" s="1"/>
  <c r="B236" i="2" s="1"/>
  <c r="G236" i="2" s="1"/>
  <c r="B237" i="2" s="1"/>
  <c r="G237" i="2" s="1"/>
  <c r="B238" i="2" s="1"/>
  <c r="G238" i="2" s="1"/>
  <c r="B239" i="2" s="1"/>
  <c r="G239" i="2" s="1"/>
  <c r="B240" i="2" s="1"/>
  <c r="G240" i="2" s="1"/>
  <c r="B241" i="2" s="1"/>
  <c r="G241" i="2" s="1"/>
  <c r="B242" i="2" s="1"/>
  <c r="G242" i="2" s="1"/>
  <c r="B243" i="2" s="1"/>
  <c r="G243" i="2" s="1"/>
  <c r="B244" i="2" s="1"/>
  <c r="G244" i="2" s="1"/>
  <c r="B245" i="2" s="1"/>
  <c r="G245" i="2" s="1"/>
  <c r="F10" i="8"/>
  <c r="F15" i="8" s="1"/>
  <c r="B10" i="8" l="1"/>
  <c r="E10" i="8" s="1"/>
  <c r="K9" i="8" s="1"/>
  <c r="L185" i="2"/>
  <c r="K185" i="2"/>
  <c r="B15" i="8" l="1"/>
  <c r="K6" i="8"/>
</calcChain>
</file>

<file path=xl/sharedStrings.xml><?xml version="1.0" encoding="utf-8"?>
<sst xmlns="http://schemas.openxmlformats.org/spreadsheetml/2006/main" count="25586" uniqueCount="1533">
  <si>
    <t>Date</t>
  </si>
  <si>
    <t>Category</t>
  </si>
  <si>
    <t>Item</t>
  </si>
  <si>
    <t>Qty</t>
  </si>
  <si>
    <t>Amount</t>
  </si>
  <si>
    <t>Payment Mode</t>
  </si>
  <si>
    <t xml:space="preserve">IF CREDIT </t>
  </si>
  <si>
    <t>Grocery</t>
  </si>
  <si>
    <t>BISLERI 2 LITRES</t>
  </si>
  <si>
    <t>Cash</t>
  </si>
  <si>
    <t>UPI</t>
  </si>
  <si>
    <t>LIFEBUOY LEMON</t>
  </si>
  <si>
    <t xml:space="preserve">DOVE SHAMPOO CONDITIONER SATCHET </t>
  </si>
  <si>
    <t>PANASONIC AA JUMBO BATTERY</t>
  </si>
  <si>
    <t>BHARAT DARSHAN</t>
  </si>
  <si>
    <t>PARACHUTE JASMINE GOLD</t>
  </si>
  <si>
    <t>Credit</t>
  </si>
  <si>
    <t>BAJAJ ALMOND DROPS  100 ML</t>
  </si>
  <si>
    <t>UJALA 10 INR BOTTLE</t>
  </si>
  <si>
    <t>SURF EXCEL 70 GM</t>
  </si>
  <si>
    <t>LUX PINK</t>
  </si>
  <si>
    <t>PEARS SOFT AND GENTLE 100 GM</t>
  </si>
  <si>
    <t>SUNSILK BLACK SHINE SATCHET</t>
  </si>
  <si>
    <t>SURJYO COIL</t>
  </si>
  <si>
    <t>SURF EXCEL 500 GM</t>
  </si>
  <si>
    <t>FEVI KWIK 1 GM</t>
  </si>
  <si>
    <t>TANISHQ KISMIS</t>
  </si>
  <si>
    <t>MANORAMA GHEE 100 GM</t>
  </si>
  <si>
    <t xml:space="preserve">LOOSE BIRYANI RICE </t>
  </si>
  <si>
    <t>LOOSE KAJU</t>
  </si>
  <si>
    <t>LOOSE BOOT DAL</t>
  </si>
  <si>
    <t>LOOSE GREEN MOONG</t>
  </si>
  <si>
    <t>LOOSE SONA MOONG DAL</t>
  </si>
  <si>
    <t>SISTER TURMERIC POWDER 250 GM</t>
  </si>
  <si>
    <t>EXO ROUND 325 GM</t>
  </si>
  <si>
    <t>AMUL BUTTER 200 GM</t>
  </si>
  <si>
    <t>COMFORT 210 ML</t>
  </si>
  <si>
    <t>TATA SALT</t>
  </si>
  <si>
    <t>MANGALDEEP MARIGOLD</t>
  </si>
  <si>
    <t>TEJ PATA</t>
  </si>
  <si>
    <t>SAFFOLA OATS 1 KG</t>
  </si>
  <si>
    <t>AMUL TAAZA 1 LITRE</t>
  </si>
  <si>
    <t xml:space="preserve">POTATO </t>
  </si>
  <si>
    <t>EXO BAR 70GM</t>
  </si>
  <si>
    <t>LOOSE MASOOR DAL</t>
  </si>
  <si>
    <t>Opening Cash</t>
  </si>
  <si>
    <t>Cash Out</t>
  </si>
  <si>
    <t>Closing Cash</t>
  </si>
  <si>
    <t>Supplier</t>
  </si>
  <si>
    <t>Paid/Credit</t>
  </si>
  <si>
    <t>Cost per unit</t>
  </si>
  <si>
    <t>ABHIJIT BANIK</t>
  </si>
  <si>
    <t>PAID</t>
  </si>
  <si>
    <t>GOL BAZAAR</t>
  </si>
  <si>
    <t>PASS PASS PULSE</t>
  </si>
  <si>
    <t>HAJMOLA CHATCOLA</t>
  </si>
  <si>
    <t>LOKNATH STORES GOLBAZAAR</t>
  </si>
  <si>
    <t>HAJMOLA IMLI</t>
  </si>
  <si>
    <t>LIFEBUOY RED</t>
  </si>
  <si>
    <t xml:space="preserve">DETTOL REGULAR </t>
  </si>
  <si>
    <t>VIVEL ALOE</t>
  </si>
  <si>
    <t xml:space="preserve">SAVLON ORANGE </t>
  </si>
  <si>
    <t>VIVEL  SET PINK</t>
  </si>
  <si>
    <t>HEAD AND SHOULDERS ANTI DANDRUFF SATCHET</t>
  </si>
  <si>
    <t>TRESSEMME SHAMPOO CONDITIONER SATCHET</t>
  </si>
  <si>
    <t>JOYRAM ENTERPRISE GOLBAZAAR</t>
  </si>
  <si>
    <t>DYNA SOAP</t>
  </si>
  <si>
    <t>PANASONIC AAA BATTERY</t>
  </si>
  <si>
    <t>PANASONIC AA  BATTERY</t>
  </si>
  <si>
    <t>TIDE WHITE BAR</t>
  </si>
  <si>
    <t>PATANJALI DISHWASHER BAR 70 GM</t>
  </si>
  <si>
    <t>PATANJALI DISHWASHER BAR 145 GM</t>
  </si>
  <si>
    <t xml:space="preserve">BOROLINE 6GM </t>
  </si>
  <si>
    <t>CYCLE BANSURI CHANDAN 19 GM</t>
  </si>
  <si>
    <t>CYCLE BANSURI 45 GM</t>
  </si>
  <si>
    <t>GOOD KNIGHT ANTI-MOSQUITO AGARBATTI</t>
  </si>
  <si>
    <t>BALADEV STORES GOLBAZAAR</t>
  </si>
  <si>
    <t>CANDLE 5 INR</t>
  </si>
  <si>
    <t>NEW BASANTI STORES GOLBAZAAR</t>
  </si>
  <si>
    <t>SHIV SHAKTI DHOP BATI</t>
  </si>
  <si>
    <t>DETTOL ANTISEPTIC LIQUID 60 ML</t>
  </si>
  <si>
    <t xml:space="preserve">PARLE MANGO BITE </t>
  </si>
  <si>
    <t>NAVRATNA AYURVEDIC OIL 90 ML</t>
  </si>
  <si>
    <t>SUPER TELEVISION WASHING SOAP 110 GM</t>
  </si>
  <si>
    <t>HARPIC 200ML</t>
  </si>
  <si>
    <t>EXO ROUND 200GM</t>
  </si>
  <si>
    <t>SUN MAGIC  ANTI MOSQUITO STICK</t>
  </si>
  <si>
    <t>GOOD KNIGHT MOSQUITO REFILL</t>
  </si>
  <si>
    <t>GOOD KNIGHT LIQUID VAPORISER</t>
  </si>
  <si>
    <t>CLINIC PLUS EGG PROTEIN</t>
  </si>
  <si>
    <t xml:space="preserve">VASELINE </t>
  </si>
  <si>
    <t>LYZOL 200 ML</t>
  </si>
  <si>
    <t>PARESH SAHA GOLBAZAAR</t>
  </si>
  <si>
    <t>SISTER TURMERIC POWDER 100 GM</t>
  </si>
  <si>
    <t>SISTER TURMERIC POWDER 40 GM</t>
  </si>
  <si>
    <t>SISTER TURMERIC POWDER 20 GM</t>
  </si>
  <si>
    <t>SISTER CORIANDER POWDER 250 GM</t>
  </si>
  <si>
    <t>SISTER CORIANDER POWDER 100 GM</t>
  </si>
  <si>
    <t>SISTER CORIANDER POWDER 40 GM</t>
  </si>
  <si>
    <t>SISTER CORIANDER POWDER 20 GM</t>
  </si>
  <si>
    <t>SISTER RED CHILLI POWDER 250 GM</t>
  </si>
  <si>
    <t>SISTER RED CHILLI POWDER 100 GM</t>
  </si>
  <si>
    <t>SISTER RED CHILLI POWDER 40 GM</t>
  </si>
  <si>
    <t>SISTER RED CHILLI POWDER 20 GM</t>
  </si>
  <si>
    <t xml:space="preserve">VEET 30 GM </t>
  </si>
  <si>
    <t xml:space="preserve">SUNSILK BLACK SHINE SHAMPOO </t>
  </si>
  <si>
    <t>SUNSILK THICK AND LONG SHAMPOO</t>
  </si>
  <si>
    <t>LYZOL 500 ML</t>
  </si>
  <si>
    <t>PEARS PURE AND GENTLE 60 HM</t>
  </si>
  <si>
    <t>GODREJ EXPERT RICH CRÈME MINI PACK</t>
  </si>
  <si>
    <t>MAGGI MASALA MAGIC</t>
  </si>
  <si>
    <t>RAHUL SAHA GOLBAZAAR 7005400967</t>
  </si>
  <si>
    <t xml:space="preserve">APSARA SHARPNER </t>
  </si>
  <si>
    <t>DOMS ERASERS</t>
  </si>
  <si>
    <t>LUXOR NOX</t>
  </si>
  <si>
    <t>HAUSER BALL PEN</t>
  </si>
  <si>
    <t>KANGAROO STAPLER NO. 10</t>
  </si>
  <si>
    <t>PENTONIC BALL PEN</t>
  </si>
  <si>
    <t>FEVIGUM</t>
  </si>
  <si>
    <t>FEVICOL 20 GM</t>
  </si>
  <si>
    <t>DOMS PENCIL</t>
  </si>
  <si>
    <t>APSARA PENCIL</t>
  </si>
  <si>
    <t>GENERIC PENS</t>
  </si>
  <si>
    <t>BANI PRABHA SAHA GOLBAZAAR</t>
  </si>
  <si>
    <t>BAJAJ ALMOND DROPS 50 ML</t>
  </si>
  <si>
    <t>DOVE SHAMPOO 75 ML</t>
  </si>
  <si>
    <t>SUNSILK BLACK SHINE SHAMPOO 80 ML</t>
  </si>
  <si>
    <t>CLINIC PLUS STRONG AND LONG SHAMPOO 80 ML</t>
  </si>
  <si>
    <t>HEAD AND SHOULDERS SHAMPOO 72 ML</t>
  </si>
  <si>
    <t>COLGATE SUPER FLEXI BRUSH</t>
  </si>
  <si>
    <t>HEAD AND SHOULDERS SATCHET</t>
  </si>
  <si>
    <t xml:space="preserve">COLGATE STRONG TEETH 18 GM </t>
  </si>
  <si>
    <t>COLGATE STRONG TEETH 40 GM</t>
  </si>
  <si>
    <t>LASER READY RAZOR</t>
  </si>
  <si>
    <t>GILLETE GUARD</t>
  </si>
  <si>
    <t>GILLETE GUARD BLADE</t>
  </si>
  <si>
    <t>PEARS ORIGINAL GLYCERIN BAR 100 GM</t>
  </si>
  <si>
    <t>SAVLON HANDWASH 80 ML</t>
  </si>
  <si>
    <t>NITAI SAHA GOLBAZAAR</t>
  </si>
  <si>
    <t>AMUL T SPECIAL</t>
  </si>
  <si>
    <t>TEA LOOSE</t>
  </si>
  <si>
    <t>CANDLE 35 INR</t>
  </si>
  <si>
    <t>SISTER JEERA POWDER 250 GM</t>
  </si>
  <si>
    <t>LOOSE DRY RED CHILLI</t>
  </si>
  <si>
    <t>COLAGATE STRONG TEETH 100 GM</t>
  </si>
  <si>
    <t>LOOSE TEJ PATA</t>
  </si>
  <si>
    <t xml:space="preserve">VIVEL SET PINK </t>
  </si>
  <si>
    <t>FORTUNE SOYA HEALTH 1 LITRE</t>
  </si>
  <si>
    <t>FORTUNE KACHI GHANI 1 LITRE</t>
  </si>
  <si>
    <t>MANORAMA GHEE 200 GM</t>
  </si>
  <si>
    <t>VIMAL PAPAD</t>
  </si>
  <si>
    <t xml:space="preserve">EXO STEEL WOOL </t>
  </si>
  <si>
    <t>COLGATE 200 GM</t>
  </si>
  <si>
    <t xml:space="preserve">DETTOL POWDER TO LIQUID </t>
  </si>
  <si>
    <t>CLINIC PLUS EGG PROTEIN SATCHET</t>
  </si>
  <si>
    <t>SHYAMAL BANIK GOLBAZAAR</t>
  </si>
  <si>
    <t>BISK FARM SUGAR FREE</t>
  </si>
  <si>
    <t xml:space="preserve">LOOSE SONA MOONG </t>
  </si>
  <si>
    <t xml:space="preserve">LOOSE MUSTARD </t>
  </si>
  <si>
    <t>LOOSE ANGOOR MASOOR DAL</t>
  </si>
  <si>
    <t>LOOSE MOTOR DAL</t>
  </si>
  <si>
    <t xml:space="preserve">ASHIRBAD ATTA </t>
  </si>
  <si>
    <t xml:space="preserve">SUNRISE MUSTARD POWDER </t>
  </si>
  <si>
    <t xml:space="preserve">KISMIS </t>
  </si>
  <si>
    <t>Opening</t>
  </si>
  <si>
    <t>Purchased</t>
  </si>
  <si>
    <t>Sold</t>
  </si>
  <si>
    <t>Closing</t>
  </si>
  <si>
    <t>Physical stock</t>
  </si>
  <si>
    <t>Variance</t>
  </si>
  <si>
    <t>Variance Status</t>
  </si>
  <si>
    <t>BUTTER</t>
  </si>
  <si>
    <t>MILK</t>
  </si>
  <si>
    <t>STATIONARY</t>
  </si>
  <si>
    <t>HAIR OIL</t>
  </si>
  <si>
    <t>AGARBATTI</t>
  </si>
  <si>
    <t>BOTTLED WATER</t>
  </si>
  <si>
    <t>LIP BALM</t>
  </si>
  <si>
    <t>CANDLE</t>
  </si>
  <si>
    <t>SATCHET</t>
  </si>
  <si>
    <t>SHAMPOO</t>
  </si>
  <si>
    <t>TOOTHPASTE</t>
  </si>
  <si>
    <t>TOOTHBRUSH</t>
  </si>
  <si>
    <t>ANTISEPTIC LIQUID</t>
  </si>
  <si>
    <t>SOAP</t>
  </si>
  <si>
    <t xml:space="preserve">DYNA </t>
  </si>
  <si>
    <t>DISH SOAP</t>
  </si>
  <si>
    <t>RAZOR</t>
  </si>
  <si>
    <t>RAZOR ACCESSORY</t>
  </si>
  <si>
    <t>HAIR COLOUR</t>
  </si>
  <si>
    <t>ANTI MOSQUITO AGARBATTI</t>
  </si>
  <si>
    <t xml:space="preserve">MOSQUITO </t>
  </si>
  <si>
    <t>HAJMOLA CHAT COLA</t>
  </si>
  <si>
    <t xml:space="preserve">CHOCOLATE </t>
  </si>
  <si>
    <t>TOILET CLEANER</t>
  </si>
  <si>
    <t>CANDY</t>
  </si>
  <si>
    <t>LIZOL 500 ML</t>
  </si>
  <si>
    <t>HOME CLEANING</t>
  </si>
  <si>
    <t>RICE</t>
  </si>
  <si>
    <t>FOOD FLAVOUR</t>
  </si>
  <si>
    <t>GHEE</t>
  </si>
  <si>
    <t>AA BATTERY</t>
  </si>
  <si>
    <t>AAA BATTERY</t>
  </si>
  <si>
    <t>HANDWASH</t>
  </si>
  <si>
    <t>SPICES</t>
  </si>
  <si>
    <t>CLOTH SOAP</t>
  </si>
  <si>
    <t>CLOTH POWDER</t>
  </si>
  <si>
    <t xml:space="preserve"> KISMIS</t>
  </si>
  <si>
    <t>KISMIS</t>
  </si>
  <si>
    <t>TEA</t>
  </si>
  <si>
    <t>BODY AND HEALTH</t>
  </si>
  <si>
    <t>PRODUCT NAME</t>
  </si>
  <si>
    <t>CATEGORY</t>
  </si>
  <si>
    <t>COST PER UNIT</t>
  </si>
  <si>
    <t>QUANTITY SOLD</t>
  </si>
  <si>
    <t>REVENUE</t>
  </si>
  <si>
    <t>TOTAL COST</t>
  </si>
  <si>
    <t>GROSS PROFIT</t>
  </si>
  <si>
    <t>PROFIT %</t>
  </si>
  <si>
    <t>WHITNER</t>
  </si>
  <si>
    <t>ATTA</t>
  </si>
  <si>
    <t>BISCUIT</t>
  </si>
  <si>
    <t xml:space="preserve">CLOTH </t>
  </si>
  <si>
    <t>EDIBLE OIL</t>
  </si>
  <si>
    <t>MOSQUITO REPELLENT</t>
  </si>
  <si>
    <t>CHOCOLATE</t>
  </si>
  <si>
    <t>DAL</t>
  </si>
  <si>
    <t>CHILLI</t>
  </si>
  <si>
    <t>DRY FRUIT</t>
  </si>
  <si>
    <t>WHOLE SPICE</t>
  </si>
  <si>
    <t>BATTERY</t>
  </si>
  <si>
    <t>OATS</t>
  </si>
  <si>
    <t>SPECIES</t>
  </si>
  <si>
    <t>SPICE</t>
  </si>
  <si>
    <t>SALT</t>
  </si>
  <si>
    <t>CLOTH</t>
  </si>
  <si>
    <t>PAPAD</t>
  </si>
  <si>
    <t>SURJYO COIL LOT 2 SHYAMAL BANIK</t>
  </si>
  <si>
    <t>AMUL BUTTER 200 GM LOT 2 SHYAMAL BANIK</t>
  </si>
  <si>
    <t xml:space="preserve"> KISMIS LOT 2 SHYAMAL BANIK</t>
  </si>
  <si>
    <t>MANORAMA GHEE 100 GM LOT 2 SHYAMAL BANIK</t>
  </si>
  <si>
    <t>LYZOL 200 ML LOT 2 SHYAMAL BANIK</t>
  </si>
  <si>
    <t>Expense Type</t>
  </si>
  <si>
    <t>Mode</t>
  </si>
  <si>
    <t>Notes</t>
  </si>
  <si>
    <t>SHUTTER</t>
  </si>
  <si>
    <t>EMI (Monthly)</t>
  </si>
  <si>
    <t>Daily EMI Load</t>
  </si>
  <si>
    <t>Minimum Daily Sales (Survival)</t>
  </si>
  <si>
    <t>Comfortable Sales</t>
  </si>
  <si>
    <t>GATE</t>
  </si>
  <si>
    <t>₹2,300–2,400</t>
  </si>
  <si>
    <t>₹2,800–3,000</t>
  </si>
  <si>
    <t>COUNTER</t>
  </si>
  <si>
    <t>MASALA PULVERISER</t>
  </si>
  <si>
    <t>INDUCTION + HEAVY IRON PAN</t>
  </si>
  <si>
    <t xml:space="preserve">Avg bill  INR </t>
  </si>
  <si>
    <t xml:space="preserve">Min.  Customer </t>
  </si>
  <si>
    <t>sales daily  INR</t>
  </si>
  <si>
    <t>GROCERIES</t>
  </si>
  <si>
    <t>250 INR</t>
  </si>
  <si>
    <t>SIEVE, TRAY, CONTAINER</t>
  </si>
  <si>
    <t>200 INR</t>
  </si>
  <si>
    <t>ELECTRICITY WORK</t>
  </si>
  <si>
    <t xml:space="preserve">6 tube lights </t>
  </si>
  <si>
    <t>150 INR</t>
  </si>
  <si>
    <t>SEALER</t>
  </si>
  <si>
    <t>100 INR</t>
  </si>
  <si>
    <t>WHOLE MASALA</t>
  </si>
  <si>
    <t>FRIDGE</t>
  </si>
  <si>
    <t>EMERGENCY FUND</t>
  </si>
  <si>
    <t>WEIGHING MACHINE</t>
  </si>
  <si>
    <t>SHELVES/RACKS</t>
  </si>
  <si>
    <t xml:space="preserve">3 shelves 6 ft each @4200 INR </t>
  </si>
  <si>
    <t>LICENSE (AMC, FSSAI, UDYAM AADHAR, GST)</t>
  </si>
  <si>
    <t>PACKAGING MATERIAL</t>
  </si>
  <si>
    <t xml:space="preserve">LOCK </t>
  </si>
  <si>
    <t>Month</t>
  </si>
  <si>
    <t>Total Sales</t>
  </si>
  <si>
    <t>Total Purchases</t>
  </si>
  <si>
    <t>Total Expenses</t>
  </si>
  <si>
    <t>Net Profit</t>
  </si>
  <si>
    <t>YEAR 2026</t>
  </si>
  <si>
    <t>TOTAL SALES</t>
  </si>
  <si>
    <t>TOTAL PURCHASES</t>
  </si>
  <si>
    <t>TOTAL EXPENSES</t>
  </si>
  <si>
    <t>NET PROFIT</t>
  </si>
  <si>
    <t>UPI In</t>
  </si>
  <si>
    <t>ANANDA PANEER 200 GM</t>
  </si>
  <si>
    <t>ANANDA PANEER 400 GM</t>
  </si>
  <si>
    <t>SAFFOLA SOYA CHUNKS 40 GM</t>
  </si>
  <si>
    <t>MAGGI 10 INR</t>
  </si>
  <si>
    <t>MAGGI</t>
  </si>
  <si>
    <t>SOYA CHUNK</t>
  </si>
  <si>
    <t>PANEER</t>
  </si>
  <si>
    <t>DAYS TOTAL</t>
  </si>
  <si>
    <t xml:space="preserve">AARAM GREEN RICE </t>
  </si>
  <si>
    <t>PERCENT</t>
  </si>
  <si>
    <t>OFFLINE SP</t>
  </si>
  <si>
    <t>Average Store Profit</t>
  </si>
  <si>
    <t>DOVE SHAMPOO CONDITIONER SATCHET LOT 1</t>
  </si>
  <si>
    <t xml:space="preserve">DOVE SHAMPOO CONDITIONER SATCHET LOT 2 </t>
  </si>
  <si>
    <t>TATA SALT LOT 1</t>
  </si>
  <si>
    <t>VIVEL ALOE LOT 1</t>
  </si>
  <si>
    <t>VIVEL ALOE LOT 2</t>
  </si>
  <si>
    <t>VIVEL SET PINK LOT 1</t>
  </si>
  <si>
    <t>VIVEL SET PINK LOT 2</t>
  </si>
  <si>
    <t>AARAM GREEN RICE LOT 1</t>
  </si>
  <si>
    <t xml:space="preserve">CENTERFRUIT </t>
  </si>
  <si>
    <t>MUNCH</t>
  </si>
  <si>
    <t>CADBURY DAIRY MILK</t>
  </si>
  <si>
    <t>PONDS ALOE COOLING</t>
  </si>
  <si>
    <t>RED HIT</t>
  </si>
  <si>
    <t>BLACK HIT</t>
  </si>
  <si>
    <t>NESTLE EVERYDAY 400 GM</t>
  </si>
  <si>
    <t>UJALA 250 ML</t>
  </si>
  <si>
    <t>UJALA 75 ML</t>
  </si>
  <si>
    <t>MAGGI 280 GM</t>
  </si>
  <si>
    <t>CANDLE 10 INR</t>
  </si>
  <si>
    <t>AMUL T SPECIAL 200 GM</t>
  </si>
  <si>
    <t>NESTLE EVERYDAY 15 GM</t>
  </si>
  <si>
    <t>NESTLE EVERYDAY 200 GM</t>
  </si>
  <si>
    <t>SURF EXCEL 500 GM LOT 2</t>
  </si>
  <si>
    <t>GOOD KNIGHT MOSQUITO REFILL LOT 2</t>
  </si>
  <si>
    <t>COMFORT 210 ML LOT 2</t>
  </si>
  <si>
    <t>LOOSE POTATO</t>
  </si>
  <si>
    <t>LOOSE AARAM GREEN RICE LOT 1</t>
  </si>
  <si>
    <t xml:space="preserve">e-Bill no: </t>
  </si>
  <si>
    <t>CASH MEMO</t>
  </si>
  <si>
    <t>Date:</t>
  </si>
  <si>
    <t>SL.NO</t>
  </si>
  <si>
    <t>ITEM</t>
  </si>
  <si>
    <t>QUANTITY</t>
  </si>
  <si>
    <t>TOTAL AMOUNT</t>
  </si>
  <si>
    <t>INR</t>
  </si>
  <si>
    <t>MRP</t>
  </si>
  <si>
    <t>OUR RATE</t>
  </si>
  <si>
    <t>TOTAL(in words):</t>
  </si>
  <si>
    <t>You Saved:</t>
  </si>
  <si>
    <t>You Pay:</t>
  </si>
  <si>
    <t>MATCHSTICKS</t>
  </si>
  <si>
    <t>MASALA</t>
  </si>
  <si>
    <t>FORTUNE KACHI GHANI 500 ML LOT 1</t>
  </si>
  <si>
    <t>SISTER JEERA POWDER 40 GM LOT 1</t>
  </si>
  <si>
    <t>MDH CHICKEN MASALA LOT 1</t>
  </si>
  <si>
    <t>BALL MATCHSTICKS LOT 1</t>
  </si>
  <si>
    <t>MUNCH LOT 1</t>
  </si>
  <si>
    <t>PONDS ALOE COOLING LOT 1</t>
  </si>
  <si>
    <t>CENTERFRUIT LOT 1</t>
  </si>
  <si>
    <t>RED HIT LOT 1</t>
  </si>
  <si>
    <t>BLACK HIT LOT 1</t>
  </si>
  <si>
    <t>NESTLE EVERYDAY 200 GM LOT 1</t>
  </si>
  <si>
    <t>NESTLE EVERYDAY 15 GM LOT 1</t>
  </si>
  <si>
    <t>AMUL T SPECIAL 200 GM LOT 1</t>
  </si>
  <si>
    <t>SURF EXCEL 70 GM LOT 1</t>
  </si>
  <si>
    <t>CANDLE 10 INR LOT 1</t>
  </si>
  <si>
    <t>MAGGI 280 GM LOT 1</t>
  </si>
  <si>
    <t>UJALA 75 ML LOT 1</t>
  </si>
  <si>
    <t>UJALA 250 ML LOT 1</t>
  </si>
  <si>
    <t>NESTLE EVERYDAY 400 GM LOT 1</t>
  </si>
  <si>
    <t>MAGGI 10 INR LOT 1</t>
  </si>
  <si>
    <t>COLGATE STRONG TEETH 18 GM LOT 1</t>
  </si>
  <si>
    <t>BOROLINE 6 GM LOT 1</t>
  </si>
  <si>
    <t>BRITANNIA NUTRI CHOICE THIN ARROWROOT LOT 1</t>
  </si>
  <si>
    <t>CANDLE 35 INR LOT 1</t>
  </si>
  <si>
    <t>CANDLE 5 INR LOT 1</t>
  </si>
  <si>
    <t>BHARAT DARSHAN LOT 1</t>
  </si>
  <si>
    <t>APSARA PENCIL LOT 1</t>
  </si>
  <si>
    <t>APSARA SHARPNER LOT 1</t>
  </si>
  <si>
    <t>ASHIRBAD ATTA LOT 1</t>
  </si>
  <si>
    <t>BAJAJ ALMOND DROPS  100 ML LOT 1</t>
  </si>
  <si>
    <t>BAJAJ ALMOND DROPS 50 ML LOT 1</t>
  </si>
  <si>
    <t>BISK FARM SUGAR FREE LOT 1</t>
  </si>
  <si>
    <t>PEARS SOFT AND GENTLE 100 GM LOT 1</t>
  </si>
  <si>
    <t>LOOSE TEA LOT 1</t>
  </si>
  <si>
    <t>KOPIKO CANDY LOT 1</t>
  </si>
  <si>
    <t>HEAD AND SHOULDERS SATCHET LOT 1</t>
  </si>
  <si>
    <t>SAFFOLA SOYA CHUNKS 40 GM LOT 1</t>
  </si>
  <si>
    <t>VIMAL PAPAD LOT 1</t>
  </si>
  <si>
    <t>CADBURY DAIRY MILK LOT 1</t>
  </si>
  <si>
    <t>SAVLON ORANGE LOT 1</t>
  </si>
  <si>
    <t>COLGATE SUPER FLEXI BRUSH LOT 1</t>
  </si>
  <si>
    <t>FORTUNE KACHI GHANI 1 LITRE LOT 1</t>
  </si>
  <si>
    <t>Cash In (EVENING)</t>
  </si>
  <si>
    <t>Cash In (MORNING)</t>
  </si>
  <si>
    <t>CAMPA ORANGE 200 ML LOT 1</t>
  </si>
  <si>
    <t>CAMPA COLA 200 ML LOT 1</t>
  </si>
  <si>
    <t>COLD DRINK</t>
  </si>
  <si>
    <t>EGG LOT 1</t>
  </si>
  <si>
    <t>EGG LOCAL LOT 1</t>
  </si>
  <si>
    <t>FEVIGUM LOT 1</t>
  </si>
  <si>
    <t>MORNING</t>
  </si>
  <si>
    <t>EVENING</t>
  </si>
  <si>
    <t>EGG</t>
  </si>
  <si>
    <t xml:space="preserve">DAY CLOSING </t>
  </si>
  <si>
    <t>LOOSE TEJ PATA LOT 1</t>
  </si>
  <si>
    <t>PATANJALI DISHWASHER BAR 145 GM LOT 1</t>
  </si>
  <si>
    <t xml:space="preserve">APRIL 2026 START </t>
  </si>
  <si>
    <t>MARCH 2026 END</t>
  </si>
  <si>
    <t>LOOSE MURI LOT 1</t>
  </si>
  <si>
    <t>LOOSE CHIWDA HARD LOT 1</t>
  </si>
  <si>
    <t>KHOI PACKET</t>
  </si>
  <si>
    <t>TISSUE LOT 1</t>
  </si>
  <si>
    <t>SMALL PAPER PLATE LOT 1</t>
  </si>
  <si>
    <t>LARGE PAPER PLATE LOT 1</t>
  </si>
  <si>
    <t>PAPER PLATE</t>
  </si>
  <si>
    <t>MURI</t>
  </si>
  <si>
    <t>KHOI</t>
  </si>
  <si>
    <t>TISSUE</t>
  </si>
  <si>
    <t>CHIWDA</t>
  </si>
  <si>
    <t xml:space="preserve">SUMAN SAHA GOL BAZAAR </t>
  </si>
  <si>
    <t>NILANJAN SAHA GOLBAZAAR</t>
  </si>
  <si>
    <t>BALARAM PAUL GOLBAZAAR</t>
  </si>
  <si>
    <t>MAAZA 1.2 L LOT 1</t>
  </si>
  <si>
    <t>MAAZA 600 ML LOT 1</t>
  </si>
  <si>
    <t>SPRITE 2.2 ML LOT 1</t>
  </si>
  <si>
    <t>BRITANNIA NUTRI CHOICE THIN ARROWROOT LOT 2</t>
  </si>
  <si>
    <t>AMUL TAAZA 500 ML LOT 1</t>
  </si>
  <si>
    <t>KELLOGGS 500 GM LOT 1</t>
  </si>
  <si>
    <t>UNCLE CHIPS SPICY TREAT LOT 1</t>
  </si>
  <si>
    <t>MODERN DALMOOT 10 INR LOT 1</t>
  </si>
  <si>
    <t>MAGGI 10 INR LOT 2</t>
  </si>
  <si>
    <t>10 INR BISCUITS LOT 1</t>
  </si>
  <si>
    <t>5 INR BISCUITS LOT 1</t>
  </si>
  <si>
    <t>MODERN DALMOOT 20 INR LOT 1</t>
  </si>
  <si>
    <t>MODERN DALMOOT 250 GM LOT 1</t>
  </si>
  <si>
    <t>GOOD KNIGHT ANTI-MOSQUITO AGARBATTI LOT 1</t>
  </si>
  <si>
    <t>UNCLE CHIPS REGULAR PLAIN SALTED LOT 1</t>
  </si>
  <si>
    <t>LAYS SPANISH TOMATO TANGO LOT 1</t>
  </si>
  <si>
    <t>LAYS SHAPEZ CRISPZ HERB&amp; ONION FLAVOUR LOT 1</t>
  </si>
  <si>
    <t>LAYS AMERICAN STYLE CREAM &amp;ONION LOT 1</t>
  </si>
  <si>
    <t>LAYS WEST INDIESHOT N SWEET CHILLI LOT 1</t>
  </si>
  <si>
    <t>LAYS INDIAS MAGIC MASALA LOT 1</t>
  </si>
  <si>
    <t>KURKURE CHILLI CHATKA LOT 1</t>
  </si>
  <si>
    <t>COLGATE STRONG TEETH 40 GM LOT 1</t>
  </si>
  <si>
    <t>HAJMOLA IMLI LOT 1</t>
  </si>
  <si>
    <t>HAJMOLA REGULAR</t>
  </si>
  <si>
    <t>DAY CLOSING</t>
  </si>
  <si>
    <t>UJALA 10 INR BOTTLE LOT 1</t>
  </si>
  <si>
    <t>CHIPS</t>
  </si>
  <si>
    <t>GENERIC PENS LOT 1</t>
  </si>
  <si>
    <t>KHOI PACKET LOT 1</t>
  </si>
  <si>
    <t>sold(INR)</t>
  </si>
  <si>
    <t>FORTUNE SOYA HEALTH 1 LITRE LOT 1</t>
  </si>
  <si>
    <t>TRESSEMME SHAMPOO CONDITIONER SATCHET LOT 1</t>
  </si>
  <si>
    <t>OXIFILL 500 ML LOT 1</t>
  </si>
  <si>
    <t>AMUL TAAZA 500 ML LOT 2</t>
  </si>
  <si>
    <t xml:space="preserve">HILL KING JEERA DRINK LOT 1 </t>
  </si>
  <si>
    <t>REAL KOOLERZ MANGO LOT 1</t>
  </si>
  <si>
    <t>PRABHUJI BHUJIYA LOT 1</t>
  </si>
  <si>
    <t>GENERIC BAKERY ITEMS  LOT 1</t>
  </si>
  <si>
    <t>BRITANNIA MARIE GOLD LOT 1</t>
  </si>
  <si>
    <t>FORTUNE SOYA HEALTH 1 LITRE LOT 2</t>
  </si>
  <si>
    <t>UJALA 10 INR BOTTLE LOT 2</t>
  </si>
  <si>
    <t>10 INR RUSK LOT 1</t>
  </si>
  <si>
    <t>COCO MALAI LOT 1</t>
  </si>
  <si>
    <t>TOP BUTTER MUNCH LOT 1</t>
  </si>
  <si>
    <t>HEAD AND SHOULDERS SATCHET LOT 2</t>
  </si>
  <si>
    <t>CLEAN AND CLEAR FACE WASH 50 ML LOT 1</t>
  </si>
  <si>
    <t>SARTAJ SOOJI 500 GM LOT 1</t>
  </si>
  <si>
    <t>SAFFOLA SOYA MINI CHUNKS LOT 1</t>
  </si>
  <si>
    <t>SAFFOLA SOYA CHUNKS 40 GM LOT 2</t>
  </si>
  <si>
    <t>SUNRISE GARAM MASALA LOT 1</t>
  </si>
  <si>
    <t>LOOSE SUGAR LOT 1</t>
  </si>
  <si>
    <t>LOOSE MAIDA LOT 1</t>
  </si>
  <si>
    <t>WHOLE DARCHINI LOT 1</t>
  </si>
  <si>
    <t>WHOLE ELACHI LOT 1</t>
  </si>
  <si>
    <t>WHOLE JEERA LOT 1</t>
  </si>
  <si>
    <t>WHOLE DHANIA LOT 1</t>
  </si>
  <si>
    <t>WHOLE KALIJEERA LOT 1</t>
  </si>
  <si>
    <t>WHOLE MEETHI LOT 1</t>
  </si>
  <si>
    <t>WHOLE MOURI LOT 1</t>
  </si>
  <si>
    <t>WHOLE LONG LOT 1</t>
  </si>
  <si>
    <t>WHOLE GOL MORICH LOT 1</t>
  </si>
  <si>
    <t>BISK FARM RUSKIT LOT 1</t>
  </si>
  <si>
    <t>SHALIMAR COCONUT OIL 85 ML LOT 1</t>
  </si>
  <si>
    <t>MOUNTAIN DEW 400 ML LOT 1</t>
  </si>
  <si>
    <t>CONTAINER</t>
  </si>
  <si>
    <t>COLGATE STRONG TEETH 100 GM LOT 1</t>
  </si>
  <si>
    <t xml:space="preserve">LOOSE ONION </t>
  </si>
  <si>
    <t>WHITENER</t>
  </si>
  <si>
    <t>FACEWASH</t>
  </si>
  <si>
    <t>BAKERY</t>
  </si>
  <si>
    <t>PLATE</t>
  </si>
  <si>
    <t>FLATTENED RICE</t>
  </si>
  <si>
    <t>PUFFED RICE</t>
  </si>
  <si>
    <t>SUGAR</t>
  </si>
  <si>
    <t>FRUIT DRINK</t>
  </si>
  <si>
    <t>DALMOOT</t>
  </si>
  <si>
    <t>SNACKS</t>
  </si>
  <si>
    <t>ANTI COCKROACH</t>
  </si>
  <si>
    <t>SEMOLINA</t>
  </si>
  <si>
    <t>COCONUT OIL</t>
  </si>
  <si>
    <t xml:space="preserve">TATA SALT </t>
  </si>
  <si>
    <t>DETERGENT</t>
  </si>
  <si>
    <t xml:space="preserve">AARAM GREEN RICE LOT 2 </t>
  </si>
  <si>
    <t>LOOSE TEA LOT 2</t>
  </si>
  <si>
    <t>DURGABARI TEA 35 INR  LOT 1</t>
  </si>
  <si>
    <t>LOOSE KHASA RICE LOT 1</t>
  </si>
  <si>
    <t>VIMAL PAPAD LOT 2</t>
  </si>
  <si>
    <t>ANNAPURNA MANGO PANA LOT 1</t>
  </si>
  <si>
    <t>SAYAN GARAM MASALA POWDER LOT 1</t>
  </si>
  <si>
    <t>NESTLE EVERYDAY 15 GM LOT 2</t>
  </si>
  <si>
    <t>WHOLE GARAM MASALA LOT 1</t>
  </si>
  <si>
    <t>AARAM GREEN RICE LOT 2</t>
  </si>
  <si>
    <r>
      <t xml:space="preserve">Shree Shivansh Stores                                                        </t>
    </r>
    <r>
      <rPr>
        <sz val="14"/>
        <color theme="1"/>
        <rFont val="Calibri"/>
        <family val="2"/>
        <scheme val="minor"/>
      </rPr>
      <t>Shibnagar College Road Extension, Behind Ananda Marga School                P.O : Agartala College</t>
    </r>
    <r>
      <rPr>
        <b/>
        <sz val="18"/>
        <color theme="1"/>
        <rFont val="Calibri"/>
        <family val="2"/>
        <scheme val="minor"/>
      </rPr>
      <t xml:space="preserve"> </t>
    </r>
    <r>
      <rPr>
        <sz val="14"/>
        <color theme="1"/>
        <rFont val="Calibri"/>
        <family val="2"/>
        <scheme val="minor"/>
      </rPr>
      <t>799004</t>
    </r>
  </si>
  <si>
    <t>PATANJALI DISHWASHER BAR 70 GM LOT 1</t>
  </si>
  <si>
    <t>NABENDU ROY 9362740172</t>
  </si>
  <si>
    <t>LOOSE GARLIC</t>
  </si>
  <si>
    <t>LOOSE ANGOOR MASOOR DAL LOT 2</t>
  </si>
  <si>
    <t>NESTLE EVERYDAY 400 GM LOT 2</t>
  </si>
  <si>
    <t>KELLOGGS CORN FLAKES 250 GM LOT 1</t>
  </si>
  <si>
    <t>10 INR RUSK LOT 2</t>
  </si>
  <si>
    <t>KITCHEN KHAZANA LOT 1</t>
  </si>
  <si>
    <t>ANNAPURNA MANGO PANA LOT 2</t>
  </si>
  <si>
    <t>NAKUL DANA SMALL LOT 1</t>
  </si>
  <si>
    <t>BISKFARM CHATPATA SPICY LOT 1</t>
  </si>
  <si>
    <t>COCO MALAI LOT 2</t>
  </si>
  <si>
    <t>SURF EXCEL 500 GM LOT 3</t>
  </si>
  <si>
    <t>NABATI WAFER LOT 1</t>
  </si>
  <si>
    <t>BRITANNIA TIGER COCONUT LOT 1</t>
  </si>
  <si>
    <t>BONN BOURBON</t>
  </si>
  <si>
    <t>ASHIRBAD ATTA LOT 2</t>
  </si>
  <si>
    <t>LOOSE TEA LOT 3</t>
  </si>
  <si>
    <t>BALL MATCHSTICKS LOT 2</t>
  </si>
  <si>
    <t>SISTER JEERA POWDER 40 GM LOT 2</t>
  </si>
  <si>
    <t>SISTER JEERA POWDER 100 GM LOT 1</t>
  </si>
  <si>
    <t>MAGGI 280 GM LOT 2</t>
  </si>
  <si>
    <t>WHOLE MOURI LOT 2</t>
  </si>
  <si>
    <t>10 INR CAKE LOT 1</t>
  </si>
  <si>
    <t>MUNCH CHOCO FILL 10 INR LOT 1</t>
  </si>
  <si>
    <t>CHOCOS 5 INR LOT 1</t>
  </si>
  <si>
    <t>HALDIRAM 5 INR LOT 1</t>
  </si>
  <si>
    <t>ORION CHOCOPIE LOT 1</t>
  </si>
  <si>
    <t>GOOD DAY 5 INR LOT 1</t>
  </si>
  <si>
    <t>10 INR BISCUITS LOT 2</t>
  </si>
  <si>
    <t>SUPER MASTER BLADE LOT 1</t>
  </si>
  <si>
    <t>BISKFARM RICE MARIE LOT 1</t>
  </si>
  <si>
    <t>PRASANTA PAUL GOLBAZAAR</t>
  </si>
  <si>
    <t>STEEL WOOL PLUS SCRUBBER LOT 1</t>
  </si>
  <si>
    <t>SCRUB PAD LOT 1</t>
  </si>
  <si>
    <t>LOOSE MURI LOT 2</t>
  </si>
  <si>
    <t>LOOSE BOOT DAL LOT 2</t>
  </si>
  <si>
    <t>COCO MALAI LOT 3</t>
  </si>
  <si>
    <t>TOP BUTTER MUNCH LOT 2</t>
  </si>
  <si>
    <t xml:space="preserve">PRAN DRY CAKE </t>
  </si>
  <si>
    <t>PRAN SWEET TOAST LOT 1</t>
  </si>
  <si>
    <t>EGG LOT 2</t>
  </si>
  <si>
    <t>EGG LOCAL LOT 2</t>
  </si>
  <si>
    <t>AMUL LASSI 250 ML LOT 1</t>
  </si>
  <si>
    <t>UNPAID</t>
  </si>
  <si>
    <t>WINKIES CAKE 5 INR LOT 1</t>
  </si>
  <si>
    <t xml:space="preserve">DAY TOTAL </t>
  </si>
  <si>
    <t>WINKIES CAKE 5 INR LOT 2</t>
  </si>
  <si>
    <t>FODON LOCAL 10 INR LOT 1</t>
  </si>
  <si>
    <t>LUX BODY WASH SOFT ROSE 245 ML LOT 1</t>
  </si>
  <si>
    <t>MAGGI 10 INR LOT 3</t>
  </si>
  <si>
    <t>LUX SOAP SET LOT 1</t>
  </si>
  <si>
    <t>10 INR RUSK LOT 3</t>
  </si>
  <si>
    <t>BISKFARM RICE MARIE LOT 2</t>
  </si>
  <si>
    <t>10 INR BISCUITS LOT 3</t>
  </si>
  <si>
    <t>NESCAFE CLASSIC 10 INR LOT 1</t>
  </si>
  <si>
    <t>SUNSILK BLACK SHINE SATCHET LOT 2</t>
  </si>
  <si>
    <t>LOOSE ONION LOT 1</t>
  </si>
  <si>
    <t>LOOSE DRY RED CHILLI LOT 2</t>
  </si>
  <si>
    <t>LAYS CHIPS LOT 2</t>
  </si>
  <si>
    <t>NABENDU</t>
  </si>
  <si>
    <t>BAND AID LOT 1</t>
  </si>
  <si>
    <t>IMLI CANDY LOT 1</t>
  </si>
  <si>
    <t>POWER LOT 1</t>
  </si>
  <si>
    <t>BABY BRUSH LOT 1</t>
  </si>
  <si>
    <t>KAJU SMALL PACK LOT 1</t>
  </si>
  <si>
    <t>BLACK TUBE LOT 1</t>
  </si>
  <si>
    <t>STEEL JALI LOT 1</t>
  </si>
  <si>
    <t>EARBUD LOT 1</t>
  </si>
  <si>
    <t>COLGATE STRONG TEETH 40 GM LOT 2</t>
  </si>
  <si>
    <t>BADAM CHIKI LOT 1</t>
  </si>
  <si>
    <t>CHOCO BIG ROLLZ 5 INR WAFER LOT 1</t>
  </si>
  <si>
    <t>LOLLIPOP LOT 1</t>
  </si>
  <si>
    <t>5 INR WAFERS LOT 1</t>
  </si>
  <si>
    <t>PULPS LOT 1</t>
  </si>
  <si>
    <t>VICKS COUGH DROP LOT 1</t>
  </si>
  <si>
    <t>LIGHTER LOT 1</t>
  </si>
  <si>
    <t>KELLOGGS OATS 500 GM LOT 1</t>
  </si>
  <si>
    <t>EGG LOT 3</t>
  </si>
  <si>
    <t>EGG LOCAL LOT 3</t>
  </si>
  <si>
    <t xml:space="preserve">LOOSE GARLIC </t>
  </si>
  <si>
    <t>LOOSE SUGAR LOT 2</t>
  </si>
  <si>
    <t>LOOSE SONA MOONG LOT 2</t>
  </si>
  <si>
    <t>LOOSE ANGOOR MASOOR DAL LOT 3</t>
  </si>
  <si>
    <t>LOOSE MAIDA LOT 2</t>
  </si>
  <si>
    <t>LOOSE KHASA RICE LOT 2</t>
  </si>
  <si>
    <t>RAW PROFIT</t>
  </si>
  <si>
    <t>HAJMOLA</t>
  </si>
  <si>
    <t>LOOSE MURI</t>
  </si>
  <si>
    <t>DAILY AVERAGE</t>
  </si>
  <si>
    <t>BISKFARM RUSKIT LOT 1</t>
  </si>
  <si>
    <t>LOOSE KITCHEN KHAZANA LOT 1</t>
  </si>
  <si>
    <t>ASHOK SAHA 9233694675</t>
  </si>
  <si>
    <t>FORTUNE KACHI GHANI 1 LITRE LOT 3</t>
  </si>
  <si>
    <t>HARIPADA ROY GOLBAZAAR</t>
  </si>
  <si>
    <t>LOOSE LAXMI BHOG PREMIUM LOT 1</t>
  </si>
  <si>
    <t>KOUSHIKI TRADERS</t>
  </si>
  <si>
    <t>EGG LOT 4</t>
  </si>
  <si>
    <t>LOCAL EGG LOT 4</t>
  </si>
  <si>
    <t>ENGINE KACHI GHANI LOT 1</t>
  </si>
  <si>
    <t>5 INR SOAN PAPDI LOT 1</t>
  </si>
  <si>
    <t>30 INR WINKIES CAKE LOT 1</t>
  </si>
  <si>
    <t>10 INR CAKE LOT 2</t>
  </si>
  <si>
    <t>BONN BOURBON LOT 2</t>
  </si>
  <si>
    <t>30 INR CANDLE LOT 2</t>
  </si>
  <si>
    <t>TOP BUTTER MUNCH LOT 3</t>
  </si>
  <si>
    <t>HALDIRAM SOAN PAPDI LOT 1</t>
  </si>
  <si>
    <t>LASER READY RAZOR LOT 2</t>
  </si>
  <si>
    <t>ORSL LOT 1</t>
  </si>
  <si>
    <t>30 INR LIA AGARBATTI LOT 1</t>
  </si>
  <si>
    <t>50 INR LIA AGARBATTI LOT 2</t>
  </si>
  <si>
    <t>BISK FARM RUSKIT LOT 2</t>
  </si>
  <si>
    <t>EXO 50 INR LOT 1</t>
  </si>
  <si>
    <t>AA BATTERY LOT 2</t>
  </si>
  <si>
    <t>AAA BATTERY LOT 2</t>
  </si>
  <si>
    <t>MAGGI HOT &amp; SWEET 200 GM LOT 1</t>
  </si>
  <si>
    <t>ENO ORANGE LOT 1</t>
  </si>
  <si>
    <t>HEAD &amp; SHOULDERS SATCHET LOT 3</t>
  </si>
  <si>
    <t>KROSS LINES LOT 1</t>
  </si>
  <si>
    <t>FORTUNE SOYA HEALTH 1 LITRE LOT 3</t>
  </si>
  <si>
    <t>NESTLE EVERYDAY 15 GM LOT 3</t>
  </si>
  <si>
    <t>FORTUNE BESAN 200 GM LOT 1</t>
  </si>
  <si>
    <t>SURJYO COIL LOT 3</t>
  </si>
  <si>
    <t>GREEN PEAS LOT 1</t>
  </si>
  <si>
    <t>SATTU LOT 1</t>
  </si>
  <si>
    <t>SISTER CORIANDER POWDER 100 GM LOT 1</t>
  </si>
  <si>
    <t>GENERIC BAKERY ITEMS LOT 1</t>
  </si>
  <si>
    <t>LAYS LOT 2</t>
  </si>
  <si>
    <t>FODON LOCAL 5 INR LOT 1</t>
  </si>
  <si>
    <t>10 INR DIGESTIVE BISCUIT LOT 1</t>
  </si>
  <si>
    <t>LOOSE GINGER LOT 1</t>
  </si>
  <si>
    <t>ASHIRBAD ATTA LOT 3</t>
  </si>
  <si>
    <t>TATA SALT LOT 3</t>
  </si>
  <si>
    <t>NESCAFE CLASSIC 2 INR LOT 1</t>
  </si>
  <si>
    <t>TRESEMME 5 INR SATCHET LOT 2</t>
  </si>
  <si>
    <t>NESTLE EVERYDAY 400 GM LOT 3</t>
  </si>
  <si>
    <t>SISTER TURMERIC POWDER 25O GM LOT 2</t>
  </si>
  <si>
    <t>SURF EXCEL 70 GM LOT 3</t>
  </si>
  <si>
    <t>COMFORT 860 ML LOT 1</t>
  </si>
  <si>
    <t>10 INR LIFEBUOY LOT 1</t>
  </si>
  <si>
    <t>TRESEMME 4 INR SATCHET LOT 2</t>
  </si>
  <si>
    <t>EXO 5 INR LOT 2</t>
  </si>
  <si>
    <t>EXO 10 INR LOT 2</t>
  </si>
  <si>
    <t>COMFORT 5 INR LOT 1</t>
  </si>
  <si>
    <t>AMUL TAAZA 1L LOT 1</t>
  </si>
  <si>
    <t>EGG LOT 5</t>
  </si>
  <si>
    <t>MODERN DALMOOT 20 INR LOT 2</t>
  </si>
  <si>
    <t>SISTER 500 ML KACCHI GHANI LOT 1</t>
  </si>
  <si>
    <t>SISTER 500 ML SOYABEAN OIL</t>
  </si>
  <si>
    <t>SISTER JEERA POWDER 20 GM LOT 1</t>
  </si>
  <si>
    <t>DURGABARI TEA 35 INR LOT 1</t>
  </si>
  <si>
    <t>10 INR CAKE LOT 3</t>
  </si>
  <si>
    <t>DIDI</t>
  </si>
  <si>
    <t>MAGGI 10 INR LOT 4</t>
  </si>
  <si>
    <t>ARGHA</t>
  </si>
  <si>
    <t>LOOSE SWASTIK RICE LOT 1</t>
  </si>
  <si>
    <t>LOOSE AARAM GREEN RICE LOT 2</t>
  </si>
  <si>
    <t>MAA</t>
  </si>
  <si>
    <t>LOCAL EGG LOT 5</t>
  </si>
  <si>
    <t>LOCAL WATER LOT 1</t>
  </si>
  <si>
    <t>LAYS CHIPS LOT 3</t>
  </si>
  <si>
    <t>5 INR CAKE LOT 3</t>
  </si>
  <si>
    <t>5 INR BHUJIYA LOT 2</t>
  </si>
  <si>
    <t>5 INR LITTLE HEART LOT 1</t>
  </si>
  <si>
    <t>BONN BOURBON LOT 3</t>
  </si>
  <si>
    <t>SURF EXCEL 500 GM LOT 4</t>
  </si>
  <si>
    <t>HARPIC 500 ML LOT 1</t>
  </si>
  <si>
    <t>MODERN DALMOOT 250 GM LOT 2</t>
  </si>
  <si>
    <t>COMFORT 210 ML LOT 3</t>
  </si>
  <si>
    <t>RUSKIT 40 INR LOT 2</t>
  </si>
  <si>
    <t>COCO MALAI LOT 4</t>
  </si>
  <si>
    <t>GARAM MASALA LOT 2</t>
  </si>
  <si>
    <t>FODON LOCAL 10 INR LOT 2</t>
  </si>
  <si>
    <t>LOCAL WATER LOT 2</t>
  </si>
  <si>
    <t>10 INR CAKE LOT 4</t>
  </si>
  <si>
    <t>LOCAL EGG LOT 6</t>
  </si>
  <si>
    <t xml:space="preserve">HILL KING JEERA DRINK LOT 2 </t>
  </si>
  <si>
    <t>REAL KOOLERZ MANGO LOT 2</t>
  </si>
  <si>
    <t>MAGGI COMBO 10 INR LOT 4</t>
  </si>
  <si>
    <t>SHREE SHIVANSH STORES</t>
  </si>
  <si>
    <t>LOCAL EGG LOT 7</t>
  </si>
  <si>
    <t>10 INR RUSK LOT 4</t>
  </si>
  <si>
    <t>RUCHI DALIYA LOT 1</t>
  </si>
  <si>
    <t>FORTUNE SOYA HEALTH 1 LITRE LOT 4</t>
  </si>
  <si>
    <t xml:space="preserve">RED COW PANEER 200 GM </t>
  </si>
  <si>
    <t>LOOSE MOTOR LOT 1</t>
  </si>
  <si>
    <t>LOOSE GARLIC LOT 2</t>
  </si>
  <si>
    <t>LOOSE ONION LOT 2</t>
  </si>
  <si>
    <t>SUNRISE POSTO LOT 1</t>
  </si>
  <si>
    <t>30 INR CAKE LOT 2</t>
  </si>
  <si>
    <t>PRAN SWEET TOAST LOT 2</t>
  </si>
  <si>
    <t>SUN MAGIC  ANTI MOSQUITO STICK LOT 2</t>
  </si>
  <si>
    <t>BRITANNIA MARIE GOLD LOT 2</t>
  </si>
  <si>
    <t>MAGGI PICHKOO LOT 1</t>
  </si>
  <si>
    <t xml:space="preserve">5 INR HALDIRAM LOT </t>
  </si>
  <si>
    <t>LOCAL EGG LOT 8</t>
  </si>
  <si>
    <t>HILL KING JEERA DRINK LOT 3</t>
  </si>
  <si>
    <t>AARAM GREEN RICE LOT 3</t>
  </si>
  <si>
    <t>AMUL TAAZA 500 ML LOT 3</t>
  </si>
  <si>
    <t>10 INR BISCUITS LOT 4</t>
  </si>
  <si>
    <t>5 INR BISCUITS LOT 2</t>
  </si>
  <si>
    <t>STREAX SHAMPOO COLOUR BURGUNDY 15 INR LOT 1</t>
  </si>
  <si>
    <t>EXO 5 INR LOT 3</t>
  </si>
  <si>
    <t>CANDLE 10 INR LOT 2</t>
  </si>
  <si>
    <t>CANDLE 5 INR LOT 2</t>
  </si>
  <si>
    <t>TATA TEA PREMIUM 250 GM LOT 1</t>
  </si>
  <si>
    <t>RUCHI DALIYA 500 GM LOT 2</t>
  </si>
  <si>
    <t>RUCHI DALIYA 1 KG LOT 1</t>
  </si>
  <si>
    <t>TATA SALT LOT 4</t>
  </si>
  <si>
    <t>AMUL PANEER 400 GM LOT 1</t>
  </si>
  <si>
    <t>LOOSE CHIWDA HARD LOT 2</t>
  </si>
  <si>
    <t>MANORAMA GHEE 100 GM LOT 3</t>
  </si>
  <si>
    <t>MANORAMA GHEE 200 GM LOT 2</t>
  </si>
  <si>
    <t>KISMIS LOT 3</t>
  </si>
  <si>
    <t>LOOSE MASOOR DAL LOT 4</t>
  </si>
  <si>
    <t>LOOSE KAJU LOT 2</t>
  </si>
  <si>
    <t>WHOLE JEERA LOT 2</t>
  </si>
  <si>
    <t>LOOSE DRY RED CHILLI LOT 3</t>
  </si>
  <si>
    <t>SISTER SOYA CHUNKS LOT 3</t>
  </si>
  <si>
    <t>LOOSE RED MUSTARD LOT 1</t>
  </si>
  <si>
    <t>LOOSE MOTOR DAL LOT 2</t>
  </si>
  <si>
    <t>LOOSE BOOT DAL LOT 3</t>
  </si>
  <si>
    <t>LOOSE MUSTARD LOT 3</t>
  </si>
  <si>
    <t>NESTLE EVERYDAY 10 INR LOT 4</t>
  </si>
  <si>
    <t>LOOSE SUGAR LOT 3</t>
  </si>
  <si>
    <t xml:space="preserve">LOOSE CHIWDA SOFT LOT 1 </t>
  </si>
  <si>
    <t>LOOSE KITCHEN KHAZANA</t>
  </si>
  <si>
    <t>LOOSE AARAM GREEN RICE LOT 3</t>
  </si>
  <si>
    <t>LOOSE KITCHEN KHAZANA LOT 2</t>
  </si>
  <si>
    <t>LOOSE LAXMI BHOG PREMIUM LOT 2</t>
  </si>
  <si>
    <t>60 INR BAKERY ITEM LOT 1</t>
  </si>
  <si>
    <t>20 INR BAKERY ITEM LOT 1</t>
  </si>
  <si>
    <t>1 LITRE SPRITE LOT 1</t>
  </si>
  <si>
    <t>1 LITRE THUMBS UP LOT 1</t>
  </si>
  <si>
    <t>CAMPA ORANGE 200 ML LOT 2</t>
  </si>
  <si>
    <t>CAMPA LEMON 200 MLLOT 1</t>
  </si>
  <si>
    <t>PLAIN CHOWMEIN LOT 1</t>
  </si>
  <si>
    <t>16X20 PACKET LOT 2</t>
  </si>
  <si>
    <t>8X10 PACKET LOT 2</t>
  </si>
  <si>
    <t>GINGER GARLIC PASTE LOT 1</t>
  </si>
  <si>
    <t>PRIL LIQUID DISHWASHER LOT 1</t>
  </si>
  <si>
    <t>LUX 10 INR LOT 2</t>
  </si>
  <si>
    <t>LOCAL EGG LOT 9</t>
  </si>
  <si>
    <t>SPRITE 2.2 L LOT 2</t>
  </si>
  <si>
    <t>SPRITE 1 L LOT 2</t>
  </si>
  <si>
    <t>COCACOLA 2.2 L LOT 1</t>
  </si>
  <si>
    <t>THUMBSUP 1 L LOT 2</t>
  </si>
  <si>
    <t>CAMPA LEMON 200 ML LOT 2</t>
  </si>
  <si>
    <t>CAMPA ORANGE 200 ML LOT 3</t>
  </si>
  <si>
    <t>ASHIRBAD ATTA LOT 4</t>
  </si>
  <si>
    <t>SISTER JEERA POWDER 250 GM LOT 2</t>
  </si>
  <si>
    <t>LOOSE KABLI CHANA LOT 1</t>
  </si>
  <si>
    <t>KASURI MEETHI 250 GM LOT 1</t>
  </si>
  <si>
    <t>SUNRISE GARAM MASALA LOT 2</t>
  </si>
  <si>
    <t>SUNSILK BLACK SHINE SATCHET LOT 3</t>
  </si>
  <si>
    <t>KISMIS LOT 4</t>
  </si>
  <si>
    <t>10 INR BISCUITS LOT 5</t>
  </si>
  <si>
    <t>5 INR BISCUITS LOT 3</t>
  </si>
  <si>
    <t>VIM 5 INR LOT 1</t>
  </si>
  <si>
    <t>COLGATE STRONG TEETH 200 GM LOT 2</t>
  </si>
  <si>
    <t>COLGATE STRONG TEETH 100 GM LOT 2</t>
  </si>
  <si>
    <t>SURF EXCEL 70 GM LOT 4</t>
  </si>
  <si>
    <t>MODERN DALMOOT 10 INR LOT 2</t>
  </si>
  <si>
    <t>20 INR CYCLE AGARBATTI LOT 1</t>
  </si>
  <si>
    <t>FORTUNE SOYA HEALTH 500 ML LOT 1</t>
  </si>
  <si>
    <t>FORTUNE SOYA HEALTH 1 LITRE LOT 5</t>
  </si>
  <si>
    <t>20 INR GANESH DALMOOT LOT 1</t>
  </si>
  <si>
    <t>60 INR GANESH DALMOOT LOT 1</t>
  </si>
  <si>
    <t>LOOSE LAXMI BHOG PREMIUM LOT 3</t>
  </si>
  <si>
    <t>LOCAL EGG LOT 10</t>
  </si>
  <si>
    <t>STATIONARY ITEM</t>
  </si>
  <si>
    <t>10 INR PEN RED</t>
  </si>
  <si>
    <t>LOOSE POTATO LOT 2</t>
  </si>
  <si>
    <t>LOOSE ONION LOT 3</t>
  </si>
  <si>
    <t>LOOSE GINGER LOT 2</t>
  </si>
  <si>
    <t>LOOSE GARLIC LOT 3</t>
  </si>
  <si>
    <t>LOCAL EGG LOT 11</t>
  </si>
  <si>
    <t>CAMPA COLA 200 ML LOT 2</t>
  </si>
  <si>
    <t>HAJMOLA IMLI LOT 2</t>
  </si>
  <si>
    <t>HAJMOLA REGULAR LOT 1</t>
  </si>
  <si>
    <t>BRITANNIA MARIE GOLD LOT 3</t>
  </si>
  <si>
    <t>BISKFARM RICE MARIE LOT 3</t>
  </si>
  <si>
    <t>RUSKIT 40 INR LOT 3</t>
  </si>
  <si>
    <t>BRITANNIA NUTRI CHOICE THIN ARROWROOT LOT 3</t>
  </si>
  <si>
    <t>COCO MALAI LOT 5</t>
  </si>
  <si>
    <t>SURF EXCEL 70 GM LOT 5</t>
  </si>
  <si>
    <t>MANORAMA GHEE 200 GM LOT 3</t>
  </si>
  <si>
    <t>LOOSE MAIDA LOT 3</t>
  </si>
  <si>
    <t>LOOSE SUGAR LOT 4</t>
  </si>
  <si>
    <t>LOOSE ANGOOR LOT 1</t>
  </si>
  <si>
    <t>LOOSE SONA MOONG LOT 3</t>
  </si>
  <si>
    <t>SISTER 500 ML KACCHI GHANI LOT 2</t>
  </si>
  <si>
    <t>MANORAMA GHEE 500 ML LOT 1</t>
  </si>
  <si>
    <t>SUNRISE GARAM MASALA 50 GM LOT 1</t>
  </si>
  <si>
    <t>SUNRISE CHICKEN CURRY 50 GM LOT 1</t>
  </si>
  <si>
    <t>SENSODYNE 20 INR</t>
  </si>
  <si>
    <t>KELLOGGS OATS 500 GM</t>
  </si>
  <si>
    <t>LOOSE EGG LOT 11</t>
  </si>
  <si>
    <t>EGG TRAY</t>
  </si>
  <si>
    <t>LOOSE AARAM GREEN LOT 5</t>
  </si>
  <si>
    <t>LOCAL EGG LOT 12</t>
  </si>
  <si>
    <t>LOOSE MURI LOT 3</t>
  </si>
  <si>
    <t>ASHIRBAD ATTA LOT 5</t>
  </si>
  <si>
    <t>LOOSE KABLI CHANA LOT 2</t>
  </si>
  <si>
    <t xml:space="preserve">LOOSE MOTOR LOT 2 </t>
  </si>
  <si>
    <t xml:space="preserve">LOOSE BADAM LOT 1 </t>
  </si>
  <si>
    <t>SURJYO COIL LOT 4</t>
  </si>
  <si>
    <t>TATA SALT LOT 5</t>
  </si>
  <si>
    <t>LOOSE CHIWDA SOFT LOT 2</t>
  </si>
  <si>
    <t>LOOSE CHIWDA HARD LOT 3</t>
  </si>
  <si>
    <t>POWER LOT 2</t>
  </si>
  <si>
    <t>GOOD KNIGHT MOSQUITO REFILL LOT 3</t>
  </si>
  <si>
    <t>SUNSILK BLACK SHINE SATCHET LOT 4</t>
  </si>
  <si>
    <t>AMUL TAAZA 500 ML LOT 4</t>
  </si>
  <si>
    <t>PEARS BLUE LOT 2</t>
  </si>
  <si>
    <t>LOOSE POTATO LOT 3</t>
  </si>
  <si>
    <t>LOOSE ONION LOT 4</t>
  </si>
  <si>
    <t>NESTLE EVERYDAY 400 GM LOT 5</t>
  </si>
  <si>
    <t>EVERYDAY 1 KG LOT 1</t>
  </si>
  <si>
    <t>SURF EXCEL 500GM LOT 5</t>
  </si>
  <si>
    <t>CLINIC PLUS EGG PROTEIN SATCHET LOT 3</t>
  </si>
  <si>
    <t>SUNSILK THICK AND LONG SATCHET LOT 1</t>
  </si>
  <si>
    <t xml:space="preserve">KELLOGGS OATS 500 GM LOT 2 </t>
  </si>
  <si>
    <t xml:space="preserve">SAFFOLA GOLD 1 L LOT 1 </t>
  </si>
  <si>
    <t>FORTUNE SOYA HEALTH 1 LITRE LOT 6</t>
  </si>
  <si>
    <t>KELLOGGS MUESLI 750 GM LOT 1</t>
  </si>
  <si>
    <t xml:space="preserve">SMART AND HANDSOME BRIGHTENING CREAM LOT 1 </t>
  </si>
  <si>
    <t>GOOD KNIGHT MOSQUITO REFILL LOT 4</t>
  </si>
  <si>
    <t>LOCAL WATER LOT 3</t>
  </si>
  <si>
    <t>PEPSI 2.2 L LOT 1</t>
  </si>
  <si>
    <t>VIMBAR 30 INR LOT 1</t>
  </si>
  <si>
    <t>VIMBAR 60 INR LOT 1</t>
  </si>
  <si>
    <t>LOCAL EGG LOT 13</t>
  </si>
  <si>
    <t>SHIV SHAKTI AGARBATTI LOT 2</t>
  </si>
  <si>
    <t>BHARAT DARSHAN AGARBATTI LOT 3</t>
  </si>
  <si>
    <t>WHOLE METHI LOT 2</t>
  </si>
  <si>
    <t>SURJYO COIL LOT 5</t>
  </si>
  <si>
    <t>ELACHI 10 INR LOT 1</t>
  </si>
  <si>
    <t xml:space="preserve">PACKET </t>
  </si>
  <si>
    <t>WHOLE KALIJEERA LOT 2</t>
  </si>
  <si>
    <t>10 INR LIFEBUOY LEMON LOT 2</t>
  </si>
  <si>
    <t>SECRET TEMPTATION LOT 1</t>
  </si>
  <si>
    <t>5 INR BISCUITS LOT 4</t>
  </si>
  <si>
    <t>COCO MALAI LOT 6</t>
  </si>
  <si>
    <t>BISKFARM RICE MARIE LOT 4</t>
  </si>
  <si>
    <t>SURF EXCEL 500 GM LOT 6</t>
  </si>
  <si>
    <t>NESTLE EVERYDAY 200 GM LOT 2</t>
  </si>
  <si>
    <t>COLGATE 100 GM LOT 3</t>
  </si>
  <si>
    <t>40 INR BRITANNIA THIN ARROWROOT</t>
  </si>
  <si>
    <t>SURF EXCEL 70 GM LOT 6</t>
  </si>
  <si>
    <t>10 INR KURKURE PUFF</t>
  </si>
  <si>
    <t>5 INR LITTLE HEART LOT 2</t>
  </si>
  <si>
    <t>10 INR HALDIRAM PUNJABI PAPAD</t>
  </si>
  <si>
    <t>10 INR BISCUITS LOT 6</t>
  </si>
  <si>
    <t>5 INR HALDIRAM LOT 2</t>
  </si>
  <si>
    <t>LOOSE POTATO LOT 4</t>
  </si>
  <si>
    <t>LOOSE ONION LOT 5</t>
  </si>
  <si>
    <t>BRITANNIA MARIE GOLD LOT 4</t>
  </si>
  <si>
    <t>BRITANNIA TREAT LOT 1</t>
  </si>
  <si>
    <t>LOOSE SUGAR LOT 5</t>
  </si>
  <si>
    <t>INDIA GATE DUBAR 1 KG LOT 1</t>
  </si>
  <si>
    <t>LOOSE BROKEN BASMATI LOT 1</t>
  </si>
  <si>
    <t>AMUL MASTI LOT 1</t>
  </si>
  <si>
    <t>CAVIN ROSE LASSI LOT 1</t>
  </si>
  <si>
    <t>HERSHEY MILK SHAKE LOT 1</t>
  </si>
  <si>
    <t>WINKIN COW COLD COFFEE LOT 1</t>
  </si>
  <si>
    <t>20 INR REAL LITCHI DRINK LOT 1</t>
  </si>
  <si>
    <t>20 INR KINLEY SODA 750 ML LOT 1</t>
  </si>
  <si>
    <t>35 INR MAAZA 600 ML LOT 2</t>
  </si>
  <si>
    <t>20 INR REAL ORANGE DRINK LOT 1</t>
  </si>
  <si>
    <t>LOCAL WATER LOT 4</t>
  </si>
  <si>
    <t>LAYS CHIPS LOT 4</t>
  </si>
  <si>
    <t>HALDIRAM SOAN PAPDI LOT 2</t>
  </si>
  <si>
    <t>STREAX SHAMPOO COLOUR BURGUNDY 15 INR LOT 2</t>
  </si>
  <si>
    <t>GARNIER BLACK NATURALS LOT 1</t>
  </si>
  <si>
    <t xml:space="preserve">VASMOL HENNA CREAM LOT 1 </t>
  </si>
  <si>
    <t>GODREJ EXPERT RICH CRÈME MINI PACK LOT 2</t>
  </si>
  <si>
    <t>GODREJ SHAMPOO HAIR COLOUR LOT 1</t>
  </si>
  <si>
    <t xml:space="preserve">BONN BOURBON LOT 4 </t>
  </si>
  <si>
    <t>30 INR CAKE LOT 3</t>
  </si>
  <si>
    <t xml:space="preserve">10 INR TATA TEA GOLD LOT 1 </t>
  </si>
  <si>
    <t>PEARS BLUE LOT 3</t>
  </si>
  <si>
    <t>BISKFARM RICE MARRIE LOT 5</t>
  </si>
  <si>
    <t>TOP BUTTER MUNCH LOT 4</t>
  </si>
  <si>
    <t>CANDIMAN FRUITEE FUN LOT 1</t>
  </si>
  <si>
    <t xml:space="preserve">HAZMOLA MAHA CANDY LOT 1 </t>
  </si>
  <si>
    <t xml:space="preserve">PONDS POWDER SANDAl LOT 1 </t>
  </si>
  <si>
    <t>AMUL TAAZA 500ML LOT 5</t>
  </si>
  <si>
    <t>WHOLE ELACHI LOT 2</t>
  </si>
  <si>
    <t>WHOLE GOL MORICH LOT 2</t>
  </si>
  <si>
    <t xml:space="preserve">BIG BATASHA LOT 1 </t>
  </si>
  <si>
    <t xml:space="preserve">CLINIC PLUS  EGG PROTEIN SATCHET LOT 4 </t>
  </si>
  <si>
    <t>2 INR SATCHET LOT 1</t>
  </si>
  <si>
    <t>2 INR STREAX SATCHET LOT 1</t>
  </si>
  <si>
    <t>PRAN POTATA</t>
  </si>
  <si>
    <t>LOOSE POTATO LOT 5</t>
  </si>
  <si>
    <t>LOOSE ONION LOT 6</t>
  </si>
  <si>
    <t>LOOSE GARLIC LOT 4</t>
  </si>
  <si>
    <t>LOOSE GINGER LOT 3</t>
  </si>
  <si>
    <t>LOCAL EGG LOT 14</t>
  </si>
  <si>
    <t xml:space="preserve">BAG </t>
  </si>
  <si>
    <t>One Thousand Ninety Nine Only</t>
  </si>
  <si>
    <t>50 INR MANGALDEEP 3 IN 1</t>
  </si>
  <si>
    <t>30 INR COCO MALAI LOT 7</t>
  </si>
  <si>
    <t>160 INR AIR FRESHNER LOT 1</t>
  </si>
  <si>
    <t>LOCAL EGG LOT 15</t>
  </si>
  <si>
    <t xml:space="preserve">10 INR ROYAL BOURBON LOT 1 </t>
  </si>
  <si>
    <t>BISKFARM CHATPATA SPICY LOT 2</t>
  </si>
  <si>
    <t>TOP BUTTER MUNCH LOT 5</t>
  </si>
  <si>
    <t>10 INR DAIRYMILK LOT 1</t>
  </si>
  <si>
    <t xml:space="preserve">10 INR SURF EXCEL LOT 7 </t>
  </si>
  <si>
    <t xml:space="preserve">500 GM SURF EXCEL LOT 7 </t>
  </si>
  <si>
    <t>VIMBAR 60 INR LOT 2</t>
  </si>
  <si>
    <t>GILLETE GUARD BLADE LOT 2</t>
  </si>
  <si>
    <t>60 INR SISTER KACHI GHANI LOT 1</t>
  </si>
  <si>
    <t>10 INR EVERYDAY LOT 5</t>
  </si>
  <si>
    <t>ASHIRBAD ATTA LOT 6</t>
  </si>
  <si>
    <t>TATA SALT LOT 6</t>
  </si>
  <si>
    <t>CHING GREEN CHILI SAUCE LOT 1</t>
  </si>
  <si>
    <t>AMUL MASTI LOT 2</t>
  </si>
  <si>
    <t>CAVIN ROSE LASSI LOT 2</t>
  </si>
  <si>
    <t>BRITANNIA TREAT LOT 2</t>
  </si>
  <si>
    <t>BINGO MAD ANGLES ACHAARI MASTI LOT 1</t>
  </si>
  <si>
    <t>BRITANNIA TREAT LOT 3</t>
  </si>
  <si>
    <t>AMUL BUTTER 100 GM LOT 1</t>
  </si>
  <si>
    <t>20 INR REAL ORANGE DRINK LOT 2</t>
  </si>
  <si>
    <t>20 INR KURKURE MASALA MUNCH LOT 1</t>
  </si>
  <si>
    <t>35 INR MCVITIES HOBNOBS CHOCOCHIP OATS LOT 1</t>
  </si>
  <si>
    <t>60 INR CHING SOY SAUCE LOT 1</t>
  </si>
  <si>
    <t>30 INR BRITANNIA NUTRICHOICE SEEDS LOT 1</t>
  </si>
  <si>
    <t>20 INR BINGO MAD ANGLES ACHAARI MASTI LOT 2</t>
  </si>
  <si>
    <t>55 INR BRITANNIA NUTRICHOICE DIGESTIVE 250 GM LOT 1</t>
  </si>
  <si>
    <t>20 INR BRITANNIA TREAT LOT 4</t>
  </si>
  <si>
    <t>30 INR PARLE HIDE &amp; SEEK LOT 1</t>
  </si>
  <si>
    <t>40 INR BISK FARM GOOGLY LOT 1</t>
  </si>
  <si>
    <t>60 INR DUKES MASALA NIBBLES LOT 1</t>
  </si>
  <si>
    <t>35 INR MAGGI PAZZTA LOT 1</t>
  </si>
  <si>
    <t>35 INR SUNFEAST TRICOLOR PASTA LOT 1</t>
  </si>
  <si>
    <t>PASTA</t>
  </si>
  <si>
    <t xml:space="preserve">  WHOLE DARCHINI GRADE A LOT 1</t>
  </si>
  <si>
    <t>40 INR AMUL TAAZA 500 ML LOT 6</t>
  </si>
  <si>
    <t>20 INR MOUNTAIN DEW LOT 2</t>
  </si>
  <si>
    <t>ENGINE KACHI GHANI LOT 2</t>
  </si>
  <si>
    <t xml:space="preserve">HAJMOLA PUDINA LOT 1 </t>
  </si>
  <si>
    <t>HAZMOLA ANARDANA LOT 1</t>
  </si>
  <si>
    <t xml:space="preserve">HAJMOLA CHATCOLA LOT 2 </t>
  </si>
  <si>
    <t>CANDIMAN FRUITEE FUN LOT 2</t>
  </si>
  <si>
    <t>10 INR ROYAL BOURBON LOT 2</t>
  </si>
  <si>
    <t>BISKFARM CHATPATA SPICY LOT 3</t>
  </si>
  <si>
    <t xml:space="preserve">58 INR COMFORT LOT 4 </t>
  </si>
  <si>
    <t xml:space="preserve">10 INR LUX </t>
  </si>
  <si>
    <t>10 INR VIVEL LOT 2</t>
  </si>
  <si>
    <t>10 INR LIFEBUOY LOT 2</t>
  </si>
  <si>
    <t>40 INR MASALA CHOWMIN LOT 1</t>
  </si>
  <si>
    <t>5 INR HALDIRAM LOT 3</t>
  </si>
  <si>
    <t xml:space="preserve">10 INR WAI WAI KOREAN HOT AND SPICY LOT 1 </t>
  </si>
  <si>
    <t xml:space="preserve">5 INR CHICKEN NOODLES LOT 1 </t>
  </si>
  <si>
    <t xml:space="preserve">5 INR MASALA NOODLES LOT 1 </t>
  </si>
  <si>
    <t xml:space="preserve">10 INR AMUL TEA SPECIAL LOT 1 </t>
  </si>
  <si>
    <t>SURJYO COIL LOT 6</t>
  </si>
  <si>
    <t>BALL MATCHSTICKS LOT 3</t>
  </si>
  <si>
    <t>ENGINE KACHI GHANI 500 ML LOT 1</t>
  </si>
  <si>
    <t>LOOSE SUGAR LOT 6</t>
  </si>
  <si>
    <t>LOOSE BADAM LOT 2</t>
  </si>
  <si>
    <t>10 INR NESTLE EVERYDAY LOT 6</t>
  </si>
  <si>
    <t>10 INR FORTUNE SOYA CHUNKS</t>
  </si>
  <si>
    <t>KISMIS LOT 5</t>
  </si>
  <si>
    <t>SISTER RED CHILLI POWDER 40 GM LOT 2</t>
  </si>
  <si>
    <t>SISTER JEERA POWDER 100 GM LOT 2</t>
  </si>
  <si>
    <t>SISTER TURMERIC POWDER 250 GM LOT 2</t>
  </si>
  <si>
    <t>SISTER TURMERIC POWDER 100 GM LOT 2</t>
  </si>
  <si>
    <t>10 INR HALDIRAM PUNJABI PAPAD LOT 2</t>
  </si>
  <si>
    <t>PROFIT</t>
  </si>
  <si>
    <t>SHIFT</t>
  </si>
  <si>
    <t>AVERAGE</t>
  </si>
  <si>
    <t>MONTHLY PROFIT PERCENT</t>
  </si>
  <si>
    <t>RAW PROFIT (PER DAY)</t>
  </si>
  <si>
    <t>PROFIT PERCENT (PER DAY)</t>
  </si>
  <si>
    <t>AVERAGE PROFIT PERCENT (STORE)</t>
  </si>
  <si>
    <t>CUSTOMER NO.</t>
  </si>
  <si>
    <t>CLOSING</t>
  </si>
  <si>
    <t>TOTAL CUSTOMERS</t>
  </si>
  <si>
    <t>UPI TOTAL</t>
  </si>
  <si>
    <t>BAILEY SMALL LOT 1</t>
  </si>
  <si>
    <t>MOTHERS MIXED PICKLE LOT 1</t>
  </si>
  <si>
    <t>NATARAJ PENCIL LOT 1</t>
  </si>
  <si>
    <t>SANITARY CUBES LOT 1</t>
  </si>
  <si>
    <t>EGG LOT 6</t>
  </si>
  <si>
    <t>LOCAL EGG LOT 16</t>
  </si>
  <si>
    <t>LOOSE AARAM GREEN LOT 6</t>
  </si>
  <si>
    <t>30 INR LITTLE HEARTS LOT 1</t>
  </si>
  <si>
    <t>20 INR BINGO MAD ANGLES ACHAARI MASTI LOT 3</t>
  </si>
  <si>
    <t>20 INR BRITANNIA TREAT LOT 5</t>
  </si>
  <si>
    <t>20 INR KURKURE MASALA MUNCH LOT 2</t>
  </si>
  <si>
    <t>KELLOGGS MUESLI 750 GM LOT 2</t>
  </si>
  <si>
    <t xml:space="preserve">HORLICKS CHOC0LATE 1 KG LOT 1 </t>
  </si>
  <si>
    <t xml:space="preserve">30 INR HOBNOBS LOT 1 </t>
  </si>
  <si>
    <t>30 INR BRITANNIA NUTRICHOICE SEEDS LOT 2</t>
  </si>
  <si>
    <t>30 INR PARLE HIDE &amp; SEEK LOT 2</t>
  </si>
  <si>
    <t xml:space="preserve">30 INR NUTRICHOICE DIGESTIVE LOT 1 </t>
  </si>
  <si>
    <t>35 INR SUNFEAST TRICOLOR PASTA LOT 2</t>
  </si>
  <si>
    <t>35 INR MAGGI PAZZTA LOT 2</t>
  </si>
  <si>
    <t>40 INR AMUL TAAZA 500 ML LOT 7</t>
  </si>
  <si>
    <t>ABHIJIT DA</t>
  </si>
  <si>
    <t>BHAJAN DA</t>
  </si>
  <si>
    <t>TANU DI</t>
  </si>
  <si>
    <t>KUTTI MAA</t>
  </si>
  <si>
    <t>EVERYDAY 1 KG LOT 2</t>
  </si>
  <si>
    <t>PIU</t>
  </si>
  <si>
    <t>GOURAB SAHA</t>
  </si>
  <si>
    <t>LOOSE ANGOOR LOT 2</t>
  </si>
  <si>
    <t>20 INR KINLEY SODA 750 ML LOT 2</t>
  </si>
  <si>
    <t>SALKA TRIPURA</t>
  </si>
  <si>
    <t>JAYA DI</t>
  </si>
  <si>
    <t>GAUTAM DA MAA</t>
  </si>
  <si>
    <t>SUBRATA UNCLE</t>
  </si>
  <si>
    <t>DIBYENDU DA</t>
  </si>
  <si>
    <t>BABAN DA</t>
  </si>
  <si>
    <t>LOOSE POTATO LOT 6</t>
  </si>
  <si>
    <t>LOOSE ONION LOT 7</t>
  </si>
  <si>
    <t>LOOSE GARLIC LOT 5</t>
  </si>
  <si>
    <t>LOOSE GINGER LOT 4</t>
  </si>
  <si>
    <t>XEROX MAA</t>
  </si>
  <si>
    <t>TANU DIDI</t>
  </si>
  <si>
    <t>MUNICIPALITY BRO</t>
  </si>
  <si>
    <t>BUTU DA</t>
  </si>
  <si>
    <t>RAJU DA WIFE</t>
  </si>
  <si>
    <t>MUNAI</t>
  </si>
  <si>
    <t>GAUTAM DA</t>
  </si>
  <si>
    <t>SHALIMAR COCONUT  OIL</t>
  </si>
  <si>
    <t>SHREE</t>
  </si>
  <si>
    <t>MONTI DI HUSBAND</t>
  </si>
  <si>
    <t>DIPA DI</t>
  </si>
  <si>
    <t>FORTUNE BESAN 500 GM LOT 1</t>
  </si>
  <si>
    <t>SHILU AUNTY</t>
  </si>
  <si>
    <t>MAGGI HOT &amp; SWEET SAUCE LOT 2</t>
  </si>
  <si>
    <t>LOOSE SUGAR LOT 7</t>
  </si>
  <si>
    <t>LOOSE MASOOR DAL LOT 5</t>
  </si>
  <si>
    <t xml:space="preserve">PRAN POTATA </t>
  </si>
  <si>
    <t>SAMPA DI</t>
  </si>
  <si>
    <t>SUJIT DA</t>
  </si>
  <si>
    <t>60 INR BAKERY ITEM LOT 2</t>
  </si>
  <si>
    <t>20 INR BAKERY ITEM LOT 2</t>
  </si>
  <si>
    <t>30 INR BAKERY ITEM LOT 1</t>
  </si>
  <si>
    <t>LOCAL EGG LOT 17</t>
  </si>
  <si>
    <t>20 INR BINGO MAD ANGLE RED ALERT LOT 1</t>
  </si>
  <si>
    <t>10 INR PRAN POTATA LOT 2</t>
  </si>
  <si>
    <t>LAYS CHIPS LOT 5</t>
  </si>
  <si>
    <t>10 INR WAI WAI KOREAN HOT AND SPICY LOT 2</t>
  </si>
  <si>
    <t>HEAD &amp; SHOULDERS SATCHET LOT 4</t>
  </si>
  <si>
    <t>10 INR GOBBLES LOT 5</t>
  </si>
  <si>
    <t>5 INR MASALA NOODLES LOT 2</t>
  </si>
  <si>
    <t>5 INR CHICKEN NOODLES LOT 2</t>
  </si>
  <si>
    <t>10 INR RUSK LOT 5</t>
  </si>
  <si>
    <t>20 INR RAJA GOLDEN TIME LOT 1</t>
  </si>
  <si>
    <t>30 INR COCO MALAI LOT 8</t>
  </si>
  <si>
    <t>10 INR GOOGLY LOT 1</t>
  </si>
  <si>
    <t>10 INR TOP HERBS LOT 1</t>
  </si>
  <si>
    <t>45 INR BISK FARM SUGARFREE LOT 2</t>
  </si>
  <si>
    <t>35 INR BISKFARM CHATPATA SPICY LOT 4</t>
  </si>
  <si>
    <t>40 INR BRITANNIA THIN ARROWROOT LOT 2</t>
  </si>
  <si>
    <t>10 INR MCVITIES NUTS LOT 7</t>
  </si>
  <si>
    <t>APU CHANDA</t>
  </si>
  <si>
    <t>RAMKRISHNA UNCLE</t>
  </si>
  <si>
    <t>LOOSE POTATO LOT 7</t>
  </si>
  <si>
    <t>LOOSE ONION LOT 8</t>
  </si>
  <si>
    <t>LOOSE CHANDRAMUKHI LOT 1</t>
  </si>
  <si>
    <t>EXO 5 INR LOT 4</t>
  </si>
  <si>
    <t>10 INR VIM BAR LOT 1</t>
  </si>
  <si>
    <t>NABENDU DA</t>
  </si>
  <si>
    <t>LOOSE AARAM GREEN LOT 7</t>
  </si>
  <si>
    <t>RAHUL DA</t>
  </si>
  <si>
    <t>LOCAL WATER LOT 5</t>
  </si>
  <si>
    <t>CLEAN AND CLEAR</t>
  </si>
  <si>
    <t>NEHA</t>
  </si>
  <si>
    <t>MIMARIYA AUNTY</t>
  </si>
  <si>
    <t xml:space="preserve">BHAJAN DA </t>
  </si>
  <si>
    <t>STRIP LIGHT 1</t>
  </si>
  <si>
    <t>NIMARIYA AUNTY</t>
  </si>
  <si>
    <t>ROHIT</t>
  </si>
  <si>
    <t>MONTI DI</t>
  </si>
  <si>
    <t>TITU ELECTRIC</t>
  </si>
  <si>
    <t>LOCAL EGG LOT 18</t>
  </si>
  <si>
    <t>LOOSE MURI LOT 4</t>
  </si>
  <si>
    <t>MAGGI COMBO 10 INR LOT 5</t>
  </si>
  <si>
    <t>40 INR AMUL TAAZA 500 ML LOT 8</t>
  </si>
  <si>
    <t>20 INR BRITANNIA TREAT LOT 6</t>
  </si>
  <si>
    <t>DABUR PUDINA HAJMOLA LOT 1</t>
  </si>
  <si>
    <t>DABUR REGULAR HAJMOLA LOT 1</t>
  </si>
  <si>
    <t>DABUR IMLI HAJMOLA LOT 1</t>
  </si>
  <si>
    <t>DABUR ANARDANA HAJMOLA LOT 1</t>
  </si>
  <si>
    <t>PLASTIC GLASS</t>
  </si>
  <si>
    <t>20 INR LARGE PLATE MEDIUM LOT 2</t>
  </si>
  <si>
    <t>40 INR LARGE PLATE HARD LOT 2</t>
  </si>
  <si>
    <t>200 INR MANORAMA PANEER BIG LOT 1</t>
  </si>
  <si>
    <t>185 INR NUTRAJ DRIED CRANBERRIES LOT 1</t>
  </si>
  <si>
    <t>230 INR NUTRAJ AFGHAN MUNAKKA LOT 1</t>
  </si>
  <si>
    <t>185 INR NUTRAJ DRIED KIWI LOT 1</t>
  </si>
  <si>
    <t>40 INR NUTRAJ WHITE SESAME LOT 1</t>
  </si>
  <si>
    <t>20 INR NUTRAJ ALMOND LOT 1</t>
  </si>
  <si>
    <t>20 INR NUTRAJ PISTACHIO LOT 1</t>
  </si>
  <si>
    <t>10 INR NUTRAJ KISMIS LOT 1</t>
  </si>
  <si>
    <t>20 INR NUTRAJ KAJU LOT 1</t>
  </si>
  <si>
    <t>20 INR NUTRAJ KHAJUR BITES LOT 1</t>
  </si>
  <si>
    <t>350 INR NUTRAJ AJWA KHAJUR LOT 1</t>
  </si>
  <si>
    <t>400 INR NUTRAJ DRIED BLUEBERRIES LOT 1</t>
  </si>
  <si>
    <t>400 INR NUTRAJ ANJEER LOT 1</t>
  </si>
  <si>
    <t>485 INR KELLOGGS MUESLI 750 GM LOT 3</t>
  </si>
  <si>
    <t>60 INR ELLORA PANEER 200 GM LOT 1</t>
  </si>
  <si>
    <t>120 INR RED COW PANEER 400 GM LOT 2</t>
  </si>
  <si>
    <t>10 INR VIM BAR LOT 2</t>
  </si>
  <si>
    <t>LOOSE DRY RED CHILLI LOT 4</t>
  </si>
  <si>
    <t>85 INR 500 ML SREEJI REFINED OIL LOT 2</t>
  </si>
  <si>
    <t>DHOOP LOT 1</t>
  </si>
  <si>
    <t>55 INR ENGINE KACHI GHANI LOT 2</t>
  </si>
  <si>
    <t>205 INR NESTLE EVERYDAY 400 GM LOT 6</t>
  </si>
  <si>
    <t>90 INR MANORAMA GHEE 100 GM LOT 2</t>
  </si>
  <si>
    <t>30 INR RICE POWDER LOT 1</t>
  </si>
  <si>
    <t>10 INR SURF EXCEL LOT 8</t>
  </si>
  <si>
    <t>50 INR CYCLE AGARBATTI LOT 3</t>
  </si>
  <si>
    <t>10 INR ZED AGARBATTI LOT 2</t>
  </si>
  <si>
    <t>10 INR TATA TEA GOLD LOT 2</t>
  </si>
  <si>
    <t>DURGABARI TEA 35 INR  LOT 2</t>
  </si>
  <si>
    <t>40 INR MASALA CHOWMIN LOT 2</t>
  </si>
  <si>
    <t>NESTLE EVERYDAY 200 GM LOT 3</t>
  </si>
  <si>
    <t>5 INR MALKIST LOT 1</t>
  </si>
  <si>
    <t>MODERN DALMOOT 250 GM LOT 3</t>
  </si>
  <si>
    <t>MODERN DALMOOT 20 INR LOT 3</t>
  </si>
  <si>
    <t>40 INR BISK FARM DRY CAKE LOT 1</t>
  </si>
  <si>
    <t>10 INR DIGESTIVE BISCUITS LOT 2</t>
  </si>
  <si>
    <t>10 INR HALF HALF LOT 1</t>
  </si>
  <si>
    <t>40 INR RUSKIT LOT 3</t>
  </si>
  <si>
    <t>5 INR CHOCOS LOT 2</t>
  </si>
  <si>
    <t>5 INR RAJA CRACKY LOT 1</t>
  </si>
  <si>
    <t>5 INR RAJA BURST LOT 1</t>
  </si>
  <si>
    <t>10 INR OREO ORIGINAL  LOT 1</t>
  </si>
  <si>
    <t>5 INR BISCUITS LOT 5</t>
  </si>
  <si>
    <t>5 INR NIMKIN LOT 1</t>
  </si>
  <si>
    <t>BRITANNIA NUTRI CHOICE THIN ARROWROOT LOT 4</t>
  </si>
  <si>
    <t>BONN BOURBON LOT 5</t>
  </si>
  <si>
    <t>10 INR ROYAL BOURBON LOT 3</t>
  </si>
  <si>
    <t>10 INR MCVITIES NUTS LOT 8</t>
  </si>
  <si>
    <t>MODERN DALMOOT 10 INR LOT 3</t>
  </si>
  <si>
    <t>30 INR CAKE LOT 4</t>
  </si>
  <si>
    <t>120 INR LOOSE SOYA CHUNK LOT 1</t>
  </si>
  <si>
    <t>BAILEY SMALL LOT 2</t>
  </si>
  <si>
    <t>10 INR BAILEY LOT 2</t>
  </si>
  <si>
    <t>LOCAL EGG LOT 19</t>
  </si>
  <si>
    <t>LOOSE ONION LOT 9</t>
  </si>
  <si>
    <t>LOOSE POTATO LOT 8</t>
  </si>
  <si>
    <t>LOOSE GARLIC LOT 6</t>
  </si>
  <si>
    <t>LOCAL EGG LOT 20</t>
  </si>
  <si>
    <t>TATA SALT LOT 7</t>
  </si>
  <si>
    <t>LOOSE SUGAR LOT 8</t>
  </si>
  <si>
    <t>40 INR ERSL LOT 2</t>
  </si>
  <si>
    <t>30 INR ORS LOT 1</t>
  </si>
  <si>
    <t>5 INR MUNCH LOT 2</t>
  </si>
  <si>
    <t>10 INR MUNCH LOT 1</t>
  </si>
  <si>
    <t>30 INR CLEAN &amp; CLEAR LOT 1</t>
  </si>
  <si>
    <t>HAZMOLA ANARDANA LOT 2</t>
  </si>
  <si>
    <t>HAPPYDENT WHITE LOT 1</t>
  </si>
  <si>
    <t>10 INR GOBBLES LOT 6</t>
  </si>
  <si>
    <t>10 INR KNORR SOUP LOT 1</t>
  </si>
  <si>
    <t>50 INR SISTER CORIANDER POWDER 100 GM LOT 2</t>
  </si>
  <si>
    <t>158 INR FORTUNE SOYA HEALTH 1 LITRE LOT 7</t>
  </si>
  <si>
    <t>ASHIRBAD ATTA LOT 7</t>
  </si>
  <si>
    <t>205 INR NESTLE EVERYDAY 400 GM LOT 7</t>
  </si>
  <si>
    <t>158 INR FORTUNE SOYA HEALTH 1 LITRE LOT 8</t>
  </si>
  <si>
    <t>37 INR HERSHEY MILK SHAKE LOT 2</t>
  </si>
  <si>
    <t>25 INR AMUL KOOL LOT 1</t>
  </si>
  <si>
    <t>25 INR LOOSE POTATO LOT 9</t>
  </si>
  <si>
    <t>45 INR LOOSE CHANDRAMUKHI LOT 2</t>
  </si>
  <si>
    <t>100 INR COCACOLA 2.2 L LOT 2</t>
  </si>
  <si>
    <t>100 INR SPRITE 2.2 L LOT 3</t>
  </si>
  <si>
    <t>100 INR THUMBS UP 2.2 L LOT 1</t>
  </si>
  <si>
    <t>110 INR BIG BATASHA LOT 2</t>
  </si>
  <si>
    <t>15 INR KNORR SOUP LOT 1</t>
  </si>
  <si>
    <t>10 INR COLORED CANDLE STAND LOT 1</t>
  </si>
  <si>
    <t>10 INR BLUE CANDLE STAND LOT 1</t>
  </si>
  <si>
    <t>CASH</t>
  </si>
  <si>
    <t>60 INR TOILET BRUSH LOT 1</t>
  </si>
  <si>
    <t>10 INR POWER LOT 3</t>
  </si>
  <si>
    <t>15 INR NEEM CAMPHOR ANTIMOSQUITO STICK LOT 1</t>
  </si>
  <si>
    <t>70 INR LIME PHENYL LOT 1</t>
  </si>
  <si>
    <t>75 INR BLACK PHENYL LOT 1</t>
  </si>
  <si>
    <t>75 INR BLEACHING POWDER 500 GM LOT 1</t>
  </si>
  <si>
    <t>50 INR BLEACHING POWDER 300 GM LOT 1</t>
  </si>
  <si>
    <t>15 INR NAPTHALENE BALLS LOT 1</t>
  </si>
  <si>
    <t>30 INR AGURU LOT 1</t>
  </si>
  <si>
    <t>30 INR WHITE CANDLE PACKET LOT 2</t>
  </si>
  <si>
    <t>LOCAL EGG LOT 21</t>
  </si>
  <si>
    <t>LOOSE GINGER LOT 5</t>
  </si>
  <si>
    <t>10 INR MITHAAS WATER LOT 2</t>
  </si>
  <si>
    <t>BHAJAN DA WIFE</t>
  </si>
  <si>
    <t>maa</t>
  </si>
  <si>
    <t>OPERA SOAP SET LOT 1</t>
  </si>
  <si>
    <t>SUPRIYA</t>
  </si>
  <si>
    <t>THAIKHAI</t>
  </si>
  <si>
    <t>dog building</t>
  </si>
  <si>
    <t>boudi</t>
  </si>
  <si>
    <t>credit</t>
  </si>
  <si>
    <t>bhAJAN DA</t>
  </si>
  <si>
    <t>bhajan da</t>
  </si>
  <si>
    <t>evening</t>
  </si>
  <si>
    <t>MALKIST</t>
  </si>
  <si>
    <t>BHOLA DA</t>
  </si>
  <si>
    <t>butter cokies</t>
  </si>
  <si>
    <t>SISTER RED CHILI</t>
  </si>
  <si>
    <t>flair pen</t>
  </si>
  <si>
    <t>10 inr kurkure</t>
  </si>
  <si>
    <t>supra pen</t>
  </si>
  <si>
    <t>PANCH PORAN</t>
  </si>
  <si>
    <t xml:space="preserve">hilking </t>
  </si>
  <si>
    <t>cocowonder</t>
  </si>
  <si>
    <t>KURKURE</t>
  </si>
  <si>
    <t>COCO WONDER</t>
  </si>
  <si>
    <t>GOLU</t>
  </si>
  <si>
    <t>ROHAN</t>
  </si>
  <si>
    <t>THAIKHOI</t>
  </si>
  <si>
    <t xml:space="preserve"> marcline eraser</t>
  </si>
  <si>
    <t>thaikhai</t>
  </si>
  <si>
    <t>10 INR MARKET BAGS LOT 1</t>
  </si>
  <si>
    <t>20 INR MARKET BAGS LOT 1</t>
  </si>
  <si>
    <t>40 INR AMUL TAAZA 500 ML LOT 9</t>
  </si>
  <si>
    <t>LOCAL EGG LOT 22</t>
  </si>
  <si>
    <t>25 INR LOOSE POTATO LOT 10</t>
  </si>
  <si>
    <t>45 INR LOOSE CHANDRAMUKHI LOT 3</t>
  </si>
  <si>
    <t>45 INR LOOSE ONION LOT 10</t>
  </si>
  <si>
    <t>60 INR LOOSE SUGAR LOT 8</t>
  </si>
  <si>
    <t>10 INR ZOFF HING LOT 1</t>
  </si>
  <si>
    <t>15 INR ZOFF BLACK SALT LOT 1</t>
  </si>
  <si>
    <t>10 INR ZOFF WHOLE CUMIN LOT 1</t>
  </si>
  <si>
    <t>10 INR ZOFF WHOLE CLOVE LOT 1</t>
  </si>
  <si>
    <t>10 INR ZOFF WHOLE BLACK PEPPER LOT 1</t>
  </si>
  <si>
    <t>10 INR ZOFF AJWAIN LOT 1</t>
  </si>
  <si>
    <t>10 INR ZOFF BIG FENNEL LOT 1</t>
  </si>
  <si>
    <t>10 INR ZOFF WHOLE FENUGREEK LOT 1</t>
  </si>
  <si>
    <t>10 INR ZOFF SOYA CHUNKS LOT 1</t>
  </si>
  <si>
    <t>30 INR LOCAL ACHAAR LOT 1</t>
  </si>
  <si>
    <t>TOTAL CUSTOMERS (MORNING)</t>
  </si>
  <si>
    <t>UPI TOTAL (MORNING)</t>
  </si>
  <si>
    <t>TOTAL CASH (MORNING)</t>
  </si>
  <si>
    <t>TOTAL CUSTOMERS (EVENING)</t>
  </si>
  <si>
    <t>UPI TOTAL (EVENING)</t>
  </si>
  <si>
    <t>TOTAL CASH</t>
  </si>
  <si>
    <t>TOTAL CASH (EVENING)</t>
  </si>
  <si>
    <t>5 INR PRAN LOT 1</t>
  </si>
  <si>
    <t>5 INR NON STOP LOT 1</t>
  </si>
  <si>
    <t>10 INR FRESHY MANGO LOT 2</t>
  </si>
  <si>
    <t>10 INR RASKIK NIMBU PANI LOT 1</t>
  </si>
  <si>
    <t>10 INR RASKIK ORANGE DRINK LOT 1</t>
  </si>
  <si>
    <t>50 INR PRAN SWEET TOAST LOT 3</t>
  </si>
  <si>
    <t>10 INR PRAN LITCHI LOT 1</t>
  </si>
  <si>
    <t>10 INR PRAN MAMA WAFER LOT 1</t>
  </si>
  <si>
    <t>5 INR PRAN MIMI LOT 1</t>
  </si>
  <si>
    <t>10 INR VEVEY CAKE LOT 1</t>
  </si>
  <si>
    <t>5 INR CAKE LOT 4</t>
  </si>
  <si>
    <t>2 INR PRAN JELLY LOT 1</t>
  </si>
  <si>
    <t>PRAN POTATO CRACKER</t>
  </si>
  <si>
    <t>PRAN INDIANA</t>
  </si>
  <si>
    <t>PRAN JHAL MURI</t>
  </si>
  <si>
    <t>PRAN TOM TOM</t>
  </si>
  <si>
    <t>20 INR CHOCO BEAN LOT 1</t>
  </si>
  <si>
    <t>30 INR PRAN DRY CAKE  LOT 2</t>
  </si>
  <si>
    <t>CHOTO MAMA</t>
  </si>
  <si>
    <t>LOOSE AARAM GREEN LOT 8</t>
  </si>
  <si>
    <t>10 INR POTATO CRACKERS LOT 1</t>
  </si>
  <si>
    <t>5 INR POTATO CRACKERS LOT 1</t>
  </si>
  <si>
    <t>KURKURE CHATPATA MASALA</t>
  </si>
  <si>
    <t>LAXMI BHOG</t>
  </si>
  <si>
    <t>RANIT</t>
  </si>
  <si>
    <t>tdidi</t>
  </si>
  <si>
    <t>BUTTER COKIES</t>
  </si>
  <si>
    <t>20 INR PEPSI LOT 1</t>
  </si>
  <si>
    <t>10 INR PAPERBOAT SWING LOT 1</t>
  </si>
  <si>
    <t>57 INR SUNLIGHT DETERGENT 500 GMS LOT 1</t>
  </si>
  <si>
    <t>15 INR KNORR SOUP LOT 2</t>
  </si>
  <si>
    <t>40 INR KISMIS LOT 6</t>
  </si>
  <si>
    <t>70 INR SHEER PANEER 200 ML LOT 1</t>
  </si>
  <si>
    <t>60 INR ASHIRBAD ATTA LOT 8</t>
  </si>
  <si>
    <t>10 INR WAI WAI KOREAN HOT AND SPICY LOT 3</t>
  </si>
  <si>
    <t>10 INR BATTERY LOT 3</t>
  </si>
  <si>
    <t>5 INR MALKIST CHEEZE LOT 2</t>
  </si>
  <si>
    <t>5 INR MALKIST CHOCOLATE LOT 1</t>
  </si>
  <si>
    <t>1 INR SHAMPOO SATCHET LOT 1</t>
  </si>
  <si>
    <t>LOOSE AARAM GREEN LOT 9</t>
  </si>
  <si>
    <t>LOOSE GROUNDNUT LOT 1</t>
  </si>
  <si>
    <t>LOCAL EGG LOT 23</t>
  </si>
  <si>
    <t>vivel set pink</t>
  </si>
  <si>
    <t>DARCHINI WHOLE</t>
  </si>
  <si>
    <t>NO OF TIMES DAY TOTAL &lt;3000 INR</t>
  </si>
  <si>
    <t>NO OF TIMES DAY TOTAL 2500&lt;&gt;1500 INR</t>
  </si>
  <si>
    <t xml:space="preserve">UNCLE CHIPS  </t>
  </si>
  <si>
    <t>LOCAL EGG LOT 24</t>
  </si>
  <si>
    <t>10 INR NUTRI CHOICE LOT 1</t>
  </si>
  <si>
    <t>sabji wala</t>
  </si>
  <si>
    <t>WINKIN COW LASSI LOT 1</t>
  </si>
  <si>
    <t>60 INR BAKERY ITEM LOT 3</t>
  </si>
  <si>
    <t>100 INR COCACOLA 2.2 L LOT 3</t>
  </si>
  <si>
    <t>20 INR COCA COLA LOT 1</t>
  </si>
  <si>
    <t>FLAIR PEN</t>
  </si>
  <si>
    <t>GREEN PEN</t>
  </si>
  <si>
    <t xml:space="preserve">20 INR COCA COLA </t>
  </si>
  <si>
    <t>RED PEN</t>
  </si>
  <si>
    <t>DORITOS</t>
  </si>
  <si>
    <t>BINGO</t>
  </si>
  <si>
    <t>20 INR COKE</t>
  </si>
  <si>
    <t>20 INR BINGO</t>
  </si>
  <si>
    <t>LIJOL</t>
  </si>
  <si>
    <t>AARAM RICE</t>
  </si>
  <si>
    <t>10 INR PRAN MESHUP</t>
  </si>
  <si>
    <t xml:space="preserve">CREDIT 10 </t>
  </si>
  <si>
    <t>MONORAMA 100 GM PANEER</t>
  </si>
  <si>
    <t>OREO ORIGINAL</t>
  </si>
  <si>
    <t xml:space="preserve">10 INR BISC </t>
  </si>
  <si>
    <t>5 INR VIM BAR</t>
  </si>
  <si>
    <t>5 INR HORLICS</t>
  </si>
  <si>
    <t>10 INR BRITANIA BISC</t>
  </si>
  <si>
    <t>GENERIC PEN</t>
  </si>
  <si>
    <t>LOOSE DALCHINI</t>
  </si>
  <si>
    <t>LOCAL EGG LOT 25</t>
  </si>
  <si>
    <t>LOOSE MURI LOT 5</t>
  </si>
  <si>
    <t xml:space="preserve">60 INR BAKERY ITEM LOT </t>
  </si>
  <si>
    <t>20 INR BAKERY ITEM LOT 3</t>
  </si>
  <si>
    <t>30 INR BAKERY ITEM LOT 2</t>
  </si>
  <si>
    <t>KITCHEN KHAZANA LOT 2</t>
  </si>
  <si>
    <t>rakesh saha</t>
  </si>
  <si>
    <t>120 INR MANORAMA PANEER 400 GM</t>
  </si>
  <si>
    <t>5 INR PRAN TOM TOM</t>
  </si>
  <si>
    <t>5 INR APEX BALL PEN</t>
  </si>
  <si>
    <t>CREDIT 1</t>
  </si>
  <si>
    <t xml:space="preserve">20 INR COKE </t>
  </si>
  <si>
    <t>BRITANNIA NUTRI CHOICE THIN ARROWROOT LOT 5</t>
  </si>
  <si>
    <t>10 INR GOBBLES LOT 7</t>
  </si>
  <si>
    <t>10 INR TOP HERBS LOT 2</t>
  </si>
  <si>
    <t>PIU DI</t>
  </si>
  <si>
    <t>10 INR GOOGLY LOT 2</t>
  </si>
  <si>
    <t>MODERN DALMOOT 10 INR LOT 4</t>
  </si>
  <si>
    <t>MODERN DALMOOT 20 INR LOT 4</t>
  </si>
  <si>
    <t>30 INR TOP BUTTER MUNCH LOT 6</t>
  </si>
  <si>
    <t>10 INR TOP BUTTER MUNCH LOT 1</t>
  </si>
  <si>
    <t>PEARS BLUE LOT 4</t>
  </si>
  <si>
    <t>50 INR BISK FARM SUGARFREE LOT 3</t>
  </si>
  <si>
    <t>STEELWOOL PLUS SCRUBBER LOT 2</t>
  </si>
  <si>
    <t xml:space="preserve">65 INR MANORAMA PANEER </t>
  </si>
  <si>
    <t>5 INR HORLICKS</t>
  </si>
  <si>
    <t xml:space="preserve">45 INR FORTUNE SUJI </t>
  </si>
  <si>
    <t>20 INR DORITOS</t>
  </si>
  <si>
    <t>T DIDI</t>
  </si>
  <si>
    <t>50 INR MUGHKAI MEETHA</t>
  </si>
  <si>
    <t>20 inr coke</t>
  </si>
  <si>
    <t xml:space="preserve">upi 5 </t>
  </si>
  <si>
    <t>70 INR SABU DANA</t>
  </si>
  <si>
    <t>5 INR RED PEN</t>
  </si>
  <si>
    <t>120 INR MANORAMA PANEER 200 GM</t>
  </si>
  <si>
    <t>extra 2</t>
  </si>
  <si>
    <t>credit 5</t>
  </si>
  <si>
    <t>extra 5</t>
  </si>
  <si>
    <t>CREDIT 5 subrata uncle wife</t>
  </si>
  <si>
    <t>120 INR MANORAMA PANEER</t>
  </si>
  <si>
    <t>20 subrata uncle wife</t>
  </si>
  <si>
    <t>5 INR APEX Pen</t>
  </si>
  <si>
    <t>10 INR CYCLE AGARBATI</t>
  </si>
  <si>
    <t>5 INR BISCUIT</t>
  </si>
  <si>
    <t>upi 10</t>
  </si>
  <si>
    <t>LOOSE ONION</t>
  </si>
  <si>
    <t>SISTER RED CHILI POWDER 20 GM</t>
  </si>
  <si>
    <t>BOOT + MOTOR DAL</t>
  </si>
  <si>
    <t>20 INR PEPSI LOT 2</t>
  </si>
  <si>
    <t>20 INR CHIPS</t>
  </si>
  <si>
    <t>60 INR LOOSE ONION LOT 11</t>
  </si>
  <si>
    <t>10 INR PAPERBOAT SWING LOT 2</t>
  </si>
  <si>
    <t>CAMPA COLA 200 ML LOT 3</t>
  </si>
  <si>
    <t>40 INR AMUL TAAZA 500 ML LOT 10</t>
  </si>
  <si>
    <t>MAGGI COMBO 10 INR LOT 6</t>
  </si>
  <si>
    <t>20 INR CHIPS LOT 2</t>
  </si>
  <si>
    <t>10 INR MITHAAS WATER LOT 3</t>
  </si>
  <si>
    <t>15 INR LOOSE POTATO LOT 11</t>
  </si>
  <si>
    <t>10 INR SURF EXCEL LOT 9</t>
  </si>
  <si>
    <t>5 INR EXO LOT 5</t>
  </si>
  <si>
    <t>BISKFARM RICH MARRIE LOT 6</t>
  </si>
  <si>
    <t>10 INR MUNCH LOT 2</t>
  </si>
  <si>
    <t>130 INR GOPAL  PANEER 400 GM LOT 1</t>
  </si>
  <si>
    <t>65 INR RED COW PANEER 200 GM  LOT 2</t>
  </si>
  <si>
    <t>40 INR BISKFARM SUGAR FREE MASALA LOT 1</t>
  </si>
  <si>
    <t>50 INR BISKFARM SUGAR FREE LOT 4</t>
  </si>
  <si>
    <t>10 INR RUSK LOT 6</t>
  </si>
  <si>
    <t>40 INR RUSKIT LOT 4</t>
  </si>
  <si>
    <t>10 INR WAI WAI KOREAN HOT AND SPICY LOT 4</t>
  </si>
  <si>
    <t>30 INR TOP BUTTER MUNCH LOT 7</t>
  </si>
  <si>
    <t>LAYS CHIPS LOT 6</t>
  </si>
  <si>
    <t>exchange</t>
  </si>
  <si>
    <t>20 INR BINGO MAD ANGLES ACHAARI MASTI LOT 4</t>
  </si>
  <si>
    <t>40 INR PARLE MONACO LOT 1</t>
  </si>
  <si>
    <t>40 INR CADBURY OREO CHOCO CRÈME LOT 1</t>
  </si>
  <si>
    <t>35 INR MCVITIES BOURBON DELIGHT LOT 1</t>
  </si>
  <si>
    <t>55 INR CADBURY BOURBVILLE CLASSIC 50% DARK CHOCOLATE LOT 1</t>
  </si>
  <si>
    <t>50 INR CADBURY DAIRY MILK FRUIT &amp; NUT CHOCOLATE BAR LOT 1</t>
  </si>
  <si>
    <t xml:space="preserve">380 INR HORLICKS CHOCOLATE 750 GM LOT 1 </t>
  </si>
  <si>
    <t>100 INR THUMBS UP 2.2 L LOT 2</t>
  </si>
  <si>
    <t>50 INR ZIGGY DONUT VANILLA CHOCO CAKE LOT 1</t>
  </si>
  <si>
    <t xml:space="preserve">40 INR CAVIN CHOCOLATE MILKSHAKE LOT 1 </t>
  </si>
  <si>
    <t>20 INR BINGO MASALA MAD ANGLES LOT 1</t>
  </si>
  <si>
    <t>30 INR PARLE HIDE &amp; SEEK LOT 3</t>
  </si>
  <si>
    <t>40 INR BRITANNIA MARIE GOLD LOT 5</t>
  </si>
  <si>
    <t>90 INR SUNFEAST DARK FANTASY FAMILY PACK LOT 1</t>
  </si>
  <si>
    <t>40 INR PARLE HIDE &amp; SEEK BOURBON VANILLA LOT 1</t>
  </si>
  <si>
    <t>30 INR BRITANNIA LITTLE HEARTS LOT 2</t>
  </si>
  <si>
    <t>40 INR PARLE MARIE BISCUIT LOT 1</t>
  </si>
  <si>
    <t>100 INR SPRITE 2.2 L LOT 4</t>
  </si>
  <si>
    <t>485 INR KELLOGGS MUESLI 750 GM LOT 4</t>
  </si>
  <si>
    <t>extra 18</t>
  </si>
  <si>
    <t>extra 10</t>
  </si>
  <si>
    <t>10 INR AMUL TEA SPECIAL LOT 2</t>
  </si>
  <si>
    <t>160 INR FORTUNE SOYA HEALTH 1 LITRE LOT 9</t>
  </si>
  <si>
    <t>200 INR FORTUNE KACHI GHANI 1 LITRE LOT 4</t>
  </si>
  <si>
    <t>160 INR LOOSE ANGOOR LOT 3</t>
  </si>
  <si>
    <t>110 INR NESTLE EVERYDAY 200 GM LOT 4</t>
  </si>
  <si>
    <t>55 INR ENGINE KACHI GHANI 200 ML LOT 3</t>
  </si>
  <si>
    <t>120 INR ENGINE KACHI GHANI 500 ML LOT 2</t>
  </si>
  <si>
    <t>75 INR LOOSE SUGAR LOT 10</t>
  </si>
  <si>
    <t>30 INR TATA SALT LOT 8</t>
  </si>
  <si>
    <t>60 INR BAKERY ITEM LOT 4</t>
  </si>
  <si>
    <t xml:space="preserve">5 INR PEN </t>
  </si>
  <si>
    <t>SHALIMAR GARAM MASALA</t>
  </si>
  <si>
    <t xml:space="preserve">5 INR GARAM MASALA </t>
  </si>
  <si>
    <t>EXTRA 5</t>
  </si>
  <si>
    <t>1KG NESTLE EVERYDAY</t>
  </si>
  <si>
    <t>1KG SURF EXCEL</t>
  </si>
  <si>
    <t>soap</t>
  </si>
  <si>
    <t>lijol</t>
  </si>
  <si>
    <t>75 INR LOOSE SUGAR LOT 11</t>
  </si>
  <si>
    <t>320 INR LOOSE DRY RED CHILLI LOT 5</t>
  </si>
  <si>
    <t>500 INR EVERYDAY 1 KG LOT 3</t>
  </si>
  <si>
    <t>40 INR KISMIS LOT 7</t>
  </si>
  <si>
    <t xml:space="preserve">76 INR 500 GM SURF EXCEL LOT 8 </t>
  </si>
  <si>
    <t>MODERN DALMOOT 10 INR LOT 5</t>
  </si>
  <si>
    <t>10 INR DAIRYMILK LOT 2</t>
  </si>
  <si>
    <t>10 INR SECRET POWDER  LOT 1</t>
  </si>
  <si>
    <t>10 INR OREO BTS LOT 1</t>
  </si>
  <si>
    <t>10 INR OREO CHOCOLATE LOT 1</t>
  </si>
  <si>
    <t>20 INR LOVE BITE CAKE LOT 1</t>
  </si>
  <si>
    <t>10 INR MINI SWISS ROLL LOT 1</t>
  </si>
  <si>
    <t>10 INR DUKES WAFFY LOT 1</t>
  </si>
  <si>
    <t>10 INR TOP GOLD LOT 1</t>
  </si>
  <si>
    <t>10 INR TOP HERBS LOT 3</t>
  </si>
  <si>
    <t>10 INR GOOGLY LOT 3</t>
  </si>
  <si>
    <t>10 INR BRITANNIA BOURBON LOT 1</t>
  </si>
  <si>
    <t>10 INR CHATPATA SPICY LOT 1</t>
  </si>
  <si>
    <t>10 INR MILK BIKIS LOT 1</t>
  </si>
  <si>
    <t>10 INR PARLE G LOT 1</t>
  </si>
  <si>
    <t>245 INR LYZOL 1 LITRE LOT 1</t>
  </si>
  <si>
    <t>130 INR TATA TEA GOLD 250 GM LOT 1</t>
  </si>
  <si>
    <t>10 INR WAI WAI KOREAN HOT AND SPICY LOT 5</t>
  </si>
  <si>
    <t>55 INR PEARS GREEN LOT 1</t>
  </si>
  <si>
    <t>40 INR DOVE LOT 1</t>
  </si>
  <si>
    <t>52 INR PEARS BLUE LOT 1</t>
  </si>
  <si>
    <t>43 INR LUX CREAMY LOT 1</t>
  </si>
  <si>
    <t>25 INR DOVE LOT 1</t>
  </si>
  <si>
    <t>10 INR GOBBLES LOT 8</t>
  </si>
  <si>
    <t>80 INR HALDIRAM SOANPAPDI LOT 2</t>
  </si>
  <si>
    <t>20 INR STING GOLD LOT 1</t>
  </si>
  <si>
    <t>10 INR LAHORI JEERA LOT 1</t>
  </si>
  <si>
    <t>10 INR PARACHUTE JASMINE GOLD LOT 2</t>
  </si>
  <si>
    <t>120 INR PARACHUTE COCONUT OIL LOT 1</t>
  </si>
  <si>
    <t>240 INR COMFORT LOT 2</t>
  </si>
  <si>
    <t>5 INR VIM</t>
  </si>
  <si>
    <t>20 INR THUMS UP</t>
  </si>
  <si>
    <t>shring coconut</t>
  </si>
  <si>
    <t>cheers</t>
  </si>
  <si>
    <t>credit 30 priti</t>
  </si>
  <si>
    <t>didi</t>
  </si>
  <si>
    <t>44 INR LOOSE MAIDA LOT 4</t>
  </si>
  <si>
    <t>100 INR LOOSE SABUDANA LOT 2</t>
  </si>
  <si>
    <t>45 INR SOOJI LOT 2</t>
  </si>
  <si>
    <t>90 INR MANORAMA GHEE 100 GM LOT 4</t>
  </si>
  <si>
    <t>60 INR LOOSE CHIWDA SOFT LOT 3</t>
  </si>
  <si>
    <t>50 INR DIET COKE LOT 1</t>
  </si>
  <si>
    <t>10 INR LAYS CHIPS LOT 7</t>
  </si>
  <si>
    <t>100 INR SISTER TURMERIC POWDER 250 GM LOT 3</t>
  </si>
  <si>
    <t>60 INR ASHIRBAD ATTA LOT 9</t>
  </si>
  <si>
    <t>10 INR MUNCH LOT 3</t>
  </si>
  <si>
    <t>5 INR EXO LOT 6</t>
  </si>
  <si>
    <t>CLINIC PLUS  EGG PROTEIN SATCHET LOT 5</t>
  </si>
  <si>
    <t>110 INR SMALL BATASA LOT 1</t>
  </si>
  <si>
    <t>4 INR COMFORT LOT 2</t>
  </si>
  <si>
    <t>t didi</t>
  </si>
  <si>
    <t>15 INR YOG MANTRA RAJNIGANDHA LOT 1</t>
  </si>
  <si>
    <t>15 INR YOG MANTRA GULAB LOT 1</t>
  </si>
  <si>
    <t>35 INR ROYAL OUDH LOT 1</t>
  </si>
  <si>
    <t>50 INR PRAN SWEET TOAST LOT 4</t>
  </si>
  <si>
    <t>10 INR WAI WAI GREEN NOODLES LOT 1</t>
  </si>
  <si>
    <t>5 INR ACHAAR LOT 1</t>
  </si>
  <si>
    <t>10 INR POTATO CRACKERS LOT 2</t>
  </si>
  <si>
    <t>5 INR POTATO CRACKERS LOT 2</t>
  </si>
  <si>
    <t>5 INR KRAKO LOT 1</t>
  </si>
  <si>
    <t>10 INR PRAN LITCHI LOT 2</t>
  </si>
  <si>
    <t>2 INR PRAN JELLY LOT 2</t>
  </si>
  <si>
    <t>5 INR CHOKO CHOKO LOT 1</t>
  </si>
  <si>
    <t>CRDIT 30</t>
  </si>
  <si>
    <t>30 INR CUP NOODLES</t>
  </si>
  <si>
    <t>5 INR SHALIMAR GARAM MASALA</t>
  </si>
  <si>
    <t>10 INR ZOFF SOYA CHUNKS LOT 2</t>
  </si>
  <si>
    <t>10 INR ZOFF GARAM MASALA LOT 1</t>
  </si>
  <si>
    <t>20 INR ZOFF PINK SALT LOT 1</t>
  </si>
  <si>
    <t>10 INR ZOFF CHICKEN MASALA LOT 1</t>
  </si>
  <si>
    <t>10 INR ZOFF MEAT MASALA LOT 1</t>
  </si>
  <si>
    <t>LOCAL EGG LOT 26</t>
  </si>
  <si>
    <t>priti</t>
  </si>
  <si>
    <t>20 INR WINKIN COW LASSI</t>
  </si>
  <si>
    <t>5 INR CHOCO CHOCO</t>
  </si>
  <si>
    <t>80 INR ASHIRBAAD ATTA</t>
  </si>
  <si>
    <t>SUSMITA</t>
  </si>
  <si>
    <t>40 INR CRISPELLO</t>
  </si>
  <si>
    <t>credit 20 subrata uncle</t>
  </si>
  <si>
    <t>60 INR YOGA BAR</t>
  </si>
  <si>
    <t>sujit da</t>
  </si>
  <si>
    <t xml:space="preserve">5 INR JHAL MURI </t>
  </si>
  <si>
    <t>80 INR ASHIRBAAD ATTA MULTIGRAINS</t>
  </si>
  <si>
    <t>susmita</t>
  </si>
  <si>
    <t>60 INR BANANA CHIPS</t>
  </si>
  <si>
    <t>750 INR ALMONDS</t>
  </si>
  <si>
    <t>650 INR KAJU</t>
  </si>
  <si>
    <t>350 INR KISMIS</t>
  </si>
  <si>
    <t>5 INR KRAKO</t>
  </si>
  <si>
    <t xml:space="preserve">40 INR ORZL </t>
  </si>
  <si>
    <t>249 INR LIZOL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</si>
</sst>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₹&quot;\ #,##0;[Red]&quot;₹&quot;\ \-#,##0"/>
    <numFmt numFmtId="44" formatCode="_ &quot;₹&quot;\ * #,##0.00_ ;_ &quot;₹&quot;\ * \-#,##0.00_ ;_ &quot;₹&quot;\ * &quot;-&quot;??_ ;_ @_ "/>
    <numFmt numFmtId="164" formatCode="[$-14009]dd/mm/yy;@"/>
    <numFmt numFmtId="165" formatCode="_ [$₹-4009]\ * #,##0.00_ ;_ [$₹-4009]\ * \-#,##0.00_ ;_ [$₹-4009]\ * &quot;-&quot;??_ ;_ @_ "/>
    <numFmt numFmtId="166" formatCode="&quot;₹&quot;\ #,##0.00"/>
  </numFmts>
  <fonts count="3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2"/>
      <name val="Arial Black"/>
      <family val="2"/>
    </font>
    <font>
      <b/>
      <sz val="12"/>
      <color theme="1"/>
      <name val="Arial Black"/>
      <family val="2"/>
    </font>
    <font>
      <sz val="12"/>
      <color theme="1"/>
      <name val="Arial Black"/>
      <family val="2"/>
    </font>
    <font>
      <sz val="14"/>
      <color rgb="FFFF0000"/>
      <name val="Calibri"/>
      <family val="2"/>
      <scheme val="minor"/>
    </font>
    <font>
      <b/>
      <sz val="14"/>
      <color theme="5" tint="-0.249977111117893"/>
      <name val="Calibri"/>
      <family val="2"/>
    </font>
    <font>
      <b/>
      <sz val="14"/>
      <color theme="5" tint="-0.249977111117893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000000"/>
      <name val="Calibri"/>
      <family val="2"/>
    </font>
    <font>
      <sz val="48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308">
    <xf numFmtId="0" fontId="0" fillId="0" borderId="0" xfId="0"/>
    <xf numFmtId="14" fontId="0" fillId="0" borderId="0" xfId="0" applyNumberFormat="1"/>
    <xf numFmtId="0" fontId="1" fillId="4" borderId="1" xfId="0" applyFont="1" applyFill="1" applyBorder="1"/>
    <xf numFmtId="0" fontId="1" fillId="4" borderId="0" xfId="0" applyFont="1" applyFill="1"/>
    <xf numFmtId="0" fontId="3" fillId="4" borderId="1" xfId="0" applyFont="1" applyFill="1" applyBorder="1"/>
    <xf numFmtId="0" fontId="2" fillId="4" borderId="1" xfId="0" applyFont="1" applyFill="1" applyBorder="1"/>
    <xf numFmtId="0" fontId="1" fillId="5" borderId="1" xfId="0" applyFont="1" applyFill="1" applyBorder="1"/>
    <xf numFmtId="0" fontId="1" fillId="6" borderId="1" xfId="0" applyFont="1" applyFill="1" applyBorder="1"/>
    <xf numFmtId="0" fontId="1" fillId="2" borderId="1" xfId="0" applyFont="1" applyFill="1" applyBorder="1"/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3" fillId="4" borderId="1" xfId="0" applyFont="1" applyFill="1" applyBorder="1" applyAlignment="1">
      <alignment wrapText="1"/>
    </xf>
    <xf numFmtId="0" fontId="3" fillId="4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2" fillId="4" borderId="3" xfId="0" applyFont="1" applyFill="1" applyBorder="1"/>
    <xf numFmtId="0" fontId="7" fillId="8" borderId="1" xfId="0" applyFont="1" applyFill="1" applyBorder="1" applyAlignment="1">
      <alignment horizontal="center" vertical="center" wrapText="1"/>
    </xf>
    <xf numFmtId="6" fontId="0" fillId="8" borderId="1" xfId="0" applyNumberFormat="1" applyFill="1" applyBorder="1" applyAlignment="1">
      <alignment vertical="center" wrapText="1"/>
    </xf>
    <xf numFmtId="0" fontId="0" fillId="8" borderId="1" xfId="0" applyFill="1" applyBorder="1" applyAlignment="1">
      <alignment vertical="center" wrapText="1"/>
    </xf>
    <xf numFmtId="0" fontId="7" fillId="9" borderId="1" xfId="0" applyFont="1" applyFill="1" applyBorder="1" applyAlignment="1">
      <alignment horizontal="center" vertical="center"/>
    </xf>
    <xf numFmtId="0" fontId="0" fillId="9" borderId="1" xfId="0" applyFill="1" applyBorder="1"/>
    <xf numFmtId="0" fontId="2" fillId="4" borderId="2" xfId="0" applyFont="1" applyFill="1" applyBorder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4" fillId="4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1" xfId="0" applyFont="1" applyBorder="1" applyAlignment="1">
      <alignment wrapText="1"/>
    </xf>
    <xf numFmtId="14" fontId="0" fillId="0" borderId="0" xfId="0" applyNumberFormat="1" applyAlignment="1">
      <alignment horizontal="center" vertical="center"/>
    </xf>
    <xf numFmtId="0" fontId="0" fillId="0" borderId="11" xfId="0" applyBorder="1" applyAlignment="1">
      <alignment horizontal="center"/>
    </xf>
    <xf numFmtId="0" fontId="0" fillId="0" borderId="12" xfId="0" applyBorder="1"/>
    <xf numFmtId="0" fontId="0" fillId="0" borderId="13" xfId="0" applyBorder="1"/>
    <xf numFmtId="164" fontId="0" fillId="0" borderId="0" xfId="0" applyNumberFormat="1"/>
    <xf numFmtId="0" fontId="0" fillId="0" borderId="14" xfId="0" applyBorder="1"/>
    <xf numFmtId="0" fontId="0" fillId="0" borderId="15" xfId="0" applyBorder="1"/>
    <xf numFmtId="0" fontId="0" fillId="0" borderId="9" xfId="0" applyBorder="1"/>
    <xf numFmtId="0" fontId="0" fillId="0" borderId="8" xfId="0" applyBorder="1"/>
    <xf numFmtId="0" fontId="0" fillId="0" borderId="10" xfId="0" applyBorder="1"/>
    <xf numFmtId="0" fontId="10" fillId="0" borderId="0" xfId="0" applyFont="1" applyAlignment="1">
      <alignment horizontal="center" vertical="center" textRotation="90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12" fillId="0" borderId="13" xfId="0" applyFont="1" applyBorder="1"/>
    <xf numFmtId="0" fontId="12" fillId="0" borderId="15" xfId="0" applyFont="1" applyBorder="1"/>
    <xf numFmtId="0" fontId="12" fillId="0" borderId="0" xfId="0" applyFont="1"/>
    <xf numFmtId="0" fontId="12" fillId="0" borderId="1" xfId="0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7" fillId="3" borderId="0" xfId="0" applyFont="1" applyFill="1" applyAlignment="1">
      <alignment horizontal="center" vertical="center" wrapText="1"/>
    </xf>
    <xf numFmtId="0" fontId="0" fillId="4" borderId="1" xfId="0" applyFill="1" applyBorder="1"/>
    <xf numFmtId="0" fontId="0" fillId="3" borderId="1" xfId="0" applyFill="1" applyBorder="1"/>
    <xf numFmtId="0" fontId="4" fillId="11" borderId="26" xfId="0" applyFont="1" applyFill="1" applyBorder="1"/>
    <xf numFmtId="14" fontId="0" fillId="11" borderId="26" xfId="0" applyNumberFormat="1" applyFill="1" applyBorder="1"/>
    <xf numFmtId="14" fontId="0" fillId="11" borderId="2" xfId="0" applyNumberFormat="1" applyFill="1" applyBorder="1"/>
    <xf numFmtId="14" fontId="0" fillId="11" borderId="1" xfId="0" applyNumberFormat="1" applyFill="1" applyBorder="1"/>
    <xf numFmtId="0" fontId="7" fillId="0" borderId="1" xfId="0" applyFont="1" applyBorder="1"/>
    <xf numFmtId="0" fontId="4" fillId="0" borderId="1" xfId="0" applyFont="1" applyBorder="1"/>
    <xf numFmtId="0" fontId="14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15" fillId="0" borderId="1" xfId="0" applyFont="1" applyBorder="1" applyAlignment="1">
      <alignment horizontal="center" vertical="center"/>
    </xf>
    <xf numFmtId="0" fontId="6" fillId="10" borderId="1" xfId="0" applyFont="1" applyFill="1" applyBorder="1" applyAlignment="1">
      <alignment horizontal="center" vertical="center"/>
    </xf>
    <xf numFmtId="0" fontId="6" fillId="0" borderId="0" xfId="0" applyFont="1"/>
    <xf numFmtId="0" fontId="14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14" fontId="7" fillId="0" borderId="1" xfId="0" applyNumberFormat="1" applyFont="1" applyBorder="1"/>
    <xf numFmtId="14" fontId="7" fillId="11" borderId="1" xfId="0" applyNumberFormat="1" applyFont="1" applyFill="1" applyBorder="1"/>
    <xf numFmtId="0" fontId="0" fillId="12" borderId="1" xfId="0" applyFill="1" applyBorder="1"/>
    <xf numFmtId="0" fontId="7" fillId="12" borderId="1" xfId="0" applyFont="1" applyFill="1" applyBorder="1" applyAlignment="1">
      <alignment horizontal="center" vertical="center" wrapText="1"/>
    </xf>
    <xf numFmtId="0" fontId="7" fillId="12" borderId="1" xfId="0" applyFont="1" applyFill="1" applyBorder="1"/>
    <xf numFmtId="14" fontId="7" fillId="0" borderId="25" xfId="0" applyNumberFormat="1" applyFont="1" applyBorder="1"/>
    <xf numFmtId="0" fontId="0" fillId="0" borderId="26" xfId="0" applyBorder="1"/>
    <xf numFmtId="0" fontId="7" fillId="0" borderId="26" xfId="0" applyFont="1" applyBorder="1" applyAlignment="1">
      <alignment horizontal="center" vertical="center" wrapText="1"/>
    </xf>
    <xf numFmtId="0" fontId="7" fillId="0" borderId="2" xfId="0" applyFont="1" applyBorder="1"/>
    <xf numFmtId="0" fontId="7" fillId="12" borderId="0" xfId="0" applyFont="1" applyFill="1" applyAlignment="1">
      <alignment horizontal="center" vertical="center" wrapText="1"/>
    </xf>
    <xf numFmtId="0" fontId="19" fillId="4" borderId="1" xfId="0" applyFont="1" applyFill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9" fontId="0" fillId="0" borderId="0" xfId="0" applyNumberFormat="1"/>
    <xf numFmtId="9" fontId="6" fillId="0" borderId="0" xfId="0" applyNumberFormat="1" applyFont="1"/>
    <xf numFmtId="165" fontId="0" fillId="0" borderId="0" xfId="0" applyNumberFormat="1"/>
    <xf numFmtId="44" fontId="0" fillId="0" borderId="0" xfId="1" applyFont="1"/>
    <xf numFmtId="44" fontId="3" fillId="4" borderId="1" xfId="1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1" fillId="7" borderId="1" xfId="0" applyFont="1" applyFill="1" applyBorder="1"/>
    <xf numFmtId="0" fontId="1" fillId="0" borderId="1" xfId="0" applyFont="1" applyBorder="1" applyAlignment="1">
      <alignment wrapText="1"/>
    </xf>
    <xf numFmtId="0" fontId="14" fillId="3" borderId="0" xfId="0" applyFont="1" applyFill="1" applyAlignment="1">
      <alignment horizontal="center" vertical="center" wrapText="1"/>
    </xf>
    <xf numFmtId="0" fontId="6" fillId="0" borderId="1" xfId="0" applyFont="1" applyBorder="1"/>
    <xf numFmtId="0" fontId="14" fillId="0" borderId="1" xfId="0" applyFont="1" applyBorder="1"/>
    <xf numFmtId="0" fontId="20" fillId="0" borderId="1" xfId="0" applyFont="1" applyBorder="1"/>
    <xf numFmtId="0" fontId="0" fillId="13" borderId="1" xfId="0" applyFill="1" applyBorder="1"/>
    <xf numFmtId="14" fontId="22" fillId="0" borderId="1" xfId="0" applyNumberFormat="1" applyFont="1" applyBorder="1"/>
    <xf numFmtId="0" fontId="22" fillId="0" borderId="0" xfId="0" applyFont="1" applyAlignment="1">
      <alignment horizontal="center" vertical="center" wrapText="1"/>
    </xf>
    <xf numFmtId="0" fontId="22" fillId="0" borderId="1" xfId="0" applyFont="1" applyBorder="1"/>
    <xf numFmtId="0" fontId="0" fillId="14" borderId="0" xfId="0" applyFill="1"/>
    <xf numFmtId="0" fontId="13" fillId="0" borderId="1" xfId="0" applyFont="1" applyBorder="1"/>
    <xf numFmtId="165" fontId="1" fillId="4" borderId="1" xfId="0" applyNumberFormat="1" applyFont="1" applyFill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4" fillId="0" borderId="1" xfId="0" applyFont="1" applyBorder="1" applyAlignment="1">
      <alignment wrapText="1"/>
    </xf>
    <xf numFmtId="0" fontId="1" fillId="4" borderId="2" xfId="0" applyFont="1" applyFill="1" applyBorder="1" applyAlignment="1">
      <alignment horizontal="center" vertical="center" wrapText="1"/>
    </xf>
    <xf numFmtId="0" fontId="4" fillId="4" borderId="1" xfId="0" applyFont="1" applyFill="1" applyBorder="1"/>
    <xf numFmtId="0" fontId="25" fillId="3" borderId="1" xfId="0" applyFont="1" applyFill="1" applyBorder="1" applyAlignment="1">
      <alignment horizontal="center" vertical="center"/>
    </xf>
    <xf numFmtId="0" fontId="26" fillId="4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25" fillId="0" borderId="1" xfId="0" applyFont="1" applyBorder="1" applyAlignment="1">
      <alignment horizontal="center" vertical="center"/>
    </xf>
    <xf numFmtId="14" fontId="28" fillId="4" borderId="1" xfId="0" applyNumberFormat="1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/>
    </xf>
    <xf numFmtId="0" fontId="28" fillId="4" borderId="1" xfId="0" applyFont="1" applyFill="1" applyBorder="1" applyAlignment="1">
      <alignment horizontal="center" vertical="center" wrapText="1"/>
    </xf>
    <xf numFmtId="0" fontId="29" fillId="4" borderId="1" xfId="0" applyFont="1" applyFill="1" applyBorder="1" applyAlignment="1">
      <alignment horizontal="center" vertical="center"/>
    </xf>
    <xf numFmtId="0" fontId="30" fillId="4" borderId="1" xfId="0" applyFont="1" applyFill="1" applyBorder="1" applyAlignment="1">
      <alignment horizontal="center" vertical="center"/>
    </xf>
    <xf numFmtId="9" fontId="0" fillId="4" borderId="1" xfId="2" applyFont="1" applyFill="1" applyBorder="1"/>
    <xf numFmtId="0" fontId="4" fillId="0" borderId="2" xfId="0" applyFont="1" applyBorder="1"/>
    <xf numFmtId="0" fontId="0" fillId="0" borderId="3" xfId="0" applyBorder="1"/>
    <xf numFmtId="9" fontId="0" fillId="4" borderId="3" xfId="2" applyFont="1" applyFill="1" applyBorder="1"/>
    <xf numFmtId="0" fontId="0" fillId="0" borderId="27" xfId="0" applyBorder="1"/>
    <xf numFmtId="0" fontId="2" fillId="4" borderId="1" xfId="0" applyFont="1" applyFill="1" applyBorder="1" applyAlignment="1">
      <alignment horizontal="center" vertical="center" wrapText="1"/>
    </xf>
    <xf numFmtId="9" fontId="0" fillId="0" borderId="0" xfId="2" applyFont="1"/>
    <xf numFmtId="0" fontId="3" fillId="4" borderId="25" xfId="0" applyFont="1" applyFill="1" applyBorder="1" applyAlignment="1">
      <alignment horizontal="center" vertical="center" wrapText="1"/>
    </xf>
    <xf numFmtId="0" fontId="3" fillId="13" borderId="1" xfId="0" applyFont="1" applyFill="1" applyBorder="1" applyAlignment="1">
      <alignment horizontal="center" vertical="center" wrapText="1"/>
    </xf>
    <xf numFmtId="9" fontId="1" fillId="4" borderId="2" xfId="2" applyFont="1" applyFill="1" applyBorder="1" applyAlignment="1">
      <alignment horizontal="center" vertical="center" wrapText="1"/>
    </xf>
    <xf numFmtId="0" fontId="7" fillId="0" borderId="26" xfId="0" applyFont="1" applyBorder="1"/>
    <xf numFmtId="0" fontId="14" fillId="0" borderId="1" xfId="0" applyFont="1" applyBorder="1" applyAlignment="1">
      <alignment horizontal="center" vertical="center"/>
    </xf>
    <xf numFmtId="1" fontId="0" fillId="0" borderId="0" xfId="0" applyNumberFormat="1"/>
    <xf numFmtId="1" fontId="0" fillId="13" borderId="1" xfId="0" applyNumberFormat="1" applyFill="1" applyBorder="1"/>
    <xf numFmtId="9" fontId="0" fillId="0" borderId="1" xfId="2" applyFont="1" applyBorder="1"/>
    <xf numFmtId="0" fontId="7" fillId="3" borderId="1" xfId="0" applyFont="1" applyFill="1" applyBorder="1"/>
    <xf numFmtId="0" fontId="7" fillId="4" borderId="1" xfId="0" applyFont="1" applyFill="1" applyBorder="1"/>
    <xf numFmtId="0" fontId="22" fillId="4" borderId="1" xfId="0" applyFont="1" applyFill="1" applyBorder="1"/>
    <xf numFmtId="0" fontId="7" fillId="4" borderId="3" xfId="0" applyFont="1" applyFill="1" applyBorder="1"/>
    <xf numFmtId="0" fontId="7" fillId="0" borderId="27" xfId="0" applyFont="1" applyBorder="1"/>
    <xf numFmtId="0" fontId="7" fillId="0" borderId="3" xfId="0" applyFont="1" applyBorder="1"/>
    <xf numFmtId="1" fontId="7" fillId="4" borderId="3" xfId="0" applyNumberFormat="1" applyFont="1" applyFill="1" applyBorder="1"/>
    <xf numFmtId="1" fontId="7" fillId="4" borderId="1" xfId="0" applyNumberFormat="1" applyFont="1" applyFill="1" applyBorder="1"/>
    <xf numFmtId="14" fontId="4" fillId="11" borderId="1" xfId="0" applyNumberFormat="1" applyFont="1" applyFill="1" applyBorder="1"/>
    <xf numFmtId="0" fontId="4" fillId="11" borderId="1" xfId="0" applyFont="1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11" borderId="26" xfId="0" applyFont="1" applyFill="1" applyBorder="1" applyAlignment="1">
      <alignment wrapText="1"/>
    </xf>
    <xf numFmtId="0" fontId="7" fillId="4" borderId="1" xfId="0" applyFont="1" applyFill="1" applyBorder="1" applyAlignment="1">
      <alignment horizontal="center" vertical="center" wrapText="1"/>
    </xf>
    <xf numFmtId="14" fontId="7" fillId="4" borderId="1" xfId="0" applyNumberFormat="1" applyFont="1" applyFill="1" applyBorder="1"/>
    <xf numFmtId="0" fontId="32" fillId="9" borderId="1" xfId="0" applyFont="1" applyFill="1" applyBorder="1" applyAlignment="1">
      <alignment horizontal="center" vertical="center" wrapText="1"/>
    </xf>
    <xf numFmtId="0" fontId="33" fillId="9" borderId="1" xfId="0" applyFont="1" applyFill="1" applyBorder="1"/>
    <xf numFmtId="9" fontId="0" fillId="4" borderId="1" xfId="0" applyNumberFormat="1" applyFill="1" applyBorder="1"/>
    <xf numFmtId="0" fontId="0" fillId="12" borderId="0" xfId="0" applyFill="1"/>
    <xf numFmtId="0" fontId="1" fillId="4" borderId="2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14" fillId="3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0" fillId="0" borderId="1" xfId="0" applyFont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20" fillId="10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0" fillId="0" borderId="0" xfId="0" applyFont="1"/>
    <xf numFmtId="0" fontId="0" fillId="12" borderId="1" xfId="0" applyFill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/>
    </xf>
    <xf numFmtId="0" fontId="4" fillId="12" borderId="1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 wrapText="1"/>
    </xf>
    <xf numFmtId="0" fontId="0" fillId="11" borderId="1" xfId="0" applyFill="1" applyBorder="1"/>
    <xf numFmtId="0" fontId="0" fillId="0" borderId="0" xfId="2" applyNumberFormat="1" applyFont="1"/>
    <xf numFmtId="9" fontId="0" fillId="0" borderId="1" xfId="0" applyNumberFormat="1" applyBorder="1"/>
    <xf numFmtId="0" fontId="22" fillId="4" borderId="1" xfId="0" applyFont="1" applyFill="1" applyBorder="1" applyAlignment="1">
      <alignment horizontal="center" vertical="center" wrapText="1"/>
    </xf>
    <xf numFmtId="0" fontId="0" fillId="4" borderId="25" xfId="0" applyFill="1" applyBorder="1"/>
    <xf numFmtId="0" fontId="0" fillId="4" borderId="26" xfId="0" applyFill="1" applyBorder="1"/>
    <xf numFmtId="0" fontId="7" fillId="4" borderId="2" xfId="0" applyFont="1" applyFill="1" applyBorder="1"/>
    <xf numFmtId="0" fontId="7" fillId="4" borderId="25" xfId="0" applyFont="1" applyFill="1" applyBorder="1"/>
    <xf numFmtId="0" fontId="0" fillId="4" borderId="12" xfId="0" applyFill="1" applyBorder="1"/>
    <xf numFmtId="9" fontId="0" fillId="4" borderId="2" xfId="2" applyFont="1" applyFill="1" applyBorder="1"/>
    <xf numFmtId="0" fontId="0" fillId="3" borderId="0" xfId="0" applyFill="1"/>
    <xf numFmtId="165" fontId="0" fillId="15" borderId="1" xfId="0" applyNumberFormat="1" applyFill="1" applyBorder="1"/>
    <xf numFmtId="0" fontId="2" fillId="4" borderId="2" xfId="0" applyFont="1" applyFill="1" applyBorder="1" applyAlignment="1">
      <alignment horizontal="center" vertical="center"/>
    </xf>
    <xf numFmtId="17" fontId="0" fillId="0" borderId="1" xfId="0" applyNumberFormat="1" applyBorder="1"/>
    <xf numFmtId="44" fontId="0" fillId="0" borderId="1" xfId="1" applyFont="1" applyBorder="1"/>
    <xf numFmtId="44" fontId="0" fillId="3" borderId="1" xfId="1" applyFont="1" applyFill="1" applyBorder="1"/>
    <xf numFmtId="165" fontId="0" fillId="3" borderId="1" xfId="0" applyNumberFormat="1" applyFill="1" applyBorder="1"/>
    <xf numFmtId="0" fontId="14" fillId="4" borderId="1" xfId="0" applyFont="1" applyFill="1" applyBorder="1" applyAlignment="1">
      <alignment horizontal="center" vertical="center" wrapText="1"/>
    </xf>
    <xf numFmtId="0" fontId="14" fillId="9" borderId="1" xfId="0" applyFont="1" applyFill="1" applyBorder="1" applyAlignment="1">
      <alignment horizontal="center" vertical="center" wrapText="1"/>
    </xf>
    <xf numFmtId="0" fontId="7" fillId="9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15" fillId="9" borderId="1" xfId="0" applyFont="1" applyFill="1" applyBorder="1" applyAlignment="1">
      <alignment horizontal="center" vertical="center"/>
    </xf>
    <xf numFmtId="0" fontId="34" fillId="9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wrapText="1"/>
    </xf>
    <xf numFmtId="0" fontId="7" fillId="0" borderId="1" xfId="0" applyFont="1" applyBorder="1" applyAlignment="1">
      <alignment horizontal="center" wrapText="1"/>
    </xf>
    <xf numFmtId="0" fontId="7" fillId="4" borderId="1" xfId="0" applyFont="1" applyFill="1" applyBorder="1" applyAlignment="1">
      <alignment horizontal="center" wrapText="1"/>
    </xf>
    <xf numFmtId="14" fontId="7" fillId="19" borderId="1" xfId="0" applyNumberFormat="1" applyFont="1" applyFill="1" applyBorder="1"/>
    <xf numFmtId="0" fontId="1" fillId="19" borderId="1" xfId="0" applyFont="1" applyFill="1" applyBorder="1" applyAlignment="1">
      <alignment wrapText="1"/>
    </xf>
    <xf numFmtId="0" fontId="7" fillId="19" borderId="1" xfId="0" applyFont="1" applyFill="1" applyBorder="1" applyAlignment="1">
      <alignment horizontal="center" vertical="center" wrapText="1"/>
    </xf>
    <xf numFmtId="0" fontId="0" fillId="19" borderId="1" xfId="0" applyFill="1" applyBorder="1"/>
    <xf numFmtId="0" fontId="7" fillId="19" borderId="1" xfId="0" applyFont="1" applyFill="1" applyBorder="1"/>
    <xf numFmtId="14" fontId="1" fillId="4" borderId="1" xfId="0" applyNumberFormat="1" applyFont="1" applyFill="1" applyBorder="1"/>
    <xf numFmtId="0" fontId="17" fillId="11" borderId="1" xfId="0" applyFont="1" applyFill="1" applyBorder="1"/>
    <xf numFmtId="0" fontId="1" fillId="20" borderId="1" xfId="0" applyFont="1" applyFill="1" applyBorder="1" applyAlignment="1">
      <alignment horizontal="center" vertical="center" wrapText="1"/>
    </xf>
    <xf numFmtId="0" fontId="14" fillId="20" borderId="1" xfId="0" applyFont="1" applyFill="1" applyBorder="1" applyAlignment="1">
      <alignment horizontal="center" vertical="center" wrapText="1"/>
    </xf>
    <xf numFmtId="0" fontId="7" fillId="20" borderId="1" xfId="0" applyFont="1" applyFill="1" applyBorder="1" applyAlignment="1">
      <alignment horizontal="center" vertical="center" wrapText="1"/>
    </xf>
    <xf numFmtId="0" fontId="14" fillId="20" borderId="1" xfId="0" applyFont="1" applyFill="1" applyBorder="1" applyAlignment="1">
      <alignment wrapText="1"/>
    </xf>
    <xf numFmtId="0" fontId="22" fillId="20" borderId="1" xfId="0" applyFont="1" applyFill="1" applyBorder="1" applyAlignment="1">
      <alignment horizontal="center" vertical="center" wrapText="1"/>
    </xf>
    <xf numFmtId="0" fontId="36" fillId="0" borderId="0" xfId="0" applyFont="1" applyAlignment="1">
      <alignment horizontal="center" vertical="center" wrapText="1"/>
    </xf>
    <xf numFmtId="0" fontId="7" fillId="20" borderId="0" xfId="0" applyFont="1" applyFill="1" applyAlignment="1">
      <alignment horizontal="center" vertical="center" wrapText="1"/>
    </xf>
    <xf numFmtId="0" fontId="37" fillId="0" borderId="1" xfId="0" applyFont="1" applyBorder="1" applyAlignment="1">
      <alignment horizontal="right" wrapText="1"/>
    </xf>
    <xf numFmtId="0" fontId="7" fillId="0" borderId="1" xfId="0" applyFont="1" applyBorder="1" applyAlignment="1">
      <alignment horizontal="right" wrapText="1"/>
    </xf>
    <xf numFmtId="166" fontId="2" fillId="4" borderId="1" xfId="0" applyNumberFormat="1" applyFont="1" applyFill="1" applyBorder="1" applyAlignment="1">
      <alignment horizontal="center" vertical="center"/>
    </xf>
    <xf numFmtId="166" fontId="0" fillId="0" borderId="1" xfId="0" applyNumberFormat="1" applyBorder="1"/>
    <xf numFmtId="166" fontId="1" fillId="5" borderId="1" xfId="0" applyNumberFormat="1" applyFont="1" applyFill="1" applyBorder="1"/>
    <xf numFmtId="166" fontId="1" fillId="6" borderId="1" xfId="0" applyNumberFormat="1" applyFont="1" applyFill="1" applyBorder="1"/>
    <xf numFmtId="166" fontId="1" fillId="2" borderId="1" xfId="0" applyNumberFormat="1" applyFont="1" applyFill="1" applyBorder="1"/>
    <xf numFmtId="166" fontId="1" fillId="7" borderId="1" xfId="0" applyNumberFormat="1" applyFont="1" applyFill="1" applyBorder="1"/>
    <xf numFmtId="166" fontId="1" fillId="0" borderId="1" xfId="0" applyNumberFormat="1" applyFont="1" applyBorder="1"/>
    <xf numFmtId="166" fontId="0" fillId="3" borderId="1" xfId="0" applyNumberFormat="1" applyFill="1" applyBorder="1"/>
    <xf numFmtId="166" fontId="0" fillId="0" borderId="0" xfId="0" applyNumberFormat="1"/>
    <xf numFmtId="0" fontId="7" fillId="0" borderId="0" xfId="0" applyFont="1" applyAlignment="1">
      <alignment horizontal="right" wrapText="1"/>
    </xf>
    <xf numFmtId="0" fontId="14" fillId="20" borderId="0" xfId="0" applyFont="1" applyFill="1" applyAlignment="1">
      <alignment horizontal="center" vertical="center" wrapText="1"/>
    </xf>
    <xf numFmtId="0" fontId="15" fillId="3" borderId="28" xfId="0" applyFont="1" applyFill="1" applyBorder="1" applyAlignment="1">
      <alignment horizontal="center" wrapText="1"/>
    </xf>
    <xf numFmtId="0" fontId="31" fillId="3" borderId="29" xfId="0" applyFont="1" applyFill="1" applyBorder="1" applyAlignment="1">
      <alignment horizontal="center" wrapText="1"/>
    </xf>
    <xf numFmtId="9" fontId="13" fillId="3" borderId="4" xfId="0" applyNumberFormat="1" applyFont="1" applyFill="1" applyBorder="1" applyAlignment="1">
      <alignment horizontal="center"/>
    </xf>
    <xf numFmtId="9" fontId="13" fillId="3" borderId="30" xfId="0" applyNumberFormat="1" applyFont="1" applyFill="1" applyBorder="1" applyAlignment="1">
      <alignment horizontal="center"/>
    </xf>
    <xf numFmtId="0" fontId="4" fillId="17" borderId="25" xfId="0" applyFont="1" applyFill="1" applyBorder="1" applyAlignment="1">
      <alignment horizontal="center" wrapText="1"/>
    </xf>
    <xf numFmtId="0" fontId="4" fillId="17" borderId="26" xfId="0" applyFont="1" applyFill="1" applyBorder="1" applyAlignment="1">
      <alignment horizontal="center" wrapText="1"/>
    </xf>
    <xf numFmtId="0" fontId="4" fillId="17" borderId="2" xfId="0" applyFont="1" applyFill="1" applyBorder="1" applyAlignment="1">
      <alignment horizontal="center" wrapText="1"/>
    </xf>
    <xf numFmtId="0" fontId="4" fillId="17" borderId="1" xfId="0" applyFont="1" applyFill="1" applyBorder="1" applyAlignment="1">
      <alignment horizontal="center" wrapText="1"/>
    </xf>
    <xf numFmtId="0" fontId="7" fillId="17" borderId="1" xfId="0" applyFont="1" applyFill="1" applyBorder="1" applyAlignment="1">
      <alignment horizontal="center" wrapText="1"/>
    </xf>
    <xf numFmtId="0" fontId="7" fillId="17" borderId="25" xfId="0" applyFont="1" applyFill="1" applyBorder="1" applyAlignment="1">
      <alignment horizontal="center" wrapText="1"/>
    </xf>
    <xf numFmtId="0" fontId="7" fillId="17" borderId="26" xfId="0" applyFont="1" applyFill="1" applyBorder="1" applyAlignment="1">
      <alignment horizontal="center" wrapText="1"/>
    </xf>
    <xf numFmtId="0" fontId="7" fillId="17" borderId="2" xfId="0" applyFont="1" applyFill="1" applyBorder="1" applyAlignment="1">
      <alignment horizontal="center" wrapText="1"/>
    </xf>
    <xf numFmtId="14" fontId="4" fillId="11" borderId="25" xfId="0" applyNumberFormat="1" applyFont="1" applyFill="1" applyBorder="1" applyAlignment="1">
      <alignment horizontal="center" wrapText="1"/>
    </xf>
    <xf numFmtId="14" fontId="4" fillId="11" borderId="26" xfId="0" applyNumberFormat="1" applyFont="1" applyFill="1" applyBorder="1" applyAlignment="1">
      <alignment horizontal="center" wrapText="1"/>
    </xf>
    <xf numFmtId="14" fontId="4" fillId="11" borderId="2" xfId="0" applyNumberFormat="1" applyFont="1" applyFill="1" applyBorder="1" applyAlignment="1">
      <alignment horizontal="center" wrapText="1"/>
    </xf>
    <xf numFmtId="0" fontId="4" fillId="4" borderId="25" xfId="0" applyFont="1" applyFill="1" applyBorder="1" applyAlignment="1">
      <alignment horizontal="center"/>
    </xf>
    <xf numFmtId="0" fontId="4" fillId="4" borderId="26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1" fontId="4" fillId="4" borderId="25" xfId="0" applyNumberFormat="1" applyFont="1" applyFill="1" applyBorder="1" applyAlignment="1">
      <alignment horizontal="center"/>
    </xf>
    <xf numFmtId="1" fontId="4" fillId="4" borderId="26" xfId="0" applyNumberFormat="1" applyFont="1" applyFill="1" applyBorder="1" applyAlignment="1">
      <alignment horizontal="center"/>
    </xf>
    <xf numFmtId="1" fontId="4" fillId="4" borderId="2" xfId="0" applyNumberFormat="1" applyFont="1" applyFill="1" applyBorder="1" applyAlignment="1">
      <alignment horizontal="center"/>
    </xf>
    <xf numFmtId="1" fontId="4" fillId="4" borderId="5" xfId="0" applyNumberFormat="1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4" borderId="7" xfId="0" applyFont="1" applyFill="1" applyBorder="1" applyAlignment="1">
      <alignment horizontal="center"/>
    </xf>
    <xf numFmtId="0" fontId="4" fillId="17" borderId="25" xfId="0" applyFont="1" applyFill="1" applyBorder="1" applyAlignment="1">
      <alignment horizontal="center"/>
    </xf>
    <xf numFmtId="0" fontId="4" fillId="17" borderId="26" xfId="0" applyFont="1" applyFill="1" applyBorder="1" applyAlignment="1">
      <alignment horizontal="center"/>
    </xf>
    <xf numFmtId="0" fontId="4" fillId="17" borderId="2" xfId="0" applyFont="1" applyFill="1" applyBorder="1" applyAlignment="1">
      <alignment horizontal="center"/>
    </xf>
    <xf numFmtId="0" fontId="4" fillId="11" borderId="25" xfId="0" applyFont="1" applyFill="1" applyBorder="1" applyAlignment="1">
      <alignment horizontal="center" wrapText="1"/>
    </xf>
    <xf numFmtId="0" fontId="4" fillId="11" borderId="26" xfId="0" applyFont="1" applyFill="1" applyBorder="1" applyAlignment="1">
      <alignment horizontal="center" wrapText="1"/>
    </xf>
    <xf numFmtId="0" fontId="4" fillId="11" borderId="2" xfId="0" applyFont="1" applyFill="1" applyBorder="1" applyAlignment="1">
      <alignment horizontal="center" wrapText="1"/>
    </xf>
    <xf numFmtId="14" fontId="0" fillId="0" borderId="25" xfId="0" applyNumberFormat="1" applyBorder="1" applyAlignment="1">
      <alignment horizontal="center"/>
    </xf>
    <xf numFmtId="14" fontId="0" fillId="0" borderId="26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4" fillId="3" borderId="26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14" fontId="5" fillId="3" borderId="25" xfId="0" applyNumberFormat="1" applyFont="1" applyFill="1" applyBorder="1" applyAlignment="1">
      <alignment horizontal="center"/>
    </xf>
    <xf numFmtId="14" fontId="13" fillId="3" borderId="26" xfId="0" applyNumberFormat="1" applyFont="1" applyFill="1" applyBorder="1" applyAlignment="1">
      <alignment horizontal="center"/>
    </xf>
    <xf numFmtId="14" fontId="13" fillId="3" borderId="2" xfId="0" applyNumberFormat="1" applyFont="1" applyFill="1" applyBorder="1" applyAlignment="1">
      <alignment horizontal="center"/>
    </xf>
    <xf numFmtId="14" fontId="4" fillId="11" borderId="25" xfId="0" applyNumberFormat="1" applyFont="1" applyFill="1" applyBorder="1" applyAlignment="1">
      <alignment horizontal="center"/>
    </xf>
    <xf numFmtId="14" fontId="4" fillId="11" borderId="26" xfId="0" applyNumberFormat="1" applyFont="1" applyFill="1" applyBorder="1" applyAlignment="1">
      <alignment horizontal="center"/>
    </xf>
    <xf numFmtId="14" fontId="4" fillId="11" borderId="26" xfId="0" applyNumberFormat="1" applyFont="1" applyFill="1" applyBorder="1" applyAlignment="1">
      <alignment horizontal="center" vertical="center"/>
    </xf>
    <xf numFmtId="14" fontId="4" fillId="11" borderId="2" xfId="0" applyNumberFormat="1" applyFont="1" applyFill="1" applyBorder="1" applyAlignment="1">
      <alignment horizontal="center"/>
    </xf>
    <xf numFmtId="14" fontId="4" fillId="11" borderId="26" xfId="0" applyNumberFormat="1" applyFont="1" applyFill="1" applyBorder="1" applyAlignment="1">
      <alignment horizontal="center" vertical="center" wrapText="1"/>
    </xf>
    <xf numFmtId="14" fontId="5" fillId="14" borderId="25" xfId="0" applyNumberFormat="1" applyFont="1" applyFill="1" applyBorder="1" applyAlignment="1">
      <alignment horizontal="center" wrapText="1"/>
    </xf>
    <xf numFmtId="14" fontId="5" fillId="14" borderId="26" xfId="0" applyNumberFormat="1" applyFont="1" applyFill="1" applyBorder="1" applyAlignment="1">
      <alignment horizontal="center" wrapText="1"/>
    </xf>
    <xf numFmtId="14" fontId="5" fillId="14" borderId="2" xfId="0" applyNumberFormat="1" applyFont="1" applyFill="1" applyBorder="1" applyAlignment="1">
      <alignment horizontal="center" wrapText="1"/>
    </xf>
    <xf numFmtId="14" fontId="4" fillId="3" borderId="25" xfId="0" applyNumberFormat="1" applyFont="1" applyFill="1" applyBorder="1" applyAlignment="1">
      <alignment horizontal="center"/>
    </xf>
    <xf numFmtId="14" fontId="4" fillId="3" borderId="26" xfId="0" applyNumberFormat="1" applyFont="1" applyFill="1" applyBorder="1" applyAlignment="1">
      <alignment horizontal="center"/>
    </xf>
    <xf numFmtId="0" fontId="7" fillId="17" borderId="25" xfId="0" applyFont="1" applyFill="1" applyBorder="1" applyAlignment="1">
      <alignment horizontal="center"/>
    </xf>
    <xf numFmtId="0" fontId="7" fillId="17" borderId="26" xfId="0" applyFont="1" applyFill="1" applyBorder="1" applyAlignment="1">
      <alignment horizontal="center"/>
    </xf>
    <xf numFmtId="0" fontId="7" fillId="17" borderId="2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1" fontId="4" fillId="11" borderId="25" xfId="0" applyNumberFormat="1" applyFont="1" applyFill="1" applyBorder="1" applyAlignment="1">
      <alignment horizontal="center" vertical="center" wrapText="1"/>
    </xf>
    <xf numFmtId="1" fontId="4" fillId="11" borderId="26" xfId="0" applyNumberFormat="1" applyFont="1" applyFill="1" applyBorder="1" applyAlignment="1">
      <alignment horizontal="center" vertical="center" wrapText="1"/>
    </xf>
    <xf numFmtId="1" fontId="4" fillId="11" borderId="2" xfId="0" applyNumberFormat="1" applyFont="1" applyFill="1" applyBorder="1" applyAlignment="1">
      <alignment horizontal="center" vertical="center" wrapText="1"/>
    </xf>
    <xf numFmtId="0" fontId="1" fillId="4" borderId="25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27" fillId="15" borderId="0" xfId="0" applyFont="1" applyFill="1" applyAlignment="1">
      <alignment horizontal="center" vertical="center" wrapText="1"/>
    </xf>
    <xf numFmtId="0" fontId="27" fillId="16" borderId="0" xfId="0" applyFont="1" applyFill="1" applyAlignment="1">
      <alignment horizontal="center" vertical="center" wrapText="1"/>
    </xf>
    <xf numFmtId="0" fontId="27" fillId="18" borderId="0" xfId="0" applyFont="1" applyFill="1" applyAlignment="1">
      <alignment horizontal="center" vertical="center" wrapText="1"/>
    </xf>
    <xf numFmtId="0" fontId="27" fillId="7" borderId="0" xfId="0" applyFont="1" applyFill="1" applyAlignment="1">
      <alignment horizontal="center" vertical="center" wrapText="1"/>
    </xf>
    <xf numFmtId="0" fontId="27" fillId="12" borderId="0" xfId="0" applyFont="1" applyFill="1" applyAlignment="1">
      <alignment horizontal="center" vertical="center" wrapText="1"/>
    </xf>
    <xf numFmtId="0" fontId="5" fillId="3" borderId="1" xfId="0" applyFont="1" applyFill="1" applyBorder="1" applyAlignment="1">
      <alignment horizontal="center"/>
    </xf>
    <xf numFmtId="0" fontId="13" fillId="0" borderId="1" xfId="0" applyFont="1" applyBorder="1"/>
    <xf numFmtId="0" fontId="23" fillId="14" borderId="1" xfId="0" applyFont="1" applyFill="1" applyBorder="1" applyAlignment="1">
      <alignment horizontal="center" wrapText="1"/>
    </xf>
    <xf numFmtId="0" fontId="9" fillId="0" borderId="12" xfId="0" applyFont="1" applyBorder="1" applyAlignment="1">
      <alignment horizontal="left" vertical="top" wrapText="1"/>
    </xf>
    <xf numFmtId="0" fontId="9" fillId="0" borderId="8" xfId="0" applyFont="1" applyBorder="1" applyAlignment="1">
      <alignment horizontal="left" vertical="top" wrapText="1"/>
    </xf>
    <xf numFmtId="0" fontId="7" fillId="0" borderId="8" xfId="0" applyFont="1" applyBorder="1" applyAlignment="1">
      <alignment horizontal="center"/>
    </xf>
    <xf numFmtId="0" fontId="0" fillId="0" borderId="0" xfId="0" applyAlignment="1">
      <alignment horizontal="center"/>
    </xf>
    <xf numFmtId="0" fontId="11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textRotation="90" wrapText="1"/>
    </xf>
    <xf numFmtId="0" fontId="0" fillId="0" borderId="1" xfId="0" applyBorder="1" applyAlignment="1">
      <alignment horizontal="center" vertical="center" wrapText="1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17" xfId="0" applyFont="1" applyBorder="1" applyAlignment="1">
      <alignment horizontal="center"/>
    </xf>
    <xf numFmtId="0" fontId="11" fillId="3" borderId="18" xfId="0" applyFont="1" applyFill="1" applyBorder="1" applyAlignment="1">
      <alignment horizontal="center"/>
    </xf>
    <xf numFmtId="0" fontId="11" fillId="3" borderId="19" xfId="0" applyFont="1" applyFill="1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27">
    <dxf>
      <font>
        <color theme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theme="9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9"/>
        </patternFill>
      </fill>
    </dxf>
    <dxf>
      <fill>
        <patternFill>
          <bgColor theme="9" tint="0.59996337778862885"/>
        </patternFill>
      </fill>
    </dxf>
    <dxf>
      <font>
        <b/>
        <i val="0"/>
      </font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ont>
        <color rgb="FF9C0006"/>
      </font>
    </dxf>
    <dxf>
      <fill>
        <patternFill>
          <bgColor theme="9"/>
        </patternFill>
      </fill>
    </dxf>
    <dxf>
      <fill>
        <patternFill patternType="solid">
          <fgColor theme="1"/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theme="6" tint="0.59996337778862885"/>
        </patternFill>
      </fill>
    </dxf>
    <dxf>
      <fill>
        <patternFill>
          <bgColor rgb="FF00B050"/>
        </patternFill>
      </fill>
    </dxf>
    <dxf>
      <fill>
        <patternFill>
          <bgColor theme="6" tint="0.39994506668294322"/>
        </patternFill>
      </fill>
    </dxf>
    <dxf>
      <font>
        <color rgb="FF9C0006"/>
      </font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133350</xdr:colOff>
          <xdr:row>10</xdr:row>
          <xdr:rowOff>57150</xdr:rowOff>
        </xdr:from>
        <xdr:to>
          <xdr:col>15</xdr:col>
          <xdr:colOff>180975</xdr:colOff>
          <xdr:row>12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DAILY CLOSING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152400</xdr:colOff>
      <xdr:row>31</xdr:row>
      <xdr:rowOff>0</xdr:rowOff>
    </xdr:from>
    <xdr:to>
      <xdr:col>8</xdr:col>
      <xdr:colOff>7620</xdr:colOff>
      <xdr:row>37</xdr:row>
      <xdr:rowOff>251460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6347460"/>
          <a:ext cx="4853940" cy="1424940"/>
        </a:xfrm>
        <a:prstGeom prst="rect">
          <a:avLst/>
        </a:prstGeom>
      </xdr:spPr>
    </xdr:pic>
    <xdr:clientData/>
  </xdr:twoCellAnchor>
  <xdr:twoCellAnchor editAs="oneCell">
    <xdr:from>
      <xdr:col>6</xdr:col>
      <xdr:colOff>457200</xdr:colOff>
      <xdr:row>35</xdr:row>
      <xdr:rowOff>129540</xdr:rowOff>
    </xdr:from>
    <xdr:to>
      <xdr:col>8</xdr:col>
      <xdr:colOff>45720</xdr:colOff>
      <xdr:row>39</xdr:row>
      <xdr:rowOff>7620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8140" y="7208520"/>
          <a:ext cx="876300" cy="876300"/>
        </a:xfrm>
        <a:prstGeom prst="rect">
          <a:avLst/>
        </a:prstGeom>
      </xdr:spPr>
    </xdr:pic>
    <xdr:clientData/>
  </xdr:twoCellAnchor>
  <xdr:twoCellAnchor editAs="oneCell">
    <xdr:from>
      <xdr:col>7</xdr:col>
      <xdr:colOff>190500</xdr:colOff>
      <xdr:row>22</xdr:row>
      <xdr:rowOff>129540</xdr:rowOff>
    </xdr:from>
    <xdr:to>
      <xdr:col>10</xdr:col>
      <xdr:colOff>281940</xdr:colOff>
      <xdr:row>45</xdr:row>
      <xdr:rowOff>123444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2960" y="10690860"/>
          <a:ext cx="1828800" cy="416966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filterMode="1">
    <tabColor rgb="FF92D050"/>
  </sheetPr>
  <dimension ref="A1:Q1041"/>
  <sheetViews>
    <sheetView zoomScale="90" zoomScaleNormal="90" workbookViewId="0">
      <pane ySplit="1" topLeftCell="A2" activePane="bottomLeft" state="frozen"/>
      <selection pane="bottomLeft" activeCell="D1026" sqref="D1026"/>
    </sheetView>
  </sheetViews>
  <sheetFormatPr defaultRowHeight="18.75" x14ac:dyDescent="0.25"/>
  <cols>
    <col min="1" max="1" width="28" style="205" customWidth="1"/>
    <col min="2" max="3" width="13.7109375" style="28" customWidth="1"/>
    <col min="4" max="4" width="15.5703125" style="29" bestFit="1" customWidth="1"/>
    <col min="5" max="5" width="17.85546875" style="190" bestFit="1" customWidth="1"/>
    <col min="6" max="6" width="16.5703125" style="60" bestFit="1" customWidth="1"/>
    <col min="7" max="7" width="10" style="60" bestFit="1" customWidth="1"/>
    <col min="8" max="8" width="12.7109375" style="60" bestFit="1" customWidth="1"/>
    <col min="9" max="9" width="14.85546875" style="60" bestFit="1" customWidth="1"/>
    <col min="10" max="10" width="12.28515625" style="60" bestFit="1" customWidth="1"/>
    <col min="11" max="11" width="13.85546875" style="35" bestFit="1" customWidth="1"/>
    <col min="12" max="12" width="5.5703125" style="34" bestFit="1" customWidth="1"/>
    <col min="13" max="13" width="16.42578125" style="30" customWidth="1"/>
    <col min="14" max="14" width="12.140625" style="34" bestFit="1" customWidth="1"/>
  </cols>
  <sheetData>
    <row r="1" spans="1:17" s="3" customFormat="1" ht="15.6" customHeight="1" x14ac:dyDescent="0.25">
      <c r="A1" s="203" t="s">
        <v>211</v>
      </c>
      <c r="B1" s="14" t="s">
        <v>212</v>
      </c>
      <c r="C1" s="14" t="s">
        <v>335</v>
      </c>
      <c r="D1" s="11" t="s">
        <v>213</v>
      </c>
      <c r="E1" s="190" t="s">
        <v>298</v>
      </c>
      <c r="F1" s="59" t="s">
        <v>214</v>
      </c>
      <c r="G1" s="59" t="s">
        <v>215</v>
      </c>
      <c r="H1" s="59" t="s">
        <v>216</v>
      </c>
      <c r="I1" s="59" t="s">
        <v>217</v>
      </c>
      <c r="J1" s="59" t="s">
        <v>218</v>
      </c>
      <c r="K1" s="11" t="s">
        <v>297</v>
      </c>
      <c r="L1" s="32"/>
      <c r="M1" s="2" t="s">
        <v>592</v>
      </c>
      <c r="N1" s="32" t="s">
        <v>986</v>
      </c>
    </row>
    <row r="2" spans="1:17" s="75" customFormat="1" hidden="1" x14ac:dyDescent="0.25">
      <c r="A2" s="204" t="s">
        <v>207</v>
      </c>
      <c r="B2" s="71" t="s">
        <v>208</v>
      </c>
      <c r="C2" s="71">
        <v>75</v>
      </c>
      <c r="D2" s="72">
        <v>35</v>
      </c>
      <c r="E2" s="191">
        <v>40</v>
      </c>
      <c r="F2" s="74">
        <f>SUMIF('Sales Register'!C:C, A2, 'Sales Register'!D:D)</f>
        <v>8</v>
      </c>
      <c r="G2" s="74">
        <f t="shared" ref="G2:G33" si="0">E2*F2</f>
        <v>320</v>
      </c>
      <c r="H2" s="74">
        <f t="shared" ref="H2:H65" si="1">D2*F2</f>
        <v>280</v>
      </c>
      <c r="I2" s="74">
        <f t="shared" ref="I2:I65" si="2">G2-H2</f>
        <v>40</v>
      </c>
      <c r="J2" s="74">
        <f t="shared" ref="J2:J65" si="3">IF(G2=0,0,I2/G2)</f>
        <v>0.125</v>
      </c>
      <c r="K2" s="134" t="str">
        <f>IF(E2&lt;=D2, "NO PROFIT", IF((E2-D2)/D2 &gt;= 1, "100% or More", TEXT(_xlfn.FLOOR.MATH((E2-D2)/D2, 0.01), "0%")))</f>
        <v>14%</v>
      </c>
      <c r="L2" s="73">
        <v>39</v>
      </c>
      <c r="M2" s="99">
        <f>IF(D2=0, 0, (E2-D2)/D2)</f>
        <v>0.14285714285714285</v>
      </c>
      <c r="N2" s="73" t="e">
        <f>VLOOKUP(A2, 'Stock Register'!A:F, 6, FALSE)</f>
        <v>#N/A</v>
      </c>
    </row>
    <row r="3" spans="1:17" s="75" customFormat="1" ht="30" hidden="1" x14ac:dyDescent="0.25">
      <c r="A3" s="204" t="s">
        <v>239</v>
      </c>
      <c r="B3" s="71" t="s">
        <v>208</v>
      </c>
      <c r="C3" s="71">
        <v>75</v>
      </c>
      <c r="D3" s="72">
        <v>37</v>
      </c>
      <c r="E3" s="191">
        <v>45</v>
      </c>
      <c r="F3" s="74">
        <f>SUMIF('Sales Register'!C:C, A3, 'Sales Register'!D:D)</f>
        <v>2</v>
      </c>
      <c r="G3" s="74">
        <f t="shared" si="0"/>
        <v>90</v>
      </c>
      <c r="H3" s="74">
        <f t="shared" si="1"/>
        <v>74</v>
      </c>
      <c r="I3" s="74">
        <f t="shared" si="2"/>
        <v>16</v>
      </c>
      <c r="J3" s="74">
        <f t="shared" si="3"/>
        <v>0.17777777777777778</v>
      </c>
      <c r="K3" s="134" t="str">
        <f t="shared" ref="K3:K66" si="4">IF(E3&lt;=D3, "NO PROFIT", IF((E3-D3)/D3 &gt;= 1, "100% or More", TEXT(_xlfn.FLOOR.MATH((E3-D3)/D3, 0.01), "0%")))</f>
        <v>21%</v>
      </c>
      <c r="L3" s="73">
        <v>43</v>
      </c>
      <c r="M3" s="99">
        <f t="shared" ref="M3:M66" si="5">IF(D3=0, 0, (E3-D3)/D3)</f>
        <v>0.21621621621621623</v>
      </c>
      <c r="N3" s="73" t="e">
        <f>VLOOKUP(A3, 'Stock Register'!A:F, 6, FALSE)</f>
        <v>#N/A</v>
      </c>
      <c r="O3" s="91"/>
    </row>
    <row r="4" spans="1:17" s="75" customFormat="1" hidden="1" x14ac:dyDescent="0.25">
      <c r="A4" s="204" t="s">
        <v>307</v>
      </c>
      <c r="B4" s="71" t="s">
        <v>198</v>
      </c>
      <c r="C4" s="71">
        <v>1250</v>
      </c>
      <c r="D4" s="72">
        <v>1250</v>
      </c>
      <c r="E4" s="191">
        <v>1250</v>
      </c>
      <c r="F4" s="74">
        <f>SUMIF('Sales Register'!C:C, A4, 'Sales Register'!D:D)</f>
        <v>1</v>
      </c>
      <c r="G4" s="74">
        <f t="shared" si="0"/>
        <v>1250</v>
      </c>
      <c r="H4" s="74">
        <f t="shared" si="1"/>
        <v>1250</v>
      </c>
      <c r="I4" s="74">
        <f t="shared" si="2"/>
        <v>0</v>
      </c>
      <c r="J4" s="74">
        <f t="shared" si="3"/>
        <v>0</v>
      </c>
      <c r="K4" s="134" t="str">
        <f t="shared" si="4"/>
        <v>NO PROFIT</v>
      </c>
      <c r="L4" s="73"/>
      <c r="M4" s="99">
        <f t="shared" si="5"/>
        <v>0</v>
      </c>
      <c r="N4" s="73" t="e">
        <f>VLOOKUP(A4, 'Stock Register'!A:F, 6, FALSE)</f>
        <v>#N/A</v>
      </c>
    </row>
    <row r="5" spans="1:17" hidden="1" x14ac:dyDescent="0.25">
      <c r="A5" s="205" t="s">
        <v>35</v>
      </c>
      <c r="B5" s="28" t="s">
        <v>171</v>
      </c>
      <c r="C5" s="28">
        <v>118</v>
      </c>
      <c r="D5" s="29">
        <v>110</v>
      </c>
      <c r="E5" s="190">
        <v>118</v>
      </c>
      <c r="F5" s="60">
        <f>SUMIF('Sales Register'!C:C, A5, 'Sales Register'!D:D)</f>
        <v>3</v>
      </c>
      <c r="G5" s="60">
        <f t="shared" si="0"/>
        <v>354</v>
      </c>
      <c r="H5" s="60">
        <f t="shared" si="1"/>
        <v>330</v>
      </c>
      <c r="I5" s="60">
        <f t="shared" si="2"/>
        <v>24</v>
      </c>
      <c r="J5" s="60">
        <f t="shared" si="3"/>
        <v>6.7796610169491525E-2</v>
      </c>
      <c r="K5" s="35" t="str">
        <f t="shared" si="4"/>
        <v>7%</v>
      </c>
      <c r="L5" s="34">
        <v>117</v>
      </c>
      <c r="M5" s="30">
        <f t="shared" si="5"/>
        <v>7.2727272727272724E-2</v>
      </c>
      <c r="N5" s="34">
        <f>VLOOKUP(A5, 'Stock Register'!A:F, 6, FALSE)</f>
        <v>1</v>
      </c>
    </row>
    <row r="6" spans="1:17" s="75" customFormat="1" ht="36" hidden="1" customHeight="1" x14ac:dyDescent="0.3">
      <c r="A6" s="204" t="s">
        <v>238</v>
      </c>
      <c r="B6" s="71" t="s">
        <v>171</v>
      </c>
      <c r="C6" s="71">
        <v>118</v>
      </c>
      <c r="D6" s="72">
        <v>112</v>
      </c>
      <c r="E6" s="191">
        <v>118</v>
      </c>
      <c r="F6" s="74">
        <f>SUMIF('Sales Register'!C:C, A6, 'Sales Register'!D:D)</f>
        <v>0</v>
      </c>
      <c r="G6" s="74">
        <f t="shared" si="0"/>
        <v>0</v>
      </c>
      <c r="H6" s="74">
        <f t="shared" si="1"/>
        <v>0</v>
      </c>
      <c r="I6" s="74">
        <f t="shared" si="2"/>
        <v>0</v>
      </c>
      <c r="J6" s="74">
        <f t="shared" si="3"/>
        <v>0</v>
      </c>
      <c r="K6" s="134" t="str">
        <f t="shared" si="4"/>
        <v>5%</v>
      </c>
      <c r="L6" s="73">
        <v>118</v>
      </c>
      <c r="M6" s="99">
        <f t="shared" si="5"/>
        <v>5.3571428571428568E-2</v>
      </c>
      <c r="N6" s="73" t="e">
        <f>VLOOKUP(A6, 'Stock Register'!A:F, 6, FALSE)</f>
        <v>#N/A</v>
      </c>
      <c r="P6" s="223" t="s">
        <v>299</v>
      </c>
      <c r="Q6" s="224"/>
    </row>
    <row r="7" spans="1:17" ht="21.75" hidden="1" thickBot="1" x14ac:dyDescent="0.4">
      <c r="A7" s="205" t="s">
        <v>139</v>
      </c>
      <c r="B7" s="28" t="s">
        <v>219</v>
      </c>
      <c r="C7" s="28">
        <v>195</v>
      </c>
      <c r="D7" s="29">
        <v>160</v>
      </c>
      <c r="E7" s="190">
        <v>190</v>
      </c>
      <c r="F7" s="60">
        <f>SUMIF('Sales Register'!C:C, A7, 'Sales Register'!D:D)</f>
        <v>5</v>
      </c>
      <c r="G7" s="60">
        <f t="shared" si="0"/>
        <v>950</v>
      </c>
      <c r="H7" s="60">
        <f t="shared" si="1"/>
        <v>800</v>
      </c>
      <c r="I7" s="60">
        <f t="shared" si="2"/>
        <v>150</v>
      </c>
      <c r="J7" s="60">
        <f t="shared" si="3"/>
        <v>0.15789473684210525</v>
      </c>
      <c r="K7" s="35" t="str">
        <f t="shared" si="4"/>
        <v>18%</v>
      </c>
      <c r="L7" s="34">
        <v>185</v>
      </c>
      <c r="M7" s="30">
        <f t="shared" si="5"/>
        <v>0.1875</v>
      </c>
      <c r="N7" s="34">
        <f>VLOOKUP(A7, 'Stock Register'!A:F, 6, FALSE)</f>
        <v>-1</v>
      </c>
      <c r="P7" s="225">
        <f>AVERAGE(M2:M973)</f>
        <v>0.25195115162151871</v>
      </c>
      <c r="Q7" s="226"/>
    </row>
    <row r="8" spans="1:17" s="75" customFormat="1" hidden="1" x14ac:dyDescent="0.25">
      <c r="A8" s="204" t="s">
        <v>319</v>
      </c>
      <c r="B8" s="71" t="s">
        <v>219</v>
      </c>
      <c r="C8" s="71">
        <v>100</v>
      </c>
      <c r="D8" s="72">
        <v>83</v>
      </c>
      <c r="E8" s="191">
        <v>98</v>
      </c>
      <c r="F8" s="74">
        <f>SUMIF('Sales Register'!C:C, A8, 'Sales Register'!D:D)</f>
        <v>2</v>
      </c>
      <c r="G8" s="74">
        <f t="shared" si="0"/>
        <v>196</v>
      </c>
      <c r="H8" s="74">
        <f t="shared" si="1"/>
        <v>166</v>
      </c>
      <c r="I8" s="74">
        <f t="shared" si="2"/>
        <v>30</v>
      </c>
      <c r="J8" s="74">
        <f t="shared" si="3"/>
        <v>0.15306122448979592</v>
      </c>
      <c r="K8" s="134" t="str">
        <f t="shared" si="4"/>
        <v>18%</v>
      </c>
      <c r="L8" s="73">
        <v>96</v>
      </c>
      <c r="M8" s="99">
        <f t="shared" si="5"/>
        <v>0.18072289156626506</v>
      </c>
      <c r="N8" s="73" t="e">
        <f>VLOOKUP(A8, 'Stock Register'!A:F, 6, FALSE)</f>
        <v>#N/A</v>
      </c>
    </row>
    <row r="9" spans="1:17" s="75" customFormat="1" hidden="1" x14ac:dyDescent="0.25">
      <c r="A9" s="204" t="s">
        <v>41</v>
      </c>
      <c r="B9" s="71" t="s">
        <v>172</v>
      </c>
      <c r="C9" s="71">
        <v>75</v>
      </c>
      <c r="D9" s="72">
        <v>72</v>
      </c>
      <c r="E9" s="191">
        <v>75</v>
      </c>
      <c r="F9" s="74">
        <f>SUMIF('Sales Register'!C:C, A9, 'Sales Register'!D:D)</f>
        <v>3</v>
      </c>
      <c r="G9" s="74">
        <f t="shared" si="0"/>
        <v>225</v>
      </c>
      <c r="H9" s="74">
        <f t="shared" si="1"/>
        <v>216</v>
      </c>
      <c r="I9" s="74">
        <f t="shared" si="2"/>
        <v>9</v>
      </c>
      <c r="J9" s="74">
        <f t="shared" si="3"/>
        <v>0.04</v>
      </c>
      <c r="K9" s="134" t="str">
        <f t="shared" si="4"/>
        <v>4%</v>
      </c>
      <c r="L9" s="73">
        <v>75</v>
      </c>
      <c r="M9" s="99">
        <f t="shared" si="5"/>
        <v>4.1666666666666664E-2</v>
      </c>
      <c r="N9" s="73">
        <f>VLOOKUP(A9, 'Stock Register'!A:F, 6, FALSE)</f>
        <v>1</v>
      </c>
    </row>
    <row r="10" spans="1:17" s="75" customFormat="1" hidden="1" x14ac:dyDescent="0.25">
      <c r="A10" s="206" t="s">
        <v>288</v>
      </c>
      <c r="B10" s="71" t="s">
        <v>294</v>
      </c>
      <c r="C10" s="71">
        <v>70</v>
      </c>
      <c r="D10" s="72">
        <v>50</v>
      </c>
      <c r="E10" s="191">
        <v>60</v>
      </c>
      <c r="F10" s="74">
        <f>SUMIF('Sales Register'!C:C, A10, 'Sales Register'!D:D)</f>
        <v>4</v>
      </c>
      <c r="G10" s="74">
        <f t="shared" si="0"/>
        <v>240</v>
      </c>
      <c r="H10" s="74">
        <f t="shared" si="1"/>
        <v>200</v>
      </c>
      <c r="I10" s="74">
        <f t="shared" si="2"/>
        <v>40</v>
      </c>
      <c r="J10" s="74">
        <f t="shared" si="3"/>
        <v>0.16666666666666666</v>
      </c>
      <c r="K10" s="134" t="str">
        <f t="shared" si="4"/>
        <v>20%</v>
      </c>
      <c r="L10" s="73">
        <v>64</v>
      </c>
      <c r="M10" s="99">
        <f t="shared" si="5"/>
        <v>0.2</v>
      </c>
      <c r="N10" s="73">
        <f>VLOOKUP(A10, 'Stock Register'!A:F, 6, FALSE)</f>
        <v>0</v>
      </c>
    </row>
    <row r="11" spans="1:17" s="75" customFormat="1" hidden="1" x14ac:dyDescent="0.25">
      <c r="A11" s="204" t="s">
        <v>289</v>
      </c>
      <c r="B11" s="71" t="s">
        <v>294</v>
      </c>
      <c r="C11" s="71">
        <v>140</v>
      </c>
      <c r="D11" s="72">
        <v>95</v>
      </c>
      <c r="E11" s="191">
        <v>110</v>
      </c>
      <c r="F11" s="74">
        <f>SUMIF('Sales Register'!C:C, A11, 'Sales Register'!D:D)</f>
        <v>2</v>
      </c>
      <c r="G11" s="74">
        <f t="shared" si="0"/>
        <v>220</v>
      </c>
      <c r="H11" s="74">
        <f t="shared" si="1"/>
        <v>190</v>
      </c>
      <c r="I11" s="74">
        <f t="shared" si="2"/>
        <v>30</v>
      </c>
      <c r="J11" s="74">
        <f t="shared" si="3"/>
        <v>0.13636363636363635</v>
      </c>
      <c r="K11" s="134" t="str">
        <f t="shared" si="4"/>
        <v>15%</v>
      </c>
      <c r="L11" s="73">
        <v>126</v>
      </c>
      <c r="M11" s="99">
        <f t="shared" si="5"/>
        <v>0.15789473684210525</v>
      </c>
      <c r="N11" s="73">
        <f>VLOOKUP(A11, 'Stock Register'!A:F, 6, FALSE)</f>
        <v>0</v>
      </c>
    </row>
    <row r="12" spans="1:17" hidden="1" x14ac:dyDescent="0.25">
      <c r="A12" s="205" t="s">
        <v>367</v>
      </c>
      <c r="B12" s="28" t="s">
        <v>173</v>
      </c>
      <c r="C12" s="28">
        <v>5</v>
      </c>
      <c r="D12" s="29">
        <v>4</v>
      </c>
      <c r="E12" s="190">
        <v>5</v>
      </c>
      <c r="F12" s="60">
        <f>SUMIF('Sales Register'!C:C, A12, 'Sales Register'!D:D)</f>
        <v>0</v>
      </c>
      <c r="G12" s="60">
        <f t="shared" si="0"/>
        <v>0</v>
      </c>
      <c r="H12" s="60">
        <f t="shared" si="1"/>
        <v>0</v>
      </c>
      <c r="I12" s="60">
        <f t="shared" si="2"/>
        <v>0</v>
      </c>
      <c r="J12" s="60">
        <f t="shared" si="3"/>
        <v>0</v>
      </c>
      <c r="K12" s="35" t="str">
        <f t="shared" si="4"/>
        <v>25%</v>
      </c>
      <c r="L12" s="34">
        <v>5</v>
      </c>
      <c r="M12" s="30">
        <f t="shared" si="5"/>
        <v>0.25</v>
      </c>
      <c r="N12" s="34" t="e">
        <f>VLOOKUP(A12, 'Stock Register'!A:F, 6, FALSE)</f>
        <v>#N/A</v>
      </c>
    </row>
    <row r="13" spans="1:17" hidden="1" x14ac:dyDescent="0.25">
      <c r="A13" s="205" t="s">
        <v>368</v>
      </c>
      <c r="B13" s="28" t="s">
        <v>173</v>
      </c>
      <c r="C13" s="28">
        <v>5</v>
      </c>
      <c r="D13" s="29">
        <v>3.5</v>
      </c>
      <c r="E13" s="190">
        <v>5</v>
      </c>
      <c r="F13" s="60">
        <f>SUMIF('Sales Register'!C:C, A13, 'Sales Register'!D:D)</f>
        <v>3</v>
      </c>
      <c r="G13" s="60">
        <f t="shared" si="0"/>
        <v>15</v>
      </c>
      <c r="H13" s="60">
        <f t="shared" si="1"/>
        <v>10.5</v>
      </c>
      <c r="I13" s="60">
        <f t="shared" si="2"/>
        <v>4.5</v>
      </c>
      <c r="J13" s="60">
        <f t="shared" si="3"/>
        <v>0.3</v>
      </c>
      <c r="K13" s="35" t="str">
        <f t="shared" si="4"/>
        <v>42%</v>
      </c>
      <c r="L13" s="34">
        <v>5</v>
      </c>
      <c r="M13" s="30">
        <f t="shared" si="5"/>
        <v>0.42857142857142855</v>
      </c>
      <c r="N13" s="34" t="e">
        <f>VLOOKUP(A13, 'Stock Register'!A:F, 6, FALSE)</f>
        <v>#N/A</v>
      </c>
    </row>
    <row r="14" spans="1:17" s="75" customFormat="1" hidden="1" x14ac:dyDescent="0.25">
      <c r="A14" s="204" t="s">
        <v>369</v>
      </c>
      <c r="B14" s="71" t="s">
        <v>220</v>
      </c>
      <c r="C14" s="71">
        <v>60</v>
      </c>
      <c r="D14" s="72">
        <v>55</v>
      </c>
      <c r="E14" s="191">
        <v>60</v>
      </c>
      <c r="F14" s="74">
        <f>SUMIF('Sales Register'!C:C, A14, 'Sales Register'!D:D)</f>
        <v>6</v>
      </c>
      <c r="G14" s="74">
        <f t="shared" si="0"/>
        <v>360</v>
      </c>
      <c r="H14" s="74">
        <f t="shared" si="1"/>
        <v>330</v>
      </c>
      <c r="I14" s="74">
        <f t="shared" si="2"/>
        <v>30</v>
      </c>
      <c r="J14" s="74">
        <f t="shared" si="3"/>
        <v>8.3333333333333329E-2</v>
      </c>
      <c r="K14" s="134" t="str">
        <f t="shared" si="4"/>
        <v>9%</v>
      </c>
      <c r="L14" s="73">
        <v>59</v>
      </c>
      <c r="M14" s="99">
        <f t="shared" si="5"/>
        <v>9.0909090909090912E-2</v>
      </c>
      <c r="N14" s="73" t="e">
        <f>VLOOKUP(A14, 'Stock Register'!A:F, 6, FALSE)</f>
        <v>#N/A</v>
      </c>
    </row>
    <row r="15" spans="1:17" ht="30" hidden="1" x14ac:dyDescent="0.25">
      <c r="A15" s="205" t="s">
        <v>370</v>
      </c>
      <c r="B15" s="28" t="s">
        <v>174</v>
      </c>
      <c r="C15" s="28">
        <v>85</v>
      </c>
      <c r="D15" s="29">
        <v>77</v>
      </c>
      <c r="E15" s="190">
        <v>85</v>
      </c>
      <c r="F15" s="60">
        <f>SUMIF('Sales Register'!C:C, A15, 'Sales Register'!D:D)</f>
        <v>2</v>
      </c>
      <c r="G15" s="60">
        <f t="shared" si="0"/>
        <v>170</v>
      </c>
      <c r="H15" s="60">
        <f t="shared" si="1"/>
        <v>154</v>
      </c>
      <c r="I15" s="60">
        <f t="shared" si="2"/>
        <v>16</v>
      </c>
      <c r="J15" s="60">
        <f t="shared" si="3"/>
        <v>9.4117647058823528E-2</v>
      </c>
      <c r="K15" s="35" t="str">
        <f t="shared" si="4"/>
        <v>10%</v>
      </c>
      <c r="L15" s="34">
        <v>84</v>
      </c>
      <c r="M15" s="30">
        <f t="shared" si="5"/>
        <v>0.1038961038961039</v>
      </c>
      <c r="N15" s="34" t="e">
        <f>VLOOKUP(A15, 'Stock Register'!A:F, 6, FALSE)</f>
        <v>#N/A</v>
      </c>
    </row>
    <row r="16" spans="1:17" ht="30" hidden="1" x14ac:dyDescent="0.25">
      <c r="A16" s="205" t="s">
        <v>371</v>
      </c>
      <c r="B16" s="28" t="s">
        <v>174</v>
      </c>
      <c r="C16" s="28">
        <v>39</v>
      </c>
      <c r="D16" s="29">
        <v>36</v>
      </c>
      <c r="E16" s="190">
        <v>39</v>
      </c>
      <c r="F16" s="60">
        <f>SUMIF('Sales Register'!C:C, A16, 'Sales Register'!D:D)</f>
        <v>0</v>
      </c>
      <c r="G16" s="60">
        <f t="shared" si="0"/>
        <v>0</v>
      </c>
      <c r="H16" s="60">
        <f t="shared" si="1"/>
        <v>0</v>
      </c>
      <c r="I16" s="60">
        <f t="shared" si="2"/>
        <v>0</v>
      </c>
      <c r="J16" s="60">
        <f t="shared" si="3"/>
        <v>0</v>
      </c>
      <c r="K16" s="35" t="str">
        <f t="shared" si="4"/>
        <v>8%</v>
      </c>
      <c r="L16" s="34">
        <v>38</v>
      </c>
      <c r="M16" s="30">
        <f t="shared" si="5"/>
        <v>8.3333333333333329E-2</v>
      </c>
      <c r="N16" s="34" t="e">
        <f>VLOOKUP(A16, 'Stock Register'!A:F, 6, FALSE)</f>
        <v>#N/A</v>
      </c>
    </row>
    <row r="17" spans="1:14" s="75" customFormat="1" hidden="1" x14ac:dyDescent="0.25">
      <c r="A17" s="204" t="s">
        <v>366</v>
      </c>
      <c r="B17" s="71" t="s">
        <v>175</v>
      </c>
      <c r="C17" s="71">
        <v>60</v>
      </c>
      <c r="D17" s="72">
        <v>40</v>
      </c>
      <c r="E17" s="191">
        <v>50</v>
      </c>
      <c r="F17" s="74">
        <f>SUMIF('Sales Register'!C:C, A17, 'Sales Register'!D:D)</f>
        <v>7</v>
      </c>
      <c r="G17" s="74">
        <f t="shared" si="0"/>
        <v>350</v>
      </c>
      <c r="H17" s="74">
        <f t="shared" si="1"/>
        <v>280</v>
      </c>
      <c r="I17" s="74">
        <f t="shared" si="2"/>
        <v>70</v>
      </c>
      <c r="J17" s="74">
        <f t="shared" si="3"/>
        <v>0.2</v>
      </c>
      <c r="K17" s="134" t="str">
        <f t="shared" si="4"/>
        <v>25%</v>
      </c>
      <c r="L17" s="73">
        <v>48</v>
      </c>
      <c r="M17" s="99">
        <f t="shared" si="5"/>
        <v>0.25</v>
      </c>
      <c r="N17" s="73" t="e">
        <f>VLOOKUP(A17, 'Stock Register'!A:F, 6, FALSE)</f>
        <v>#N/A</v>
      </c>
    </row>
    <row r="18" spans="1:14" hidden="1" x14ac:dyDescent="0.25">
      <c r="A18" s="205" t="s">
        <v>372</v>
      </c>
      <c r="B18" s="28" t="s">
        <v>221</v>
      </c>
      <c r="C18" s="28">
        <v>45</v>
      </c>
      <c r="D18" s="29">
        <v>42</v>
      </c>
      <c r="E18" s="190">
        <v>45</v>
      </c>
      <c r="F18" s="60">
        <f>SUMIF('Sales Register'!C:C, A18, 'Sales Register'!D:D)</f>
        <v>5</v>
      </c>
      <c r="G18" s="60">
        <f t="shared" si="0"/>
        <v>225</v>
      </c>
      <c r="H18" s="60">
        <f t="shared" si="1"/>
        <v>210</v>
      </c>
      <c r="I18" s="60">
        <f t="shared" si="2"/>
        <v>15</v>
      </c>
      <c r="J18" s="60">
        <f t="shared" si="3"/>
        <v>6.6666666666666666E-2</v>
      </c>
      <c r="K18" s="35" t="str">
        <f t="shared" si="4"/>
        <v>7%</v>
      </c>
      <c r="L18" s="34">
        <v>44</v>
      </c>
      <c r="M18" s="30">
        <f t="shared" si="5"/>
        <v>7.1428571428571425E-2</v>
      </c>
      <c r="N18" s="34" t="e">
        <f>VLOOKUP(A18, 'Stock Register'!A:F, 6, FALSE)</f>
        <v>#N/A</v>
      </c>
    </row>
    <row r="19" spans="1:14" s="75" customFormat="1" ht="30" hidden="1" x14ac:dyDescent="0.25">
      <c r="A19" s="204" t="s">
        <v>478</v>
      </c>
      <c r="B19" s="71" t="s">
        <v>181</v>
      </c>
      <c r="C19" s="71">
        <v>70</v>
      </c>
      <c r="D19" s="72">
        <v>63.33</v>
      </c>
      <c r="E19" s="191">
        <v>70</v>
      </c>
      <c r="F19" s="74">
        <f>SUMIF('Sales Register'!C:C, A19, 'Sales Register'!D:D)</f>
        <v>3</v>
      </c>
      <c r="G19" s="74">
        <f t="shared" si="0"/>
        <v>210</v>
      </c>
      <c r="H19" s="74">
        <f t="shared" si="1"/>
        <v>189.99</v>
      </c>
      <c r="I19" s="74">
        <f t="shared" si="2"/>
        <v>20.009999999999991</v>
      </c>
      <c r="J19" s="74">
        <f t="shared" si="3"/>
        <v>9.5285714285714238E-2</v>
      </c>
      <c r="K19" s="134" t="str">
        <f t="shared" si="4"/>
        <v>10%</v>
      </c>
      <c r="L19" s="73">
        <v>68</v>
      </c>
      <c r="M19" s="99">
        <f t="shared" si="5"/>
        <v>0.10532133270172117</v>
      </c>
      <c r="N19" s="73" t="e">
        <f>VLOOKUP(A19, 'Stock Register'!A:F, 6, FALSE)</f>
        <v>#N/A</v>
      </c>
    </row>
    <row r="20" spans="1:14" s="75" customFormat="1" ht="30" hidden="1" x14ac:dyDescent="0.25">
      <c r="A20" s="204" t="s">
        <v>8</v>
      </c>
      <c r="B20" s="71" t="s">
        <v>176</v>
      </c>
      <c r="C20" s="71">
        <v>30</v>
      </c>
      <c r="D20" s="72">
        <v>23.33</v>
      </c>
      <c r="E20" s="191">
        <v>30</v>
      </c>
      <c r="F20" s="74">
        <f>SUMIF('Sales Register'!C:C, A20, 'Sales Register'!D:D)</f>
        <v>36</v>
      </c>
      <c r="G20" s="74">
        <f t="shared" si="0"/>
        <v>1080</v>
      </c>
      <c r="H20" s="74">
        <f t="shared" si="1"/>
        <v>839.87999999999988</v>
      </c>
      <c r="I20" s="74">
        <f t="shared" si="2"/>
        <v>240.12000000000012</v>
      </c>
      <c r="J20" s="74">
        <f t="shared" si="3"/>
        <v>0.22233333333333344</v>
      </c>
      <c r="K20" s="134" t="str">
        <f t="shared" si="4"/>
        <v>28%</v>
      </c>
      <c r="L20" s="73">
        <v>28</v>
      </c>
      <c r="M20" s="99">
        <f t="shared" si="5"/>
        <v>0.28589798542648959</v>
      </c>
      <c r="N20" s="73">
        <f>VLOOKUP(A20, 'Stock Register'!A:F, 6, FALSE)</f>
        <v>-9</v>
      </c>
    </row>
    <row r="21" spans="1:14" s="75" customFormat="1" ht="30" hidden="1" x14ac:dyDescent="0.25">
      <c r="A21" s="204" t="s">
        <v>361</v>
      </c>
      <c r="B21" s="71" t="s">
        <v>181</v>
      </c>
      <c r="C21" s="71">
        <v>10</v>
      </c>
      <c r="D21" s="72">
        <v>8.3333333333333339</v>
      </c>
      <c r="E21" s="191">
        <v>10</v>
      </c>
      <c r="F21" s="74">
        <f>SUMIF('Sales Register'!C:C, A21, 'Sales Register'!D:D)</f>
        <v>11</v>
      </c>
      <c r="G21" s="74">
        <f t="shared" si="0"/>
        <v>110</v>
      </c>
      <c r="H21" s="74">
        <f t="shared" si="1"/>
        <v>91.666666666666671</v>
      </c>
      <c r="I21" s="74">
        <f t="shared" si="2"/>
        <v>18.333333333333329</v>
      </c>
      <c r="J21" s="74">
        <f t="shared" si="3"/>
        <v>0.16666666666666663</v>
      </c>
      <c r="K21" s="134" t="str">
        <f t="shared" si="4"/>
        <v>20%</v>
      </c>
      <c r="L21" s="73">
        <v>10</v>
      </c>
      <c r="M21" s="99">
        <f t="shared" si="5"/>
        <v>0.19999999999999993</v>
      </c>
      <c r="N21" s="73" t="e">
        <f>VLOOKUP(A21, 'Stock Register'!A:F, 6, FALSE)</f>
        <v>#N/A</v>
      </c>
    </row>
    <row r="22" spans="1:14" s="75" customFormat="1" ht="30" hidden="1" x14ac:dyDescent="0.25">
      <c r="A22" s="204" t="s">
        <v>434</v>
      </c>
      <c r="B22" s="71" t="s">
        <v>181</v>
      </c>
      <c r="C22" s="71">
        <v>20</v>
      </c>
      <c r="D22" s="72">
        <v>16.666666666666671</v>
      </c>
      <c r="E22" s="191">
        <v>20</v>
      </c>
      <c r="F22" s="74">
        <f>SUMIF('Sales Register'!C:C, A22, 'Sales Register'!D:D)</f>
        <v>7</v>
      </c>
      <c r="G22" s="74">
        <f t="shared" si="0"/>
        <v>140</v>
      </c>
      <c r="H22" s="74">
        <f t="shared" si="1"/>
        <v>116.6666666666667</v>
      </c>
      <c r="I22" s="74">
        <f t="shared" si="2"/>
        <v>23.3333333333333</v>
      </c>
      <c r="J22" s="74">
        <f t="shared" si="3"/>
        <v>0.16666666666666644</v>
      </c>
      <c r="K22" s="134" t="str">
        <f t="shared" si="4"/>
        <v>20%</v>
      </c>
      <c r="L22" s="73"/>
      <c r="M22" s="99">
        <f t="shared" si="5"/>
        <v>0.19999999999999965</v>
      </c>
      <c r="N22" s="73" t="e">
        <f>VLOOKUP(A22, 'Stock Register'!A:F, 6, FALSE)</f>
        <v>#N/A</v>
      </c>
    </row>
    <row r="23" spans="1:14" ht="30" hidden="1" x14ac:dyDescent="0.25">
      <c r="A23" s="205" t="s">
        <v>381</v>
      </c>
      <c r="B23" s="28" t="s">
        <v>182</v>
      </c>
      <c r="C23" s="28">
        <v>18</v>
      </c>
      <c r="D23" s="29">
        <v>10.45454545454546</v>
      </c>
      <c r="E23" s="190">
        <v>15</v>
      </c>
      <c r="F23" s="60">
        <f>SUMIF('Sales Register'!C:C, A23, 'Sales Register'!D:D)</f>
        <v>18</v>
      </c>
      <c r="G23" s="60">
        <f t="shared" si="0"/>
        <v>270</v>
      </c>
      <c r="H23" s="60">
        <f t="shared" si="1"/>
        <v>188.1818181818183</v>
      </c>
      <c r="I23" s="60">
        <f t="shared" si="2"/>
        <v>81.818181818181699</v>
      </c>
      <c r="J23" s="60">
        <f t="shared" si="3"/>
        <v>0.30303030303030259</v>
      </c>
      <c r="K23" s="35" t="str">
        <f t="shared" si="4"/>
        <v>43%</v>
      </c>
      <c r="M23" s="30">
        <f t="shared" si="5"/>
        <v>0.43478260869565138</v>
      </c>
      <c r="N23" s="34" t="e">
        <f>VLOOKUP(A23, 'Stock Register'!A:F, 6, FALSE)</f>
        <v>#N/A</v>
      </c>
    </row>
    <row r="24" spans="1:14" hidden="1" x14ac:dyDescent="0.25">
      <c r="A24" s="205" t="s">
        <v>36</v>
      </c>
      <c r="B24" s="28" t="s">
        <v>222</v>
      </c>
      <c r="C24" s="28">
        <v>58</v>
      </c>
      <c r="D24" s="29">
        <v>51.66</v>
      </c>
      <c r="E24" s="190">
        <v>57</v>
      </c>
      <c r="F24" s="60">
        <f>SUMIF('Sales Register'!C:C, A24, 'Sales Register'!D:D)</f>
        <v>3</v>
      </c>
      <c r="G24" s="60">
        <f t="shared" si="0"/>
        <v>171</v>
      </c>
      <c r="H24" s="60">
        <f t="shared" si="1"/>
        <v>154.97999999999999</v>
      </c>
      <c r="I24" s="60">
        <f t="shared" si="2"/>
        <v>16.02000000000001</v>
      </c>
      <c r="J24" s="60">
        <f t="shared" si="3"/>
        <v>9.3684210526315856E-2</v>
      </c>
      <c r="K24" s="35" t="str">
        <f t="shared" si="4"/>
        <v>10%</v>
      </c>
      <c r="L24" s="34">
        <v>56</v>
      </c>
      <c r="M24" s="30">
        <f t="shared" si="5"/>
        <v>0.10336817653890831</v>
      </c>
      <c r="N24" s="34">
        <f>VLOOKUP(A24, 'Stock Register'!A:F, 6, FALSE)</f>
        <v>3</v>
      </c>
    </row>
    <row r="25" spans="1:14" s="75" customFormat="1" hidden="1" x14ac:dyDescent="0.25">
      <c r="A25" s="204" t="s">
        <v>74</v>
      </c>
      <c r="B25" s="71" t="s">
        <v>175</v>
      </c>
      <c r="C25" s="71">
        <v>25</v>
      </c>
      <c r="D25" s="72">
        <v>15</v>
      </c>
      <c r="E25" s="191">
        <v>20</v>
      </c>
      <c r="F25" s="74">
        <f>SUMIF('Sales Register'!C:C, A25, 'Sales Register'!D:D)</f>
        <v>12</v>
      </c>
      <c r="G25" s="74">
        <f t="shared" si="0"/>
        <v>240</v>
      </c>
      <c r="H25" s="74">
        <f t="shared" si="1"/>
        <v>180</v>
      </c>
      <c r="I25" s="74">
        <f t="shared" si="2"/>
        <v>60</v>
      </c>
      <c r="J25" s="74">
        <f t="shared" si="3"/>
        <v>0.25</v>
      </c>
      <c r="K25" s="134" t="str">
        <f t="shared" si="4"/>
        <v>33%</v>
      </c>
      <c r="L25" s="73"/>
      <c r="M25" s="99">
        <f t="shared" si="5"/>
        <v>0.33333333333333331</v>
      </c>
      <c r="N25" s="73">
        <f>VLOOKUP(A25, 'Stock Register'!A:F, 6, FALSE)</f>
        <v>0</v>
      </c>
    </row>
    <row r="26" spans="1:14" s="75" customFormat="1" ht="30" hidden="1" x14ac:dyDescent="0.25">
      <c r="A26" s="204" t="s">
        <v>73</v>
      </c>
      <c r="B26" s="71" t="s">
        <v>175</v>
      </c>
      <c r="C26" s="71">
        <v>15</v>
      </c>
      <c r="D26" s="72">
        <v>7.5</v>
      </c>
      <c r="E26" s="191">
        <v>10</v>
      </c>
      <c r="F26" s="74">
        <f>SUMIF('Sales Register'!C:C, A26, 'Sales Register'!D:D)</f>
        <v>12</v>
      </c>
      <c r="G26" s="74">
        <f t="shared" si="0"/>
        <v>120</v>
      </c>
      <c r="H26" s="74">
        <f t="shared" si="1"/>
        <v>90</v>
      </c>
      <c r="I26" s="74">
        <f t="shared" si="2"/>
        <v>30</v>
      </c>
      <c r="J26" s="74">
        <f t="shared" si="3"/>
        <v>0.25</v>
      </c>
      <c r="K26" s="134" t="str">
        <f t="shared" si="4"/>
        <v>33%</v>
      </c>
      <c r="L26" s="73"/>
      <c r="M26" s="99">
        <f t="shared" si="5"/>
        <v>0.33333333333333331</v>
      </c>
      <c r="N26" s="73">
        <f>VLOOKUP(A26, 'Stock Register'!A:F, 6, FALSE)</f>
        <v>0</v>
      </c>
    </row>
    <row r="27" spans="1:14" ht="30" hidden="1" x14ac:dyDescent="0.25">
      <c r="A27" s="205" t="s">
        <v>80</v>
      </c>
      <c r="B27" s="28" t="s">
        <v>183</v>
      </c>
      <c r="C27" s="28">
        <v>40</v>
      </c>
      <c r="D27" s="29">
        <v>36</v>
      </c>
      <c r="E27" s="190">
        <v>40</v>
      </c>
      <c r="F27" s="60">
        <f>SUMIF('Sales Register'!C:C, A27, 'Sales Register'!D:D)</f>
        <v>2</v>
      </c>
      <c r="G27" s="60">
        <f t="shared" si="0"/>
        <v>80</v>
      </c>
      <c r="H27" s="60">
        <f t="shared" si="1"/>
        <v>72</v>
      </c>
      <c r="I27" s="60">
        <f t="shared" si="2"/>
        <v>8</v>
      </c>
      <c r="J27" s="60">
        <f t="shared" si="3"/>
        <v>0.1</v>
      </c>
      <c r="K27" s="35" t="str">
        <f t="shared" si="4"/>
        <v>11%</v>
      </c>
      <c r="L27" s="34">
        <v>39</v>
      </c>
      <c r="M27" s="30">
        <f t="shared" si="5"/>
        <v>0.1111111111111111</v>
      </c>
      <c r="N27" s="34">
        <f>VLOOKUP(A27, 'Stock Register'!A:F, 6, FALSE)</f>
        <v>1</v>
      </c>
    </row>
    <row r="28" spans="1:14" hidden="1" x14ac:dyDescent="0.25">
      <c r="A28" s="205" t="s">
        <v>153</v>
      </c>
      <c r="B28" s="28" t="s">
        <v>203</v>
      </c>
      <c r="C28" s="28">
        <v>10</v>
      </c>
      <c r="D28" s="29">
        <v>8.4600000000000009</v>
      </c>
      <c r="E28" s="190">
        <v>10</v>
      </c>
      <c r="F28" s="60">
        <f>SUMIF('Sales Register'!C:C, A28, 'Sales Register'!D:D)</f>
        <v>3</v>
      </c>
      <c r="G28" s="60">
        <f t="shared" si="0"/>
        <v>30</v>
      </c>
      <c r="H28" s="60">
        <f t="shared" si="1"/>
        <v>25.380000000000003</v>
      </c>
      <c r="I28" s="60">
        <f t="shared" si="2"/>
        <v>4.6199999999999974</v>
      </c>
      <c r="J28" s="60">
        <f t="shared" si="3"/>
        <v>0.15399999999999991</v>
      </c>
      <c r="K28" s="35" t="str">
        <f t="shared" si="4"/>
        <v>18%</v>
      </c>
      <c r="M28" s="30">
        <f t="shared" si="5"/>
        <v>0.18203309692671382</v>
      </c>
      <c r="N28" s="34">
        <f>VLOOKUP(A28, 'Stock Register'!A:F, 6, FALSE)</f>
        <v>23</v>
      </c>
    </row>
    <row r="29" spans="1:14" hidden="1" x14ac:dyDescent="0.25">
      <c r="A29" s="205" t="s">
        <v>59</v>
      </c>
      <c r="B29" s="28" t="s">
        <v>184</v>
      </c>
      <c r="C29" s="28">
        <v>10</v>
      </c>
      <c r="D29" s="29">
        <v>9</v>
      </c>
      <c r="E29" s="190">
        <v>10</v>
      </c>
      <c r="F29" s="60">
        <f>SUMIF('Sales Register'!C:C, A29, 'Sales Register'!D:D)</f>
        <v>1</v>
      </c>
      <c r="G29" s="60">
        <f t="shared" si="0"/>
        <v>10</v>
      </c>
      <c r="H29" s="60">
        <f t="shared" si="1"/>
        <v>9</v>
      </c>
      <c r="I29" s="60">
        <f t="shared" si="2"/>
        <v>1</v>
      </c>
      <c r="J29" s="60">
        <f t="shared" si="3"/>
        <v>0.1</v>
      </c>
      <c r="K29" s="35" t="str">
        <f t="shared" si="4"/>
        <v>11%</v>
      </c>
      <c r="M29" s="30">
        <f t="shared" si="5"/>
        <v>0.1111111111111111</v>
      </c>
      <c r="N29" s="34">
        <f>VLOOKUP(A29, 'Stock Register'!A:F, 6, FALSE)</f>
        <v>1</v>
      </c>
    </row>
    <row r="30" spans="1:14" hidden="1" x14ac:dyDescent="0.25">
      <c r="A30" s="205" t="s">
        <v>113</v>
      </c>
      <c r="B30" s="28" t="s">
        <v>173</v>
      </c>
      <c r="C30" s="28">
        <v>5</v>
      </c>
      <c r="D30" s="29">
        <v>3.25</v>
      </c>
      <c r="E30" s="190">
        <v>5</v>
      </c>
      <c r="F30" s="60">
        <f>SUMIF('Sales Register'!C:C, A30, 'Sales Register'!D:D)</f>
        <v>4</v>
      </c>
      <c r="G30" s="60">
        <f t="shared" si="0"/>
        <v>20</v>
      </c>
      <c r="H30" s="60">
        <f t="shared" si="1"/>
        <v>13</v>
      </c>
      <c r="I30" s="60">
        <f t="shared" si="2"/>
        <v>7</v>
      </c>
      <c r="J30" s="60">
        <f t="shared" si="3"/>
        <v>0.35</v>
      </c>
      <c r="K30" s="35" t="str">
        <f t="shared" si="4"/>
        <v>53%</v>
      </c>
      <c r="M30" s="30">
        <f t="shared" si="5"/>
        <v>0.53846153846153844</v>
      </c>
      <c r="N30" s="34">
        <f>VLOOKUP(A30, 'Stock Register'!A:F, 6, FALSE)</f>
        <v>16</v>
      </c>
    </row>
    <row r="31" spans="1:14" hidden="1" x14ac:dyDescent="0.25">
      <c r="A31" s="205" t="s">
        <v>120</v>
      </c>
      <c r="B31" s="28" t="s">
        <v>173</v>
      </c>
      <c r="C31" s="28">
        <v>5</v>
      </c>
      <c r="D31" s="29">
        <v>4</v>
      </c>
      <c r="E31" s="190">
        <v>5</v>
      </c>
      <c r="F31" s="60">
        <f>SUMIF('Sales Register'!C:C, A31, 'Sales Register'!D:D)</f>
        <v>2</v>
      </c>
      <c r="G31" s="60">
        <f t="shared" si="0"/>
        <v>10</v>
      </c>
      <c r="H31" s="60">
        <f t="shared" si="1"/>
        <v>8</v>
      </c>
      <c r="I31" s="60">
        <f t="shared" si="2"/>
        <v>2</v>
      </c>
      <c r="J31" s="60">
        <f t="shared" si="3"/>
        <v>0.2</v>
      </c>
      <c r="K31" s="35" t="str">
        <f t="shared" si="4"/>
        <v>25%</v>
      </c>
      <c r="M31" s="30">
        <f t="shared" si="5"/>
        <v>0.25</v>
      </c>
      <c r="N31" s="34">
        <f>VLOOKUP(A31, 'Stock Register'!A:F, 6, FALSE)</f>
        <v>8</v>
      </c>
    </row>
    <row r="32" spans="1:14" hidden="1" x14ac:dyDescent="0.25">
      <c r="A32" s="205" t="s">
        <v>125</v>
      </c>
      <c r="B32" s="28" t="s">
        <v>180</v>
      </c>
      <c r="C32" s="28">
        <v>102</v>
      </c>
      <c r="D32" s="29">
        <v>75</v>
      </c>
      <c r="E32" s="190">
        <v>95</v>
      </c>
      <c r="F32" s="60">
        <f>SUMIF('Sales Register'!C:C, A32, 'Sales Register'!D:D)</f>
        <v>1</v>
      </c>
      <c r="G32" s="60">
        <f t="shared" si="0"/>
        <v>95</v>
      </c>
      <c r="H32" s="60">
        <f t="shared" si="1"/>
        <v>75</v>
      </c>
      <c r="I32" s="60">
        <f t="shared" si="2"/>
        <v>20</v>
      </c>
      <c r="J32" s="60">
        <f t="shared" si="3"/>
        <v>0.21052631578947367</v>
      </c>
      <c r="K32" s="35" t="str">
        <f t="shared" si="4"/>
        <v>26%</v>
      </c>
      <c r="L32" s="34">
        <v>90</v>
      </c>
      <c r="M32" s="30">
        <f t="shared" si="5"/>
        <v>0.26666666666666666</v>
      </c>
      <c r="N32" s="34">
        <f>VLOOKUP(A32, 'Stock Register'!A:F, 6, FALSE)</f>
        <v>1</v>
      </c>
    </row>
    <row r="33" spans="1:14" s="75" customFormat="1" ht="43.15" hidden="1" customHeight="1" x14ac:dyDescent="0.25">
      <c r="A33" s="204" t="s">
        <v>300</v>
      </c>
      <c r="B33" s="71" t="s">
        <v>179</v>
      </c>
      <c r="C33" s="71">
        <v>5</v>
      </c>
      <c r="D33" s="72">
        <v>3.75</v>
      </c>
      <c r="E33" s="191">
        <v>5</v>
      </c>
      <c r="F33" s="74">
        <f>SUMIF('Sales Register'!C:C, A33, 'Sales Register'!D:D)</f>
        <v>0</v>
      </c>
      <c r="G33" s="74">
        <f t="shared" si="0"/>
        <v>0</v>
      </c>
      <c r="H33" s="74">
        <f t="shared" si="1"/>
        <v>0</v>
      </c>
      <c r="I33" s="74">
        <f t="shared" si="2"/>
        <v>0</v>
      </c>
      <c r="J33" s="74">
        <f t="shared" si="3"/>
        <v>0</v>
      </c>
      <c r="K33" s="134" t="str">
        <f t="shared" si="4"/>
        <v>33%</v>
      </c>
      <c r="L33" s="73"/>
      <c r="M33" s="99">
        <f t="shared" si="5"/>
        <v>0.33333333333333331</v>
      </c>
      <c r="N33" s="73" t="e">
        <f>VLOOKUP(A33, 'Stock Register'!A:F, 6, FALSE)</f>
        <v>#N/A</v>
      </c>
    </row>
    <row r="34" spans="1:14" s="75" customFormat="1" ht="40.9" hidden="1" customHeight="1" x14ac:dyDescent="0.25">
      <c r="A34" s="204" t="s">
        <v>301</v>
      </c>
      <c r="B34" s="71" t="s">
        <v>179</v>
      </c>
      <c r="C34" s="71">
        <v>5</v>
      </c>
      <c r="D34" s="72">
        <v>4.375</v>
      </c>
      <c r="E34" s="191">
        <v>5</v>
      </c>
      <c r="F34" s="74">
        <f>SUMIF('Sales Register'!C:C, A34, 'Sales Register'!D:D)</f>
        <v>18</v>
      </c>
      <c r="G34" s="74">
        <f t="shared" ref="G34:G65" si="6">E34*F34</f>
        <v>90</v>
      </c>
      <c r="H34" s="74">
        <f t="shared" si="1"/>
        <v>78.75</v>
      </c>
      <c r="I34" s="74">
        <f t="shared" si="2"/>
        <v>11.25</v>
      </c>
      <c r="J34" s="74">
        <f t="shared" si="3"/>
        <v>0.125</v>
      </c>
      <c r="K34" s="134" t="str">
        <f t="shared" si="4"/>
        <v>14%</v>
      </c>
      <c r="L34" s="73"/>
      <c r="M34" s="99">
        <f t="shared" si="5"/>
        <v>0.14285714285714285</v>
      </c>
      <c r="N34" s="73" t="e">
        <f>VLOOKUP(A34, 'Stock Register'!A:F, 6, FALSE)</f>
        <v>#N/A</v>
      </c>
    </row>
    <row r="35" spans="1:14" hidden="1" x14ac:dyDescent="0.25">
      <c r="A35" s="205" t="s">
        <v>66</v>
      </c>
      <c r="B35" s="28" t="s">
        <v>184</v>
      </c>
      <c r="C35" s="28">
        <v>10</v>
      </c>
      <c r="D35" s="29">
        <v>8.66</v>
      </c>
      <c r="E35" s="190">
        <v>10</v>
      </c>
      <c r="F35" s="60">
        <f>SUMIF('Sales Register'!C:C, A35, 'Sales Register'!D:D)</f>
        <v>11</v>
      </c>
      <c r="G35" s="60">
        <f t="shared" si="6"/>
        <v>110</v>
      </c>
      <c r="H35" s="60">
        <f t="shared" si="1"/>
        <v>95.26</v>
      </c>
      <c r="I35" s="60">
        <f t="shared" si="2"/>
        <v>14.739999999999995</v>
      </c>
      <c r="J35" s="60">
        <f t="shared" si="3"/>
        <v>0.13399999999999995</v>
      </c>
      <c r="K35" s="35" t="str">
        <f t="shared" si="4"/>
        <v>15%</v>
      </c>
      <c r="M35" s="30">
        <f t="shared" si="5"/>
        <v>0.15473441108545033</v>
      </c>
      <c r="N35" s="34" t="e">
        <f>VLOOKUP(A35, 'Stock Register'!A:F, 6, FALSE)</f>
        <v>#N/A</v>
      </c>
    </row>
    <row r="36" spans="1:14" s="75" customFormat="1" hidden="1" x14ac:dyDescent="0.25">
      <c r="A36" s="204" t="s">
        <v>43</v>
      </c>
      <c r="B36" s="71" t="s">
        <v>186</v>
      </c>
      <c r="C36" s="71">
        <v>5</v>
      </c>
      <c r="D36" s="72">
        <v>4</v>
      </c>
      <c r="E36" s="191">
        <v>5</v>
      </c>
      <c r="F36" s="74">
        <f>SUMIF('Sales Register'!C:C, A36, 'Sales Register'!D:D)</f>
        <v>16</v>
      </c>
      <c r="G36" s="74">
        <f t="shared" si="6"/>
        <v>80</v>
      </c>
      <c r="H36" s="74">
        <f t="shared" si="1"/>
        <v>64</v>
      </c>
      <c r="I36" s="74">
        <f t="shared" si="2"/>
        <v>16</v>
      </c>
      <c r="J36" s="74">
        <f t="shared" si="3"/>
        <v>0.2</v>
      </c>
      <c r="K36" s="134" t="str">
        <f t="shared" si="4"/>
        <v>25%</v>
      </c>
      <c r="L36" s="73"/>
      <c r="M36" s="99">
        <f t="shared" si="5"/>
        <v>0.25</v>
      </c>
      <c r="N36" s="73">
        <f>VLOOKUP(A36, 'Stock Register'!A:F, 6, FALSE)</f>
        <v>8</v>
      </c>
    </row>
    <row r="37" spans="1:14" hidden="1" x14ac:dyDescent="0.25">
      <c r="A37" s="205" t="s">
        <v>85</v>
      </c>
      <c r="B37" s="28" t="s">
        <v>186</v>
      </c>
      <c r="C37" s="28">
        <v>20</v>
      </c>
      <c r="D37" s="29">
        <v>16</v>
      </c>
      <c r="E37" s="190">
        <v>20</v>
      </c>
      <c r="F37" s="60">
        <f>SUMIF('Sales Register'!C:C, A37, 'Sales Register'!D:D)</f>
        <v>3</v>
      </c>
      <c r="G37" s="60">
        <f t="shared" si="6"/>
        <v>60</v>
      </c>
      <c r="H37" s="60">
        <f t="shared" si="1"/>
        <v>48</v>
      </c>
      <c r="I37" s="60">
        <f t="shared" si="2"/>
        <v>12</v>
      </c>
      <c r="J37" s="60">
        <f t="shared" si="3"/>
        <v>0.2</v>
      </c>
      <c r="K37" s="35" t="str">
        <f t="shared" si="4"/>
        <v>25%</v>
      </c>
      <c r="M37" s="30">
        <f t="shared" si="5"/>
        <v>0.25</v>
      </c>
      <c r="N37" s="34">
        <f>VLOOKUP(A37, 'Stock Register'!A:F, 6, FALSE)</f>
        <v>2</v>
      </c>
    </row>
    <row r="38" spans="1:14" hidden="1" x14ac:dyDescent="0.25">
      <c r="A38" s="205" t="s">
        <v>34</v>
      </c>
      <c r="B38" s="28" t="s">
        <v>186</v>
      </c>
      <c r="C38" s="28">
        <v>35</v>
      </c>
      <c r="D38" s="29">
        <v>30</v>
      </c>
      <c r="E38" s="190">
        <v>35</v>
      </c>
      <c r="F38" s="60">
        <f>SUMIF('Sales Register'!C:C, A38, 'Sales Register'!D:D)</f>
        <v>3</v>
      </c>
      <c r="G38" s="60">
        <f t="shared" si="6"/>
        <v>105</v>
      </c>
      <c r="H38" s="60">
        <f t="shared" si="1"/>
        <v>90</v>
      </c>
      <c r="I38" s="60">
        <f t="shared" si="2"/>
        <v>15</v>
      </c>
      <c r="J38" s="60">
        <f t="shared" si="3"/>
        <v>0.14285714285714285</v>
      </c>
      <c r="K38" s="35" t="str">
        <f t="shared" si="4"/>
        <v>16%</v>
      </c>
      <c r="M38" s="30">
        <f t="shared" si="5"/>
        <v>0.16666666666666666</v>
      </c>
      <c r="N38" s="34">
        <f>VLOOKUP(A38, 'Stock Register'!A:F, 6, FALSE)</f>
        <v>0</v>
      </c>
    </row>
    <row r="39" spans="1:14" hidden="1" x14ac:dyDescent="0.25">
      <c r="A39" s="205" t="s">
        <v>151</v>
      </c>
      <c r="B39" s="28" t="s">
        <v>186</v>
      </c>
      <c r="C39" s="28">
        <v>10</v>
      </c>
      <c r="D39" s="29">
        <v>7.08</v>
      </c>
      <c r="E39" s="190">
        <v>10</v>
      </c>
      <c r="F39" s="60">
        <f>SUMIF('Sales Register'!C:C, A39, 'Sales Register'!D:D)</f>
        <v>8</v>
      </c>
      <c r="G39" s="60">
        <f t="shared" si="6"/>
        <v>80</v>
      </c>
      <c r="H39" s="60">
        <f t="shared" si="1"/>
        <v>56.64</v>
      </c>
      <c r="I39" s="60">
        <f t="shared" si="2"/>
        <v>23.36</v>
      </c>
      <c r="J39" s="60">
        <f t="shared" si="3"/>
        <v>0.29199999999999998</v>
      </c>
      <c r="K39" s="35" t="str">
        <f t="shared" si="4"/>
        <v>41%</v>
      </c>
      <c r="M39" s="30">
        <f t="shared" si="5"/>
        <v>0.41242937853107342</v>
      </c>
      <c r="N39" s="34">
        <f>VLOOKUP(A39, 'Stock Register'!A:F, 6, FALSE)</f>
        <v>4</v>
      </c>
    </row>
    <row r="40" spans="1:14" hidden="1" x14ac:dyDescent="0.25">
      <c r="A40" s="205" t="s">
        <v>25</v>
      </c>
      <c r="B40" s="28" t="s">
        <v>173</v>
      </c>
      <c r="C40" s="28">
        <v>10</v>
      </c>
      <c r="D40" s="29">
        <v>7.666666666666667</v>
      </c>
      <c r="E40" s="190">
        <v>10</v>
      </c>
      <c r="F40" s="60">
        <f>SUMIF('Sales Register'!C:C, A40, 'Sales Register'!D:D)</f>
        <v>14</v>
      </c>
      <c r="G40" s="60">
        <f t="shared" si="6"/>
        <v>140</v>
      </c>
      <c r="H40" s="60">
        <f t="shared" si="1"/>
        <v>107.33333333333334</v>
      </c>
      <c r="I40" s="60">
        <f t="shared" si="2"/>
        <v>32.666666666666657</v>
      </c>
      <c r="J40" s="60">
        <f t="shared" si="3"/>
        <v>0.23333333333333325</v>
      </c>
      <c r="K40" s="35" t="str">
        <f t="shared" si="4"/>
        <v>30%</v>
      </c>
      <c r="M40" s="30">
        <f t="shared" si="5"/>
        <v>0.30434782608695649</v>
      </c>
      <c r="N40" s="34">
        <f>VLOOKUP(A40, 'Stock Register'!A:F, 6, FALSE)</f>
        <v>1</v>
      </c>
    </row>
    <row r="41" spans="1:14" hidden="1" x14ac:dyDescent="0.25">
      <c r="A41" s="205" t="s">
        <v>119</v>
      </c>
      <c r="B41" s="28" t="s">
        <v>173</v>
      </c>
      <c r="C41" s="28">
        <v>10</v>
      </c>
      <c r="D41" s="29">
        <v>8</v>
      </c>
      <c r="E41" s="190">
        <v>10</v>
      </c>
      <c r="F41" s="60">
        <f>SUMIF('Sales Register'!C:C, A41, 'Sales Register'!D:D)</f>
        <v>5</v>
      </c>
      <c r="G41" s="60">
        <f t="shared" si="6"/>
        <v>50</v>
      </c>
      <c r="H41" s="60">
        <f t="shared" si="1"/>
        <v>40</v>
      </c>
      <c r="I41" s="60">
        <f t="shared" si="2"/>
        <v>10</v>
      </c>
      <c r="J41" s="60">
        <f t="shared" si="3"/>
        <v>0.2</v>
      </c>
      <c r="K41" s="35" t="str">
        <f t="shared" si="4"/>
        <v>25%</v>
      </c>
      <c r="M41" s="30">
        <f t="shared" si="5"/>
        <v>0.25</v>
      </c>
      <c r="N41" s="34">
        <f>VLOOKUP(A41, 'Stock Register'!A:F, 6, FALSE)</f>
        <v>5</v>
      </c>
    </row>
    <row r="42" spans="1:14" hidden="1" x14ac:dyDescent="0.25">
      <c r="A42" s="205" t="s">
        <v>390</v>
      </c>
      <c r="B42" s="28" t="s">
        <v>173</v>
      </c>
      <c r="C42" s="28">
        <v>5</v>
      </c>
      <c r="D42" s="29">
        <v>4.12</v>
      </c>
      <c r="E42" s="190">
        <v>5</v>
      </c>
      <c r="F42" s="60">
        <f>SUMIF('Sales Register'!C:C, A42, 'Sales Register'!D:D)</f>
        <v>3</v>
      </c>
      <c r="G42" s="60">
        <f t="shared" si="6"/>
        <v>15</v>
      </c>
      <c r="H42" s="60">
        <f t="shared" si="1"/>
        <v>12.36</v>
      </c>
      <c r="I42" s="60">
        <f t="shared" si="2"/>
        <v>2.6400000000000006</v>
      </c>
      <c r="J42" s="60">
        <f t="shared" si="3"/>
        <v>0.17600000000000005</v>
      </c>
      <c r="K42" s="35" t="str">
        <f t="shared" si="4"/>
        <v>21%</v>
      </c>
      <c r="M42" s="30">
        <f t="shared" si="5"/>
        <v>0.2135922330097087</v>
      </c>
      <c r="N42" s="34" t="e">
        <f>VLOOKUP(A42, 'Stock Register'!A:F, 6, FALSE)</f>
        <v>#N/A</v>
      </c>
    </row>
    <row r="43" spans="1:14" ht="28.9" hidden="1" customHeight="1" x14ac:dyDescent="0.25">
      <c r="A43" s="205" t="s">
        <v>350</v>
      </c>
      <c r="B43" s="28" t="s">
        <v>490</v>
      </c>
      <c r="C43" s="28">
        <v>120</v>
      </c>
      <c r="D43" s="29">
        <v>112</v>
      </c>
      <c r="E43" s="190">
        <v>120</v>
      </c>
      <c r="F43" s="60">
        <f>SUMIF('Sales Register'!C:C, A43, 'Sales Register'!D:D)</f>
        <v>0</v>
      </c>
      <c r="G43" s="60">
        <f t="shared" si="6"/>
        <v>0</v>
      </c>
      <c r="H43" s="60">
        <f t="shared" si="1"/>
        <v>0</v>
      </c>
      <c r="I43" s="60">
        <f t="shared" si="2"/>
        <v>0</v>
      </c>
      <c r="J43" s="60">
        <f t="shared" si="3"/>
        <v>0</v>
      </c>
      <c r="K43" s="35" t="str">
        <f t="shared" si="4"/>
        <v>7%</v>
      </c>
      <c r="M43" s="30">
        <f t="shared" si="5"/>
        <v>7.1428571428571425E-2</v>
      </c>
      <c r="N43" s="34" t="e">
        <f>VLOOKUP(A43, 'Stock Register'!A:F, 6, FALSE)</f>
        <v>#N/A</v>
      </c>
    </row>
    <row r="44" spans="1:14" hidden="1" x14ac:dyDescent="0.25">
      <c r="A44" s="205" t="s">
        <v>362</v>
      </c>
      <c r="B44" s="28" t="s">
        <v>177</v>
      </c>
      <c r="C44" s="28">
        <v>10</v>
      </c>
      <c r="D44" s="29">
        <v>8.85</v>
      </c>
      <c r="E44" s="190">
        <v>10</v>
      </c>
      <c r="F44" s="60">
        <f>SUMIF('Sales Register'!C:C, A44, 'Sales Register'!D:D)</f>
        <v>1</v>
      </c>
      <c r="G44" s="60">
        <f t="shared" si="6"/>
        <v>10</v>
      </c>
      <c r="H44" s="60">
        <f t="shared" si="1"/>
        <v>8.85</v>
      </c>
      <c r="I44" s="60">
        <f t="shared" si="2"/>
        <v>1.1500000000000004</v>
      </c>
      <c r="J44" s="60">
        <f t="shared" si="3"/>
        <v>0.11500000000000003</v>
      </c>
      <c r="K44" s="35" t="str">
        <f t="shared" si="4"/>
        <v>12%</v>
      </c>
      <c r="M44" s="30">
        <f t="shared" si="5"/>
        <v>0.12994350282485881</v>
      </c>
      <c r="N44" s="34" t="e">
        <f>VLOOKUP(A44, 'Stock Register'!A:F, 6, FALSE)</f>
        <v>#N/A</v>
      </c>
    </row>
    <row r="45" spans="1:14" s="75" customFormat="1" ht="30" hidden="1" x14ac:dyDescent="0.25">
      <c r="A45" s="204" t="s">
        <v>363</v>
      </c>
      <c r="B45" s="71" t="s">
        <v>221</v>
      </c>
      <c r="C45" s="71">
        <v>5</v>
      </c>
      <c r="D45" s="72">
        <v>4.75</v>
      </c>
      <c r="E45" s="191">
        <v>5</v>
      </c>
      <c r="F45" s="74">
        <f>SUMIF('Sales Register'!C:C, A45, 'Sales Register'!D:D)</f>
        <v>26</v>
      </c>
      <c r="G45" s="74">
        <f t="shared" si="6"/>
        <v>130</v>
      </c>
      <c r="H45" s="74">
        <f t="shared" si="1"/>
        <v>123.5</v>
      </c>
      <c r="I45" s="74">
        <f t="shared" si="2"/>
        <v>6.5</v>
      </c>
      <c r="J45" s="74">
        <f t="shared" si="3"/>
        <v>0.05</v>
      </c>
      <c r="K45" s="134" t="str">
        <f t="shared" si="4"/>
        <v>5%</v>
      </c>
      <c r="L45" s="73"/>
      <c r="M45" s="99">
        <f t="shared" si="5"/>
        <v>5.2631578947368418E-2</v>
      </c>
      <c r="N45" s="73">
        <f>VLOOKUP(A45, 'Stock Register'!A:F, 6, FALSE)</f>
        <v>-2</v>
      </c>
    </row>
    <row r="46" spans="1:14" s="75" customFormat="1" hidden="1" x14ac:dyDescent="0.25">
      <c r="A46" s="204" t="s">
        <v>379</v>
      </c>
      <c r="B46" s="71" t="s">
        <v>225</v>
      </c>
      <c r="C46" s="71">
        <v>5</v>
      </c>
      <c r="D46" s="72">
        <v>4.7222222222222223</v>
      </c>
      <c r="E46" s="191">
        <v>5</v>
      </c>
      <c r="F46" s="74">
        <f>SUMIF('Sales Register'!C:C, A46, 'Sales Register'!D:D)</f>
        <v>38</v>
      </c>
      <c r="G46" s="74">
        <f t="shared" si="6"/>
        <v>190</v>
      </c>
      <c r="H46" s="74">
        <f t="shared" si="1"/>
        <v>179.44444444444446</v>
      </c>
      <c r="I46" s="74">
        <f t="shared" si="2"/>
        <v>10.555555555555543</v>
      </c>
      <c r="J46" s="74">
        <f t="shared" si="3"/>
        <v>5.555555555555549E-2</v>
      </c>
      <c r="K46" s="134" t="str">
        <f t="shared" si="4"/>
        <v>5%</v>
      </c>
      <c r="L46" s="73">
        <v>5</v>
      </c>
      <c r="M46" s="99">
        <f t="shared" si="5"/>
        <v>5.8823529411764684E-2</v>
      </c>
      <c r="N46" s="73" t="e">
        <f>VLOOKUP(A46, 'Stock Register'!A:F, 6, FALSE)</f>
        <v>#N/A</v>
      </c>
    </row>
    <row r="47" spans="1:14" s="75" customFormat="1" hidden="1" x14ac:dyDescent="0.25">
      <c r="A47" s="204" t="s">
        <v>318</v>
      </c>
      <c r="B47" s="71" t="s">
        <v>178</v>
      </c>
      <c r="C47" s="71">
        <v>10</v>
      </c>
      <c r="D47" s="72">
        <v>6.666666666666667</v>
      </c>
      <c r="E47" s="191">
        <v>10</v>
      </c>
      <c r="F47" s="74">
        <f>SUMIF('Sales Register'!C:C, A47, 'Sales Register'!D:D)</f>
        <v>0</v>
      </c>
      <c r="G47" s="74">
        <f t="shared" si="6"/>
        <v>0</v>
      </c>
      <c r="H47" s="74">
        <f t="shared" si="1"/>
        <v>0</v>
      </c>
      <c r="I47" s="74">
        <f t="shared" si="2"/>
        <v>0</v>
      </c>
      <c r="J47" s="74">
        <f t="shared" si="3"/>
        <v>0</v>
      </c>
      <c r="K47" s="134" t="str">
        <f t="shared" si="4"/>
        <v>50%</v>
      </c>
      <c r="L47" s="73"/>
      <c r="M47" s="99">
        <f t="shared" si="5"/>
        <v>0.49999999999999994</v>
      </c>
      <c r="N47" s="73" t="e">
        <f>VLOOKUP(A47, 'Stock Register'!A:F, 6, FALSE)</f>
        <v>#N/A</v>
      </c>
    </row>
    <row r="48" spans="1:14" s="75" customFormat="1" hidden="1" x14ac:dyDescent="0.25">
      <c r="A48" s="204" t="s">
        <v>364</v>
      </c>
      <c r="B48" s="71" t="s">
        <v>178</v>
      </c>
      <c r="C48" s="71">
        <v>40</v>
      </c>
      <c r="D48" s="72">
        <v>30</v>
      </c>
      <c r="E48" s="191">
        <v>40</v>
      </c>
      <c r="F48" s="74">
        <f>SUMIF('Sales Register'!C:C, A48, 'Sales Register'!D:D)</f>
        <v>7</v>
      </c>
      <c r="G48" s="74">
        <f t="shared" si="6"/>
        <v>280</v>
      </c>
      <c r="H48" s="74">
        <f t="shared" si="1"/>
        <v>210</v>
      </c>
      <c r="I48" s="74">
        <f t="shared" si="2"/>
        <v>70</v>
      </c>
      <c r="J48" s="74">
        <f t="shared" si="3"/>
        <v>0.25</v>
      </c>
      <c r="K48" s="134" t="str">
        <f t="shared" si="4"/>
        <v>33%</v>
      </c>
      <c r="L48" s="73">
        <v>35</v>
      </c>
      <c r="M48" s="99">
        <f t="shared" si="5"/>
        <v>0.33333333333333331</v>
      </c>
      <c r="N48" s="73" t="e">
        <f>VLOOKUP(A48, 'Stock Register'!A:F, 6, FALSE)</f>
        <v>#N/A</v>
      </c>
    </row>
    <row r="49" spans="1:14" hidden="1" x14ac:dyDescent="0.25">
      <c r="A49" s="205" t="s">
        <v>365</v>
      </c>
      <c r="B49" s="28" t="s">
        <v>178</v>
      </c>
      <c r="C49" s="28">
        <v>5</v>
      </c>
      <c r="D49" s="29">
        <v>3</v>
      </c>
      <c r="E49" s="190">
        <v>5</v>
      </c>
      <c r="F49" s="60">
        <f>SUMIF('Sales Register'!C:C, A49, 'Sales Register'!D:D)</f>
        <v>18</v>
      </c>
      <c r="G49" s="60">
        <f t="shared" si="6"/>
        <v>90</v>
      </c>
      <c r="H49" s="60">
        <f t="shared" si="1"/>
        <v>54</v>
      </c>
      <c r="I49" s="60">
        <f t="shared" si="2"/>
        <v>36</v>
      </c>
      <c r="J49" s="60">
        <f t="shared" si="3"/>
        <v>0.4</v>
      </c>
      <c r="K49" s="35" t="str">
        <f t="shared" si="4"/>
        <v>66%</v>
      </c>
      <c r="M49" s="30">
        <f t="shared" si="5"/>
        <v>0.66666666666666663</v>
      </c>
      <c r="N49" s="34" t="e">
        <f>VLOOKUP(A49, 'Stock Register'!A:F, 6, FALSE)</f>
        <v>#N/A</v>
      </c>
    </row>
    <row r="50" spans="1:14" hidden="1" x14ac:dyDescent="0.25">
      <c r="A50" s="205" t="s">
        <v>348</v>
      </c>
      <c r="B50" s="28" t="s">
        <v>225</v>
      </c>
      <c r="C50" s="28">
        <v>1</v>
      </c>
      <c r="D50" s="29">
        <v>0.95238095238095233</v>
      </c>
      <c r="E50" s="190">
        <v>1</v>
      </c>
      <c r="F50" s="60">
        <f>SUMIF('Sales Register'!C:C, A50, 'Sales Register'!D:D)</f>
        <v>133</v>
      </c>
      <c r="G50" s="60">
        <f t="shared" si="6"/>
        <v>133</v>
      </c>
      <c r="H50" s="60">
        <f t="shared" si="1"/>
        <v>126.66666666666666</v>
      </c>
      <c r="I50" s="60">
        <f t="shared" si="2"/>
        <v>6.3333333333333428</v>
      </c>
      <c r="J50" s="60">
        <f t="shared" si="3"/>
        <v>4.7619047619047693E-2</v>
      </c>
      <c r="K50" s="35" t="str">
        <f t="shared" si="4"/>
        <v>5%</v>
      </c>
      <c r="M50" s="30">
        <f t="shared" si="5"/>
        <v>5.0000000000000058E-2</v>
      </c>
      <c r="N50" s="34" t="e">
        <f>VLOOKUP(A50, 'Stock Register'!A:F, 6, FALSE)</f>
        <v>#N/A</v>
      </c>
    </row>
    <row r="51" spans="1:14" s="75" customFormat="1" ht="30" hidden="1" x14ac:dyDescent="0.25">
      <c r="A51" s="204" t="s">
        <v>154</v>
      </c>
      <c r="B51" s="71" t="s">
        <v>179</v>
      </c>
      <c r="C51" s="71">
        <v>1</v>
      </c>
      <c r="D51" s="72">
        <v>0.81</v>
      </c>
      <c r="E51" s="191">
        <v>1</v>
      </c>
      <c r="F51" s="74">
        <f>SUMIF('Sales Register'!C:C, A51, 'Sales Register'!D:D)</f>
        <v>98</v>
      </c>
      <c r="G51" s="74">
        <f t="shared" si="6"/>
        <v>98</v>
      </c>
      <c r="H51" s="74">
        <f t="shared" si="1"/>
        <v>79.38000000000001</v>
      </c>
      <c r="I51" s="74">
        <f t="shared" si="2"/>
        <v>18.61999999999999</v>
      </c>
      <c r="J51" s="74">
        <f t="shared" si="3"/>
        <v>0.18999999999999989</v>
      </c>
      <c r="K51" s="134" t="str">
        <f t="shared" si="4"/>
        <v>23%</v>
      </c>
      <c r="L51" s="73">
        <v>1</v>
      </c>
      <c r="M51" s="99">
        <f t="shared" si="5"/>
        <v>0.23456790123456783</v>
      </c>
      <c r="N51" s="73">
        <f>VLOOKUP(A51, 'Stock Register'!A:F, 6, FALSE)</f>
        <v>-2</v>
      </c>
    </row>
    <row r="52" spans="1:14" ht="30" hidden="1" x14ac:dyDescent="0.25">
      <c r="A52" s="205" t="s">
        <v>127</v>
      </c>
      <c r="B52" s="28" t="s">
        <v>180</v>
      </c>
      <c r="C52" s="28">
        <v>49</v>
      </c>
      <c r="D52" s="29">
        <v>45</v>
      </c>
      <c r="E52" s="190">
        <v>49</v>
      </c>
      <c r="F52" s="60">
        <f>SUMIF('Sales Register'!C:C, A52, 'Sales Register'!D:D)</f>
        <v>1</v>
      </c>
      <c r="G52" s="60">
        <f t="shared" si="6"/>
        <v>49</v>
      </c>
      <c r="H52" s="60">
        <f t="shared" si="1"/>
        <v>45</v>
      </c>
      <c r="I52" s="60">
        <f t="shared" si="2"/>
        <v>4</v>
      </c>
      <c r="J52" s="60">
        <f t="shared" si="3"/>
        <v>8.1632653061224483E-2</v>
      </c>
      <c r="K52" s="35" t="str">
        <f t="shared" si="4"/>
        <v>8%</v>
      </c>
      <c r="L52" s="34">
        <v>48</v>
      </c>
      <c r="M52" s="30">
        <f t="shared" si="5"/>
        <v>8.8888888888888892E-2</v>
      </c>
      <c r="N52" s="34">
        <f>VLOOKUP(A52, 'Stock Register'!A:F, 6, FALSE)</f>
        <v>1</v>
      </c>
    </row>
    <row r="53" spans="1:14" hidden="1" x14ac:dyDescent="0.25">
      <c r="A53" s="205" t="s">
        <v>152</v>
      </c>
      <c r="B53" s="28" t="s">
        <v>181</v>
      </c>
      <c r="C53" s="28">
        <v>143</v>
      </c>
      <c r="D53" s="29">
        <v>135</v>
      </c>
      <c r="E53" s="190">
        <v>143</v>
      </c>
      <c r="F53" s="60">
        <f>SUMIF('Sales Register'!C:C, A53, 'Sales Register'!D:D)</f>
        <v>2</v>
      </c>
      <c r="G53" s="60">
        <f t="shared" si="6"/>
        <v>286</v>
      </c>
      <c r="H53" s="60">
        <f t="shared" si="1"/>
        <v>270</v>
      </c>
      <c r="I53" s="60">
        <f t="shared" si="2"/>
        <v>16</v>
      </c>
      <c r="J53" s="60">
        <f t="shared" si="3"/>
        <v>5.5944055944055944E-2</v>
      </c>
      <c r="K53" s="35" t="str">
        <f t="shared" si="4"/>
        <v>5%</v>
      </c>
      <c r="L53" s="34">
        <v>139</v>
      </c>
      <c r="M53" s="30">
        <f t="shared" si="5"/>
        <v>5.9259259259259262E-2</v>
      </c>
      <c r="N53" s="34">
        <f>VLOOKUP(A53, 'Stock Register'!A:F, 6, FALSE)</f>
        <v>1</v>
      </c>
    </row>
    <row r="54" spans="1:14" s="75" customFormat="1" hidden="1" x14ac:dyDescent="0.25">
      <c r="A54" s="204" t="s">
        <v>324</v>
      </c>
      <c r="B54" s="71"/>
      <c r="C54" s="71">
        <v>57</v>
      </c>
      <c r="D54" s="72">
        <v>54</v>
      </c>
      <c r="E54" s="191">
        <v>57</v>
      </c>
      <c r="F54" s="74">
        <f>SUMIF('Sales Register'!C:C, A54, 'Sales Register'!D:D)</f>
        <v>1</v>
      </c>
      <c r="G54" s="74">
        <f t="shared" si="6"/>
        <v>57</v>
      </c>
      <c r="H54" s="74">
        <f t="shared" si="1"/>
        <v>54</v>
      </c>
      <c r="I54" s="74">
        <f t="shared" si="2"/>
        <v>3</v>
      </c>
      <c r="J54" s="74">
        <f t="shared" si="3"/>
        <v>5.2631578947368418E-2</v>
      </c>
      <c r="K54" s="134" t="str">
        <f t="shared" si="4"/>
        <v>5%</v>
      </c>
      <c r="L54" s="73">
        <v>57</v>
      </c>
      <c r="M54" s="99">
        <f t="shared" si="5"/>
        <v>5.5555555555555552E-2</v>
      </c>
      <c r="N54" s="73" t="e">
        <f>VLOOKUP(A54, 'Stock Register'!A:F, 6, FALSE)</f>
        <v>#N/A</v>
      </c>
    </row>
    <row r="55" spans="1:14" s="75" customFormat="1" ht="30" hidden="1" x14ac:dyDescent="0.25">
      <c r="A55" s="204" t="s">
        <v>382</v>
      </c>
      <c r="B55" s="71" t="s">
        <v>223</v>
      </c>
      <c r="C55" s="71">
        <v>210</v>
      </c>
      <c r="D55" s="72">
        <v>176</v>
      </c>
      <c r="E55" s="191">
        <v>185</v>
      </c>
      <c r="F55" s="74">
        <f>SUMIF('Sales Register'!C:C, A55, 'Sales Register'!D:D)</f>
        <v>18</v>
      </c>
      <c r="G55" s="74">
        <f t="shared" si="6"/>
        <v>3330</v>
      </c>
      <c r="H55" s="74">
        <f t="shared" si="1"/>
        <v>3168</v>
      </c>
      <c r="I55" s="74">
        <f t="shared" si="2"/>
        <v>162</v>
      </c>
      <c r="J55" s="74">
        <f t="shared" si="3"/>
        <v>4.8648648648648651E-2</v>
      </c>
      <c r="K55" s="134" t="str">
        <f t="shared" si="4"/>
        <v>5%</v>
      </c>
      <c r="L55" s="73">
        <v>183</v>
      </c>
      <c r="M55" s="99">
        <f t="shared" si="5"/>
        <v>5.113636363636364E-2</v>
      </c>
      <c r="N55" s="73" t="e">
        <f>VLOOKUP(A55, 'Stock Register'!A:F, 6, FALSE)</f>
        <v>#N/A</v>
      </c>
    </row>
    <row r="56" spans="1:14" s="75" customFormat="1" ht="30" hidden="1" x14ac:dyDescent="0.25">
      <c r="A56" s="204" t="s">
        <v>443</v>
      </c>
      <c r="B56" s="71" t="s">
        <v>223</v>
      </c>
      <c r="C56" s="71">
        <v>155</v>
      </c>
      <c r="D56" s="72">
        <v>145</v>
      </c>
      <c r="E56" s="191">
        <v>153</v>
      </c>
      <c r="F56" s="74">
        <f>SUMIF('Sales Register'!C:C, A56, 'Sales Register'!D:D)</f>
        <v>4</v>
      </c>
      <c r="G56" s="74">
        <f t="shared" si="6"/>
        <v>612</v>
      </c>
      <c r="H56" s="74">
        <f t="shared" si="1"/>
        <v>580</v>
      </c>
      <c r="I56" s="74">
        <f t="shared" si="2"/>
        <v>32</v>
      </c>
      <c r="J56" s="74">
        <f t="shared" si="3"/>
        <v>5.2287581699346407E-2</v>
      </c>
      <c r="K56" s="134" t="str">
        <f t="shared" si="4"/>
        <v>5%</v>
      </c>
      <c r="L56" s="73">
        <v>154</v>
      </c>
      <c r="M56" s="99">
        <f t="shared" si="5"/>
        <v>5.5172413793103448E-2</v>
      </c>
      <c r="N56" s="73" t="e">
        <f>VLOOKUP(A56, 'Stock Register'!A:F, 6, FALSE)</f>
        <v>#N/A</v>
      </c>
    </row>
    <row r="57" spans="1:14" s="75" customFormat="1" hidden="1" x14ac:dyDescent="0.25">
      <c r="A57" s="204" t="s">
        <v>440</v>
      </c>
      <c r="B57" s="71" t="s">
        <v>173</v>
      </c>
      <c r="C57" s="71">
        <v>5</v>
      </c>
      <c r="D57" s="72">
        <v>3.5</v>
      </c>
      <c r="E57" s="191">
        <v>5</v>
      </c>
      <c r="F57" s="74">
        <f>SUMIF('Sales Register'!C:C, A57, 'Sales Register'!D:D)</f>
        <v>3</v>
      </c>
      <c r="G57" s="74">
        <f t="shared" si="6"/>
        <v>15</v>
      </c>
      <c r="H57" s="74">
        <f t="shared" si="1"/>
        <v>10.5</v>
      </c>
      <c r="I57" s="74">
        <f t="shared" si="2"/>
        <v>4.5</v>
      </c>
      <c r="J57" s="74">
        <f t="shared" si="3"/>
        <v>0.3</v>
      </c>
      <c r="K57" s="134" t="str">
        <f t="shared" si="4"/>
        <v>42%</v>
      </c>
      <c r="L57" s="73"/>
      <c r="M57" s="99">
        <f t="shared" si="5"/>
        <v>0.42857142857142855</v>
      </c>
      <c r="N57" s="73" t="e">
        <f>VLOOKUP(A57, 'Stock Register'!A:F, 6, FALSE)</f>
        <v>#N/A</v>
      </c>
    </row>
    <row r="58" spans="1:14" hidden="1" x14ac:dyDescent="0.25">
      <c r="A58" s="205" t="s">
        <v>134</v>
      </c>
      <c r="B58" s="28" t="s">
        <v>187</v>
      </c>
      <c r="C58" s="28">
        <v>28</v>
      </c>
      <c r="D58" s="29">
        <v>24</v>
      </c>
      <c r="E58" s="190">
        <v>28</v>
      </c>
      <c r="F58" s="60">
        <f>SUMIF('Sales Register'!C:C, A58, 'Sales Register'!D:D)</f>
        <v>8</v>
      </c>
      <c r="G58" s="60">
        <f t="shared" si="6"/>
        <v>224</v>
      </c>
      <c r="H58" s="60">
        <f t="shared" si="1"/>
        <v>192</v>
      </c>
      <c r="I58" s="60">
        <f t="shared" si="2"/>
        <v>32</v>
      </c>
      <c r="J58" s="60">
        <f t="shared" si="3"/>
        <v>0.14285714285714285</v>
      </c>
      <c r="K58" s="35" t="str">
        <f t="shared" si="4"/>
        <v>16%</v>
      </c>
      <c r="L58" s="34">
        <v>28</v>
      </c>
      <c r="M58" s="30">
        <f t="shared" si="5"/>
        <v>0.16666666666666666</v>
      </c>
      <c r="N58" s="34">
        <f>VLOOKUP(A58, 'Stock Register'!A:F, 6, FALSE)</f>
        <v>2</v>
      </c>
    </row>
    <row r="59" spans="1:14" ht="30" hidden="1" x14ac:dyDescent="0.25">
      <c r="A59" s="205" t="s">
        <v>135</v>
      </c>
      <c r="B59" s="28" t="s">
        <v>188</v>
      </c>
      <c r="C59" s="28">
        <v>14</v>
      </c>
      <c r="D59" s="29">
        <v>10</v>
      </c>
      <c r="E59" s="190">
        <v>14</v>
      </c>
      <c r="F59" s="60">
        <f>SUMIF('Sales Register'!C:C, A59, 'Sales Register'!D:D)</f>
        <v>8</v>
      </c>
      <c r="G59" s="60">
        <f t="shared" si="6"/>
        <v>112</v>
      </c>
      <c r="H59" s="60">
        <f t="shared" si="1"/>
        <v>80</v>
      </c>
      <c r="I59" s="60">
        <f t="shared" si="2"/>
        <v>32</v>
      </c>
      <c r="J59" s="60">
        <f t="shared" si="3"/>
        <v>0.2857142857142857</v>
      </c>
      <c r="K59" s="35" t="str">
        <f t="shared" si="4"/>
        <v>40%</v>
      </c>
      <c r="L59" s="34">
        <v>12</v>
      </c>
      <c r="M59" s="30">
        <f t="shared" si="5"/>
        <v>0.4</v>
      </c>
      <c r="N59" s="34">
        <f>VLOOKUP(A59, 'Stock Register'!A:F, 6, FALSE)</f>
        <v>2</v>
      </c>
    </row>
    <row r="60" spans="1:14" ht="30" hidden="1" x14ac:dyDescent="0.25">
      <c r="A60" s="205" t="s">
        <v>109</v>
      </c>
      <c r="B60" s="28" t="s">
        <v>189</v>
      </c>
      <c r="C60" s="28">
        <v>15</v>
      </c>
      <c r="D60" s="29">
        <v>12.5</v>
      </c>
      <c r="E60" s="190">
        <v>15</v>
      </c>
      <c r="F60" s="60">
        <f>SUMIF('Sales Register'!C:C, A60, 'Sales Register'!D:D)</f>
        <v>6</v>
      </c>
      <c r="G60" s="60">
        <f t="shared" si="6"/>
        <v>90</v>
      </c>
      <c r="H60" s="60">
        <f t="shared" si="1"/>
        <v>75</v>
      </c>
      <c r="I60" s="60">
        <f t="shared" si="2"/>
        <v>15</v>
      </c>
      <c r="J60" s="60">
        <f t="shared" si="3"/>
        <v>0.16666666666666666</v>
      </c>
      <c r="K60" s="35" t="str">
        <f t="shared" si="4"/>
        <v>20%</v>
      </c>
      <c r="M60" s="30">
        <f t="shared" si="5"/>
        <v>0.2</v>
      </c>
      <c r="N60" s="34">
        <f>VLOOKUP(A60, 'Stock Register'!A:F, 6, FALSE)</f>
        <v>4</v>
      </c>
    </row>
    <row r="61" spans="1:14" s="75" customFormat="1" ht="45" hidden="1" x14ac:dyDescent="0.25">
      <c r="A61" s="204" t="s">
        <v>426</v>
      </c>
      <c r="B61" s="71" t="s">
        <v>190</v>
      </c>
      <c r="C61" s="71">
        <v>10</v>
      </c>
      <c r="D61" s="72">
        <v>7.08</v>
      </c>
      <c r="E61" s="191">
        <v>10</v>
      </c>
      <c r="F61" s="74">
        <f>SUMIF('Sales Register'!C:C, A61, 'Sales Register'!D:D)</f>
        <v>16</v>
      </c>
      <c r="G61" s="74">
        <f t="shared" si="6"/>
        <v>160</v>
      </c>
      <c r="H61" s="74">
        <f t="shared" si="1"/>
        <v>113.28</v>
      </c>
      <c r="I61" s="74">
        <f t="shared" si="2"/>
        <v>46.72</v>
      </c>
      <c r="J61" s="74">
        <f t="shared" si="3"/>
        <v>0.29199999999999998</v>
      </c>
      <c r="K61" s="134" t="str">
        <f t="shared" si="4"/>
        <v>41%</v>
      </c>
      <c r="L61" s="73"/>
      <c r="M61" s="99">
        <f t="shared" si="5"/>
        <v>0.41242937853107342</v>
      </c>
      <c r="N61" s="73" t="e">
        <f>VLOOKUP(A61, 'Stock Register'!A:F, 6, FALSE)</f>
        <v>#N/A</v>
      </c>
    </row>
    <row r="62" spans="1:14" s="75" customFormat="1" hidden="1" x14ac:dyDescent="0.25">
      <c r="A62" s="204" t="s">
        <v>11</v>
      </c>
      <c r="B62" s="71" t="s">
        <v>184</v>
      </c>
      <c r="C62" s="71">
        <v>10</v>
      </c>
      <c r="D62" s="72">
        <v>9</v>
      </c>
      <c r="E62" s="191">
        <v>10</v>
      </c>
      <c r="F62" s="74">
        <f>SUMIF('Sales Register'!C:C, A62, 'Sales Register'!D:D)</f>
        <v>5</v>
      </c>
      <c r="G62" s="74">
        <f t="shared" si="6"/>
        <v>50</v>
      </c>
      <c r="H62" s="74">
        <f t="shared" si="1"/>
        <v>45</v>
      </c>
      <c r="I62" s="74">
        <f t="shared" si="2"/>
        <v>5</v>
      </c>
      <c r="J62" s="74">
        <f t="shared" si="3"/>
        <v>0.1</v>
      </c>
      <c r="K62" s="134" t="str">
        <f t="shared" si="4"/>
        <v>11%</v>
      </c>
      <c r="L62" s="73"/>
      <c r="M62" s="99">
        <f t="shared" si="5"/>
        <v>0.1111111111111111</v>
      </c>
      <c r="N62" s="73">
        <f>VLOOKUP(A62, 'Stock Register'!A:F, 6, FALSE)</f>
        <v>-3</v>
      </c>
    </row>
    <row r="63" spans="1:14" hidden="1" x14ac:dyDescent="0.25">
      <c r="A63" s="205" t="s">
        <v>58</v>
      </c>
      <c r="B63" s="28" t="s">
        <v>184</v>
      </c>
      <c r="C63" s="28">
        <v>10</v>
      </c>
      <c r="D63" s="29">
        <v>9</v>
      </c>
      <c r="E63" s="190">
        <v>10</v>
      </c>
      <c r="F63" s="60">
        <f>SUMIF('Sales Register'!C:C, A63, 'Sales Register'!D:D)</f>
        <v>1</v>
      </c>
      <c r="G63" s="60">
        <f t="shared" si="6"/>
        <v>10</v>
      </c>
      <c r="H63" s="60">
        <f t="shared" si="1"/>
        <v>9</v>
      </c>
      <c r="I63" s="60">
        <f t="shared" si="2"/>
        <v>1</v>
      </c>
      <c r="J63" s="60">
        <f t="shared" si="3"/>
        <v>0.1</v>
      </c>
      <c r="K63" s="35" t="str">
        <f t="shared" si="4"/>
        <v>11%</v>
      </c>
      <c r="M63" s="30">
        <f t="shared" si="5"/>
        <v>0.1111111111111111</v>
      </c>
      <c r="N63" s="34">
        <f>VLOOKUP(A63, 'Stock Register'!A:F, 6, FALSE)</f>
        <v>1</v>
      </c>
    </row>
    <row r="64" spans="1:14" ht="30" hidden="1" x14ac:dyDescent="0.25">
      <c r="A64" s="205" t="s">
        <v>159</v>
      </c>
      <c r="B64" s="28" t="s">
        <v>226</v>
      </c>
      <c r="C64" s="28">
        <v>160</v>
      </c>
      <c r="D64" s="29">
        <v>134</v>
      </c>
      <c r="E64" s="190">
        <v>155</v>
      </c>
      <c r="F64" s="60">
        <f>SUMIF('Sales Register'!C:C, A64, 'Sales Register'!D:D)</f>
        <v>4.8940000000000001</v>
      </c>
      <c r="G64" s="60">
        <f t="shared" si="6"/>
        <v>758.57</v>
      </c>
      <c r="H64" s="60">
        <f t="shared" si="1"/>
        <v>655.79600000000005</v>
      </c>
      <c r="I64" s="60">
        <f t="shared" si="2"/>
        <v>102.774</v>
      </c>
      <c r="J64" s="60">
        <f t="shared" si="3"/>
        <v>0.13548387096774192</v>
      </c>
      <c r="K64" s="35" t="str">
        <f t="shared" si="4"/>
        <v>15%</v>
      </c>
      <c r="L64" s="34">
        <v>150</v>
      </c>
      <c r="M64" s="30">
        <f t="shared" si="5"/>
        <v>0.15671641791044777</v>
      </c>
      <c r="N64" s="34">
        <f>VLOOKUP(A64, 'Stock Register'!A:F, 6, FALSE)</f>
        <v>0.10599999999999987</v>
      </c>
    </row>
    <row r="65" spans="1:14" hidden="1" x14ac:dyDescent="0.25">
      <c r="A65" s="205" t="s">
        <v>28</v>
      </c>
      <c r="B65" s="28" t="s">
        <v>198</v>
      </c>
      <c r="C65" s="28">
        <v>150</v>
      </c>
      <c r="D65" s="29">
        <v>100</v>
      </c>
      <c r="E65" s="190">
        <v>120</v>
      </c>
      <c r="F65" s="60">
        <f>SUMIF('Sales Register'!C:C, A65, 'Sales Register'!D:D)</f>
        <v>1.75</v>
      </c>
      <c r="G65" s="60">
        <f t="shared" si="6"/>
        <v>210</v>
      </c>
      <c r="H65" s="60">
        <f t="shared" si="1"/>
        <v>175</v>
      </c>
      <c r="I65" s="60">
        <f t="shared" si="2"/>
        <v>35</v>
      </c>
      <c r="J65" s="60">
        <f t="shared" si="3"/>
        <v>0.16666666666666666</v>
      </c>
      <c r="K65" s="35" t="str">
        <f t="shared" si="4"/>
        <v>20%</v>
      </c>
      <c r="L65" s="34">
        <v>118</v>
      </c>
      <c r="M65" s="30">
        <f t="shared" si="5"/>
        <v>0.2</v>
      </c>
      <c r="N65" s="34">
        <f>VLOOKUP(A65, 'Stock Register'!A:F, 6, FALSE)</f>
        <v>0.25</v>
      </c>
    </row>
    <row r="66" spans="1:14" s="75" customFormat="1" hidden="1" x14ac:dyDescent="0.25">
      <c r="A66" s="204" t="s">
        <v>30</v>
      </c>
      <c r="B66" s="71" t="s">
        <v>226</v>
      </c>
      <c r="C66" s="71">
        <v>120</v>
      </c>
      <c r="D66" s="72">
        <v>80</v>
      </c>
      <c r="E66" s="191">
        <v>95</v>
      </c>
      <c r="F66" s="74">
        <f>SUMIF('Sales Register'!C:C, A66, 'Sales Register'!D:D)</f>
        <v>2.802</v>
      </c>
      <c r="G66" s="74">
        <f t="shared" ref="G66:G97" si="7">E66*F66</f>
        <v>266.19</v>
      </c>
      <c r="H66" s="74">
        <f t="shared" ref="H66:H129" si="8">D66*F66</f>
        <v>224.16</v>
      </c>
      <c r="I66" s="74">
        <f t="shared" ref="I66:I129" si="9">G66-H66</f>
        <v>42.03</v>
      </c>
      <c r="J66" s="74">
        <f t="shared" ref="J66:J129" si="10">IF(G66=0,0,I66/G66)</f>
        <v>0.15789473684210528</v>
      </c>
      <c r="K66" s="134" t="str">
        <f t="shared" si="4"/>
        <v>18%</v>
      </c>
      <c r="L66" s="73">
        <v>95</v>
      </c>
      <c r="M66" s="99">
        <f t="shared" si="5"/>
        <v>0.1875</v>
      </c>
      <c r="N66" s="73">
        <f>VLOOKUP(A66, 'Stock Register'!A:F, 6, FALSE)</f>
        <v>-1.802</v>
      </c>
    </row>
    <row r="67" spans="1:14" s="75" customFormat="1" hidden="1" x14ac:dyDescent="0.25">
      <c r="A67" s="204" t="s">
        <v>143</v>
      </c>
      <c r="B67" s="71" t="s">
        <v>227</v>
      </c>
      <c r="C67" s="71">
        <v>400</v>
      </c>
      <c r="D67" s="72">
        <v>250</v>
      </c>
      <c r="E67" s="191">
        <v>300</v>
      </c>
      <c r="F67" s="74">
        <f>SUMIF('Sales Register'!C:C, A67, 'Sales Register'!D:D)</f>
        <v>0.49999999999999994</v>
      </c>
      <c r="G67" s="74">
        <f t="shared" si="7"/>
        <v>149.99999999999997</v>
      </c>
      <c r="H67" s="74">
        <f t="shared" si="8"/>
        <v>124.99999999999999</v>
      </c>
      <c r="I67" s="74">
        <f t="shared" si="9"/>
        <v>24.999999999999986</v>
      </c>
      <c r="J67" s="74">
        <f t="shared" si="10"/>
        <v>0.1666666666666666</v>
      </c>
      <c r="K67" s="134" t="str">
        <f t="shared" ref="K67:K130" si="11">IF(E67&lt;=D67, "NO PROFIT", IF((E67-D67)/D67 &gt;= 1, "100% or More", TEXT(_xlfn.FLOOR.MATH((E67-D67)/D67, 0.01), "0%")))</f>
        <v>20%</v>
      </c>
      <c r="L67" s="73">
        <v>295</v>
      </c>
      <c r="M67" s="99">
        <f t="shared" ref="M67:M130" si="12">IF(D67=0, 0, (E67-D67)/D67)</f>
        <v>0.2</v>
      </c>
      <c r="N67" s="73">
        <f>VLOOKUP(A67, 'Stock Register'!A:F, 6, FALSE)</f>
        <v>0</v>
      </c>
    </row>
    <row r="68" spans="1:14" hidden="1" x14ac:dyDescent="0.25">
      <c r="A68" s="205" t="s">
        <v>31</v>
      </c>
      <c r="B68" s="28" t="s">
        <v>226</v>
      </c>
      <c r="C68" s="28">
        <v>170</v>
      </c>
      <c r="D68" s="29">
        <v>120</v>
      </c>
      <c r="E68" s="190">
        <v>145</v>
      </c>
      <c r="F68" s="60">
        <f>SUMIF('Sales Register'!C:C, A68, 'Sales Register'!D:D)</f>
        <v>0.7</v>
      </c>
      <c r="G68" s="60">
        <f t="shared" si="7"/>
        <v>101.5</v>
      </c>
      <c r="H68" s="60">
        <f t="shared" si="8"/>
        <v>84</v>
      </c>
      <c r="I68" s="60">
        <f t="shared" si="9"/>
        <v>17.5</v>
      </c>
      <c r="J68" s="60">
        <f t="shared" si="10"/>
        <v>0.17241379310344829</v>
      </c>
      <c r="K68" s="35" t="str">
        <f t="shared" si="11"/>
        <v>20%</v>
      </c>
      <c r="L68" s="34">
        <v>142</v>
      </c>
      <c r="M68" s="30">
        <f t="shared" si="12"/>
        <v>0.20833333333333334</v>
      </c>
      <c r="N68" s="34">
        <f>VLOOKUP(A68, 'Stock Register'!A:F, 6, FALSE)</f>
        <v>0.30000000000000004</v>
      </c>
    </row>
    <row r="69" spans="1:14" s="75" customFormat="1" hidden="1" x14ac:dyDescent="0.25">
      <c r="A69" s="204" t="s">
        <v>29</v>
      </c>
      <c r="B69" s="71" t="s">
        <v>228</v>
      </c>
      <c r="C69" s="71">
        <v>1300</v>
      </c>
      <c r="D69" s="72">
        <v>880</v>
      </c>
      <c r="E69" s="191">
        <v>1100</v>
      </c>
      <c r="F69" s="74">
        <f>SUMIF('Sales Register'!C:C, A69, 'Sales Register'!D:D)</f>
        <v>0.57499999999999996</v>
      </c>
      <c r="G69" s="74">
        <f t="shared" si="7"/>
        <v>632.5</v>
      </c>
      <c r="H69" s="74">
        <f t="shared" si="8"/>
        <v>505.99999999999994</v>
      </c>
      <c r="I69" s="74">
        <f t="shared" si="9"/>
        <v>126.50000000000006</v>
      </c>
      <c r="J69" s="74">
        <f t="shared" si="10"/>
        <v>0.20000000000000009</v>
      </c>
      <c r="K69" s="134" t="str">
        <f t="shared" si="11"/>
        <v>25%</v>
      </c>
      <c r="L69" s="73"/>
      <c r="M69" s="99">
        <f t="shared" si="12"/>
        <v>0.25</v>
      </c>
      <c r="N69" s="73">
        <f>VLOOKUP(A69, 'Stock Register'!A:F, 6, FALSE)</f>
        <v>-0.32499999999999996</v>
      </c>
    </row>
    <row r="70" spans="1:14" s="75" customFormat="1" hidden="1" x14ac:dyDescent="0.25">
      <c r="A70" s="204" t="s">
        <v>160</v>
      </c>
      <c r="B70" s="71" t="s">
        <v>226</v>
      </c>
      <c r="C70" s="71"/>
      <c r="D70" s="72">
        <v>90</v>
      </c>
      <c r="E70" s="191">
        <v>110</v>
      </c>
      <c r="F70" s="74">
        <f>SUMIF('Sales Register'!C:C, A70, 'Sales Register'!D:D)</f>
        <v>4.8860000000000001</v>
      </c>
      <c r="G70" s="74">
        <f t="shared" si="7"/>
        <v>537.46</v>
      </c>
      <c r="H70" s="74">
        <f t="shared" si="8"/>
        <v>439.74</v>
      </c>
      <c r="I70" s="74">
        <f t="shared" si="9"/>
        <v>97.720000000000027</v>
      </c>
      <c r="J70" s="74">
        <f t="shared" si="10"/>
        <v>0.18181818181818185</v>
      </c>
      <c r="K70" s="134" t="str">
        <f t="shared" si="11"/>
        <v>22%</v>
      </c>
      <c r="L70" s="73">
        <v>108</v>
      </c>
      <c r="M70" s="99">
        <f t="shared" si="12"/>
        <v>0.22222222222222221</v>
      </c>
      <c r="N70" s="73">
        <f>VLOOKUP(A70, 'Stock Register'!A:F, 6, FALSE)</f>
        <v>0.11399999999999988</v>
      </c>
    </row>
    <row r="71" spans="1:14" hidden="1" x14ac:dyDescent="0.25">
      <c r="A71" s="205" t="s">
        <v>158</v>
      </c>
      <c r="B71" s="28" t="s">
        <v>229</v>
      </c>
      <c r="C71" s="28">
        <v>200</v>
      </c>
      <c r="D71" s="29">
        <v>140</v>
      </c>
      <c r="E71" s="190">
        <v>170</v>
      </c>
      <c r="F71" s="60">
        <f>SUMIF('Sales Register'!C:C, A71, 'Sales Register'!D:D)</f>
        <v>0.49399999999999999</v>
      </c>
      <c r="G71" s="60">
        <f t="shared" si="7"/>
        <v>83.98</v>
      </c>
      <c r="H71" s="60">
        <f t="shared" si="8"/>
        <v>69.16</v>
      </c>
      <c r="I71" s="60">
        <f t="shared" si="9"/>
        <v>14.820000000000007</v>
      </c>
      <c r="J71" s="60">
        <f t="shared" si="10"/>
        <v>0.17647058823529418</v>
      </c>
      <c r="K71" s="35" t="str">
        <f t="shared" si="11"/>
        <v>21%</v>
      </c>
      <c r="L71" s="34">
        <v>165</v>
      </c>
      <c r="M71" s="30">
        <f t="shared" si="12"/>
        <v>0.21428571428571427</v>
      </c>
      <c r="N71" s="34">
        <f>VLOOKUP(A71, 'Stock Register'!A:F, 6, FALSE)</f>
        <v>6.0000000000000053E-3</v>
      </c>
    </row>
    <row r="72" spans="1:14" s="75" customFormat="1" hidden="1" x14ac:dyDescent="0.25">
      <c r="A72" s="204" t="s">
        <v>32</v>
      </c>
      <c r="B72" s="71" t="s">
        <v>226</v>
      </c>
      <c r="C72" s="71">
        <v>250</v>
      </c>
      <c r="D72" s="72">
        <v>175</v>
      </c>
      <c r="E72" s="191">
        <v>200</v>
      </c>
      <c r="F72" s="74">
        <f>SUMIF('Sales Register'!C:C, A72, 'Sales Register'!D:D)</f>
        <v>1.597</v>
      </c>
      <c r="G72" s="74">
        <f t="shared" si="7"/>
        <v>319.39999999999998</v>
      </c>
      <c r="H72" s="74">
        <f t="shared" si="8"/>
        <v>279.47500000000002</v>
      </c>
      <c r="I72" s="74">
        <f t="shared" si="9"/>
        <v>39.924999999999955</v>
      </c>
      <c r="J72" s="74">
        <f t="shared" si="10"/>
        <v>0.12499999999999986</v>
      </c>
      <c r="K72" s="134" t="str">
        <f t="shared" si="11"/>
        <v>14%</v>
      </c>
      <c r="L72" s="73">
        <v>207</v>
      </c>
      <c r="M72" s="99">
        <f t="shared" si="12"/>
        <v>0.14285714285714285</v>
      </c>
      <c r="N72" s="73" t="e">
        <f>VLOOKUP(A72, 'Stock Register'!A:F, 6, FALSE)</f>
        <v>#N/A</v>
      </c>
    </row>
    <row r="73" spans="1:14" hidden="1" x14ac:dyDescent="0.25">
      <c r="A73" s="205" t="s">
        <v>395</v>
      </c>
      <c r="B73" s="28" t="s">
        <v>39</v>
      </c>
      <c r="C73" s="28">
        <v>10</v>
      </c>
      <c r="D73" s="29">
        <v>4.4000000000000004</v>
      </c>
      <c r="E73" s="190">
        <v>5</v>
      </c>
      <c r="F73" s="60">
        <f>SUMIF('Sales Register'!C:C, A73, 'Sales Register'!D:D)</f>
        <v>23</v>
      </c>
      <c r="G73" s="60">
        <f t="shared" si="7"/>
        <v>115</v>
      </c>
      <c r="H73" s="60">
        <f t="shared" si="8"/>
        <v>101.2</v>
      </c>
      <c r="I73" s="60">
        <f t="shared" si="9"/>
        <v>13.799999999999997</v>
      </c>
      <c r="J73" s="60">
        <f t="shared" si="10"/>
        <v>0.11999999999999998</v>
      </c>
      <c r="K73" s="35" t="str">
        <f t="shared" si="11"/>
        <v>13%</v>
      </c>
      <c r="M73" s="30">
        <f t="shared" si="12"/>
        <v>0.13636363636363627</v>
      </c>
      <c r="N73" s="34" t="e">
        <f>VLOOKUP(A73, 'Stock Register'!A:F, 6, FALSE)</f>
        <v>#N/A</v>
      </c>
    </row>
    <row r="74" spans="1:14" hidden="1" x14ac:dyDescent="0.25">
      <c r="A74" s="205" t="s">
        <v>20</v>
      </c>
      <c r="B74" s="28" t="s">
        <v>184</v>
      </c>
      <c r="C74" s="28">
        <v>10</v>
      </c>
      <c r="D74" s="29">
        <v>9</v>
      </c>
      <c r="E74" s="190">
        <v>10</v>
      </c>
      <c r="F74" s="60">
        <f>SUMIF('Sales Register'!C:C, A74, 'Sales Register'!D:D)</f>
        <v>2</v>
      </c>
      <c r="G74" s="60">
        <f t="shared" si="7"/>
        <v>20</v>
      </c>
      <c r="H74" s="60">
        <f t="shared" si="8"/>
        <v>18</v>
      </c>
      <c r="I74" s="60">
        <f t="shared" si="9"/>
        <v>2</v>
      </c>
      <c r="J74" s="60">
        <f t="shared" si="10"/>
        <v>0.1</v>
      </c>
      <c r="K74" s="35" t="str">
        <f t="shared" si="11"/>
        <v>11%</v>
      </c>
      <c r="M74" s="30">
        <f t="shared" si="12"/>
        <v>0.1111111111111111</v>
      </c>
      <c r="N74" s="34">
        <f>VLOOKUP(A74, 'Stock Register'!A:F, 6, FALSE)</f>
        <v>0</v>
      </c>
    </row>
    <row r="75" spans="1:14" hidden="1" x14ac:dyDescent="0.25">
      <c r="A75" s="205" t="s">
        <v>114</v>
      </c>
      <c r="B75" s="28" t="s">
        <v>173</v>
      </c>
      <c r="C75" s="28">
        <v>10</v>
      </c>
      <c r="D75" s="29">
        <v>7</v>
      </c>
      <c r="E75" s="190">
        <v>10</v>
      </c>
      <c r="F75" s="60">
        <f>SUMIF('Sales Register'!C:C, A75, 'Sales Register'!D:D)</f>
        <v>2</v>
      </c>
      <c r="G75" s="60">
        <f t="shared" si="7"/>
        <v>20</v>
      </c>
      <c r="H75" s="60">
        <f t="shared" si="8"/>
        <v>14</v>
      </c>
      <c r="I75" s="60">
        <f t="shared" si="9"/>
        <v>6</v>
      </c>
      <c r="J75" s="60">
        <f t="shared" si="10"/>
        <v>0.3</v>
      </c>
      <c r="K75" s="35" t="str">
        <f t="shared" si="11"/>
        <v>42%</v>
      </c>
      <c r="M75" s="30">
        <f t="shared" si="12"/>
        <v>0.42857142857142855</v>
      </c>
      <c r="N75" s="34">
        <f>VLOOKUP(A75, 'Stock Register'!A:F, 6, FALSE)</f>
        <v>8</v>
      </c>
    </row>
    <row r="76" spans="1:14" ht="30" hidden="1" x14ac:dyDescent="0.25">
      <c r="A76" s="205" t="s">
        <v>88</v>
      </c>
      <c r="B76" s="28" t="s">
        <v>224</v>
      </c>
      <c r="C76" s="28">
        <v>105</v>
      </c>
      <c r="D76" s="29">
        <v>95</v>
      </c>
      <c r="E76" s="190">
        <v>103</v>
      </c>
      <c r="F76" s="60">
        <f>SUMIF('Sales Register'!C:C, A76, 'Sales Register'!D:D)</f>
        <v>3</v>
      </c>
      <c r="G76" s="60">
        <f t="shared" si="7"/>
        <v>309</v>
      </c>
      <c r="H76" s="60">
        <f t="shared" si="8"/>
        <v>285</v>
      </c>
      <c r="I76" s="60">
        <f t="shared" si="9"/>
        <v>24</v>
      </c>
      <c r="J76" s="60">
        <f t="shared" si="10"/>
        <v>7.7669902912621352E-2</v>
      </c>
      <c r="K76" s="35" t="str">
        <f t="shared" si="11"/>
        <v>8%</v>
      </c>
      <c r="L76" s="34">
        <v>103</v>
      </c>
      <c r="M76" s="30">
        <f t="shared" si="12"/>
        <v>8.4210526315789472E-2</v>
      </c>
      <c r="N76" s="34">
        <f>VLOOKUP(A76, 'Stock Register'!A:F, 6, FALSE)</f>
        <v>1</v>
      </c>
    </row>
    <row r="77" spans="1:14" ht="30" hidden="1" x14ac:dyDescent="0.25">
      <c r="A77" s="205" t="s">
        <v>107</v>
      </c>
      <c r="B77" s="28" t="s">
        <v>197</v>
      </c>
      <c r="C77" s="28">
        <v>129</v>
      </c>
      <c r="D77" s="29">
        <v>112</v>
      </c>
      <c r="E77" s="190">
        <v>128</v>
      </c>
      <c r="F77" s="60">
        <f>SUMIF('Sales Register'!C:C, A77, 'Sales Register'!D:D)</f>
        <v>3</v>
      </c>
      <c r="G77" s="60">
        <f t="shared" si="7"/>
        <v>384</v>
      </c>
      <c r="H77" s="60">
        <f t="shared" si="8"/>
        <v>336</v>
      </c>
      <c r="I77" s="60">
        <f t="shared" si="9"/>
        <v>48</v>
      </c>
      <c r="J77" s="60">
        <f t="shared" si="10"/>
        <v>0.125</v>
      </c>
      <c r="K77" s="35" t="str">
        <f t="shared" si="11"/>
        <v>14%</v>
      </c>
      <c r="M77" s="30">
        <f t="shared" si="12"/>
        <v>0.14285714285714285</v>
      </c>
      <c r="N77" s="34">
        <f>VLOOKUP(A77, 'Stock Register'!A:F, 6, FALSE)</f>
        <v>1</v>
      </c>
    </row>
    <row r="78" spans="1:14" ht="30" hidden="1" x14ac:dyDescent="0.25">
      <c r="A78" s="205" t="s">
        <v>110</v>
      </c>
      <c r="B78" s="28" t="s">
        <v>199</v>
      </c>
      <c r="C78" s="28">
        <v>5</v>
      </c>
      <c r="D78" s="29">
        <v>4.5</v>
      </c>
      <c r="E78" s="190">
        <v>5</v>
      </c>
      <c r="F78" s="60">
        <f>SUMIF('Sales Register'!C:C, A78, 'Sales Register'!D:D)</f>
        <v>27</v>
      </c>
      <c r="G78" s="60">
        <f t="shared" si="7"/>
        <v>135</v>
      </c>
      <c r="H78" s="60">
        <f t="shared" si="8"/>
        <v>121.5</v>
      </c>
      <c r="I78" s="60">
        <f t="shared" si="9"/>
        <v>13.5</v>
      </c>
      <c r="J78" s="60">
        <f t="shared" si="10"/>
        <v>0.1</v>
      </c>
      <c r="K78" s="35" t="str">
        <f t="shared" si="11"/>
        <v>11%</v>
      </c>
      <c r="M78" s="30">
        <f t="shared" si="12"/>
        <v>0.1111111111111111</v>
      </c>
      <c r="N78" s="34">
        <f>VLOOKUP(A78, 'Stock Register'!A:F, 6, FALSE)</f>
        <v>33</v>
      </c>
    </row>
    <row r="79" spans="1:14" hidden="1" x14ac:dyDescent="0.25">
      <c r="A79" s="205" t="s">
        <v>38</v>
      </c>
      <c r="B79" s="28" t="s">
        <v>175</v>
      </c>
      <c r="C79" s="28">
        <v>60</v>
      </c>
      <c r="D79" s="29">
        <v>40</v>
      </c>
      <c r="E79" s="190">
        <v>50</v>
      </c>
      <c r="F79" s="60">
        <f>SUMIF('Sales Register'!C:C, A79, 'Sales Register'!D:D)</f>
        <v>4</v>
      </c>
      <c r="G79" s="60">
        <f t="shared" si="7"/>
        <v>200</v>
      </c>
      <c r="H79" s="60">
        <f t="shared" si="8"/>
        <v>160</v>
      </c>
      <c r="I79" s="60">
        <f t="shared" si="9"/>
        <v>40</v>
      </c>
      <c r="J79" s="60">
        <f t="shared" si="10"/>
        <v>0.2</v>
      </c>
      <c r="K79" s="35" t="str">
        <f t="shared" si="11"/>
        <v>25%</v>
      </c>
      <c r="L79" s="34">
        <v>48</v>
      </c>
      <c r="M79" s="30">
        <f t="shared" si="12"/>
        <v>0.25</v>
      </c>
      <c r="N79" s="34">
        <f>VLOOKUP(A79, 'Stock Register'!A:F, 6, FALSE)</f>
        <v>0</v>
      </c>
    </row>
    <row r="80" spans="1:14" s="75" customFormat="1" hidden="1" x14ac:dyDescent="0.25">
      <c r="A80" s="204" t="s">
        <v>27</v>
      </c>
      <c r="B80" s="71" t="s">
        <v>200</v>
      </c>
      <c r="C80" s="71">
        <v>95</v>
      </c>
      <c r="D80" s="72">
        <v>80</v>
      </c>
      <c r="E80" s="191">
        <v>94</v>
      </c>
      <c r="F80" s="74">
        <f>SUMIF('Sales Register'!C:C, A80, 'Sales Register'!D:D)</f>
        <v>5</v>
      </c>
      <c r="G80" s="74">
        <f t="shared" si="7"/>
        <v>470</v>
      </c>
      <c r="H80" s="74">
        <f t="shared" si="8"/>
        <v>400</v>
      </c>
      <c r="I80" s="74">
        <f t="shared" si="9"/>
        <v>70</v>
      </c>
      <c r="J80" s="74">
        <f t="shared" si="10"/>
        <v>0.14893617021276595</v>
      </c>
      <c r="K80" s="134" t="str">
        <f t="shared" si="11"/>
        <v>17%</v>
      </c>
      <c r="L80" s="73"/>
      <c r="M80" s="99">
        <f t="shared" si="12"/>
        <v>0.17499999999999999</v>
      </c>
      <c r="N80" s="73">
        <f>VLOOKUP(A80, 'Stock Register'!A:F, 6, FALSE)</f>
        <v>-1</v>
      </c>
    </row>
    <row r="81" spans="1:14" s="75" customFormat="1" hidden="1" x14ac:dyDescent="0.25">
      <c r="A81" s="204" t="s">
        <v>149</v>
      </c>
      <c r="B81" s="71" t="s">
        <v>200</v>
      </c>
      <c r="C81" s="71">
        <v>165</v>
      </c>
      <c r="D81" s="72">
        <v>140</v>
      </c>
      <c r="E81" s="191">
        <v>164</v>
      </c>
      <c r="F81" s="74">
        <f>SUMIF('Sales Register'!C:C, A81, 'Sales Register'!D:D)</f>
        <v>2</v>
      </c>
      <c r="G81" s="74">
        <f t="shared" si="7"/>
        <v>328</v>
      </c>
      <c r="H81" s="74">
        <f t="shared" si="8"/>
        <v>280</v>
      </c>
      <c r="I81" s="74">
        <f t="shared" si="9"/>
        <v>48</v>
      </c>
      <c r="J81" s="74">
        <f t="shared" si="10"/>
        <v>0.14634146341463414</v>
      </c>
      <c r="K81" s="134" t="str">
        <f t="shared" si="11"/>
        <v>17%</v>
      </c>
      <c r="L81" s="73"/>
      <c r="M81" s="99">
        <f t="shared" si="12"/>
        <v>0.17142857142857143</v>
      </c>
      <c r="N81" s="73">
        <f>VLOOKUP(A81, 'Stock Register'!A:F, 6, FALSE)</f>
        <v>-1</v>
      </c>
    </row>
    <row r="82" spans="1:14" ht="30" hidden="1" x14ac:dyDescent="0.25">
      <c r="A82" s="205" t="s">
        <v>82</v>
      </c>
      <c r="B82" s="28" t="s">
        <v>174</v>
      </c>
      <c r="C82" s="28">
        <v>90</v>
      </c>
      <c r="D82" s="29">
        <v>80</v>
      </c>
      <c r="E82" s="190">
        <v>88</v>
      </c>
      <c r="F82" s="60">
        <f>SUMIF('Sales Register'!C:C, A82, 'Sales Register'!D:D)</f>
        <v>1</v>
      </c>
      <c r="G82" s="60">
        <f t="shared" si="7"/>
        <v>88</v>
      </c>
      <c r="H82" s="60">
        <f t="shared" si="8"/>
        <v>80</v>
      </c>
      <c r="I82" s="60">
        <f t="shared" si="9"/>
        <v>8</v>
      </c>
      <c r="J82" s="60">
        <f t="shared" si="10"/>
        <v>9.0909090909090912E-2</v>
      </c>
      <c r="K82" s="35" t="str">
        <f t="shared" si="11"/>
        <v>10%</v>
      </c>
      <c r="M82" s="30">
        <f t="shared" si="12"/>
        <v>0.1</v>
      </c>
      <c r="N82" s="34">
        <f>VLOOKUP(A82, 'Stock Register'!A:F, 6, FALSE)</f>
        <v>1</v>
      </c>
    </row>
    <row r="83" spans="1:14" s="75" customFormat="1" hidden="1" x14ac:dyDescent="0.25">
      <c r="A83" s="204" t="s">
        <v>68</v>
      </c>
      <c r="B83" s="71" t="s">
        <v>230</v>
      </c>
      <c r="C83" s="71">
        <v>10</v>
      </c>
      <c r="D83" s="72">
        <v>8</v>
      </c>
      <c r="E83" s="191">
        <v>10</v>
      </c>
      <c r="F83" s="74">
        <f>SUMIF('Sales Register'!C:C, A83, 'Sales Register'!D:D)</f>
        <v>10</v>
      </c>
      <c r="G83" s="74">
        <f t="shared" si="7"/>
        <v>100</v>
      </c>
      <c r="H83" s="74">
        <f t="shared" si="8"/>
        <v>80</v>
      </c>
      <c r="I83" s="74">
        <f t="shared" si="9"/>
        <v>20</v>
      </c>
      <c r="J83" s="74">
        <f t="shared" si="10"/>
        <v>0.2</v>
      </c>
      <c r="K83" s="134" t="str">
        <f t="shared" si="11"/>
        <v>25%</v>
      </c>
      <c r="L83" s="73"/>
      <c r="M83" s="99">
        <f t="shared" si="12"/>
        <v>0.25</v>
      </c>
      <c r="N83" s="73">
        <f>VLOOKUP(A83, 'Stock Register'!A:F, 6, FALSE)</f>
        <v>0</v>
      </c>
    </row>
    <row r="84" spans="1:14" s="75" customFormat="1" ht="30" hidden="1" x14ac:dyDescent="0.25">
      <c r="A84" s="204" t="s">
        <v>13</v>
      </c>
      <c r="B84" s="71" t="s">
        <v>230</v>
      </c>
      <c r="C84" s="71">
        <v>16</v>
      </c>
      <c r="D84" s="72">
        <v>12</v>
      </c>
      <c r="E84" s="191">
        <v>15</v>
      </c>
      <c r="F84" s="74">
        <f>SUMIF('Sales Register'!C:C, A84, 'Sales Register'!D:D)</f>
        <v>10</v>
      </c>
      <c r="G84" s="74">
        <f t="shared" si="7"/>
        <v>150</v>
      </c>
      <c r="H84" s="74">
        <f t="shared" si="8"/>
        <v>120</v>
      </c>
      <c r="I84" s="74">
        <f t="shared" si="9"/>
        <v>30</v>
      </c>
      <c r="J84" s="74">
        <f t="shared" si="10"/>
        <v>0.2</v>
      </c>
      <c r="K84" s="134" t="str">
        <f t="shared" si="11"/>
        <v>25%</v>
      </c>
      <c r="L84" s="73"/>
      <c r="M84" s="99">
        <f t="shared" si="12"/>
        <v>0.25</v>
      </c>
      <c r="N84" s="73">
        <f>VLOOKUP(A84, 'Stock Register'!A:F, 6, FALSE)</f>
        <v>0</v>
      </c>
    </row>
    <row r="85" spans="1:14" s="75" customFormat="1" hidden="1" x14ac:dyDescent="0.25">
      <c r="A85" s="204" t="s">
        <v>67</v>
      </c>
      <c r="B85" s="71" t="s">
        <v>230</v>
      </c>
      <c r="C85" s="71">
        <v>13</v>
      </c>
      <c r="D85" s="72">
        <v>8</v>
      </c>
      <c r="E85" s="191">
        <v>12</v>
      </c>
      <c r="F85" s="74">
        <f>SUMIF('Sales Register'!C:C, A85, 'Sales Register'!D:D)</f>
        <v>10</v>
      </c>
      <c r="G85" s="74">
        <f t="shared" si="7"/>
        <v>120</v>
      </c>
      <c r="H85" s="74">
        <f t="shared" si="8"/>
        <v>80</v>
      </c>
      <c r="I85" s="74">
        <f t="shared" si="9"/>
        <v>40</v>
      </c>
      <c r="J85" s="74">
        <f t="shared" si="10"/>
        <v>0.33333333333333331</v>
      </c>
      <c r="K85" s="134" t="str">
        <f t="shared" si="11"/>
        <v>50%</v>
      </c>
      <c r="L85" s="73"/>
      <c r="M85" s="99">
        <f t="shared" si="12"/>
        <v>0.5</v>
      </c>
      <c r="N85" s="73">
        <f>VLOOKUP(A85, 'Stock Register'!A:F, 6, FALSE)</f>
        <v>0</v>
      </c>
    </row>
    <row r="86" spans="1:14" ht="30" hidden="1" x14ac:dyDescent="0.25">
      <c r="A86" s="205" t="s">
        <v>87</v>
      </c>
      <c r="B86" s="28" t="s">
        <v>224</v>
      </c>
      <c r="C86" s="28">
        <v>85</v>
      </c>
      <c r="D86" s="29">
        <v>75</v>
      </c>
      <c r="E86" s="190">
        <v>84</v>
      </c>
      <c r="F86" s="60">
        <f>SUMIF('Sales Register'!C:C, A86, 'Sales Register'!D:D)</f>
        <v>7</v>
      </c>
      <c r="G86" s="60">
        <f t="shared" si="7"/>
        <v>588</v>
      </c>
      <c r="H86" s="60">
        <f t="shared" si="8"/>
        <v>525</v>
      </c>
      <c r="I86" s="60">
        <f t="shared" si="9"/>
        <v>63</v>
      </c>
      <c r="J86" s="60">
        <f t="shared" si="10"/>
        <v>0.10714285714285714</v>
      </c>
      <c r="K86" s="35" t="str">
        <f t="shared" si="11"/>
        <v>12%</v>
      </c>
      <c r="L86" s="34">
        <v>83</v>
      </c>
      <c r="M86" s="30">
        <f t="shared" si="12"/>
        <v>0.12</v>
      </c>
      <c r="N86" s="34">
        <f>VLOOKUP(A86, 'Stock Register'!A:F, 6, FALSE)</f>
        <v>1</v>
      </c>
    </row>
    <row r="87" spans="1:14" s="75" customFormat="1" ht="30" hidden="1" x14ac:dyDescent="0.25">
      <c r="A87" s="204" t="s">
        <v>323</v>
      </c>
      <c r="B87" s="71" t="s">
        <v>224</v>
      </c>
      <c r="C87" s="71">
        <v>85</v>
      </c>
      <c r="D87" s="72">
        <v>76.666666666666671</v>
      </c>
      <c r="E87" s="191">
        <v>84</v>
      </c>
      <c r="F87" s="74">
        <f>SUMIF('Sales Register'!C:C, A87, 'Sales Register'!D:D)</f>
        <v>0</v>
      </c>
      <c r="G87" s="74">
        <f t="shared" si="7"/>
        <v>0</v>
      </c>
      <c r="H87" s="74">
        <f t="shared" si="8"/>
        <v>0</v>
      </c>
      <c r="I87" s="74">
        <f t="shared" si="9"/>
        <v>0</v>
      </c>
      <c r="J87" s="74">
        <f t="shared" si="10"/>
        <v>0</v>
      </c>
      <c r="K87" s="134" t="str">
        <f t="shared" si="11"/>
        <v>9%</v>
      </c>
      <c r="L87" s="73">
        <v>83</v>
      </c>
      <c r="M87" s="99">
        <f t="shared" si="12"/>
        <v>9.5652173913043412E-2</v>
      </c>
      <c r="N87" s="73" t="e">
        <f>VLOOKUP(A87, 'Stock Register'!A:F, 6, FALSE)</f>
        <v>#N/A</v>
      </c>
    </row>
    <row r="88" spans="1:14" hidden="1" x14ac:dyDescent="0.25">
      <c r="A88" s="205" t="s">
        <v>55</v>
      </c>
      <c r="B88" s="28" t="s">
        <v>225</v>
      </c>
      <c r="C88" s="28">
        <v>1</v>
      </c>
      <c r="D88" s="29">
        <v>0.85199999999999998</v>
      </c>
      <c r="E88" s="190">
        <v>1</v>
      </c>
      <c r="F88" s="60">
        <f>SUMIF('Sales Register'!C:C, A88, 'Sales Register'!D:D)</f>
        <v>121</v>
      </c>
      <c r="G88" s="60">
        <f t="shared" si="7"/>
        <v>121</v>
      </c>
      <c r="H88" s="60">
        <f t="shared" si="8"/>
        <v>103.092</v>
      </c>
      <c r="I88" s="60">
        <f t="shared" si="9"/>
        <v>17.908000000000001</v>
      </c>
      <c r="J88" s="60">
        <f t="shared" si="10"/>
        <v>0.14800000000000002</v>
      </c>
      <c r="K88" s="35" t="str">
        <f t="shared" si="11"/>
        <v>17%</v>
      </c>
      <c r="M88" s="30">
        <f t="shared" si="12"/>
        <v>0.17370892018779346</v>
      </c>
      <c r="N88" s="34" t="e">
        <f>VLOOKUP(A88, 'Stock Register'!A:F, 6, FALSE)</f>
        <v>#N/A</v>
      </c>
    </row>
    <row r="89" spans="1:14" ht="28.9" hidden="1" customHeight="1" x14ac:dyDescent="0.25">
      <c r="A89" s="205" t="s">
        <v>435</v>
      </c>
      <c r="B89" s="28" t="s">
        <v>225</v>
      </c>
      <c r="C89" s="28">
        <v>1</v>
      </c>
      <c r="D89" s="29">
        <v>0.85199999999999998</v>
      </c>
      <c r="E89" s="190">
        <v>1</v>
      </c>
      <c r="F89" s="60">
        <f>SUMIF('Sales Register'!C:C, A89, 'Sales Register'!D:D)</f>
        <v>59</v>
      </c>
      <c r="G89" s="60">
        <f t="shared" si="7"/>
        <v>59</v>
      </c>
      <c r="H89" s="60">
        <f t="shared" si="8"/>
        <v>50.268000000000001</v>
      </c>
      <c r="I89" s="60">
        <f t="shared" si="9"/>
        <v>8.7319999999999993</v>
      </c>
      <c r="J89" s="60">
        <f t="shared" si="10"/>
        <v>0.14799999999999999</v>
      </c>
      <c r="K89" s="35" t="str">
        <f t="shared" si="11"/>
        <v>17%</v>
      </c>
      <c r="M89" s="30">
        <f t="shared" si="12"/>
        <v>0.17370892018779346</v>
      </c>
      <c r="N89" s="34" t="e">
        <f>VLOOKUP(A89, 'Stock Register'!A:F, 6, FALSE)</f>
        <v>#N/A</v>
      </c>
    </row>
    <row r="90" spans="1:14" ht="28.9" hidden="1" customHeight="1" x14ac:dyDescent="0.25">
      <c r="A90" s="205" t="s">
        <v>84</v>
      </c>
      <c r="B90" s="28" t="s">
        <v>194</v>
      </c>
      <c r="D90" s="29">
        <v>42</v>
      </c>
      <c r="E90" s="190">
        <v>45</v>
      </c>
      <c r="F90" s="60">
        <f>SUMIF('Sales Register'!C:C, A90, 'Sales Register'!D:D)</f>
        <v>1</v>
      </c>
      <c r="G90" s="60">
        <f t="shared" si="7"/>
        <v>45</v>
      </c>
      <c r="H90" s="60">
        <f t="shared" si="8"/>
        <v>42</v>
      </c>
      <c r="I90" s="60">
        <f t="shared" si="9"/>
        <v>3</v>
      </c>
      <c r="J90" s="60">
        <f t="shared" si="10"/>
        <v>6.6666666666666666E-2</v>
      </c>
      <c r="K90" s="35" t="str">
        <f t="shared" si="11"/>
        <v>7%</v>
      </c>
      <c r="M90" s="30">
        <f t="shared" si="12"/>
        <v>7.1428571428571425E-2</v>
      </c>
      <c r="N90" s="34">
        <f>VLOOKUP(A90, 'Stock Register'!A:F, 6, FALSE)</f>
        <v>3</v>
      </c>
    </row>
    <row r="91" spans="1:14" ht="28.9" hidden="1" customHeight="1" x14ac:dyDescent="0.25">
      <c r="A91" s="205" t="s">
        <v>115</v>
      </c>
      <c r="B91" s="28" t="s">
        <v>173</v>
      </c>
      <c r="D91" s="29">
        <v>7.5</v>
      </c>
      <c r="E91" s="190">
        <v>10</v>
      </c>
      <c r="F91" s="60">
        <f>SUMIF('Sales Register'!C:C, A91, 'Sales Register'!D:D)</f>
        <v>2</v>
      </c>
      <c r="G91" s="60">
        <f t="shared" si="7"/>
        <v>20</v>
      </c>
      <c r="H91" s="60">
        <f t="shared" si="8"/>
        <v>15</v>
      </c>
      <c r="I91" s="60">
        <f t="shared" si="9"/>
        <v>5</v>
      </c>
      <c r="J91" s="60">
        <f t="shared" si="10"/>
        <v>0.25</v>
      </c>
      <c r="K91" s="35" t="str">
        <f t="shared" si="11"/>
        <v>33%</v>
      </c>
      <c r="M91" s="30">
        <f t="shared" si="12"/>
        <v>0.33333333333333331</v>
      </c>
      <c r="N91" s="34">
        <f>VLOOKUP(A91, 'Stock Register'!A:F, 6, FALSE)</f>
        <v>8</v>
      </c>
    </row>
    <row r="92" spans="1:14" ht="30" hidden="1" x14ac:dyDescent="0.25">
      <c r="A92" s="205" t="s">
        <v>63</v>
      </c>
      <c r="B92" s="28" t="s">
        <v>179</v>
      </c>
      <c r="D92" s="29">
        <v>3</v>
      </c>
      <c r="E92" s="190">
        <v>4</v>
      </c>
      <c r="F92" s="60">
        <f>SUMIF('Sales Register'!C:C, A92, 'Sales Register'!D:D)</f>
        <v>18</v>
      </c>
      <c r="G92" s="60">
        <f t="shared" si="7"/>
        <v>72</v>
      </c>
      <c r="H92" s="60">
        <f t="shared" si="8"/>
        <v>54</v>
      </c>
      <c r="I92" s="60">
        <f t="shared" si="9"/>
        <v>18</v>
      </c>
      <c r="J92" s="60">
        <f t="shared" si="10"/>
        <v>0.25</v>
      </c>
      <c r="K92" s="35" t="str">
        <f t="shared" si="11"/>
        <v>33%</v>
      </c>
      <c r="M92" s="30">
        <f t="shared" si="12"/>
        <v>0.33333333333333331</v>
      </c>
      <c r="N92" s="34">
        <f>VLOOKUP(A92, 'Stock Register'!A:F, 6, FALSE)</f>
        <v>2</v>
      </c>
    </row>
    <row r="93" spans="1:14" s="75" customFormat="1" ht="30" hidden="1" x14ac:dyDescent="0.25">
      <c r="A93" s="204" t="s">
        <v>376</v>
      </c>
      <c r="B93" s="71" t="s">
        <v>179</v>
      </c>
      <c r="C93" s="71"/>
      <c r="D93" s="72">
        <v>1.5625</v>
      </c>
      <c r="E93" s="191">
        <v>2</v>
      </c>
      <c r="F93" s="74">
        <f>SUMIF('Sales Register'!C:C, A93, 'Sales Register'!D:D)</f>
        <v>35</v>
      </c>
      <c r="G93" s="74">
        <f t="shared" si="7"/>
        <v>70</v>
      </c>
      <c r="H93" s="74">
        <f t="shared" si="8"/>
        <v>54.6875</v>
      </c>
      <c r="I93" s="74">
        <f t="shared" si="9"/>
        <v>15.3125</v>
      </c>
      <c r="J93" s="74">
        <f t="shared" si="10"/>
        <v>0.21875</v>
      </c>
      <c r="K93" s="134" t="str">
        <f t="shared" si="11"/>
        <v>28%</v>
      </c>
      <c r="L93" s="73"/>
      <c r="M93" s="99">
        <f t="shared" si="12"/>
        <v>0.28000000000000003</v>
      </c>
      <c r="N93" s="34" t="e">
        <f>VLOOKUP(A93, 'Stock Register'!A:F, 6, FALSE)</f>
        <v>#N/A</v>
      </c>
    </row>
    <row r="94" spans="1:14" ht="30" hidden="1" x14ac:dyDescent="0.25">
      <c r="A94" s="205" t="s">
        <v>128</v>
      </c>
      <c r="B94" s="28" t="s">
        <v>180</v>
      </c>
      <c r="D94" s="29">
        <v>72</v>
      </c>
      <c r="E94" s="190">
        <v>79</v>
      </c>
      <c r="F94" s="60">
        <f>SUMIF('Sales Register'!C:C, A94, 'Sales Register'!D:D)</f>
        <v>1</v>
      </c>
      <c r="G94" s="60">
        <f t="shared" si="7"/>
        <v>79</v>
      </c>
      <c r="H94" s="60">
        <f t="shared" si="8"/>
        <v>72</v>
      </c>
      <c r="I94" s="60">
        <f t="shared" si="9"/>
        <v>7</v>
      </c>
      <c r="J94" s="60">
        <f t="shared" si="10"/>
        <v>8.8607594936708861E-2</v>
      </c>
      <c r="K94" s="35" t="str">
        <f t="shared" si="11"/>
        <v>9%</v>
      </c>
      <c r="M94" s="30">
        <f t="shared" si="12"/>
        <v>9.7222222222222224E-2</v>
      </c>
      <c r="N94" s="34">
        <f>VLOOKUP(A94, 'Stock Register'!A:F, 6, FALSE)</f>
        <v>1</v>
      </c>
    </row>
    <row r="95" spans="1:14" hidden="1" x14ac:dyDescent="0.25">
      <c r="A95" s="205" t="s">
        <v>116</v>
      </c>
      <c r="B95" s="28" t="s">
        <v>173</v>
      </c>
      <c r="D95" s="29">
        <v>38</v>
      </c>
      <c r="E95" s="190">
        <v>50</v>
      </c>
      <c r="F95" s="60">
        <f>SUMIF('Sales Register'!C:C, A95, 'Sales Register'!D:D)</f>
        <v>0</v>
      </c>
      <c r="G95" s="60">
        <f t="shared" si="7"/>
        <v>0</v>
      </c>
      <c r="H95" s="60">
        <f t="shared" si="8"/>
        <v>0</v>
      </c>
      <c r="I95" s="60">
        <f t="shared" si="9"/>
        <v>0</v>
      </c>
      <c r="J95" s="60">
        <f t="shared" si="10"/>
        <v>0</v>
      </c>
      <c r="K95" s="35" t="str">
        <f t="shared" si="11"/>
        <v>31%</v>
      </c>
      <c r="M95" s="30">
        <f t="shared" si="12"/>
        <v>0.31578947368421051</v>
      </c>
      <c r="N95" s="34">
        <f>VLOOKUP(A95, 'Stock Register'!A:F, 6, FALSE)</f>
        <v>4</v>
      </c>
    </row>
    <row r="96" spans="1:14" hidden="1" x14ac:dyDescent="0.25">
      <c r="A96" s="205" t="s">
        <v>375</v>
      </c>
      <c r="B96" s="28" t="s">
        <v>195</v>
      </c>
      <c r="D96" s="29">
        <v>0.875</v>
      </c>
      <c r="E96" s="190">
        <v>1</v>
      </c>
      <c r="F96" s="60">
        <f>SUMIF('Sales Register'!C:C, A96, 'Sales Register'!D:D)</f>
        <v>253</v>
      </c>
      <c r="G96" s="60">
        <f t="shared" si="7"/>
        <v>253</v>
      </c>
      <c r="H96" s="60">
        <f t="shared" si="8"/>
        <v>221.375</v>
      </c>
      <c r="I96" s="60">
        <f t="shared" si="9"/>
        <v>31.625</v>
      </c>
      <c r="J96" s="60">
        <f t="shared" si="10"/>
        <v>0.125</v>
      </c>
      <c r="K96" s="35" t="str">
        <f t="shared" si="11"/>
        <v>14%</v>
      </c>
      <c r="M96" s="30">
        <f t="shared" si="12"/>
        <v>0.14285714285714285</v>
      </c>
      <c r="N96" s="34">
        <f>VLOOKUP(A96, 'Stock Register'!A:F, 6, FALSE)</f>
        <v>-13</v>
      </c>
    </row>
    <row r="97" spans="1:14" hidden="1" x14ac:dyDescent="0.25">
      <c r="A97" s="205" t="s">
        <v>133</v>
      </c>
      <c r="B97" s="28" t="s">
        <v>187</v>
      </c>
      <c r="D97" s="29">
        <v>9.1666666666666661</v>
      </c>
      <c r="E97" s="190">
        <v>10</v>
      </c>
      <c r="F97" s="60">
        <f>SUMIF('Sales Register'!C:C, A97, 'Sales Register'!D:D)</f>
        <v>8</v>
      </c>
      <c r="G97" s="60">
        <f t="shared" si="7"/>
        <v>80</v>
      </c>
      <c r="H97" s="60">
        <f t="shared" si="8"/>
        <v>73.333333333333329</v>
      </c>
      <c r="I97" s="60">
        <f t="shared" si="9"/>
        <v>6.6666666666666714</v>
      </c>
      <c r="J97" s="60">
        <f t="shared" si="10"/>
        <v>8.3333333333333398E-2</v>
      </c>
      <c r="K97" s="35" t="str">
        <f t="shared" si="11"/>
        <v>9%</v>
      </c>
      <c r="M97" s="30">
        <f t="shared" si="12"/>
        <v>9.0909090909090981E-2</v>
      </c>
      <c r="N97" s="34">
        <f>VLOOKUP(A97, 'Stock Register'!A:F, 6, FALSE)</f>
        <v>4</v>
      </c>
    </row>
    <row r="98" spans="1:14" hidden="1" x14ac:dyDescent="0.25">
      <c r="A98" s="204" t="s">
        <v>374</v>
      </c>
      <c r="B98" s="71" t="s">
        <v>209</v>
      </c>
      <c r="C98" s="71"/>
      <c r="D98" s="72">
        <v>200</v>
      </c>
      <c r="E98" s="191">
        <v>250</v>
      </c>
      <c r="F98" s="74">
        <f>SUMIF('Sales Register'!C:C, A98, 'Sales Register'!D:D)</f>
        <v>1</v>
      </c>
      <c r="G98" s="74">
        <f t="shared" ref="G98:G116" si="13">E98*F98</f>
        <v>250</v>
      </c>
      <c r="H98" s="74">
        <f t="shared" si="8"/>
        <v>200</v>
      </c>
      <c r="I98" s="74">
        <f t="shared" si="9"/>
        <v>50</v>
      </c>
      <c r="J98" s="74">
        <f t="shared" si="10"/>
        <v>0.2</v>
      </c>
      <c r="K98" s="35" t="str">
        <f t="shared" si="11"/>
        <v>25%</v>
      </c>
      <c r="M98" s="30">
        <f t="shared" si="12"/>
        <v>0.25</v>
      </c>
      <c r="N98" s="34" t="e">
        <f>VLOOKUP(A98, 'Stock Register'!A:F, 6, FALSE)</f>
        <v>#N/A</v>
      </c>
    </row>
    <row r="99" spans="1:14" ht="30" hidden="1" x14ac:dyDescent="0.25">
      <c r="A99" s="205" t="s">
        <v>91</v>
      </c>
      <c r="B99" s="28" t="s">
        <v>197</v>
      </c>
      <c r="D99" s="29">
        <v>48</v>
      </c>
      <c r="E99" s="190">
        <v>48</v>
      </c>
      <c r="F99" s="60">
        <f>SUMIF('Sales Register'!C:C, A99, 'Sales Register'!D:D)</f>
        <v>1</v>
      </c>
      <c r="G99" s="60">
        <f t="shared" si="13"/>
        <v>48</v>
      </c>
      <c r="H99" s="60">
        <f t="shared" si="8"/>
        <v>48</v>
      </c>
      <c r="I99" s="60">
        <f t="shared" si="9"/>
        <v>0</v>
      </c>
      <c r="J99" s="60">
        <f t="shared" si="10"/>
        <v>0</v>
      </c>
      <c r="K99" s="35" t="str">
        <f t="shared" si="11"/>
        <v>NO PROFIT</v>
      </c>
      <c r="M99" s="30">
        <f t="shared" si="12"/>
        <v>0</v>
      </c>
      <c r="N99" s="34">
        <f>VLOOKUP(A99, 'Stock Register'!A:F, 6, FALSE)</f>
        <v>1</v>
      </c>
    </row>
    <row r="100" spans="1:14" ht="30" hidden="1" x14ac:dyDescent="0.25">
      <c r="A100" s="205" t="s">
        <v>241</v>
      </c>
      <c r="B100" s="28" t="s">
        <v>197</v>
      </c>
      <c r="D100" s="29">
        <v>44</v>
      </c>
      <c r="E100" s="190">
        <v>48</v>
      </c>
      <c r="F100" s="60">
        <f>SUMIF('Sales Register'!C:C, A100, 'Sales Register'!D:D)</f>
        <v>0</v>
      </c>
      <c r="G100" s="60">
        <f t="shared" si="13"/>
        <v>0</v>
      </c>
      <c r="H100" s="60">
        <f t="shared" si="8"/>
        <v>0</v>
      </c>
      <c r="I100" s="60">
        <f t="shared" si="9"/>
        <v>0</v>
      </c>
      <c r="J100" s="60">
        <f t="shared" si="10"/>
        <v>0</v>
      </c>
      <c r="K100" s="35" t="str">
        <f t="shared" si="11"/>
        <v>9%</v>
      </c>
      <c r="M100" s="30">
        <f t="shared" si="12"/>
        <v>9.0909090909090912E-2</v>
      </c>
      <c r="N100" s="34" t="e">
        <f>VLOOKUP(A100, 'Stock Register'!A:F, 6, FALSE)</f>
        <v>#N/A</v>
      </c>
    </row>
    <row r="101" spans="1:14" s="75" customFormat="1" hidden="1" x14ac:dyDescent="0.25">
      <c r="A101" s="204" t="s">
        <v>360</v>
      </c>
      <c r="B101" s="71" t="s">
        <v>292</v>
      </c>
      <c r="C101" s="71"/>
      <c r="D101" s="72">
        <v>9.16</v>
      </c>
      <c r="E101" s="191">
        <v>10</v>
      </c>
      <c r="F101" s="74">
        <f>SUMIF('Sales Register'!C:C, A101, 'Sales Register'!D:D)</f>
        <v>12</v>
      </c>
      <c r="G101" s="74">
        <f t="shared" si="13"/>
        <v>120</v>
      </c>
      <c r="H101" s="74">
        <f t="shared" si="8"/>
        <v>109.92</v>
      </c>
      <c r="I101" s="74">
        <f t="shared" si="9"/>
        <v>10.079999999999998</v>
      </c>
      <c r="J101" s="74">
        <f t="shared" si="10"/>
        <v>8.3999999999999991E-2</v>
      </c>
      <c r="K101" s="134" t="str">
        <f t="shared" si="11"/>
        <v>9%</v>
      </c>
      <c r="L101" s="73"/>
      <c r="M101" s="99">
        <f t="shared" si="12"/>
        <v>9.170305676855893E-2</v>
      </c>
      <c r="N101" s="73" t="e">
        <f>VLOOKUP(A101, 'Stock Register'!A:F, 6, FALSE)</f>
        <v>#N/A</v>
      </c>
    </row>
    <row r="102" spans="1:14" hidden="1" x14ac:dyDescent="0.25">
      <c r="A102" s="205" t="s">
        <v>356</v>
      </c>
      <c r="B102" s="28" t="s">
        <v>292</v>
      </c>
      <c r="C102" s="28">
        <v>58</v>
      </c>
      <c r="D102" s="29">
        <v>53</v>
      </c>
      <c r="E102" s="190">
        <v>58</v>
      </c>
      <c r="F102" s="60">
        <f>SUMIF('Sales Register'!C:C, A102, 'Sales Register'!D:D)</f>
        <v>4</v>
      </c>
      <c r="G102" s="60">
        <f t="shared" si="13"/>
        <v>232</v>
      </c>
      <c r="H102" s="60">
        <f t="shared" si="8"/>
        <v>212</v>
      </c>
      <c r="I102" s="60">
        <f t="shared" si="9"/>
        <v>20</v>
      </c>
      <c r="J102" s="60">
        <f t="shared" si="10"/>
        <v>8.6206896551724144E-2</v>
      </c>
      <c r="K102" s="35" t="str">
        <f t="shared" si="11"/>
        <v>9%</v>
      </c>
      <c r="L102" s="34">
        <v>58</v>
      </c>
      <c r="M102" s="30">
        <f t="shared" si="12"/>
        <v>9.4339622641509441E-2</v>
      </c>
      <c r="N102" s="34" t="e">
        <f>VLOOKUP(A102, 'Stock Register'!A:F, 6, FALSE)</f>
        <v>#N/A</v>
      </c>
    </row>
    <row r="103" spans="1:14" s="75" customFormat="1" ht="30" hidden="1" x14ac:dyDescent="0.25">
      <c r="A103" s="204" t="s">
        <v>240</v>
      </c>
      <c r="B103" s="71" t="s">
        <v>200</v>
      </c>
      <c r="C103" s="71"/>
      <c r="D103" s="72">
        <v>81</v>
      </c>
      <c r="E103" s="191">
        <v>92</v>
      </c>
      <c r="F103" s="74">
        <f>SUMIF('Sales Register'!C:C, A103, 'Sales Register'!D:D)</f>
        <v>0</v>
      </c>
      <c r="G103" s="74">
        <f t="shared" si="13"/>
        <v>0</v>
      </c>
      <c r="H103" s="74">
        <f t="shared" si="8"/>
        <v>0</v>
      </c>
      <c r="I103" s="74">
        <f t="shared" si="9"/>
        <v>0</v>
      </c>
      <c r="J103" s="74">
        <f t="shared" si="10"/>
        <v>0</v>
      </c>
      <c r="K103" s="134" t="str">
        <f t="shared" si="11"/>
        <v>13%</v>
      </c>
      <c r="L103" s="73"/>
      <c r="M103" s="99">
        <f t="shared" si="12"/>
        <v>0.13580246913580246</v>
      </c>
      <c r="N103" s="73" t="e">
        <f>VLOOKUP(A103, 'Stock Register'!A:F, 6, FALSE)</f>
        <v>#N/A</v>
      </c>
    </row>
    <row r="104" spans="1:14" hidden="1" x14ac:dyDescent="0.25">
      <c r="A104" s="205" t="s">
        <v>346</v>
      </c>
      <c r="B104" s="28" t="s">
        <v>225</v>
      </c>
      <c r="D104" s="29">
        <v>4.6875</v>
      </c>
      <c r="E104" s="190">
        <v>5</v>
      </c>
      <c r="F104" s="60">
        <f>SUMIF('Sales Register'!C:C, A104, 'Sales Register'!D:D)</f>
        <v>35</v>
      </c>
      <c r="G104" s="60">
        <f t="shared" si="13"/>
        <v>175</v>
      </c>
      <c r="H104" s="60">
        <f t="shared" si="8"/>
        <v>164.0625</v>
      </c>
      <c r="I104" s="60">
        <f t="shared" si="9"/>
        <v>10.9375</v>
      </c>
      <c r="J104" s="60">
        <f t="shared" si="10"/>
        <v>6.25E-2</v>
      </c>
      <c r="K104" s="35" t="str">
        <f t="shared" si="11"/>
        <v>6%</v>
      </c>
      <c r="M104" s="30">
        <f t="shared" si="12"/>
        <v>6.6666666666666666E-2</v>
      </c>
      <c r="N104" s="34" t="e">
        <f>VLOOKUP(A104, 'Stock Register'!A:F, 6, FALSE)</f>
        <v>#N/A</v>
      </c>
    </row>
    <row r="105" spans="1:14" s="75" customFormat="1" ht="30" hidden="1" x14ac:dyDescent="0.25">
      <c r="A105" s="204" t="s">
        <v>359</v>
      </c>
      <c r="B105" s="71" t="s">
        <v>219</v>
      </c>
      <c r="C105" s="71"/>
      <c r="D105" s="72">
        <v>190</v>
      </c>
      <c r="E105" s="191">
        <v>210</v>
      </c>
      <c r="F105" s="74">
        <f>SUMIF('Sales Register'!C:C, A105, 'Sales Register'!D:D)</f>
        <v>2</v>
      </c>
      <c r="G105" s="74">
        <f t="shared" si="13"/>
        <v>420</v>
      </c>
      <c r="H105" s="74">
        <f t="shared" si="8"/>
        <v>380</v>
      </c>
      <c r="I105" s="74">
        <f t="shared" si="9"/>
        <v>40</v>
      </c>
      <c r="J105" s="74">
        <f t="shared" si="10"/>
        <v>9.5238095238095233E-2</v>
      </c>
      <c r="K105" s="134" t="str">
        <f t="shared" si="11"/>
        <v>10%</v>
      </c>
      <c r="L105" s="73">
        <v>205</v>
      </c>
      <c r="M105" s="99">
        <f t="shared" si="12"/>
        <v>0.10526315789473684</v>
      </c>
      <c r="N105" s="73" t="e">
        <f>VLOOKUP(A105, 'Stock Register'!A:F, 6, FALSE)</f>
        <v>#N/A</v>
      </c>
    </row>
    <row r="106" spans="1:14" hidden="1" x14ac:dyDescent="0.25">
      <c r="A106" s="205" t="s">
        <v>15</v>
      </c>
      <c r="B106" s="28" t="s">
        <v>174</v>
      </c>
      <c r="D106" s="29">
        <v>9.5</v>
      </c>
      <c r="E106" s="190">
        <v>10</v>
      </c>
      <c r="F106" s="60">
        <f>SUMIF('Sales Register'!C:C, A106, 'Sales Register'!D:D)</f>
        <v>6</v>
      </c>
      <c r="G106" s="60">
        <f t="shared" si="13"/>
        <v>60</v>
      </c>
      <c r="H106" s="60">
        <f t="shared" si="8"/>
        <v>57</v>
      </c>
      <c r="I106" s="60">
        <f t="shared" si="9"/>
        <v>3</v>
      </c>
      <c r="J106" s="60">
        <f t="shared" si="10"/>
        <v>0.05</v>
      </c>
      <c r="K106" s="35" t="str">
        <f t="shared" si="11"/>
        <v>5%</v>
      </c>
      <c r="M106" s="30">
        <f t="shared" si="12"/>
        <v>5.2631578947368418E-2</v>
      </c>
      <c r="N106" s="34">
        <f>VLOOKUP(A106, 'Stock Register'!A:F, 6, FALSE)</f>
        <v>4</v>
      </c>
    </row>
    <row r="107" spans="1:14" hidden="1" x14ac:dyDescent="0.25">
      <c r="A107" s="205" t="s">
        <v>81</v>
      </c>
      <c r="B107" s="28" t="s">
        <v>195</v>
      </c>
      <c r="D107" s="29">
        <v>0.83</v>
      </c>
      <c r="E107" s="190">
        <v>1</v>
      </c>
      <c r="F107" s="60">
        <f>SUMIF('Sales Register'!C:C, A107, 'Sales Register'!D:D)</f>
        <v>85</v>
      </c>
      <c r="G107" s="60">
        <f t="shared" si="13"/>
        <v>85</v>
      </c>
      <c r="H107" s="60">
        <f t="shared" si="8"/>
        <v>70.55</v>
      </c>
      <c r="I107" s="60">
        <f t="shared" si="9"/>
        <v>14.450000000000003</v>
      </c>
      <c r="J107" s="60">
        <f t="shared" si="10"/>
        <v>0.17000000000000004</v>
      </c>
      <c r="K107" s="35" t="str">
        <f t="shared" si="11"/>
        <v>20%</v>
      </c>
      <c r="M107" s="30">
        <f t="shared" si="12"/>
        <v>0.20481927710843378</v>
      </c>
      <c r="N107" s="34">
        <f>VLOOKUP(A107, 'Stock Register'!A:F, 6, FALSE)</f>
        <v>76</v>
      </c>
    </row>
    <row r="108" spans="1:14" hidden="1" x14ac:dyDescent="0.25">
      <c r="A108" s="205" t="s">
        <v>54</v>
      </c>
      <c r="B108" s="28" t="s">
        <v>195</v>
      </c>
      <c r="D108" s="29">
        <v>0.82799999999999996</v>
      </c>
      <c r="E108" s="190">
        <v>1</v>
      </c>
      <c r="F108" s="60">
        <f>SUMIF('Sales Register'!C:C, A108, 'Sales Register'!D:D)</f>
        <v>27</v>
      </c>
      <c r="G108" s="60">
        <f t="shared" si="13"/>
        <v>27</v>
      </c>
      <c r="H108" s="60">
        <f t="shared" si="8"/>
        <v>22.355999999999998</v>
      </c>
      <c r="I108" s="60">
        <f t="shared" si="9"/>
        <v>4.6440000000000019</v>
      </c>
      <c r="J108" s="60">
        <f t="shared" si="10"/>
        <v>0.17200000000000007</v>
      </c>
      <c r="K108" s="35" t="str">
        <f t="shared" si="11"/>
        <v>20%</v>
      </c>
      <c r="M108" s="30">
        <f t="shared" si="12"/>
        <v>0.20772946859903388</v>
      </c>
      <c r="N108" s="34">
        <f>VLOOKUP(A108, 'Stock Register'!A:F, 6, FALSE)</f>
        <v>148</v>
      </c>
    </row>
    <row r="109" spans="1:14" ht="30" hidden="1" x14ac:dyDescent="0.25">
      <c r="A109" s="205" t="s">
        <v>396</v>
      </c>
      <c r="B109" s="28" t="s">
        <v>186</v>
      </c>
      <c r="C109" s="28">
        <v>10</v>
      </c>
      <c r="D109" s="29">
        <v>9.16</v>
      </c>
      <c r="E109" s="190">
        <v>10</v>
      </c>
      <c r="F109" s="60">
        <f>SUMIF('Sales Register'!C:C, A109, 'Sales Register'!D:D)</f>
        <v>4</v>
      </c>
      <c r="G109" s="60">
        <f t="shared" si="13"/>
        <v>40</v>
      </c>
      <c r="H109" s="60">
        <f t="shared" si="8"/>
        <v>36.64</v>
      </c>
      <c r="I109" s="60">
        <f t="shared" si="9"/>
        <v>3.3599999999999994</v>
      </c>
      <c r="J109" s="60">
        <f t="shared" si="10"/>
        <v>8.3999999999999991E-2</v>
      </c>
      <c r="K109" s="35" t="str">
        <f t="shared" si="11"/>
        <v>9%</v>
      </c>
      <c r="M109" s="30">
        <f t="shared" si="12"/>
        <v>9.170305676855893E-2</v>
      </c>
      <c r="N109" s="34" t="e">
        <f>VLOOKUP(A109, 'Stock Register'!A:F, 6, FALSE)</f>
        <v>#N/A</v>
      </c>
    </row>
    <row r="110" spans="1:14" ht="30" hidden="1" x14ac:dyDescent="0.25">
      <c r="A110" s="205" t="s">
        <v>70</v>
      </c>
      <c r="B110" s="28" t="s">
        <v>186</v>
      </c>
      <c r="C110" s="28">
        <v>5</v>
      </c>
      <c r="D110" s="29">
        <v>4.58</v>
      </c>
      <c r="E110" s="190">
        <v>5</v>
      </c>
      <c r="F110" s="60">
        <f>SUMIF('Sales Register'!C:C, A110, 'Sales Register'!D:D)</f>
        <v>6</v>
      </c>
      <c r="G110" s="60">
        <f t="shared" si="13"/>
        <v>30</v>
      </c>
      <c r="H110" s="60">
        <f t="shared" si="8"/>
        <v>27.48</v>
      </c>
      <c r="I110" s="60">
        <f t="shared" si="9"/>
        <v>2.5199999999999996</v>
      </c>
      <c r="J110" s="60">
        <f t="shared" si="10"/>
        <v>8.3999999999999991E-2</v>
      </c>
      <c r="K110" s="35" t="str">
        <f t="shared" si="11"/>
        <v>9%</v>
      </c>
      <c r="M110" s="30">
        <f t="shared" si="12"/>
        <v>9.170305676855893E-2</v>
      </c>
      <c r="N110" s="34">
        <f>VLOOKUP(A110, 'Stock Register'!A:F, 6, FALSE)</f>
        <v>0</v>
      </c>
    </row>
    <row r="111" spans="1:14" ht="30" hidden="1" x14ac:dyDescent="0.25">
      <c r="A111" s="205" t="s">
        <v>136</v>
      </c>
      <c r="B111" s="28" t="s">
        <v>184</v>
      </c>
      <c r="D111" s="29">
        <v>46</v>
      </c>
      <c r="E111" s="190">
        <v>50</v>
      </c>
      <c r="F111" s="60">
        <f>SUMIF('Sales Register'!C:C, A111, 'Sales Register'!D:D)</f>
        <v>3</v>
      </c>
      <c r="G111" s="60">
        <f t="shared" si="13"/>
        <v>150</v>
      </c>
      <c r="H111" s="60">
        <f t="shared" si="8"/>
        <v>138</v>
      </c>
      <c r="I111" s="60">
        <f t="shared" si="9"/>
        <v>12</v>
      </c>
      <c r="J111" s="60">
        <f t="shared" si="10"/>
        <v>0.08</v>
      </c>
      <c r="K111" s="35" t="str">
        <f t="shared" si="11"/>
        <v>8%</v>
      </c>
      <c r="M111" s="30">
        <f t="shared" si="12"/>
        <v>8.6956521739130432E-2</v>
      </c>
      <c r="N111" s="34">
        <f>VLOOKUP(A111, 'Stock Register'!A:F, 6, FALSE)</f>
        <v>0</v>
      </c>
    </row>
    <row r="112" spans="1:14" ht="30" hidden="1" x14ac:dyDescent="0.25">
      <c r="A112" s="205" t="s">
        <v>108</v>
      </c>
      <c r="B112" s="28" t="s">
        <v>184</v>
      </c>
      <c r="D112" s="29">
        <v>22</v>
      </c>
      <c r="E112" s="190">
        <v>24</v>
      </c>
      <c r="F112" s="60">
        <f>SUMIF('Sales Register'!C:C, A112, 'Sales Register'!D:D)</f>
        <v>1</v>
      </c>
      <c r="G112" s="60">
        <f t="shared" si="13"/>
        <v>24</v>
      </c>
      <c r="H112" s="60">
        <f t="shared" si="8"/>
        <v>22</v>
      </c>
      <c r="I112" s="60">
        <f t="shared" si="9"/>
        <v>2</v>
      </c>
      <c r="J112" s="60">
        <f t="shared" si="10"/>
        <v>8.3333333333333329E-2</v>
      </c>
      <c r="K112" s="35" t="str">
        <f t="shared" si="11"/>
        <v>9%</v>
      </c>
      <c r="M112" s="30">
        <f t="shared" si="12"/>
        <v>9.0909090909090912E-2</v>
      </c>
      <c r="N112" s="34">
        <f>VLOOKUP(A112, 'Stock Register'!A:F, 6, FALSE)</f>
        <v>1</v>
      </c>
    </row>
    <row r="113" spans="1:14" s="75" customFormat="1" ht="30" hidden="1" x14ac:dyDescent="0.25">
      <c r="A113" s="204" t="s">
        <v>373</v>
      </c>
      <c r="B113" s="71" t="s">
        <v>184</v>
      </c>
      <c r="C113" s="71"/>
      <c r="D113" s="72">
        <v>50</v>
      </c>
      <c r="E113" s="191">
        <v>56</v>
      </c>
      <c r="F113" s="74">
        <f>SUMIF('Sales Register'!C:C, A113, 'Sales Register'!D:D)</f>
        <v>1</v>
      </c>
      <c r="G113" s="74">
        <f t="shared" si="13"/>
        <v>56</v>
      </c>
      <c r="H113" s="74">
        <f t="shared" si="8"/>
        <v>50</v>
      </c>
      <c r="I113" s="74">
        <f t="shared" si="9"/>
        <v>6</v>
      </c>
      <c r="J113" s="74">
        <f t="shared" si="10"/>
        <v>0.10714285714285714</v>
      </c>
      <c r="K113" s="134" t="str">
        <f t="shared" si="11"/>
        <v>12%</v>
      </c>
      <c r="L113" s="73"/>
      <c r="M113" s="99">
        <f t="shared" si="12"/>
        <v>0.12</v>
      </c>
      <c r="N113" s="73" t="e">
        <f>VLOOKUP(A113, 'Stock Register'!A:F, 6, FALSE)</f>
        <v>#N/A</v>
      </c>
    </row>
    <row r="114" spans="1:14" hidden="1" x14ac:dyDescent="0.25">
      <c r="A114" s="205" t="s">
        <v>117</v>
      </c>
      <c r="B114" s="28" t="s">
        <v>173</v>
      </c>
      <c r="D114" s="29">
        <v>7.5</v>
      </c>
      <c r="E114" s="190">
        <v>10</v>
      </c>
      <c r="F114" s="60">
        <f>SUMIF('Sales Register'!C:C, A114, 'Sales Register'!D:D)</f>
        <v>16</v>
      </c>
      <c r="G114" s="60">
        <f t="shared" si="13"/>
        <v>160</v>
      </c>
      <c r="H114" s="60">
        <f t="shared" si="8"/>
        <v>120</v>
      </c>
      <c r="I114" s="60">
        <f t="shared" si="9"/>
        <v>40</v>
      </c>
      <c r="J114" s="60">
        <f t="shared" si="10"/>
        <v>0.25</v>
      </c>
      <c r="K114" s="35" t="str">
        <f t="shared" si="11"/>
        <v>33%</v>
      </c>
      <c r="M114" s="30">
        <f t="shared" si="12"/>
        <v>0.33333333333333331</v>
      </c>
      <c r="N114" s="34">
        <f>VLOOKUP(A114, 'Stock Register'!A:F, 6, FALSE)</f>
        <v>44</v>
      </c>
    </row>
    <row r="115" spans="1:14" ht="30" hidden="1" x14ac:dyDescent="0.25">
      <c r="A115" s="205" t="s">
        <v>347</v>
      </c>
      <c r="B115" s="28" t="s">
        <v>210</v>
      </c>
      <c r="D115" s="29">
        <v>9.545454545454545</v>
      </c>
      <c r="E115" s="190">
        <v>10</v>
      </c>
      <c r="F115" s="60">
        <f>SUMIF('Sales Register'!C:C, A115, 'Sales Register'!D:D)</f>
        <v>20</v>
      </c>
      <c r="G115" s="60">
        <f t="shared" si="13"/>
        <v>200</v>
      </c>
      <c r="H115" s="60">
        <f t="shared" si="8"/>
        <v>190.90909090909091</v>
      </c>
      <c r="I115" s="60">
        <f t="shared" si="9"/>
        <v>9.0909090909090935</v>
      </c>
      <c r="J115" s="60">
        <f t="shared" si="10"/>
        <v>4.545454545454547E-2</v>
      </c>
      <c r="K115" s="35" t="str">
        <f t="shared" si="11"/>
        <v>4%</v>
      </c>
      <c r="M115" s="30">
        <f t="shared" si="12"/>
        <v>4.7619047619047672E-2</v>
      </c>
      <c r="N115" s="34" t="e">
        <f>VLOOKUP(A115, 'Stock Register'!A:F, 6, FALSE)</f>
        <v>#N/A</v>
      </c>
    </row>
    <row r="116" spans="1:14" hidden="1" x14ac:dyDescent="0.25">
      <c r="A116" s="205" t="s">
        <v>349</v>
      </c>
      <c r="D116" s="29">
        <v>92</v>
      </c>
      <c r="E116" s="190">
        <v>99</v>
      </c>
      <c r="F116" s="60">
        <f>SUMIF('Sales Register'!C:C, A116, 'Sales Register'!D:D)</f>
        <v>1</v>
      </c>
      <c r="G116" s="60">
        <f t="shared" si="13"/>
        <v>99</v>
      </c>
      <c r="H116" s="60">
        <f t="shared" si="8"/>
        <v>92</v>
      </c>
      <c r="I116" s="60">
        <f t="shared" si="9"/>
        <v>7</v>
      </c>
      <c r="J116" s="60">
        <f t="shared" si="10"/>
        <v>7.0707070707070704E-2</v>
      </c>
      <c r="K116" s="35" t="str">
        <f t="shared" si="11"/>
        <v>7%</v>
      </c>
      <c r="M116" s="30">
        <f t="shared" si="12"/>
        <v>7.6086956521739135E-2</v>
      </c>
      <c r="N116" s="34" t="e">
        <f>VLOOKUP(A116, 'Stock Register'!A:F, 6, FALSE)</f>
        <v>#N/A</v>
      </c>
    </row>
    <row r="117" spans="1:14" hidden="1" x14ac:dyDescent="0.25">
      <c r="A117" s="205" t="s">
        <v>40</v>
      </c>
      <c r="B117" s="28" t="s">
        <v>231</v>
      </c>
      <c r="D117" s="29">
        <v>220</v>
      </c>
      <c r="E117" s="190">
        <v>240</v>
      </c>
      <c r="F117" s="60">
        <f>SUMIF('Sales Register'!C:C, A117, 'Sales Register'!D:D)</f>
        <v>2</v>
      </c>
      <c r="G117" s="60">
        <v>235</v>
      </c>
      <c r="H117" s="60">
        <f t="shared" si="8"/>
        <v>440</v>
      </c>
      <c r="I117" s="60">
        <f t="shared" si="9"/>
        <v>-205</v>
      </c>
      <c r="J117" s="60">
        <f t="shared" si="10"/>
        <v>-0.87234042553191493</v>
      </c>
      <c r="K117" s="35" t="str">
        <f t="shared" si="11"/>
        <v>9%</v>
      </c>
      <c r="M117" s="30">
        <f t="shared" si="12"/>
        <v>9.0909090909090912E-2</v>
      </c>
      <c r="N117" s="34">
        <f>VLOOKUP(A117, 'Stock Register'!A:F, 6, FALSE)</f>
        <v>0</v>
      </c>
    </row>
    <row r="118" spans="1:14" s="75" customFormat="1" ht="30" hidden="1" x14ac:dyDescent="0.25">
      <c r="A118" s="204" t="s">
        <v>377</v>
      </c>
      <c r="B118" s="71" t="s">
        <v>293</v>
      </c>
      <c r="C118" s="71">
        <v>10</v>
      </c>
      <c r="D118" s="72">
        <v>8.33</v>
      </c>
      <c r="E118" s="191">
        <v>10</v>
      </c>
      <c r="F118" s="74">
        <f>SUMIF('Sales Register'!C:C, A118, 'Sales Register'!D:D)</f>
        <v>45</v>
      </c>
      <c r="G118" s="74">
        <f t="shared" ref="G118:G181" si="14">E118*F118</f>
        <v>450</v>
      </c>
      <c r="H118" s="74">
        <f t="shared" si="8"/>
        <v>374.85</v>
      </c>
      <c r="I118" s="74">
        <f t="shared" si="9"/>
        <v>75.149999999999977</v>
      </c>
      <c r="J118" s="74">
        <f t="shared" si="10"/>
        <v>0.16699999999999995</v>
      </c>
      <c r="K118" s="134" t="str">
        <f t="shared" si="11"/>
        <v>20%</v>
      </c>
      <c r="L118" s="73">
        <v>10</v>
      </c>
      <c r="M118" s="99">
        <f t="shared" si="12"/>
        <v>0.20048019207683071</v>
      </c>
      <c r="N118" s="73" t="e">
        <f>VLOOKUP(A118, 'Stock Register'!A:F, 6, FALSE)</f>
        <v>#N/A</v>
      </c>
    </row>
    <row r="119" spans="1:14" hidden="1" x14ac:dyDescent="0.25">
      <c r="A119" s="205" t="s">
        <v>137</v>
      </c>
      <c r="B119" s="28" t="s">
        <v>203</v>
      </c>
      <c r="D119" s="29">
        <v>27</v>
      </c>
      <c r="E119" s="190">
        <v>30</v>
      </c>
      <c r="F119" s="60">
        <f>SUMIF('Sales Register'!C:C, A119, 'Sales Register'!D:D)</f>
        <v>1</v>
      </c>
      <c r="G119" s="60">
        <f t="shared" si="14"/>
        <v>30</v>
      </c>
      <c r="H119" s="60">
        <f t="shared" si="8"/>
        <v>27</v>
      </c>
      <c r="I119" s="60">
        <f t="shared" si="9"/>
        <v>3</v>
      </c>
      <c r="J119" s="60">
        <f t="shared" si="10"/>
        <v>0.1</v>
      </c>
      <c r="K119" s="35" t="str">
        <f t="shared" si="11"/>
        <v>11%</v>
      </c>
      <c r="M119" s="30">
        <f t="shared" si="12"/>
        <v>0.1111111111111111</v>
      </c>
      <c r="N119" s="34">
        <f>VLOOKUP(A119, 'Stock Register'!A:F, 6, FALSE)</f>
        <v>2</v>
      </c>
    </row>
    <row r="120" spans="1:14" hidden="1" x14ac:dyDescent="0.25">
      <c r="A120" s="205" t="s">
        <v>380</v>
      </c>
      <c r="B120" s="28" t="s">
        <v>184</v>
      </c>
      <c r="D120" s="29">
        <v>9</v>
      </c>
      <c r="E120" s="190">
        <v>10</v>
      </c>
      <c r="F120" s="60">
        <f>SUMIF('Sales Register'!C:C, A120, 'Sales Register'!D:D)</f>
        <v>2</v>
      </c>
      <c r="G120" s="60">
        <f t="shared" si="14"/>
        <v>20</v>
      </c>
      <c r="H120" s="60">
        <f t="shared" si="8"/>
        <v>18</v>
      </c>
      <c r="I120" s="60">
        <f t="shared" si="9"/>
        <v>2</v>
      </c>
      <c r="J120" s="60">
        <f t="shared" si="10"/>
        <v>0.1</v>
      </c>
      <c r="K120" s="35" t="str">
        <f t="shared" si="11"/>
        <v>11%</v>
      </c>
      <c r="M120" s="30">
        <f t="shared" si="12"/>
        <v>0.1111111111111111</v>
      </c>
      <c r="N120" s="34" t="e">
        <f>VLOOKUP(A120, 'Stock Register'!A:F, 6, FALSE)</f>
        <v>#N/A</v>
      </c>
    </row>
    <row r="121" spans="1:14" hidden="1" x14ac:dyDescent="0.25">
      <c r="A121" s="205" t="s">
        <v>79</v>
      </c>
      <c r="B121" s="28" t="s">
        <v>175</v>
      </c>
      <c r="D121" s="29">
        <v>40</v>
      </c>
      <c r="E121" s="190">
        <v>50</v>
      </c>
      <c r="F121" s="60">
        <f>SUMIF('Sales Register'!C:C, A121, 'Sales Register'!D:D)</f>
        <v>4</v>
      </c>
      <c r="G121" s="60">
        <f t="shared" si="14"/>
        <v>200</v>
      </c>
      <c r="H121" s="60">
        <f t="shared" si="8"/>
        <v>160</v>
      </c>
      <c r="I121" s="60">
        <f t="shared" si="9"/>
        <v>40</v>
      </c>
      <c r="J121" s="60">
        <f t="shared" si="10"/>
        <v>0.2</v>
      </c>
      <c r="K121" s="35" t="str">
        <f t="shared" si="11"/>
        <v>25%</v>
      </c>
      <c r="M121" s="30">
        <f t="shared" si="12"/>
        <v>0.25</v>
      </c>
      <c r="N121" s="34">
        <f>VLOOKUP(A121, 'Stock Register'!A:F, 6, FALSE)</f>
        <v>2</v>
      </c>
    </row>
    <row r="122" spans="1:14" ht="30" hidden="1" x14ac:dyDescent="0.25">
      <c r="A122" s="205" t="s">
        <v>97</v>
      </c>
      <c r="B122" s="28" t="s">
        <v>232</v>
      </c>
      <c r="C122" s="28">
        <v>38</v>
      </c>
      <c r="D122" s="29">
        <v>28</v>
      </c>
      <c r="E122" s="190">
        <v>35</v>
      </c>
      <c r="F122" s="60">
        <f>SUMIF('Sales Register'!C:C, A122, 'Sales Register'!D:D)</f>
        <v>7</v>
      </c>
      <c r="G122" s="60">
        <f t="shared" si="14"/>
        <v>245</v>
      </c>
      <c r="H122" s="60">
        <f t="shared" si="8"/>
        <v>196</v>
      </c>
      <c r="I122" s="60">
        <f t="shared" si="9"/>
        <v>49</v>
      </c>
      <c r="J122" s="60">
        <f t="shared" si="10"/>
        <v>0.2</v>
      </c>
      <c r="K122" s="35" t="str">
        <f t="shared" si="11"/>
        <v>25%</v>
      </c>
      <c r="M122" s="30">
        <f t="shared" si="12"/>
        <v>0.25</v>
      </c>
      <c r="N122" s="34">
        <f>VLOOKUP(A122, 'Stock Register'!A:F, 6, FALSE)</f>
        <v>3</v>
      </c>
    </row>
    <row r="123" spans="1:14" ht="30" hidden="1" x14ac:dyDescent="0.25">
      <c r="A123" s="205" t="s">
        <v>99</v>
      </c>
      <c r="B123" s="28" t="s">
        <v>232</v>
      </c>
      <c r="D123" s="29">
        <v>5.38</v>
      </c>
      <c r="E123" s="190">
        <v>9</v>
      </c>
      <c r="F123" s="60">
        <f>SUMIF('Sales Register'!C:C, A123, 'Sales Register'!D:D)</f>
        <v>8</v>
      </c>
      <c r="G123" s="60">
        <f t="shared" si="14"/>
        <v>72</v>
      </c>
      <c r="H123" s="60">
        <f t="shared" si="8"/>
        <v>43.04</v>
      </c>
      <c r="I123" s="60">
        <f t="shared" si="9"/>
        <v>28.96</v>
      </c>
      <c r="J123" s="60">
        <f t="shared" si="10"/>
        <v>0.40222222222222226</v>
      </c>
      <c r="K123" s="35" t="str">
        <f t="shared" si="11"/>
        <v>67%</v>
      </c>
      <c r="M123" s="30">
        <f t="shared" si="12"/>
        <v>0.67286245353159857</v>
      </c>
      <c r="N123" s="34">
        <f>VLOOKUP(A123, 'Stock Register'!A:F, 6, FALSE)</f>
        <v>18</v>
      </c>
    </row>
    <row r="124" spans="1:14" ht="30" hidden="1" x14ac:dyDescent="0.25">
      <c r="A124" s="205" t="s">
        <v>96</v>
      </c>
      <c r="B124" s="28" t="s">
        <v>232</v>
      </c>
      <c r="C124" s="28">
        <v>90</v>
      </c>
      <c r="D124" s="29">
        <v>70</v>
      </c>
      <c r="E124" s="190">
        <v>88</v>
      </c>
      <c r="F124" s="60">
        <f>SUMIF('Sales Register'!C:C, A124, 'Sales Register'!D:D)</f>
        <v>2</v>
      </c>
      <c r="G124" s="60">
        <f t="shared" si="14"/>
        <v>176</v>
      </c>
      <c r="H124" s="60">
        <f t="shared" si="8"/>
        <v>140</v>
      </c>
      <c r="I124" s="60">
        <f t="shared" si="9"/>
        <v>36</v>
      </c>
      <c r="J124" s="60">
        <f t="shared" si="10"/>
        <v>0.20454545454545456</v>
      </c>
      <c r="K124" s="35" t="str">
        <f t="shared" si="11"/>
        <v>25%</v>
      </c>
      <c r="L124" s="34">
        <v>88</v>
      </c>
      <c r="M124" s="30">
        <f t="shared" si="12"/>
        <v>0.25714285714285712</v>
      </c>
      <c r="N124" s="34">
        <f>VLOOKUP(A124, 'Stock Register'!A:F, 6, FALSE)</f>
        <v>2</v>
      </c>
    </row>
    <row r="125" spans="1:14" ht="30" hidden="1" x14ac:dyDescent="0.25">
      <c r="A125" s="205" t="s">
        <v>98</v>
      </c>
      <c r="B125" s="28" t="s">
        <v>232</v>
      </c>
      <c r="D125" s="29">
        <v>11.2</v>
      </c>
      <c r="E125" s="190">
        <v>19</v>
      </c>
      <c r="F125" s="60">
        <f>SUMIF('Sales Register'!C:C, A125, 'Sales Register'!D:D)</f>
        <v>9</v>
      </c>
      <c r="G125" s="60">
        <f t="shared" si="14"/>
        <v>171</v>
      </c>
      <c r="H125" s="60">
        <f t="shared" si="8"/>
        <v>100.8</v>
      </c>
      <c r="I125" s="60">
        <f t="shared" si="9"/>
        <v>70.2</v>
      </c>
      <c r="J125" s="60">
        <f t="shared" si="10"/>
        <v>0.41052631578947368</v>
      </c>
      <c r="K125" s="35" t="str">
        <f t="shared" si="11"/>
        <v>69%</v>
      </c>
      <c r="M125" s="30">
        <f t="shared" si="12"/>
        <v>0.69642857142857151</v>
      </c>
      <c r="N125" s="34">
        <f>VLOOKUP(A125, 'Stock Register'!A:F, 6, FALSE)</f>
        <v>16</v>
      </c>
    </row>
    <row r="126" spans="1:14" ht="30" hidden="1" x14ac:dyDescent="0.25">
      <c r="A126" s="205" t="s">
        <v>142</v>
      </c>
      <c r="B126" s="28" t="s">
        <v>232</v>
      </c>
      <c r="C126" s="28">
        <v>160</v>
      </c>
      <c r="D126" s="29">
        <v>130</v>
      </c>
      <c r="E126" s="190">
        <v>160</v>
      </c>
      <c r="F126" s="60">
        <f>SUMIF('Sales Register'!C:C, A126, 'Sales Register'!D:D)</f>
        <v>2</v>
      </c>
      <c r="G126" s="60">
        <f t="shared" si="14"/>
        <v>320</v>
      </c>
      <c r="H126" s="60">
        <f t="shared" si="8"/>
        <v>260</v>
      </c>
      <c r="I126" s="60">
        <f t="shared" si="9"/>
        <v>60</v>
      </c>
      <c r="J126" s="60">
        <f t="shared" si="10"/>
        <v>0.1875</v>
      </c>
      <c r="K126" s="35" t="str">
        <f t="shared" si="11"/>
        <v>23%</v>
      </c>
      <c r="M126" s="30">
        <f t="shared" si="12"/>
        <v>0.23076923076923078</v>
      </c>
      <c r="N126" s="34">
        <f>VLOOKUP(A126, 'Stock Register'!A:F, 6, FALSE)</f>
        <v>1</v>
      </c>
    </row>
    <row r="127" spans="1:14" ht="30" hidden="1" x14ac:dyDescent="0.25">
      <c r="A127" s="205" t="s">
        <v>101</v>
      </c>
      <c r="B127" s="28" t="s">
        <v>232</v>
      </c>
      <c r="D127" s="29">
        <v>47</v>
      </c>
      <c r="E127" s="190">
        <v>58</v>
      </c>
      <c r="F127" s="60">
        <f>SUMIF('Sales Register'!C:C, A127, 'Sales Register'!D:D)</f>
        <v>8</v>
      </c>
      <c r="G127" s="60">
        <f t="shared" si="14"/>
        <v>464</v>
      </c>
      <c r="H127" s="60">
        <f t="shared" si="8"/>
        <v>376</v>
      </c>
      <c r="I127" s="60">
        <f t="shared" si="9"/>
        <v>88</v>
      </c>
      <c r="J127" s="60">
        <f t="shared" si="10"/>
        <v>0.18965517241379309</v>
      </c>
      <c r="K127" s="35" t="str">
        <f t="shared" si="11"/>
        <v>23%</v>
      </c>
      <c r="M127" s="30">
        <f t="shared" si="12"/>
        <v>0.23404255319148937</v>
      </c>
      <c r="N127" s="34">
        <f>VLOOKUP(A127, 'Stock Register'!A:F, 6, FALSE)</f>
        <v>2</v>
      </c>
    </row>
    <row r="128" spans="1:14" ht="30" hidden="1" x14ac:dyDescent="0.25">
      <c r="A128" s="205" t="s">
        <v>103</v>
      </c>
      <c r="B128" s="28" t="s">
        <v>232</v>
      </c>
      <c r="D128" s="29">
        <v>9.0299999999999994</v>
      </c>
      <c r="E128" s="190">
        <v>13.5</v>
      </c>
      <c r="F128" s="60">
        <f>SUMIF('Sales Register'!C:C, A128, 'Sales Register'!D:D)</f>
        <v>7</v>
      </c>
      <c r="G128" s="60">
        <f t="shared" si="14"/>
        <v>94.5</v>
      </c>
      <c r="H128" s="60">
        <f t="shared" si="8"/>
        <v>63.209999999999994</v>
      </c>
      <c r="I128" s="60">
        <f t="shared" si="9"/>
        <v>31.290000000000006</v>
      </c>
      <c r="J128" s="60">
        <f t="shared" si="10"/>
        <v>0.33111111111111119</v>
      </c>
      <c r="K128" s="35" t="str">
        <f t="shared" si="11"/>
        <v>49%</v>
      </c>
      <c r="M128" s="30">
        <f t="shared" si="12"/>
        <v>0.49501661129568114</v>
      </c>
      <c r="N128" s="34">
        <f>VLOOKUP(A128, 'Stock Register'!A:F, 6, FALSE)</f>
        <v>19</v>
      </c>
    </row>
    <row r="129" spans="1:14" ht="30" hidden="1" x14ac:dyDescent="0.25">
      <c r="A129" s="205" t="s">
        <v>100</v>
      </c>
      <c r="B129" s="28" t="s">
        <v>232</v>
      </c>
      <c r="D129" s="29">
        <v>117.5</v>
      </c>
      <c r="E129" s="190">
        <v>140</v>
      </c>
      <c r="F129" s="60">
        <f>SUMIF('Sales Register'!C:C, A129, 'Sales Register'!D:D)</f>
        <v>2</v>
      </c>
      <c r="G129" s="60">
        <f t="shared" si="14"/>
        <v>280</v>
      </c>
      <c r="H129" s="60">
        <f t="shared" si="8"/>
        <v>235</v>
      </c>
      <c r="I129" s="60">
        <f t="shared" si="9"/>
        <v>45</v>
      </c>
      <c r="J129" s="60">
        <f t="shared" si="10"/>
        <v>0.16071428571428573</v>
      </c>
      <c r="K129" s="35" t="str">
        <f t="shared" si="11"/>
        <v>19%</v>
      </c>
      <c r="M129" s="30">
        <f t="shared" si="12"/>
        <v>0.19148936170212766</v>
      </c>
      <c r="N129" s="34">
        <f>VLOOKUP(A129, 'Stock Register'!A:F, 6, FALSE)</f>
        <v>2</v>
      </c>
    </row>
    <row r="130" spans="1:14" ht="30" hidden="1" x14ac:dyDescent="0.25">
      <c r="A130" s="205" t="s">
        <v>102</v>
      </c>
      <c r="B130" s="28" t="s">
        <v>232</v>
      </c>
      <c r="D130" s="29">
        <v>18.8</v>
      </c>
      <c r="E130" s="190">
        <v>25</v>
      </c>
      <c r="F130" s="60">
        <f>SUMIF('Sales Register'!C:C, A130, 'Sales Register'!D:D)</f>
        <v>17</v>
      </c>
      <c r="G130" s="60">
        <f t="shared" si="14"/>
        <v>425</v>
      </c>
      <c r="H130" s="60">
        <f t="shared" ref="H130:H193" si="15">D130*F130</f>
        <v>319.60000000000002</v>
      </c>
      <c r="I130" s="60">
        <f t="shared" ref="I130:I193" si="16">G130-H130</f>
        <v>105.39999999999998</v>
      </c>
      <c r="J130" s="60">
        <f t="shared" ref="J130:J193" si="17">IF(G130=0,0,I130/G130)</f>
        <v>0.24799999999999994</v>
      </c>
      <c r="K130" s="35" t="str">
        <f t="shared" si="11"/>
        <v>32%</v>
      </c>
      <c r="M130" s="30">
        <f t="shared" si="12"/>
        <v>0.32978723404255317</v>
      </c>
      <c r="N130" s="34">
        <f>VLOOKUP(A130, 'Stock Register'!A:F, 6, FALSE)</f>
        <v>8</v>
      </c>
    </row>
    <row r="131" spans="1:14" ht="30" hidden="1" x14ac:dyDescent="0.25">
      <c r="A131" s="205" t="s">
        <v>93</v>
      </c>
      <c r="B131" s="28" t="s">
        <v>232</v>
      </c>
      <c r="C131" s="28">
        <v>38</v>
      </c>
      <c r="D131" s="29">
        <v>27</v>
      </c>
      <c r="E131" s="190">
        <v>35</v>
      </c>
      <c r="F131" s="60">
        <f>SUMIF('Sales Register'!C:C, A131, 'Sales Register'!D:D)</f>
        <v>8</v>
      </c>
      <c r="G131" s="60">
        <f t="shared" si="14"/>
        <v>280</v>
      </c>
      <c r="H131" s="60">
        <f t="shared" si="15"/>
        <v>216</v>
      </c>
      <c r="I131" s="60">
        <f t="shared" si="16"/>
        <v>64</v>
      </c>
      <c r="J131" s="60">
        <f t="shared" si="17"/>
        <v>0.22857142857142856</v>
      </c>
      <c r="K131" s="35" t="str">
        <f t="shared" ref="K131:K194" si="18">IF(E131&lt;=D131, "NO PROFIT", IF((E131-D131)/D131 &gt;= 1, "100% or More", TEXT(_xlfn.FLOOR.MATH((E131-D131)/D131, 0.01), "0%")))</f>
        <v>29%</v>
      </c>
      <c r="L131" s="34">
        <v>35</v>
      </c>
      <c r="M131" s="30">
        <f t="shared" ref="M131:M194" si="19">IF(D131=0, 0, (E131-D131)/D131)</f>
        <v>0.29629629629629628</v>
      </c>
      <c r="N131" s="34">
        <f>VLOOKUP(A131, 'Stock Register'!A:F, 6, FALSE)</f>
        <v>2</v>
      </c>
    </row>
    <row r="132" spans="1:14" ht="30" hidden="1" x14ac:dyDescent="0.25">
      <c r="A132" s="205" t="s">
        <v>95</v>
      </c>
      <c r="B132" s="28" t="s">
        <v>232</v>
      </c>
      <c r="C132" s="28">
        <v>9</v>
      </c>
      <c r="D132" s="29">
        <v>5.19</v>
      </c>
      <c r="E132" s="190">
        <v>9</v>
      </c>
      <c r="F132" s="60">
        <f>SUMIF('Sales Register'!C:C, A132, 'Sales Register'!D:D)</f>
        <v>12</v>
      </c>
      <c r="G132" s="60">
        <f t="shared" si="14"/>
        <v>108</v>
      </c>
      <c r="H132" s="60">
        <f t="shared" si="15"/>
        <v>62.28</v>
      </c>
      <c r="I132" s="60">
        <f t="shared" si="16"/>
        <v>45.72</v>
      </c>
      <c r="J132" s="60">
        <f t="shared" si="17"/>
        <v>0.42333333333333334</v>
      </c>
      <c r="K132" s="35" t="str">
        <f t="shared" si="18"/>
        <v>73%</v>
      </c>
      <c r="M132" s="30">
        <f t="shared" si="19"/>
        <v>0.73410404624277448</v>
      </c>
      <c r="N132" s="34">
        <f>VLOOKUP(A132, 'Stock Register'!A:F, 6, FALSE)</f>
        <v>14</v>
      </c>
    </row>
    <row r="133" spans="1:14" s="75" customFormat="1" ht="30" hidden="1" x14ac:dyDescent="0.25">
      <c r="A133" s="204" t="s">
        <v>33</v>
      </c>
      <c r="B133" s="71" t="s">
        <v>232</v>
      </c>
      <c r="C133" s="71">
        <v>90</v>
      </c>
      <c r="D133" s="72">
        <v>67.5</v>
      </c>
      <c r="E133" s="191">
        <v>82</v>
      </c>
      <c r="F133" s="74">
        <f>SUMIF('Sales Register'!C:C, A133, 'Sales Register'!D:D)</f>
        <v>5</v>
      </c>
      <c r="G133" s="74">
        <f t="shared" si="14"/>
        <v>410</v>
      </c>
      <c r="H133" s="74">
        <f t="shared" si="15"/>
        <v>337.5</v>
      </c>
      <c r="I133" s="74">
        <f t="shared" si="16"/>
        <v>72.5</v>
      </c>
      <c r="J133" s="74">
        <f t="shared" si="17"/>
        <v>0.17682926829268292</v>
      </c>
      <c r="K133" s="134" t="str">
        <f t="shared" si="18"/>
        <v>21%</v>
      </c>
      <c r="L133" s="73">
        <v>82</v>
      </c>
      <c r="M133" s="99">
        <f t="shared" si="19"/>
        <v>0.21481481481481482</v>
      </c>
      <c r="N133" s="73">
        <f>VLOOKUP(A133, 'Stock Register'!A:F, 6, FALSE)</f>
        <v>-1</v>
      </c>
    </row>
    <row r="134" spans="1:14" ht="30" hidden="1" x14ac:dyDescent="0.25">
      <c r="A134" s="205" t="s">
        <v>94</v>
      </c>
      <c r="B134" s="28" t="s">
        <v>232</v>
      </c>
      <c r="C134" s="28">
        <v>19</v>
      </c>
      <c r="D134" s="29">
        <v>10.8</v>
      </c>
      <c r="E134" s="190">
        <v>19</v>
      </c>
      <c r="F134" s="60">
        <f>SUMIF('Sales Register'!C:C, A134, 'Sales Register'!D:D)</f>
        <v>17</v>
      </c>
      <c r="G134" s="60">
        <f t="shared" si="14"/>
        <v>323</v>
      </c>
      <c r="H134" s="60">
        <f t="shared" si="15"/>
        <v>183.60000000000002</v>
      </c>
      <c r="I134" s="60">
        <f t="shared" si="16"/>
        <v>139.39999999999998</v>
      </c>
      <c r="J134" s="60">
        <f t="shared" si="17"/>
        <v>0.43157894736842101</v>
      </c>
      <c r="K134" s="35" t="str">
        <f t="shared" si="18"/>
        <v>75%</v>
      </c>
      <c r="M134" s="30">
        <f t="shared" si="19"/>
        <v>0.75925925925925919</v>
      </c>
      <c r="N134" s="34">
        <f>VLOOKUP(A134, 'Stock Register'!A:F, 6, FALSE)</f>
        <v>8</v>
      </c>
    </row>
    <row r="135" spans="1:14" ht="45" hidden="1" x14ac:dyDescent="0.25">
      <c r="A135" s="205" t="s">
        <v>86</v>
      </c>
      <c r="B135" s="28" t="s">
        <v>190</v>
      </c>
      <c r="D135" s="29">
        <v>7.91</v>
      </c>
      <c r="E135" s="190">
        <v>15</v>
      </c>
      <c r="F135" s="60">
        <f>SUMIF('Sales Register'!C:C, A135, 'Sales Register'!D:D)</f>
        <v>10</v>
      </c>
      <c r="G135" s="60">
        <f t="shared" si="14"/>
        <v>150</v>
      </c>
      <c r="H135" s="60">
        <f t="shared" si="15"/>
        <v>79.099999999999994</v>
      </c>
      <c r="I135" s="60">
        <f t="shared" si="16"/>
        <v>70.900000000000006</v>
      </c>
      <c r="J135" s="60">
        <f t="shared" si="17"/>
        <v>0.47266666666666668</v>
      </c>
      <c r="K135" s="35" t="str">
        <f t="shared" si="18"/>
        <v>89%</v>
      </c>
      <c r="M135" s="30">
        <f t="shared" si="19"/>
        <v>0.89633375474083432</v>
      </c>
      <c r="N135" s="34">
        <f>VLOOKUP(A135, 'Stock Register'!A:F, 6, FALSE)</f>
        <v>2</v>
      </c>
    </row>
    <row r="136" spans="1:14" hidden="1" x14ac:dyDescent="0.25">
      <c r="A136" s="205" t="s">
        <v>162</v>
      </c>
      <c r="B136" s="28" t="s">
        <v>233</v>
      </c>
      <c r="D136" s="29">
        <v>13.2</v>
      </c>
      <c r="E136" s="190">
        <v>15</v>
      </c>
      <c r="F136" s="60">
        <f>SUMIF('Sales Register'!C:C, A136, 'Sales Register'!D:D)</f>
        <v>2</v>
      </c>
      <c r="G136" s="60">
        <f t="shared" si="14"/>
        <v>30</v>
      </c>
      <c r="H136" s="60">
        <f t="shared" si="15"/>
        <v>26.4</v>
      </c>
      <c r="I136" s="60">
        <f t="shared" si="16"/>
        <v>3.6000000000000014</v>
      </c>
      <c r="J136" s="60">
        <f t="shared" si="17"/>
        <v>0.12000000000000005</v>
      </c>
      <c r="K136" s="35" t="str">
        <f t="shared" si="18"/>
        <v>13%</v>
      </c>
      <c r="M136" s="30">
        <f t="shared" si="19"/>
        <v>0.13636363636363644</v>
      </c>
      <c r="N136" s="34">
        <f>VLOOKUP(A136, 'Stock Register'!A:F, 6, FALSE)</f>
        <v>23</v>
      </c>
    </row>
    <row r="137" spans="1:14" s="75" customFormat="1" ht="30" hidden="1" x14ac:dyDescent="0.25">
      <c r="A137" s="204" t="s">
        <v>22</v>
      </c>
      <c r="B137" s="71" t="s">
        <v>179</v>
      </c>
      <c r="C137" s="71"/>
      <c r="D137" s="72">
        <v>0.81</v>
      </c>
      <c r="E137" s="191">
        <v>1</v>
      </c>
      <c r="F137" s="74">
        <f>SUMIF('Sales Register'!C:C, A137, 'Sales Register'!D:D)</f>
        <v>85</v>
      </c>
      <c r="G137" s="74">
        <f t="shared" si="14"/>
        <v>85</v>
      </c>
      <c r="H137" s="74">
        <f t="shared" si="15"/>
        <v>68.850000000000009</v>
      </c>
      <c r="I137" s="74">
        <f t="shared" si="16"/>
        <v>16.149999999999991</v>
      </c>
      <c r="J137" s="74">
        <f t="shared" si="17"/>
        <v>0.18999999999999989</v>
      </c>
      <c r="K137" s="134" t="str">
        <f t="shared" si="18"/>
        <v>23%</v>
      </c>
      <c r="L137" s="73"/>
      <c r="M137" s="99">
        <f t="shared" si="19"/>
        <v>0.23456790123456783</v>
      </c>
      <c r="N137" s="73">
        <f>VLOOKUP(A137, 'Stock Register'!A:F, 6, FALSE)</f>
        <v>-21</v>
      </c>
    </row>
    <row r="138" spans="1:14" ht="30" hidden="1" x14ac:dyDescent="0.25">
      <c r="A138" s="205" t="s">
        <v>105</v>
      </c>
      <c r="B138" s="28" t="s">
        <v>180</v>
      </c>
      <c r="D138" s="29">
        <v>76</v>
      </c>
      <c r="E138" s="190">
        <v>86</v>
      </c>
      <c r="F138" s="60">
        <f>SUMIF('Sales Register'!C:C, A138, 'Sales Register'!D:D)</f>
        <v>2</v>
      </c>
      <c r="G138" s="60">
        <f t="shared" si="14"/>
        <v>172</v>
      </c>
      <c r="H138" s="60">
        <f t="shared" si="15"/>
        <v>152</v>
      </c>
      <c r="I138" s="60">
        <f t="shared" si="16"/>
        <v>20</v>
      </c>
      <c r="J138" s="60">
        <f t="shared" si="17"/>
        <v>0.11627906976744186</v>
      </c>
      <c r="K138" s="35" t="str">
        <f t="shared" si="18"/>
        <v>13%</v>
      </c>
      <c r="M138" s="30">
        <f t="shared" si="19"/>
        <v>0.13157894736842105</v>
      </c>
      <c r="N138" s="34">
        <f>VLOOKUP(A138, 'Stock Register'!A:F, 6, FALSE)</f>
        <v>0</v>
      </c>
    </row>
    <row r="139" spans="1:14" ht="30" hidden="1" x14ac:dyDescent="0.25">
      <c r="A139" s="205" t="s">
        <v>126</v>
      </c>
      <c r="B139" s="28" t="s">
        <v>180</v>
      </c>
      <c r="D139" s="29">
        <v>71</v>
      </c>
      <c r="E139" s="190">
        <v>79</v>
      </c>
      <c r="F139" s="60">
        <f>SUMIF('Sales Register'!C:C, A139, 'Sales Register'!D:D)</f>
        <v>0</v>
      </c>
      <c r="G139" s="60">
        <f t="shared" si="14"/>
        <v>0</v>
      </c>
      <c r="H139" s="60">
        <f t="shared" si="15"/>
        <v>0</v>
      </c>
      <c r="I139" s="60">
        <f t="shared" si="16"/>
        <v>0</v>
      </c>
      <c r="J139" s="60">
        <f t="shared" si="17"/>
        <v>0</v>
      </c>
      <c r="K139" s="35" t="str">
        <f t="shared" si="18"/>
        <v>11%</v>
      </c>
      <c r="M139" s="30">
        <f t="shared" si="19"/>
        <v>0.11267605633802817</v>
      </c>
      <c r="N139" s="34">
        <f>VLOOKUP(A139, 'Stock Register'!A:F, 6, FALSE)</f>
        <v>2</v>
      </c>
    </row>
    <row r="140" spans="1:14" ht="30" hidden="1" x14ac:dyDescent="0.25">
      <c r="A140" s="205" t="s">
        <v>106</v>
      </c>
      <c r="B140" s="28" t="s">
        <v>180</v>
      </c>
      <c r="D140" s="29">
        <v>76</v>
      </c>
      <c r="E140" s="190">
        <v>86</v>
      </c>
      <c r="F140" s="60">
        <f>SUMIF('Sales Register'!C:C, A140, 'Sales Register'!D:D)</f>
        <v>2</v>
      </c>
      <c r="G140" s="60">
        <f t="shared" si="14"/>
        <v>172</v>
      </c>
      <c r="H140" s="60">
        <f t="shared" si="15"/>
        <v>152</v>
      </c>
      <c r="I140" s="60">
        <f t="shared" si="16"/>
        <v>20</v>
      </c>
      <c r="J140" s="60">
        <f t="shared" si="17"/>
        <v>0.11627906976744186</v>
      </c>
      <c r="K140" s="35" t="str">
        <f t="shared" si="18"/>
        <v>13%</v>
      </c>
      <c r="M140" s="30">
        <f t="shared" si="19"/>
        <v>0.13157894736842105</v>
      </c>
      <c r="N140" s="34">
        <f>VLOOKUP(A140, 'Stock Register'!A:F, 6, FALSE)</f>
        <v>0</v>
      </c>
    </row>
    <row r="141" spans="1:14" ht="30" hidden="1" x14ac:dyDescent="0.25">
      <c r="A141" s="205" t="s">
        <v>83</v>
      </c>
      <c r="B141" s="28" t="s">
        <v>205</v>
      </c>
      <c r="D141" s="29">
        <v>9</v>
      </c>
      <c r="E141" s="190">
        <v>10</v>
      </c>
      <c r="F141" s="60">
        <f>SUMIF('Sales Register'!C:C, A141, 'Sales Register'!D:D)</f>
        <v>4</v>
      </c>
      <c r="G141" s="60">
        <f t="shared" si="14"/>
        <v>40</v>
      </c>
      <c r="H141" s="60">
        <f t="shared" si="15"/>
        <v>36</v>
      </c>
      <c r="I141" s="60">
        <f t="shared" si="16"/>
        <v>4</v>
      </c>
      <c r="J141" s="60">
        <f t="shared" si="17"/>
        <v>0.1</v>
      </c>
      <c r="K141" s="35" t="str">
        <f t="shared" si="18"/>
        <v>11%</v>
      </c>
      <c r="M141" s="30">
        <f t="shared" si="19"/>
        <v>0.1111111111111111</v>
      </c>
      <c r="N141" s="34">
        <f>VLOOKUP(A141, 'Stock Register'!A:F, 6, FALSE)</f>
        <v>2</v>
      </c>
    </row>
    <row r="142" spans="1:14" s="75" customFormat="1" ht="30" hidden="1" x14ac:dyDescent="0.25">
      <c r="A142" s="204" t="s">
        <v>24</v>
      </c>
      <c r="B142" s="71" t="s">
        <v>206</v>
      </c>
      <c r="C142" s="71"/>
      <c r="D142" s="72">
        <v>64</v>
      </c>
      <c r="E142" s="191">
        <v>70</v>
      </c>
      <c r="F142" s="74">
        <f>SUMIF('Sales Register'!C:C, A142, 'Sales Register'!D:D)</f>
        <v>9</v>
      </c>
      <c r="G142" s="74">
        <f t="shared" si="14"/>
        <v>630</v>
      </c>
      <c r="H142" s="74">
        <f t="shared" si="15"/>
        <v>576</v>
      </c>
      <c r="I142" s="74">
        <f t="shared" si="16"/>
        <v>54</v>
      </c>
      <c r="J142" s="74">
        <f t="shared" si="17"/>
        <v>8.5714285714285715E-2</v>
      </c>
      <c r="K142" s="134" t="str">
        <f t="shared" si="18"/>
        <v>9%</v>
      </c>
      <c r="L142" s="73"/>
      <c r="M142" s="99">
        <f t="shared" si="19"/>
        <v>9.375E-2</v>
      </c>
      <c r="N142" s="73">
        <f>VLOOKUP(A142, 'Stock Register'!A:F, 6, FALSE)</f>
        <v>-1</v>
      </c>
    </row>
    <row r="143" spans="1:14" s="75" customFormat="1" ht="30" hidden="1" x14ac:dyDescent="0.25">
      <c r="A143" s="204" t="s">
        <v>322</v>
      </c>
      <c r="B143" s="71" t="s">
        <v>206</v>
      </c>
      <c r="C143" s="71">
        <v>70</v>
      </c>
      <c r="D143" s="72">
        <v>63.25</v>
      </c>
      <c r="E143" s="191">
        <v>70</v>
      </c>
      <c r="F143" s="74">
        <f>SUMIF('Sales Register'!C:C, A143, 'Sales Register'!D:D)</f>
        <v>2</v>
      </c>
      <c r="G143" s="74">
        <f t="shared" si="14"/>
        <v>140</v>
      </c>
      <c r="H143" s="74">
        <f t="shared" si="15"/>
        <v>126.5</v>
      </c>
      <c r="I143" s="74">
        <f t="shared" si="16"/>
        <v>13.5</v>
      </c>
      <c r="J143" s="74">
        <f t="shared" si="17"/>
        <v>9.6428571428571433E-2</v>
      </c>
      <c r="K143" s="134" t="str">
        <f t="shared" si="18"/>
        <v>10%</v>
      </c>
      <c r="L143" s="73">
        <v>69</v>
      </c>
      <c r="M143" s="99">
        <f t="shared" si="19"/>
        <v>0.1067193675889328</v>
      </c>
      <c r="N143" s="73" t="e">
        <f>VLOOKUP(A143, 'Stock Register'!A:F, 6, FALSE)</f>
        <v>#N/A</v>
      </c>
    </row>
    <row r="144" spans="1:14" s="75" customFormat="1" ht="30" hidden="1" x14ac:dyDescent="0.25">
      <c r="A144" s="204" t="s">
        <v>19</v>
      </c>
      <c r="B144" s="71" t="s">
        <v>206</v>
      </c>
      <c r="C144" s="71"/>
      <c r="D144" s="72">
        <v>9</v>
      </c>
      <c r="E144" s="191">
        <v>10</v>
      </c>
      <c r="F144" s="74">
        <f>SUMIF('Sales Register'!C:C, A144, 'Sales Register'!D:D)</f>
        <v>12</v>
      </c>
      <c r="G144" s="74">
        <f t="shared" si="14"/>
        <v>120</v>
      </c>
      <c r="H144" s="74">
        <f t="shared" si="15"/>
        <v>108</v>
      </c>
      <c r="I144" s="74">
        <f t="shared" si="16"/>
        <v>12</v>
      </c>
      <c r="J144" s="74">
        <f t="shared" si="17"/>
        <v>0.1</v>
      </c>
      <c r="K144" s="134" t="str">
        <f t="shared" si="18"/>
        <v>11%</v>
      </c>
      <c r="L144" s="73"/>
      <c r="M144" s="99">
        <f t="shared" si="19"/>
        <v>0.1111111111111111</v>
      </c>
      <c r="N144" s="73">
        <f>VLOOKUP(A144, 'Stock Register'!A:F, 6, FALSE)</f>
        <v>0</v>
      </c>
    </row>
    <row r="145" spans="1:14" ht="45" hidden="1" x14ac:dyDescent="0.25">
      <c r="A145" s="205" t="s">
        <v>23</v>
      </c>
      <c r="B145" s="28" t="s">
        <v>190</v>
      </c>
      <c r="D145" s="29">
        <v>50</v>
      </c>
      <c r="E145" s="190">
        <v>60</v>
      </c>
      <c r="F145" s="60">
        <f>SUMIF('Sales Register'!C:C, A145, 'Sales Register'!D:D)</f>
        <v>7</v>
      </c>
      <c r="G145" s="60">
        <f t="shared" si="14"/>
        <v>420</v>
      </c>
      <c r="H145" s="60">
        <f t="shared" si="15"/>
        <v>350</v>
      </c>
      <c r="I145" s="60">
        <f t="shared" si="16"/>
        <v>70</v>
      </c>
      <c r="J145" s="60">
        <f t="shared" si="17"/>
        <v>0.16666666666666666</v>
      </c>
      <c r="K145" s="35" t="str">
        <f t="shared" si="18"/>
        <v>20%</v>
      </c>
      <c r="M145" s="30">
        <f t="shared" si="19"/>
        <v>0.2</v>
      </c>
      <c r="N145" s="34">
        <f>VLOOKUP(A145, 'Stock Register'!A:F, 6, FALSE)</f>
        <v>1</v>
      </c>
    </row>
    <row r="146" spans="1:14" ht="45" hidden="1" x14ac:dyDescent="0.25">
      <c r="A146" s="205" t="s">
        <v>237</v>
      </c>
      <c r="B146" s="28" t="s">
        <v>190</v>
      </c>
      <c r="D146" s="29">
        <v>52</v>
      </c>
      <c r="E146" s="190">
        <v>60</v>
      </c>
      <c r="F146" s="60">
        <f>SUMIF('Sales Register'!C:C, A146, 'Sales Register'!D:D)</f>
        <v>0</v>
      </c>
      <c r="G146" s="60">
        <f t="shared" si="14"/>
        <v>0</v>
      </c>
      <c r="H146" s="60">
        <f t="shared" si="15"/>
        <v>0</v>
      </c>
      <c r="I146" s="60">
        <f t="shared" si="16"/>
        <v>0</v>
      </c>
      <c r="J146" s="60">
        <f t="shared" si="17"/>
        <v>0</v>
      </c>
      <c r="K146" s="35" t="str">
        <f t="shared" si="18"/>
        <v>15%</v>
      </c>
      <c r="M146" s="30">
        <f t="shared" si="19"/>
        <v>0.15384615384615385</v>
      </c>
      <c r="N146" s="34" t="e">
        <f>VLOOKUP(A146, 'Stock Register'!A:F, 6, FALSE)</f>
        <v>#N/A</v>
      </c>
    </row>
    <row r="147" spans="1:14" s="75" customFormat="1" hidden="1" x14ac:dyDescent="0.25">
      <c r="A147" s="204" t="s">
        <v>493</v>
      </c>
      <c r="B147" s="71" t="s">
        <v>234</v>
      </c>
      <c r="C147" s="71"/>
      <c r="D147" s="72">
        <v>27</v>
      </c>
      <c r="E147" s="191">
        <v>29</v>
      </c>
      <c r="F147" s="74">
        <f>SUMIF('Sales Register'!C:C, A147, 'Sales Register'!D:D)</f>
        <v>0</v>
      </c>
      <c r="G147" s="74">
        <f t="shared" si="14"/>
        <v>0</v>
      </c>
      <c r="H147" s="74">
        <f t="shared" si="15"/>
        <v>0</v>
      </c>
      <c r="I147" s="74">
        <f t="shared" si="16"/>
        <v>0</v>
      </c>
      <c r="J147" s="74">
        <f t="shared" si="17"/>
        <v>0</v>
      </c>
      <c r="K147" s="134" t="str">
        <f t="shared" si="18"/>
        <v>7%</v>
      </c>
      <c r="L147" s="73"/>
      <c r="M147" s="99">
        <f t="shared" si="19"/>
        <v>7.407407407407407E-2</v>
      </c>
      <c r="N147" s="34" t="e">
        <f>VLOOKUP(A147, 'Stock Register'!A:F, 6, FALSE)</f>
        <v>#N/A</v>
      </c>
    </row>
    <row r="148" spans="1:14" s="75" customFormat="1" hidden="1" x14ac:dyDescent="0.25">
      <c r="A148" s="204" t="s">
        <v>493</v>
      </c>
      <c r="B148" s="71" t="s">
        <v>234</v>
      </c>
      <c r="C148" s="71"/>
      <c r="D148" s="72">
        <v>26</v>
      </c>
      <c r="E148" s="191">
        <v>29</v>
      </c>
      <c r="F148" s="74">
        <f>SUMIF('Sales Register'!C:C, A148, 'Sales Register'!D:D)</f>
        <v>0</v>
      </c>
      <c r="G148" s="74">
        <f t="shared" si="14"/>
        <v>0</v>
      </c>
      <c r="H148" s="74">
        <f t="shared" si="15"/>
        <v>0</v>
      </c>
      <c r="I148" s="74">
        <f t="shared" si="16"/>
        <v>0</v>
      </c>
      <c r="J148" s="74">
        <f t="shared" si="17"/>
        <v>0</v>
      </c>
      <c r="K148" s="134" t="str">
        <f t="shared" si="18"/>
        <v>11%</v>
      </c>
      <c r="L148" s="73"/>
      <c r="M148" s="99">
        <f t="shared" si="19"/>
        <v>0.11538461538461539</v>
      </c>
      <c r="N148" s="34" t="e">
        <f>VLOOKUP(A148, 'Stock Register'!A:F, 6, FALSE)</f>
        <v>#N/A</v>
      </c>
    </row>
    <row r="149" spans="1:14" hidden="1" x14ac:dyDescent="0.25">
      <c r="A149" s="205" t="s">
        <v>69</v>
      </c>
      <c r="B149" s="28" t="s">
        <v>205</v>
      </c>
      <c r="D149" s="29">
        <v>9.16</v>
      </c>
      <c r="E149" s="190">
        <v>10</v>
      </c>
      <c r="F149" s="60">
        <f>SUMIF('Sales Register'!C:C, A149, 'Sales Register'!D:D)</f>
        <v>1</v>
      </c>
      <c r="G149" s="60">
        <f t="shared" si="14"/>
        <v>10</v>
      </c>
      <c r="H149" s="60">
        <f t="shared" si="15"/>
        <v>9.16</v>
      </c>
      <c r="I149" s="60">
        <f t="shared" si="16"/>
        <v>0.83999999999999986</v>
      </c>
      <c r="J149" s="60">
        <f t="shared" si="17"/>
        <v>8.3999999999999991E-2</v>
      </c>
      <c r="K149" s="35" t="str">
        <f t="shared" si="18"/>
        <v>9%</v>
      </c>
      <c r="M149" s="30">
        <f t="shared" si="19"/>
        <v>9.170305676855893E-2</v>
      </c>
      <c r="N149" s="34">
        <f>VLOOKUP(A149, 'Stock Register'!A:F, 6, FALSE)</f>
        <v>5</v>
      </c>
    </row>
    <row r="150" spans="1:14" s="75" customFormat="1" ht="30" hidden="1" x14ac:dyDescent="0.25">
      <c r="A150" s="204" t="s">
        <v>444</v>
      </c>
      <c r="B150" s="71" t="s">
        <v>179</v>
      </c>
      <c r="C150" s="71"/>
      <c r="D150" s="72">
        <v>4</v>
      </c>
      <c r="E150" s="191">
        <v>5</v>
      </c>
      <c r="F150" s="74">
        <f>SUMIF('Sales Register'!C:C, A150, 'Sales Register'!D:D)</f>
        <v>25</v>
      </c>
      <c r="G150" s="74">
        <f t="shared" si="14"/>
        <v>125</v>
      </c>
      <c r="H150" s="74">
        <f t="shared" si="15"/>
        <v>100</v>
      </c>
      <c r="I150" s="74">
        <f t="shared" si="16"/>
        <v>25</v>
      </c>
      <c r="J150" s="74">
        <f t="shared" si="17"/>
        <v>0.2</v>
      </c>
      <c r="K150" s="134" t="str">
        <f t="shared" si="18"/>
        <v>25%</v>
      </c>
      <c r="L150" s="73"/>
      <c r="M150" s="99">
        <f t="shared" si="19"/>
        <v>0.25</v>
      </c>
      <c r="N150" s="73" t="e">
        <f>VLOOKUP(A150, 'Stock Register'!A:F, 6, FALSE)</f>
        <v>#N/A</v>
      </c>
    </row>
    <row r="151" spans="1:14" hidden="1" x14ac:dyDescent="0.25">
      <c r="A151" s="205" t="s">
        <v>438</v>
      </c>
      <c r="B151" s="28" t="s">
        <v>235</v>
      </c>
      <c r="C151" s="28">
        <v>10</v>
      </c>
      <c r="D151" s="29">
        <v>8.75</v>
      </c>
      <c r="E151" s="190">
        <v>10</v>
      </c>
      <c r="F151" s="60">
        <f>SUMIF('Sales Register'!C:C, A151, 'Sales Register'!D:D)</f>
        <v>9</v>
      </c>
      <c r="G151" s="60">
        <f t="shared" si="14"/>
        <v>90</v>
      </c>
      <c r="H151" s="60">
        <f t="shared" si="15"/>
        <v>78.75</v>
      </c>
      <c r="I151" s="60">
        <f t="shared" si="16"/>
        <v>11.25</v>
      </c>
      <c r="J151" s="60">
        <f t="shared" si="17"/>
        <v>0.125</v>
      </c>
      <c r="K151" s="35" t="str">
        <f t="shared" si="18"/>
        <v>14%</v>
      </c>
      <c r="L151" s="34">
        <v>10</v>
      </c>
      <c r="M151" s="30">
        <f t="shared" si="19"/>
        <v>0.14285714285714285</v>
      </c>
      <c r="N151" s="34" t="e">
        <f>VLOOKUP(A151, 'Stock Register'!A:F, 6, FALSE)</f>
        <v>#N/A</v>
      </c>
    </row>
    <row r="152" spans="1:14" hidden="1" x14ac:dyDescent="0.25">
      <c r="A152" s="205" t="s">
        <v>358</v>
      </c>
      <c r="B152" s="28" t="s">
        <v>222</v>
      </c>
      <c r="C152" s="28">
        <v>85</v>
      </c>
      <c r="D152" s="29">
        <v>77</v>
      </c>
      <c r="E152" s="190">
        <v>85</v>
      </c>
      <c r="F152" s="60">
        <f>SUMIF('Sales Register'!C:C, A152, 'Sales Register'!D:D)</f>
        <v>1</v>
      </c>
      <c r="G152" s="60">
        <f t="shared" si="14"/>
        <v>85</v>
      </c>
      <c r="H152" s="60">
        <f t="shared" si="15"/>
        <v>77</v>
      </c>
      <c r="I152" s="60">
        <f t="shared" si="16"/>
        <v>8</v>
      </c>
      <c r="J152" s="60">
        <f t="shared" si="17"/>
        <v>9.4117647058823528E-2</v>
      </c>
      <c r="K152" s="35" t="str">
        <f t="shared" si="18"/>
        <v>10%</v>
      </c>
      <c r="L152" s="34">
        <v>85</v>
      </c>
      <c r="M152" s="30">
        <f t="shared" si="19"/>
        <v>0.1038961038961039</v>
      </c>
      <c r="N152" s="34" t="e">
        <f>VLOOKUP(A152, 'Stock Register'!A:F, 6, FALSE)</f>
        <v>#N/A</v>
      </c>
    </row>
    <row r="153" spans="1:14" s="155" customFormat="1" hidden="1" x14ac:dyDescent="0.25">
      <c r="A153" s="205" t="s">
        <v>357</v>
      </c>
      <c r="B153" s="165" t="s">
        <v>235</v>
      </c>
      <c r="C153" s="165">
        <v>37</v>
      </c>
      <c r="D153" s="166">
        <v>33.333333333333336</v>
      </c>
      <c r="E153" s="190">
        <v>0</v>
      </c>
      <c r="F153" s="166">
        <f>SUMIF('Sales Register'!C:C, A153, 'Sales Register'!D:D)</f>
        <v>2</v>
      </c>
      <c r="G153" s="166">
        <f t="shared" si="14"/>
        <v>0</v>
      </c>
      <c r="H153" s="166">
        <f t="shared" si="15"/>
        <v>66.666666666666671</v>
      </c>
      <c r="I153" s="166">
        <f t="shared" si="16"/>
        <v>-66.666666666666671</v>
      </c>
      <c r="J153" s="166">
        <f t="shared" si="17"/>
        <v>0</v>
      </c>
      <c r="K153" s="168" t="str">
        <f t="shared" si="18"/>
        <v>NO PROFIT</v>
      </c>
      <c r="L153" s="167">
        <v>37</v>
      </c>
      <c r="M153" s="80">
        <f t="shared" si="19"/>
        <v>-1</v>
      </c>
      <c r="N153" s="167" t="e">
        <f>VLOOKUP(A153, 'Stock Register'!A:F, 6, FALSE)</f>
        <v>#N/A</v>
      </c>
    </row>
    <row r="154" spans="1:14" hidden="1" x14ac:dyDescent="0.25">
      <c r="A154" s="205" t="s">
        <v>90</v>
      </c>
      <c r="B154" s="28" t="s">
        <v>177</v>
      </c>
      <c r="D154" s="29">
        <v>4.58</v>
      </c>
      <c r="E154" s="190">
        <v>5</v>
      </c>
      <c r="F154" s="60">
        <f>SUMIF('Sales Register'!C:C, A154, 'Sales Register'!D:D)</f>
        <v>0</v>
      </c>
      <c r="G154" s="60">
        <f t="shared" si="14"/>
        <v>0</v>
      </c>
      <c r="H154" s="60">
        <f t="shared" si="15"/>
        <v>0</v>
      </c>
      <c r="I154" s="60">
        <f t="shared" si="16"/>
        <v>0</v>
      </c>
      <c r="J154" s="60">
        <f t="shared" si="17"/>
        <v>0</v>
      </c>
      <c r="K154" s="35" t="str">
        <f t="shared" si="18"/>
        <v>9%</v>
      </c>
      <c r="M154" s="30">
        <f t="shared" si="19"/>
        <v>9.170305676855893E-2</v>
      </c>
      <c r="N154" s="34">
        <f>VLOOKUP(A154, 'Stock Register'!A:F, 6, FALSE)</f>
        <v>48</v>
      </c>
    </row>
    <row r="155" spans="1:14" ht="30" hidden="1" x14ac:dyDescent="0.25">
      <c r="A155" s="205" t="s">
        <v>104</v>
      </c>
      <c r="B155" s="28" t="s">
        <v>210</v>
      </c>
      <c r="D155" s="29">
        <v>95</v>
      </c>
      <c r="E155" s="190">
        <v>109</v>
      </c>
      <c r="F155" s="60">
        <f>SUMIF('Sales Register'!C:C, A155, 'Sales Register'!D:D)</f>
        <v>0</v>
      </c>
      <c r="G155" s="60">
        <f t="shared" si="14"/>
        <v>0</v>
      </c>
      <c r="H155" s="60">
        <f t="shared" si="15"/>
        <v>0</v>
      </c>
      <c r="I155" s="60">
        <f t="shared" si="16"/>
        <v>0</v>
      </c>
      <c r="J155" s="60">
        <f t="shared" si="17"/>
        <v>0</v>
      </c>
      <c r="K155" s="35" t="str">
        <f t="shared" si="18"/>
        <v>14%</v>
      </c>
      <c r="M155" s="30">
        <f t="shared" si="19"/>
        <v>0.14736842105263157</v>
      </c>
      <c r="N155" s="34">
        <f>VLOOKUP(A155, 'Stock Register'!A:F, 6, FALSE)</f>
        <v>2</v>
      </c>
    </row>
    <row r="156" spans="1:14" s="75" customFormat="1" hidden="1" x14ac:dyDescent="0.25">
      <c r="A156" s="204" t="s">
        <v>378</v>
      </c>
      <c r="B156" s="71" t="s">
        <v>236</v>
      </c>
      <c r="C156" s="71"/>
      <c r="D156" s="72">
        <v>15</v>
      </c>
      <c r="E156" s="191">
        <v>20</v>
      </c>
      <c r="F156" s="74">
        <f>SUMIF('Sales Register'!C:C, A156, 'Sales Register'!D:D)</f>
        <v>4</v>
      </c>
      <c r="G156" s="74">
        <f t="shared" si="14"/>
        <v>80</v>
      </c>
      <c r="H156" s="74">
        <f t="shared" si="15"/>
        <v>60</v>
      </c>
      <c r="I156" s="74">
        <f t="shared" si="16"/>
        <v>20</v>
      </c>
      <c r="J156" s="74">
        <f t="shared" si="17"/>
        <v>0.25</v>
      </c>
      <c r="K156" s="134" t="str">
        <f t="shared" si="18"/>
        <v>33%</v>
      </c>
      <c r="L156" s="73"/>
      <c r="M156" s="99">
        <f t="shared" si="19"/>
        <v>0.33333333333333331</v>
      </c>
      <c r="N156" s="73" t="e">
        <f>VLOOKUP(A156, 'Stock Register'!A:F, 6, FALSE)</f>
        <v>#N/A</v>
      </c>
    </row>
    <row r="157" spans="1:14" hidden="1" x14ac:dyDescent="0.25">
      <c r="A157" s="205" t="s">
        <v>303</v>
      </c>
      <c r="B157" s="28" t="s">
        <v>184</v>
      </c>
      <c r="D157" s="29">
        <v>9</v>
      </c>
      <c r="E157" s="190">
        <v>10</v>
      </c>
      <c r="F157" s="60">
        <f>SUMIF('Sales Register'!C:C, A157, 'Sales Register'!D:D)</f>
        <v>1</v>
      </c>
      <c r="G157" s="60">
        <f t="shared" si="14"/>
        <v>10</v>
      </c>
      <c r="H157" s="60">
        <f t="shared" si="15"/>
        <v>9</v>
      </c>
      <c r="I157" s="60">
        <f t="shared" si="16"/>
        <v>1</v>
      </c>
      <c r="J157" s="60">
        <f t="shared" si="17"/>
        <v>0.1</v>
      </c>
      <c r="K157" s="35" t="str">
        <f t="shared" si="18"/>
        <v>11%</v>
      </c>
      <c r="M157" s="30">
        <f t="shared" si="19"/>
        <v>0.1111111111111111</v>
      </c>
      <c r="N157" s="34" t="e">
        <f>VLOOKUP(A157, 'Stock Register'!A:F, 6, FALSE)</f>
        <v>#N/A</v>
      </c>
    </row>
    <row r="158" spans="1:14" hidden="1" x14ac:dyDescent="0.25">
      <c r="A158" s="205" t="s">
        <v>304</v>
      </c>
      <c r="B158" s="28" t="s">
        <v>184</v>
      </c>
      <c r="D158" s="29">
        <v>8.91</v>
      </c>
      <c r="E158" s="190">
        <v>10</v>
      </c>
      <c r="F158" s="60">
        <f>SUMIF('Sales Register'!C:C, A158, 'Sales Register'!D:D)</f>
        <v>0</v>
      </c>
      <c r="G158" s="60">
        <f t="shared" si="14"/>
        <v>0</v>
      </c>
      <c r="H158" s="60">
        <f t="shared" si="15"/>
        <v>0</v>
      </c>
      <c r="I158" s="60">
        <f t="shared" si="16"/>
        <v>0</v>
      </c>
      <c r="J158" s="60">
        <f t="shared" si="17"/>
        <v>0</v>
      </c>
      <c r="K158" s="35" t="str">
        <f t="shared" si="18"/>
        <v>12%</v>
      </c>
      <c r="M158" s="30">
        <f t="shared" si="19"/>
        <v>0.12233445566778899</v>
      </c>
      <c r="N158" s="34" t="e">
        <f>VLOOKUP(A158, 'Stock Register'!A:F, 6, FALSE)</f>
        <v>#N/A</v>
      </c>
    </row>
    <row r="159" spans="1:14" hidden="1" x14ac:dyDescent="0.25">
      <c r="A159" s="205" t="s">
        <v>305</v>
      </c>
      <c r="B159" s="28" t="s">
        <v>184</v>
      </c>
      <c r="D159" s="29">
        <v>18</v>
      </c>
      <c r="E159" s="190">
        <v>40</v>
      </c>
      <c r="F159" s="60">
        <f>SUMIF('Sales Register'!C:C, A159, 'Sales Register'!D:D)</f>
        <v>1</v>
      </c>
      <c r="G159" s="60">
        <f t="shared" si="14"/>
        <v>40</v>
      </c>
      <c r="H159" s="60">
        <f t="shared" si="15"/>
        <v>18</v>
      </c>
      <c r="I159" s="60">
        <f t="shared" si="16"/>
        <v>22</v>
      </c>
      <c r="J159" s="60">
        <f t="shared" si="17"/>
        <v>0.55000000000000004</v>
      </c>
      <c r="K159" s="35" t="str">
        <f t="shared" si="18"/>
        <v>100% or More</v>
      </c>
      <c r="M159" s="30">
        <f t="shared" si="19"/>
        <v>1.2222222222222223</v>
      </c>
      <c r="N159" s="34" t="e">
        <f>VLOOKUP(A159, 'Stock Register'!A:F, 6, FALSE)</f>
        <v>#N/A</v>
      </c>
    </row>
    <row r="160" spans="1:14" hidden="1" x14ac:dyDescent="0.25">
      <c r="A160" s="205" t="s">
        <v>306</v>
      </c>
      <c r="B160" s="28" t="s">
        <v>184</v>
      </c>
      <c r="D160" s="29">
        <v>17</v>
      </c>
      <c r="E160" s="190">
        <v>30</v>
      </c>
      <c r="F160" s="60">
        <f>SUMIF('Sales Register'!C:C, A160, 'Sales Register'!D:D)</f>
        <v>0</v>
      </c>
      <c r="G160" s="60">
        <f t="shared" si="14"/>
        <v>0</v>
      </c>
      <c r="H160" s="60">
        <f t="shared" si="15"/>
        <v>0</v>
      </c>
      <c r="I160" s="60">
        <f t="shared" si="16"/>
        <v>0</v>
      </c>
      <c r="J160" s="60">
        <f t="shared" si="17"/>
        <v>0</v>
      </c>
      <c r="K160" s="35" t="str">
        <f t="shared" si="18"/>
        <v>76%</v>
      </c>
      <c r="M160" s="30">
        <f t="shared" si="19"/>
        <v>0.76470588235294112</v>
      </c>
      <c r="N160" s="34" t="e">
        <f>VLOOKUP(A160, 'Stock Register'!A:F, 6, FALSE)</f>
        <v>#N/A</v>
      </c>
    </row>
    <row r="161" spans="1:14" s="75" customFormat="1" ht="30" hidden="1" x14ac:dyDescent="0.25">
      <c r="A161" s="204" t="s">
        <v>326</v>
      </c>
      <c r="B161" s="71" t="s">
        <v>198</v>
      </c>
      <c r="C161" s="71">
        <v>60</v>
      </c>
      <c r="D161" s="72">
        <v>48.07</v>
      </c>
      <c r="E161" s="191">
        <v>50</v>
      </c>
      <c r="F161" s="74">
        <f>SUMIF('Sales Register'!C:C, A161, 'Sales Register'!D:D)</f>
        <v>52</v>
      </c>
      <c r="G161" s="74">
        <f t="shared" si="14"/>
        <v>2600</v>
      </c>
      <c r="H161" s="74">
        <f t="shared" si="15"/>
        <v>2499.64</v>
      </c>
      <c r="I161" s="74">
        <f t="shared" si="16"/>
        <v>100.36000000000013</v>
      </c>
      <c r="J161" s="74">
        <f t="shared" si="17"/>
        <v>3.8600000000000051E-2</v>
      </c>
      <c r="K161" s="134" t="str">
        <f t="shared" si="18"/>
        <v>4%</v>
      </c>
      <c r="L161" s="73">
        <v>50</v>
      </c>
      <c r="M161" s="99">
        <f t="shared" si="19"/>
        <v>4.0149781568545866E-2</v>
      </c>
      <c r="N161" s="73">
        <f>VLOOKUP(A161, 'Stock Register'!A:F, 6, FALSE)</f>
        <v>0</v>
      </c>
    </row>
    <row r="162" spans="1:14" hidden="1" x14ac:dyDescent="0.25">
      <c r="A162" s="205" t="s">
        <v>344</v>
      </c>
      <c r="B162" s="28" t="s">
        <v>341</v>
      </c>
      <c r="D162" s="29">
        <v>43</v>
      </c>
      <c r="E162" s="190">
        <v>48</v>
      </c>
      <c r="F162" s="60">
        <f>SUMIF('Sales Register'!C:C, A162, 'Sales Register'!D:D)</f>
        <v>2</v>
      </c>
      <c r="G162" s="60">
        <f t="shared" si="14"/>
        <v>96</v>
      </c>
      <c r="H162" s="60">
        <f t="shared" si="15"/>
        <v>86</v>
      </c>
      <c r="I162" s="60">
        <f t="shared" si="16"/>
        <v>10</v>
      </c>
      <c r="J162" s="60">
        <f t="shared" si="17"/>
        <v>0.10416666666666667</v>
      </c>
      <c r="K162" s="35" t="str">
        <f t="shared" si="18"/>
        <v>11%</v>
      </c>
      <c r="M162" s="30">
        <f t="shared" si="19"/>
        <v>0.11627906976744186</v>
      </c>
      <c r="N162" s="34" t="e">
        <f>VLOOKUP(A162, 'Stock Register'!A:F, 6, FALSE)</f>
        <v>#N/A</v>
      </c>
    </row>
    <row r="163" spans="1:14" s="75" customFormat="1" ht="30" hidden="1" x14ac:dyDescent="0.25">
      <c r="A163" s="204" t="s">
        <v>342</v>
      </c>
      <c r="B163" s="71" t="s">
        <v>223</v>
      </c>
      <c r="C163" s="71"/>
      <c r="D163" s="72">
        <v>110</v>
      </c>
      <c r="E163" s="191">
        <v>120</v>
      </c>
      <c r="F163" s="74">
        <f>SUMIF('Sales Register'!C:C, A163, 'Sales Register'!D:D)</f>
        <v>3</v>
      </c>
      <c r="G163" s="74">
        <f t="shared" si="14"/>
        <v>360</v>
      </c>
      <c r="H163" s="74">
        <f t="shared" si="15"/>
        <v>330</v>
      </c>
      <c r="I163" s="74">
        <f t="shared" si="16"/>
        <v>30</v>
      </c>
      <c r="J163" s="74">
        <f t="shared" si="17"/>
        <v>8.3333333333333329E-2</v>
      </c>
      <c r="K163" s="134" t="str">
        <f t="shared" si="18"/>
        <v>9%</v>
      </c>
      <c r="L163" s="73">
        <v>122</v>
      </c>
      <c r="M163" s="99">
        <f t="shared" si="19"/>
        <v>9.0909090909090912E-2</v>
      </c>
      <c r="N163" s="73" t="e">
        <f>VLOOKUP(A163, 'Stock Register'!A:F, 6, FALSE)</f>
        <v>#N/A</v>
      </c>
    </row>
    <row r="164" spans="1:14" ht="30" hidden="1" x14ac:dyDescent="0.25">
      <c r="A164" s="205" t="s">
        <v>343</v>
      </c>
      <c r="B164" s="28" t="s">
        <v>341</v>
      </c>
      <c r="C164" s="28">
        <v>29</v>
      </c>
      <c r="D164" s="29">
        <v>26</v>
      </c>
      <c r="E164" s="190">
        <v>29</v>
      </c>
      <c r="F164" s="60">
        <f>SUMIF('Sales Register'!C:C, A164, 'Sales Register'!D:D)</f>
        <v>5</v>
      </c>
      <c r="G164" s="60">
        <f t="shared" si="14"/>
        <v>145</v>
      </c>
      <c r="H164" s="60">
        <f t="shared" si="15"/>
        <v>130</v>
      </c>
      <c r="I164" s="60">
        <f t="shared" si="16"/>
        <v>15</v>
      </c>
      <c r="J164" s="60">
        <f t="shared" si="17"/>
        <v>0.10344827586206896</v>
      </c>
      <c r="K164" s="35" t="str">
        <f t="shared" si="18"/>
        <v>11%</v>
      </c>
      <c r="M164" s="30">
        <f t="shared" si="19"/>
        <v>0.11538461538461539</v>
      </c>
      <c r="N164" s="34" t="e">
        <f>VLOOKUP(A164, 'Stock Register'!A:F, 6, FALSE)</f>
        <v>#N/A</v>
      </c>
    </row>
    <row r="165" spans="1:14" s="75" customFormat="1" ht="30" hidden="1" x14ac:dyDescent="0.25">
      <c r="A165" s="204" t="s">
        <v>451</v>
      </c>
      <c r="B165" s="71" t="s">
        <v>221</v>
      </c>
      <c r="C165" s="71">
        <v>40</v>
      </c>
      <c r="D165" s="72">
        <f>SUMIF('Purchase Register'!C:C, A165, 'Purchase Register'!G:G)</f>
        <v>36</v>
      </c>
      <c r="E165" s="191">
        <v>40</v>
      </c>
      <c r="F165" s="74">
        <f>SUMIF('Sales Register'!C:C, A165, 'Sales Register'!D:D)</f>
        <v>4</v>
      </c>
      <c r="G165" s="74">
        <f t="shared" si="14"/>
        <v>160</v>
      </c>
      <c r="H165" s="74">
        <f t="shared" si="15"/>
        <v>144</v>
      </c>
      <c r="I165" s="74">
        <f t="shared" si="16"/>
        <v>16</v>
      </c>
      <c r="J165" s="74">
        <f t="shared" si="17"/>
        <v>0.1</v>
      </c>
      <c r="K165" s="134" t="str">
        <f t="shared" si="18"/>
        <v>11%</v>
      </c>
      <c r="L165" s="73">
        <v>40</v>
      </c>
      <c r="M165" s="99">
        <f t="shared" si="19"/>
        <v>0.1111111111111111</v>
      </c>
      <c r="N165" s="73">
        <f>VLOOKUP(A165, 'Stock Register'!A:F, 6, FALSE)</f>
        <v>-1</v>
      </c>
    </row>
    <row r="166" spans="1:14" s="75" customFormat="1" ht="30" hidden="1" x14ac:dyDescent="0.25">
      <c r="A166" s="204" t="s">
        <v>352</v>
      </c>
      <c r="B166" s="71" t="s">
        <v>219</v>
      </c>
      <c r="C166" s="71">
        <v>10</v>
      </c>
      <c r="D166" s="72">
        <v>8.75</v>
      </c>
      <c r="E166" s="191">
        <v>10</v>
      </c>
      <c r="F166" s="74">
        <f>SUMIF('Sales Register'!C:C, A166, 'Sales Register'!D:D)</f>
        <v>12</v>
      </c>
      <c r="G166" s="74">
        <f t="shared" si="14"/>
        <v>120</v>
      </c>
      <c r="H166" s="74">
        <f t="shared" si="15"/>
        <v>105</v>
      </c>
      <c r="I166" s="74">
        <f t="shared" si="16"/>
        <v>15</v>
      </c>
      <c r="J166" s="74">
        <f t="shared" si="17"/>
        <v>0.125</v>
      </c>
      <c r="K166" s="134" t="str">
        <f t="shared" si="18"/>
        <v>14%</v>
      </c>
      <c r="L166" s="73">
        <v>10</v>
      </c>
      <c r="M166" s="99">
        <f t="shared" si="19"/>
        <v>0.14285714285714285</v>
      </c>
      <c r="N166" s="73" t="e">
        <f>VLOOKUP(A166, 'Stock Register'!A:F, 6, FALSE)</f>
        <v>#N/A</v>
      </c>
    </row>
    <row r="167" spans="1:14" s="75" customFormat="1" hidden="1" x14ac:dyDescent="0.25">
      <c r="A167" s="204" t="s">
        <v>321</v>
      </c>
      <c r="B167" s="71" t="s">
        <v>219</v>
      </c>
      <c r="C167" s="71">
        <v>107</v>
      </c>
      <c r="D167" s="72">
        <v>97</v>
      </c>
      <c r="E167" s="191">
        <v>105</v>
      </c>
      <c r="F167" s="74">
        <f>SUMIF('Sales Register'!C:C, A167, 'Sales Register'!D:D)</f>
        <v>2</v>
      </c>
      <c r="G167" s="74">
        <f t="shared" si="14"/>
        <v>210</v>
      </c>
      <c r="H167" s="74">
        <f t="shared" si="15"/>
        <v>194</v>
      </c>
      <c r="I167" s="74">
        <f t="shared" si="16"/>
        <v>16</v>
      </c>
      <c r="J167" s="74">
        <f t="shared" si="17"/>
        <v>7.6190476190476197E-2</v>
      </c>
      <c r="K167" s="134" t="str">
        <f t="shared" si="18"/>
        <v>8%</v>
      </c>
      <c r="L167" s="73">
        <v>106</v>
      </c>
      <c r="M167" s="99">
        <f t="shared" si="19"/>
        <v>8.247422680412371E-2</v>
      </c>
      <c r="N167" s="73" t="e">
        <f>VLOOKUP(A167, 'Stock Register'!A:F, 6, FALSE)</f>
        <v>#N/A</v>
      </c>
    </row>
    <row r="168" spans="1:14" s="75" customFormat="1" hidden="1" x14ac:dyDescent="0.25">
      <c r="A168" s="204" t="s">
        <v>345</v>
      </c>
      <c r="B168" s="71" t="s">
        <v>340</v>
      </c>
      <c r="C168" s="71">
        <v>1</v>
      </c>
      <c r="D168" s="72">
        <v>0.87</v>
      </c>
      <c r="E168" s="191">
        <v>1</v>
      </c>
      <c r="F168" s="74">
        <f>SUMIF('Sales Register'!C:C, A168, 'Sales Register'!D:D)</f>
        <v>155.1</v>
      </c>
      <c r="G168" s="74">
        <f t="shared" si="14"/>
        <v>155.1</v>
      </c>
      <c r="H168" s="74">
        <f t="shared" si="15"/>
        <v>134.93699999999998</v>
      </c>
      <c r="I168" s="74">
        <f t="shared" si="16"/>
        <v>20.163000000000011</v>
      </c>
      <c r="J168" s="74">
        <f t="shared" si="17"/>
        <v>0.13000000000000009</v>
      </c>
      <c r="K168" s="134" t="str">
        <f t="shared" si="18"/>
        <v>14%</v>
      </c>
      <c r="L168" s="73"/>
      <c r="M168" s="99">
        <f t="shared" si="19"/>
        <v>0.14942528735632185</v>
      </c>
      <c r="N168" s="73">
        <f>VLOOKUP(A168, 'Stock Register'!A:F, 6, FALSE)</f>
        <v>-55.099999999999994</v>
      </c>
    </row>
    <row r="169" spans="1:14" s="75" customFormat="1" ht="30" hidden="1" x14ac:dyDescent="0.25">
      <c r="A169" s="204" t="s">
        <v>385</v>
      </c>
      <c r="B169" s="71" t="s">
        <v>387</v>
      </c>
      <c r="C169" s="71">
        <v>10</v>
      </c>
      <c r="D169" s="72">
        <f>SUMIF('Purchase Register'!C:C, A169, 'Purchase Register'!G:G)</f>
        <v>8.1666666666666661</v>
      </c>
      <c r="E169" s="191">
        <v>10</v>
      </c>
      <c r="F169" s="74">
        <f>SUMIF('Sales Register'!C:C, A169, 'Sales Register'!D:D)</f>
        <v>30</v>
      </c>
      <c r="G169" s="74">
        <f t="shared" si="14"/>
        <v>300</v>
      </c>
      <c r="H169" s="74">
        <f t="shared" si="15"/>
        <v>244.99999999999997</v>
      </c>
      <c r="I169" s="74">
        <f t="shared" si="16"/>
        <v>55.000000000000028</v>
      </c>
      <c r="J169" s="74">
        <f t="shared" si="17"/>
        <v>0.18333333333333343</v>
      </c>
      <c r="K169" s="134" t="str">
        <f t="shared" si="18"/>
        <v>22%</v>
      </c>
      <c r="L169" s="73">
        <v>10</v>
      </c>
      <c r="M169" s="99">
        <f t="shared" si="19"/>
        <v>0.22448979591836743</v>
      </c>
      <c r="N169" s="73">
        <f>VLOOKUP(A169, 'Stock Register'!A:F, 6, FALSE)</f>
        <v>0</v>
      </c>
    </row>
    <row r="170" spans="1:14" s="75" customFormat="1" hidden="1" x14ac:dyDescent="0.25">
      <c r="A170" s="204" t="s">
        <v>386</v>
      </c>
      <c r="B170" s="71" t="s">
        <v>387</v>
      </c>
      <c r="C170" s="71">
        <v>10</v>
      </c>
      <c r="D170" s="72">
        <f>SUMIF('Purchase Register'!C:C, A170, 'Purchase Register'!G:G)</f>
        <v>8.1666666666666661</v>
      </c>
      <c r="E170" s="191">
        <v>10</v>
      </c>
      <c r="F170" s="74">
        <f>SUMIF('Sales Register'!C:C, A170, 'Sales Register'!D:D)</f>
        <v>36</v>
      </c>
      <c r="G170" s="74">
        <f t="shared" si="14"/>
        <v>360</v>
      </c>
      <c r="H170" s="74">
        <f t="shared" si="15"/>
        <v>294</v>
      </c>
      <c r="I170" s="74">
        <f t="shared" si="16"/>
        <v>66</v>
      </c>
      <c r="J170" s="74">
        <f t="shared" si="17"/>
        <v>0.18333333333333332</v>
      </c>
      <c r="K170" s="134" t="str">
        <f t="shared" si="18"/>
        <v>22%</v>
      </c>
      <c r="L170" s="73">
        <v>10</v>
      </c>
      <c r="M170" s="99">
        <f t="shared" si="19"/>
        <v>0.22448979591836743</v>
      </c>
      <c r="N170" s="73">
        <f>VLOOKUP(A170, 'Stock Register'!A:F, 6, FALSE)</f>
        <v>-6</v>
      </c>
    </row>
    <row r="171" spans="1:14" s="75" customFormat="1" hidden="1" x14ac:dyDescent="0.25">
      <c r="A171" s="204" t="s">
        <v>388</v>
      </c>
      <c r="B171" s="71" t="s">
        <v>393</v>
      </c>
      <c r="C171" s="71">
        <v>7.5</v>
      </c>
      <c r="D171" s="72">
        <f>SUMIF('Purchase Register'!C:C, A171, 'Purchase Register'!G:G)</f>
        <v>6.333333333333333</v>
      </c>
      <c r="E171" s="191">
        <v>7.5</v>
      </c>
      <c r="F171" s="74">
        <f>SUMIF('Sales Register'!C:C, A171, 'Sales Register'!D:D)</f>
        <v>120</v>
      </c>
      <c r="G171" s="74">
        <f t="shared" si="14"/>
        <v>900</v>
      </c>
      <c r="H171" s="74">
        <f t="shared" si="15"/>
        <v>760</v>
      </c>
      <c r="I171" s="74">
        <f t="shared" si="16"/>
        <v>140</v>
      </c>
      <c r="J171" s="74">
        <f t="shared" si="17"/>
        <v>0.15555555555555556</v>
      </c>
      <c r="K171" s="35" t="str">
        <f t="shared" si="18"/>
        <v>18%</v>
      </c>
      <c r="L171" s="73">
        <v>7.5</v>
      </c>
      <c r="M171" s="30">
        <f t="shared" si="19"/>
        <v>0.18421052631578952</v>
      </c>
      <c r="N171" s="34">
        <f>VLOOKUP(A171, 'Stock Register'!A:F, 6, FALSE)</f>
        <v>0</v>
      </c>
    </row>
    <row r="172" spans="1:14" s="75" customFormat="1" hidden="1" x14ac:dyDescent="0.25">
      <c r="A172" s="204" t="s">
        <v>389</v>
      </c>
      <c r="B172" s="71" t="s">
        <v>393</v>
      </c>
      <c r="C172" s="71">
        <v>9</v>
      </c>
      <c r="D172" s="72">
        <f>SUMIF('Purchase Register'!C:C, A172, 'Purchase Register'!G:G)</f>
        <v>7.333333333333333</v>
      </c>
      <c r="E172" s="191">
        <v>9</v>
      </c>
      <c r="F172" s="74">
        <f>SUMIF('Sales Register'!C:C, A172, 'Sales Register'!D:D)</f>
        <v>95</v>
      </c>
      <c r="G172" s="74">
        <f t="shared" si="14"/>
        <v>855</v>
      </c>
      <c r="H172" s="74">
        <f t="shared" si="15"/>
        <v>696.66666666666663</v>
      </c>
      <c r="I172" s="74">
        <f t="shared" si="16"/>
        <v>158.33333333333337</v>
      </c>
      <c r="J172" s="74">
        <f t="shared" si="17"/>
        <v>0.18518518518518523</v>
      </c>
      <c r="K172" s="35" t="str">
        <f t="shared" si="18"/>
        <v>22%</v>
      </c>
      <c r="L172" s="73">
        <v>9</v>
      </c>
      <c r="M172" s="30">
        <f t="shared" si="19"/>
        <v>0.22727272727272732</v>
      </c>
      <c r="N172" s="34">
        <f>VLOOKUP(A172, 'Stock Register'!A:F, 6, FALSE)</f>
        <v>25</v>
      </c>
    </row>
    <row r="173" spans="1:14" s="75" customFormat="1" hidden="1" x14ac:dyDescent="0.25">
      <c r="A173" s="204" t="s">
        <v>404</v>
      </c>
      <c r="B173" s="71" t="s">
        <v>405</v>
      </c>
      <c r="C173" s="71">
        <v>30</v>
      </c>
      <c r="D173" s="72">
        <f>SUMIF('Purchase Register'!C:C, A173, 'Purchase Register'!G:G)</f>
        <v>20</v>
      </c>
      <c r="E173" s="191">
        <v>25</v>
      </c>
      <c r="F173" s="74">
        <f>SUMIF('Sales Register'!C:C, A173, 'Sales Register'!D:D)</f>
        <v>5</v>
      </c>
      <c r="G173" s="74">
        <f t="shared" si="14"/>
        <v>125</v>
      </c>
      <c r="H173" s="74">
        <f t="shared" si="15"/>
        <v>100</v>
      </c>
      <c r="I173" s="74">
        <f t="shared" si="16"/>
        <v>25</v>
      </c>
      <c r="J173" s="74">
        <f t="shared" si="17"/>
        <v>0.2</v>
      </c>
      <c r="K173" s="134" t="str">
        <f t="shared" si="18"/>
        <v>25%</v>
      </c>
      <c r="L173" s="73">
        <v>25</v>
      </c>
      <c r="M173" s="99">
        <f t="shared" si="19"/>
        <v>0.25</v>
      </c>
      <c r="N173" s="73">
        <f>VLOOKUP(A173, 'Stock Register'!A:F, 6, FALSE)</f>
        <v>0</v>
      </c>
    </row>
    <row r="174" spans="1:14" s="75" customFormat="1" hidden="1" x14ac:dyDescent="0.25">
      <c r="A174" s="204" t="s">
        <v>399</v>
      </c>
      <c r="B174" s="71" t="s">
        <v>406</v>
      </c>
      <c r="C174" s="71">
        <v>80</v>
      </c>
      <c r="D174" s="72">
        <f>SUMIF('Purchase Register'!C:C, A174, 'Purchase Register'!G:G)</f>
        <v>66.666666666666671</v>
      </c>
      <c r="E174" s="191">
        <v>74</v>
      </c>
      <c r="F174" s="74">
        <f>SUMIF('Sales Register'!C:C, A174, 'Sales Register'!D:D)</f>
        <v>2.8529999999999998</v>
      </c>
      <c r="G174" s="74">
        <f t="shared" si="14"/>
        <v>211.12199999999999</v>
      </c>
      <c r="H174" s="74">
        <f t="shared" si="15"/>
        <v>190.2</v>
      </c>
      <c r="I174" s="74">
        <f t="shared" si="16"/>
        <v>20.921999999999997</v>
      </c>
      <c r="J174" s="74">
        <f t="shared" si="17"/>
        <v>9.9099099099099086E-2</v>
      </c>
      <c r="K174" s="134" t="str">
        <f t="shared" si="18"/>
        <v>11%</v>
      </c>
      <c r="L174" s="73"/>
      <c r="M174" s="99">
        <f t="shared" si="19"/>
        <v>0.10999999999999992</v>
      </c>
      <c r="N174" s="73">
        <f>VLOOKUP(A174, 'Stock Register'!A:F, 6, FALSE)</f>
        <v>0.14700000000000024</v>
      </c>
    </row>
    <row r="175" spans="1:14" s="75" customFormat="1" hidden="1" x14ac:dyDescent="0.25">
      <c r="A175" s="204" t="s">
        <v>400</v>
      </c>
      <c r="B175" s="71" t="s">
        <v>409</v>
      </c>
      <c r="C175" s="71">
        <v>60</v>
      </c>
      <c r="D175" s="72">
        <f>SUMIF('Purchase Register'!C:C, A175, 'Purchase Register'!G:G)</f>
        <v>50</v>
      </c>
      <c r="E175" s="191">
        <v>58</v>
      </c>
      <c r="F175" s="74">
        <f>SUMIF('Sales Register'!C:C, A175, 'Sales Register'!D:D)</f>
        <v>4.29</v>
      </c>
      <c r="G175" s="74">
        <f t="shared" si="14"/>
        <v>248.82</v>
      </c>
      <c r="H175" s="74">
        <f t="shared" si="15"/>
        <v>214.5</v>
      </c>
      <c r="I175" s="74">
        <f t="shared" si="16"/>
        <v>34.319999999999993</v>
      </c>
      <c r="J175" s="74">
        <f t="shared" si="17"/>
        <v>0.13793103448275859</v>
      </c>
      <c r="K175" s="134" t="str">
        <f t="shared" si="18"/>
        <v>16%</v>
      </c>
      <c r="L175" s="73"/>
      <c r="M175" s="99">
        <f t="shared" si="19"/>
        <v>0.16</v>
      </c>
      <c r="N175" s="73">
        <f>VLOOKUP(A175, 'Stock Register'!A:F, 6, FALSE)</f>
        <v>-2.29</v>
      </c>
    </row>
    <row r="176" spans="1:14" hidden="1" x14ac:dyDescent="0.25">
      <c r="A176" s="205" t="s">
        <v>441</v>
      </c>
      <c r="B176" s="28" t="s">
        <v>407</v>
      </c>
      <c r="C176" s="28">
        <v>20</v>
      </c>
      <c r="D176" s="29">
        <v>14</v>
      </c>
      <c r="E176" s="190">
        <v>20</v>
      </c>
      <c r="F176" s="60">
        <f>SUMIF('Sales Register'!C:C, A176, 'Sales Register'!D:D)</f>
        <v>1</v>
      </c>
      <c r="G176" s="60">
        <f t="shared" si="14"/>
        <v>20</v>
      </c>
      <c r="H176" s="60">
        <f t="shared" si="15"/>
        <v>14</v>
      </c>
      <c r="I176" s="60">
        <f t="shared" si="16"/>
        <v>6</v>
      </c>
      <c r="J176" s="60">
        <f t="shared" si="17"/>
        <v>0.3</v>
      </c>
      <c r="K176" s="35" t="str">
        <f t="shared" si="18"/>
        <v>42%</v>
      </c>
      <c r="M176" s="30">
        <f t="shared" si="19"/>
        <v>0.42857142857142855</v>
      </c>
      <c r="N176" s="34" t="e">
        <f>VLOOKUP(A176, 'Stock Register'!A:F, 6, FALSE)</f>
        <v>#N/A</v>
      </c>
    </row>
    <row r="177" spans="1:14" hidden="1" x14ac:dyDescent="0.25">
      <c r="A177" s="205" t="s">
        <v>402</v>
      </c>
      <c r="B177" s="28" t="s">
        <v>408</v>
      </c>
      <c r="C177" s="28">
        <v>20</v>
      </c>
      <c r="D177" s="29">
        <f>SUMIF('Purchase Register'!C:C, A177, 'Purchase Register'!G:G)</f>
        <v>12</v>
      </c>
      <c r="E177" s="190">
        <v>15</v>
      </c>
      <c r="F177" s="60">
        <f>SUMIF('Sales Register'!C:C, A177, 'Sales Register'!D:D)</f>
        <v>2</v>
      </c>
      <c r="G177" s="60">
        <f t="shared" si="14"/>
        <v>30</v>
      </c>
      <c r="H177" s="60">
        <f t="shared" si="15"/>
        <v>24</v>
      </c>
      <c r="I177" s="60">
        <f t="shared" si="16"/>
        <v>6</v>
      </c>
      <c r="J177" s="60">
        <f t="shared" si="17"/>
        <v>0.2</v>
      </c>
      <c r="K177" s="35" t="str">
        <f t="shared" si="18"/>
        <v>25%</v>
      </c>
      <c r="M177" s="30">
        <f t="shared" si="19"/>
        <v>0.25</v>
      </c>
      <c r="N177" s="34">
        <f>VLOOKUP(A177, 'Stock Register'!A:F, 6, FALSE)</f>
        <v>3</v>
      </c>
    </row>
    <row r="178" spans="1:14" hidden="1" x14ac:dyDescent="0.25">
      <c r="A178" s="205" t="s">
        <v>403</v>
      </c>
      <c r="B178" s="28" t="s">
        <v>405</v>
      </c>
      <c r="C178" s="28">
        <v>20</v>
      </c>
      <c r="D178" s="29">
        <f>SUMIF('Purchase Register'!C:C, A178, 'Purchase Register'!G:G)</f>
        <v>10</v>
      </c>
      <c r="E178" s="190">
        <v>15</v>
      </c>
      <c r="F178" s="60">
        <f>SUMIF('Sales Register'!C:C, A178, 'Sales Register'!D:D)</f>
        <v>2</v>
      </c>
      <c r="G178" s="60">
        <f t="shared" si="14"/>
        <v>30</v>
      </c>
      <c r="H178" s="60">
        <f t="shared" si="15"/>
        <v>20</v>
      </c>
      <c r="I178" s="60">
        <f t="shared" si="16"/>
        <v>10</v>
      </c>
      <c r="J178" s="60">
        <f t="shared" si="17"/>
        <v>0.33333333333333331</v>
      </c>
      <c r="K178" s="35" t="str">
        <f t="shared" si="18"/>
        <v>50%</v>
      </c>
      <c r="M178" s="30">
        <f t="shared" si="19"/>
        <v>0.5</v>
      </c>
      <c r="N178" s="34">
        <f>VLOOKUP(A178, 'Stock Register'!A:F, 6, FALSE)</f>
        <v>3</v>
      </c>
    </row>
    <row r="179" spans="1:14" s="75" customFormat="1" ht="30" hidden="1" x14ac:dyDescent="0.25">
      <c r="A179" s="204" t="s">
        <v>416</v>
      </c>
      <c r="B179" s="71" t="s">
        <v>221</v>
      </c>
      <c r="C179" s="71">
        <v>5</v>
      </c>
      <c r="D179" s="72">
        <f>SUMIF('Purchase Register'!C:C, A179, 'Purchase Register'!G:G)</f>
        <v>4.666666666666667</v>
      </c>
      <c r="E179" s="191">
        <v>5</v>
      </c>
      <c r="F179" s="74">
        <f>SUMIF('Sales Register'!C:C, A179, 'Sales Register'!D:D)</f>
        <v>14</v>
      </c>
      <c r="G179" s="74">
        <f t="shared" si="14"/>
        <v>70</v>
      </c>
      <c r="H179" s="74">
        <f t="shared" si="15"/>
        <v>65.333333333333343</v>
      </c>
      <c r="I179" s="74">
        <f t="shared" si="16"/>
        <v>4.6666666666666572</v>
      </c>
      <c r="J179" s="74">
        <f t="shared" si="17"/>
        <v>6.6666666666666527E-2</v>
      </c>
      <c r="K179" s="134" t="str">
        <f t="shared" si="18"/>
        <v>7%</v>
      </c>
      <c r="L179" s="73"/>
      <c r="M179" s="99">
        <f t="shared" si="19"/>
        <v>7.1428571428571355E-2</v>
      </c>
      <c r="N179" s="73">
        <f>VLOOKUP(A179, 'Stock Register'!A:F, 6, FALSE)</f>
        <v>-2</v>
      </c>
    </row>
    <row r="180" spans="1:14" hidden="1" x14ac:dyDescent="0.25">
      <c r="A180" s="205" t="s">
        <v>413</v>
      </c>
      <c r="B180" s="28" t="s">
        <v>487</v>
      </c>
      <c r="C180" s="28">
        <v>70</v>
      </c>
      <c r="D180" s="29">
        <f>SUMIF('Purchase Register'!C:C, A180, 'Purchase Register'!G:G)</f>
        <v>65</v>
      </c>
      <c r="E180" s="190">
        <v>70</v>
      </c>
      <c r="F180" s="60">
        <f>SUMIF('Sales Register'!C:C, A180, 'Sales Register'!D:D)</f>
        <v>5</v>
      </c>
      <c r="G180" s="60">
        <f t="shared" si="14"/>
        <v>350</v>
      </c>
      <c r="H180" s="60">
        <f t="shared" si="15"/>
        <v>325</v>
      </c>
      <c r="I180" s="60">
        <f t="shared" si="16"/>
        <v>25</v>
      </c>
      <c r="J180" s="60">
        <f t="shared" si="17"/>
        <v>7.1428571428571425E-2</v>
      </c>
      <c r="K180" s="35" t="str">
        <f t="shared" si="18"/>
        <v>7%</v>
      </c>
      <c r="M180" s="30">
        <f t="shared" si="19"/>
        <v>7.6923076923076927E-2</v>
      </c>
      <c r="N180" s="34">
        <f>VLOOKUP(A180, 'Stock Register'!A:F, 6, FALSE)</f>
        <v>1</v>
      </c>
    </row>
    <row r="181" spans="1:14" s="75" customFormat="1" hidden="1" x14ac:dyDescent="0.25">
      <c r="A181" s="204" t="s">
        <v>414</v>
      </c>
      <c r="B181" s="71" t="s">
        <v>487</v>
      </c>
      <c r="C181" s="71">
        <v>35</v>
      </c>
      <c r="D181" s="72">
        <f>SUMIF('Purchase Register'!C:C, A181, 'Purchase Register'!G:G)</f>
        <v>33.5</v>
      </c>
      <c r="E181" s="191">
        <v>35</v>
      </c>
      <c r="F181" s="74">
        <f>SUMIF('Sales Register'!C:C, A181, 'Sales Register'!D:D)</f>
        <v>4</v>
      </c>
      <c r="G181" s="74">
        <f t="shared" si="14"/>
        <v>140</v>
      </c>
      <c r="H181" s="74">
        <f t="shared" si="15"/>
        <v>134</v>
      </c>
      <c r="I181" s="74">
        <f t="shared" si="16"/>
        <v>6</v>
      </c>
      <c r="J181" s="74">
        <f t="shared" si="17"/>
        <v>4.2857142857142858E-2</v>
      </c>
      <c r="K181" s="134" t="str">
        <f t="shared" si="18"/>
        <v>4%</v>
      </c>
      <c r="L181" s="73"/>
      <c r="M181" s="99">
        <f t="shared" si="19"/>
        <v>4.4776119402985072E-2</v>
      </c>
      <c r="N181" s="73">
        <f>VLOOKUP(A181, 'Stock Register'!A:F, 6, FALSE)</f>
        <v>0</v>
      </c>
    </row>
    <row r="182" spans="1:14" hidden="1" x14ac:dyDescent="0.25">
      <c r="A182" s="205" t="s">
        <v>415</v>
      </c>
      <c r="B182" s="28" t="s">
        <v>387</v>
      </c>
      <c r="C182" s="28">
        <v>90</v>
      </c>
      <c r="D182" s="29">
        <f>SUMIF('Purchase Register'!C:C, A182, 'Purchase Register'!G:G)</f>
        <v>85</v>
      </c>
      <c r="E182" s="190">
        <v>90</v>
      </c>
      <c r="F182" s="60">
        <f>SUMIF('Sales Register'!C:C, A182, 'Sales Register'!D:D)</f>
        <v>4</v>
      </c>
      <c r="G182" s="60">
        <f t="shared" ref="G182:G245" si="20">E182*F182</f>
        <v>360</v>
      </c>
      <c r="H182" s="60">
        <f t="shared" si="15"/>
        <v>340</v>
      </c>
      <c r="I182" s="60">
        <f t="shared" si="16"/>
        <v>20</v>
      </c>
      <c r="J182" s="60">
        <f t="shared" si="17"/>
        <v>5.5555555555555552E-2</v>
      </c>
      <c r="K182" s="35" t="str">
        <f t="shared" si="18"/>
        <v>5%</v>
      </c>
      <c r="M182" s="30">
        <f t="shared" si="19"/>
        <v>5.8823529411764705E-2</v>
      </c>
      <c r="N182" s="34">
        <f>VLOOKUP(A182, 'Stock Register'!A:F, 6, FALSE)</f>
        <v>0</v>
      </c>
    </row>
    <row r="183" spans="1:14" s="75" customFormat="1" hidden="1" x14ac:dyDescent="0.25">
      <c r="A183" s="204" t="s">
        <v>417</v>
      </c>
      <c r="B183" s="71" t="s">
        <v>172</v>
      </c>
      <c r="C183" s="71">
        <v>39</v>
      </c>
      <c r="D183" s="72">
        <f>SUMIF('Purchase Register'!C:C, A183, 'Purchase Register'!G:G)</f>
        <v>37</v>
      </c>
      <c r="E183" s="191">
        <v>39</v>
      </c>
      <c r="F183" s="74">
        <f>SUMIF('Sales Register'!C:C, A183, 'Sales Register'!D:D)</f>
        <v>6</v>
      </c>
      <c r="G183" s="74">
        <f t="shared" si="20"/>
        <v>234</v>
      </c>
      <c r="H183" s="74">
        <f t="shared" si="15"/>
        <v>222</v>
      </c>
      <c r="I183" s="74">
        <f t="shared" si="16"/>
        <v>12</v>
      </c>
      <c r="J183" s="74">
        <f t="shared" si="17"/>
        <v>5.128205128205128E-2</v>
      </c>
      <c r="K183" s="134" t="str">
        <f t="shared" si="18"/>
        <v>5%</v>
      </c>
      <c r="L183" s="73"/>
      <c r="M183" s="99">
        <f t="shared" si="19"/>
        <v>5.4054054054054057E-2</v>
      </c>
      <c r="N183" s="73">
        <f>VLOOKUP(A183, 'Stock Register'!A:F, 6, FALSE)</f>
        <v>0</v>
      </c>
    </row>
    <row r="184" spans="1:14" ht="30" hidden="1" x14ac:dyDescent="0.25">
      <c r="A184" s="205" t="s">
        <v>419</v>
      </c>
      <c r="B184" s="28" t="s">
        <v>439</v>
      </c>
      <c r="C184" s="28">
        <v>10</v>
      </c>
      <c r="D184" s="29">
        <f>SUMIF('Purchase Register'!C:C, A184, 'Purchase Register'!G:G)</f>
        <v>9.0833333333333339</v>
      </c>
      <c r="E184" s="190">
        <v>10</v>
      </c>
      <c r="F184" s="60">
        <f>SUMIF('Sales Register'!C:C, A184, 'Sales Register'!D:D)</f>
        <v>17</v>
      </c>
      <c r="G184" s="60">
        <f t="shared" si="20"/>
        <v>170</v>
      </c>
      <c r="H184" s="60">
        <f t="shared" si="15"/>
        <v>154.41666666666669</v>
      </c>
      <c r="I184" s="60">
        <f t="shared" si="16"/>
        <v>15.583333333333314</v>
      </c>
      <c r="J184" s="60">
        <f t="shared" si="17"/>
        <v>9.1666666666666549E-2</v>
      </c>
      <c r="K184" s="35" t="str">
        <f t="shared" si="18"/>
        <v>10%</v>
      </c>
      <c r="M184" s="30">
        <f t="shared" si="19"/>
        <v>0.10091743119266047</v>
      </c>
      <c r="N184" s="34">
        <f>VLOOKUP(A184, 'Stock Register'!A:F, 6, FALSE)</f>
        <v>7</v>
      </c>
    </row>
    <row r="185" spans="1:14" ht="30" hidden="1" x14ac:dyDescent="0.25">
      <c r="A185" s="205" t="str">
        <f>'Stock Register'!A171</f>
        <v>SISTER CORIANDER POWDER 20 GM</v>
      </c>
      <c r="B185" s="28" t="s">
        <v>204</v>
      </c>
      <c r="C185" s="28">
        <v>9</v>
      </c>
      <c r="D185" s="29">
        <f>SUMIF('Purchase Register'!C:C, A185, 'Purchase Register'!G:G)</f>
        <v>5.384615384615385</v>
      </c>
      <c r="E185" s="190">
        <v>9</v>
      </c>
      <c r="F185" s="60">
        <f>SUMIF('Sales Register'!C:C, A185, 'Sales Register'!D:D)</f>
        <v>8</v>
      </c>
      <c r="G185" s="60">
        <f t="shared" si="20"/>
        <v>72</v>
      </c>
      <c r="H185" s="60">
        <f t="shared" si="15"/>
        <v>43.07692307692308</v>
      </c>
      <c r="I185" s="60">
        <f t="shared" si="16"/>
        <v>28.92307692307692</v>
      </c>
      <c r="J185" s="60">
        <f t="shared" si="17"/>
        <v>0.40170940170940167</v>
      </c>
      <c r="K185" s="35" t="str">
        <f t="shared" si="18"/>
        <v>67%</v>
      </c>
      <c r="M185" s="30">
        <f t="shared" si="19"/>
        <v>0.67142857142857126</v>
      </c>
      <c r="N185" s="34">
        <f>VLOOKUP(A185, 'Stock Register'!A:F, 6, FALSE)</f>
        <v>18</v>
      </c>
    </row>
    <row r="186" spans="1:14" ht="30" hidden="1" x14ac:dyDescent="0.25">
      <c r="A186" s="205" t="str">
        <f>'Stock Register'!A172</f>
        <v>SISTER CORIANDER POWDER 250 GM</v>
      </c>
      <c r="B186" s="28" t="s">
        <v>204</v>
      </c>
      <c r="C186" s="28">
        <v>90</v>
      </c>
      <c r="D186" s="29">
        <f>SUMIF('Purchase Register'!C:C, A186, 'Purchase Register'!G:G)</f>
        <v>70</v>
      </c>
      <c r="E186" s="190">
        <v>90</v>
      </c>
      <c r="F186" s="60">
        <f>SUMIF('Sales Register'!C:C, A186, 'Sales Register'!D:D)</f>
        <v>2</v>
      </c>
      <c r="G186" s="60">
        <f t="shared" si="20"/>
        <v>180</v>
      </c>
      <c r="H186" s="60">
        <f t="shared" si="15"/>
        <v>140</v>
      </c>
      <c r="I186" s="60">
        <f t="shared" si="16"/>
        <v>40</v>
      </c>
      <c r="J186" s="60">
        <f t="shared" si="17"/>
        <v>0.22222222222222221</v>
      </c>
      <c r="K186" s="35" t="str">
        <f t="shared" si="18"/>
        <v>28%</v>
      </c>
      <c r="M186" s="30">
        <f t="shared" si="19"/>
        <v>0.2857142857142857</v>
      </c>
      <c r="N186" s="34">
        <f>VLOOKUP(A186, 'Stock Register'!A:F, 6, FALSE)</f>
        <v>2</v>
      </c>
    </row>
    <row r="187" spans="1:14" ht="30" hidden="1" x14ac:dyDescent="0.25">
      <c r="A187" s="205" t="str">
        <f>'Stock Register'!A173</f>
        <v>SISTER CORIANDER POWDER 40 GM</v>
      </c>
      <c r="B187" s="28" t="s">
        <v>204</v>
      </c>
      <c r="C187" s="28">
        <v>19</v>
      </c>
      <c r="D187" s="29">
        <f>SUMIF('Purchase Register'!C:C, A187, 'Purchase Register'!G:G)</f>
        <v>11.2</v>
      </c>
      <c r="E187" s="190">
        <v>19</v>
      </c>
      <c r="F187" s="60">
        <f>SUMIF('Sales Register'!C:C, A187, 'Sales Register'!D:D)</f>
        <v>9</v>
      </c>
      <c r="G187" s="60">
        <f t="shared" si="20"/>
        <v>171</v>
      </c>
      <c r="H187" s="60">
        <f t="shared" si="15"/>
        <v>100.8</v>
      </c>
      <c r="I187" s="60">
        <f t="shared" si="16"/>
        <v>70.2</v>
      </c>
      <c r="J187" s="60">
        <f t="shared" si="17"/>
        <v>0.41052631578947368</v>
      </c>
      <c r="K187" s="35" t="str">
        <f t="shared" si="18"/>
        <v>69%</v>
      </c>
      <c r="M187" s="30">
        <f t="shared" si="19"/>
        <v>0.69642857142857151</v>
      </c>
      <c r="N187" s="34">
        <f>VLOOKUP(A187, 'Stock Register'!A:F, 6, FALSE)</f>
        <v>16</v>
      </c>
    </row>
    <row r="188" spans="1:14" ht="30" hidden="1" x14ac:dyDescent="0.25">
      <c r="A188" s="205" t="str">
        <f>'Stock Register'!A174</f>
        <v>SISTER JEERA POWDER 250 GM</v>
      </c>
      <c r="B188" s="28" t="s">
        <v>204</v>
      </c>
      <c r="C188" s="28">
        <v>165</v>
      </c>
      <c r="D188" s="29">
        <f>SUMIF('Purchase Register'!C:C, A188, 'Purchase Register'!G:G)</f>
        <v>130</v>
      </c>
      <c r="E188" s="190">
        <v>165</v>
      </c>
      <c r="F188" s="60">
        <f>SUMIF('Sales Register'!C:C, A188, 'Sales Register'!D:D)</f>
        <v>2</v>
      </c>
      <c r="G188" s="60">
        <f t="shared" si="20"/>
        <v>330</v>
      </c>
      <c r="H188" s="60">
        <f t="shared" si="15"/>
        <v>260</v>
      </c>
      <c r="I188" s="60">
        <f t="shared" si="16"/>
        <v>70</v>
      </c>
      <c r="J188" s="60">
        <f t="shared" si="17"/>
        <v>0.21212121212121213</v>
      </c>
      <c r="K188" s="35" t="str">
        <f t="shared" si="18"/>
        <v>26%</v>
      </c>
      <c r="M188" s="30">
        <f t="shared" si="19"/>
        <v>0.26923076923076922</v>
      </c>
      <c r="N188" s="34">
        <f>VLOOKUP(A188, 'Stock Register'!A:F, 6, FALSE)</f>
        <v>1</v>
      </c>
    </row>
    <row r="189" spans="1:14" ht="30" hidden="1" x14ac:dyDescent="0.25">
      <c r="A189" s="205" t="str">
        <f>'Stock Register'!A175</f>
        <v>SISTER RED CHILLI POWDER 100 GM</v>
      </c>
      <c r="B189" s="28" t="s">
        <v>204</v>
      </c>
      <c r="C189" s="28">
        <v>60</v>
      </c>
      <c r="D189" s="29">
        <f>SUMIF('Purchase Register'!C:C, A189, 'Purchase Register'!G:G)</f>
        <v>47</v>
      </c>
      <c r="E189" s="190">
        <v>58</v>
      </c>
      <c r="F189" s="60">
        <f>SUMIF('Sales Register'!C:C, A189, 'Sales Register'!D:D)</f>
        <v>8</v>
      </c>
      <c r="G189" s="60">
        <f t="shared" si="20"/>
        <v>464</v>
      </c>
      <c r="H189" s="60">
        <f t="shared" si="15"/>
        <v>376</v>
      </c>
      <c r="I189" s="60">
        <f t="shared" si="16"/>
        <v>88</v>
      </c>
      <c r="J189" s="60">
        <f t="shared" si="17"/>
        <v>0.18965517241379309</v>
      </c>
      <c r="K189" s="35" t="str">
        <f t="shared" si="18"/>
        <v>23%</v>
      </c>
      <c r="M189" s="30">
        <f t="shared" si="19"/>
        <v>0.23404255319148937</v>
      </c>
      <c r="N189" s="34">
        <f>VLOOKUP(A189, 'Stock Register'!A:F, 6, FALSE)</f>
        <v>2</v>
      </c>
    </row>
    <row r="190" spans="1:14" ht="30" hidden="1" x14ac:dyDescent="0.25">
      <c r="A190" s="205" t="str">
        <f>'Stock Register'!A176</f>
        <v>SISTER RED CHILLI POWDER 20 GM</v>
      </c>
      <c r="B190" s="28" t="s">
        <v>204</v>
      </c>
      <c r="C190" s="28">
        <v>13</v>
      </c>
      <c r="D190" s="29">
        <f>SUMIF('Purchase Register'!C:C, A190, 'Purchase Register'!G:G)</f>
        <v>9.0384615384615383</v>
      </c>
      <c r="E190" s="190">
        <v>13</v>
      </c>
      <c r="F190" s="60">
        <f>SUMIF('Sales Register'!C:C, A190, 'Sales Register'!D:D)</f>
        <v>7</v>
      </c>
      <c r="G190" s="60">
        <f t="shared" si="20"/>
        <v>91</v>
      </c>
      <c r="H190" s="60">
        <f t="shared" si="15"/>
        <v>63.269230769230766</v>
      </c>
      <c r="I190" s="60">
        <f t="shared" si="16"/>
        <v>27.730769230769234</v>
      </c>
      <c r="J190" s="60">
        <f t="shared" si="17"/>
        <v>0.30473372781065095</v>
      </c>
      <c r="K190" s="35" t="str">
        <f t="shared" si="18"/>
        <v>43%</v>
      </c>
      <c r="M190" s="30">
        <f t="shared" si="19"/>
        <v>0.43829787234042555</v>
      </c>
      <c r="N190" s="34">
        <f>VLOOKUP(A190, 'Stock Register'!A:F, 6, FALSE)</f>
        <v>19</v>
      </c>
    </row>
    <row r="191" spans="1:14" ht="30" hidden="1" x14ac:dyDescent="0.25">
      <c r="A191" s="205" t="str">
        <f>'Stock Register'!A177</f>
        <v>SISTER RED CHILLI POWDER 250 GM</v>
      </c>
      <c r="B191" s="28" t="s">
        <v>204</v>
      </c>
      <c r="C191" s="28">
        <v>145</v>
      </c>
      <c r="D191" s="29">
        <f>SUMIF('Purchase Register'!C:C, A191, 'Purchase Register'!G:G)</f>
        <v>117.5</v>
      </c>
      <c r="E191" s="190">
        <v>140</v>
      </c>
      <c r="F191" s="60">
        <f>SUMIF('Sales Register'!C:C, A191, 'Sales Register'!D:D)</f>
        <v>2</v>
      </c>
      <c r="G191" s="60">
        <f t="shared" si="20"/>
        <v>280</v>
      </c>
      <c r="H191" s="60">
        <f t="shared" si="15"/>
        <v>235</v>
      </c>
      <c r="I191" s="60">
        <f t="shared" si="16"/>
        <v>45</v>
      </c>
      <c r="J191" s="60">
        <f t="shared" si="17"/>
        <v>0.16071428571428573</v>
      </c>
      <c r="K191" s="35" t="str">
        <f t="shared" si="18"/>
        <v>19%</v>
      </c>
      <c r="M191" s="30">
        <f t="shared" si="19"/>
        <v>0.19148936170212766</v>
      </c>
      <c r="N191" s="34">
        <f>VLOOKUP(A191, 'Stock Register'!A:F, 6, FALSE)</f>
        <v>2</v>
      </c>
    </row>
    <row r="192" spans="1:14" ht="30" hidden="1" x14ac:dyDescent="0.25">
      <c r="A192" s="205" t="str">
        <f>'Stock Register'!A178</f>
        <v>SISTER RED CHILLI POWDER 40 GM</v>
      </c>
      <c r="B192" s="28" t="s">
        <v>204</v>
      </c>
      <c r="C192" s="28">
        <v>25</v>
      </c>
      <c r="D192" s="29">
        <f>SUMIF('Purchase Register'!C:C, A192, 'Purchase Register'!G:G)</f>
        <v>18.8</v>
      </c>
      <c r="E192" s="190">
        <v>25</v>
      </c>
      <c r="F192" s="60">
        <f>SUMIF('Sales Register'!C:C, A192, 'Sales Register'!D:D)</f>
        <v>17</v>
      </c>
      <c r="G192" s="60">
        <f t="shared" si="20"/>
        <v>425</v>
      </c>
      <c r="H192" s="60">
        <f t="shared" si="15"/>
        <v>319.60000000000002</v>
      </c>
      <c r="I192" s="60">
        <f t="shared" si="16"/>
        <v>105.39999999999998</v>
      </c>
      <c r="J192" s="60">
        <f t="shared" si="17"/>
        <v>0.24799999999999994</v>
      </c>
      <c r="K192" s="35" t="str">
        <f t="shared" si="18"/>
        <v>32%</v>
      </c>
      <c r="M192" s="30">
        <f t="shared" si="19"/>
        <v>0.32978723404255317</v>
      </c>
      <c r="N192" s="34">
        <f>VLOOKUP(A192, 'Stock Register'!A:F, 6, FALSE)</f>
        <v>8</v>
      </c>
    </row>
    <row r="193" spans="1:14" ht="30" hidden="1" x14ac:dyDescent="0.25">
      <c r="A193" s="205" t="str">
        <f>'Stock Register'!A179</f>
        <v>SISTER TURMERIC POWDER 100 GM</v>
      </c>
      <c r="B193" s="28" t="s">
        <v>204</v>
      </c>
      <c r="C193" s="28">
        <v>38</v>
      </c>
      <c r="D193" s="29">
        <f>SUMIF('Purchase Register'!C:C, A193, 'Purchase Register'!G:G)</f>
        <v>27</v>
      </c>
      <c r="E193" s="190">
        <v>35</v>
      </c>
      <c r="F193" s="60">
        <f>SUMIF('Sales Register'!C:C, A193, 'Sales Register'!D:D)</f>
        <v>8</v>
      </c>
      <c r="G193" s="60">
        <f t="shared" si="20"/>
        <v>280</v>
      </c>
      <c r="H193" s="60">
        <f t="shared" si="15"/>
        <v>216</v>
      </c>
      <c r="I193" s="60">
        <f t="shared" si="16"/>
        <v>64</v>
      </c>
      <c r="J193" s="60">
        <f t="shared" si="17"/>
        <v>0.22857142857142856</v>
      </c>
      <c r="K193" s="35" t="str">
        <f t="shared" si="18"/>
        <v>29%</v>
      </c>
      <c r="M193" s="30">
        <f t="shared" si="19"/>
        <v>0.29629629629629628</v>
      </c>
      <c r="N193" s="34">
        <f>VLOOKUP(A193, 'Stock Register'!A:F, 6, FALSE)</f>
        <v>2</v>
      </c>
    </row>
    <row r="194" spans="1:14" ht="30" hidden="1" x14ac:dyDescent="0.25">
      <c r="A194" s="205" t="str">
        <f>'Stock Register'!A180</f>
        <v>SISTER TURMERIC POWDER 20 GM</v>
      </c>
      <c r="B194" s="28" t="s">
        <v>204</v>
      </c>
      <c r="C194" s="28">
        <v>9</v>
      </c>
      <c r="D194" s="29">
        <f>SUMIF('Purchase Register'!C:C, A194, 'Purchase Register'!G:G)</f>
        <v>5.1923076923076925</v>
      </c>
      <c r="E194" s="190">
        <v>9</v>
      </c>
      <c r="F194" s="60">
        <f>SUMIF('Sales Register'!C:C, A194, 'Sales Register'!D:D)</f>
        <v>12</v>
      </c>
      <c r="G194" s="60">
        <f t="shared" si="20"/>
        <v>108</v>
      </c>
      <c r="H194" s="60">
        <f t="shared" ref="H194:H257" si="21">D194*F194</f>
        <v>62.307692307692307</v>
      </c>
      <c r="I194" s="60">
        <f t="shared" ref="I194:I257" si="22">G194-H194</f>
        <v>45.692307692307693</v>
      </c>
      <c r="J194" s="60">
        <f t="shared" ref="J194:J257" si="23">IF(G194=0,0,I194/G194)</f>
        <v>0.42307692307692307</v>
      </c>
      <c r="K194" s="35" t="str">
        <f t="shared" si="18"/>
        <v>73%</v>
      </c>
      <c r="M194" s="30">
        <f t="shared" si="19"/>
        <v>0.73333333333333328</v>
      </c>
      <c r="N194" s="34">
        <f>VLOOKUP(A194, 'Stock Register'!A:F, 6, FALSE)</f>
        <v>14</v>
      </c>
    </row>
    <row r="195" spans="1:14" s="75" customFormat="1" ht="30" hidden="1" x14ac:dyDescent="0.25">
      <c r="A195" s="204" t="str">
        <f>'Stock Register'!A181</f>
        <v>SISTER TURMERIC POWDER 250 GM</v>
      </c>
      <c r="B195" s="71" t="s">
        <v>204</v>
      </c>
      <c r="C195" s="71">
        <v>90</v>
      </c>
      <c r="D195" s="72">
        <f>SUMIF('Purchase Register'!C:C, A195, 'Purchase Register'!G:G)</f>
        <v>67.5</v>
      </c>
      <c r="E195" s="191">
        <v>85</v>
      </c>
      <c r="F195" s="74">
        <f>SUMIF('Sales Register'!C:C, A195, 'Sales Register'!D:D)</f>
        <v>5</v>
      </c>
      <c r="G195" s="74">
        <f t="shared" si="20"/>
        <v>425</v>
      </c>
      <c r="H195" s="74">
        <f t="shared" si="21"/>
        <v>337.5</v>
      </c>
      <c r="I195" s="74">
        <f t="shared" si="22"/>
        <v>87.5</v>
      </c>
      <c r="J195" s="74">
        <f t="shared" si="23"/>
        <v>0.20588235294117646</v>
      </c>
      <c r="K195" s="134" t="str">
        <f t="shared" ref="K195:K258" si="24">IF(E195&lt;=D195, "NO PROFIT", IF((E195-D195)/D195 &gt;= 1, "100% or More", TEXT(_xlfn.FLOOR.MATH((E195-D195)/D195, 0.01), "0%")))</f>
        <v>25%</v>
      </c>
      <c r="L195" s="73"/>
      <c r="M195" s="99">
        <f t="shared" ref="M195:M258" si="25">IF(D195=0, 0, (E195-D195)/D195)</f>
        <v>0.25925925925925924</v>
      </c>
      <c r="N195" s="73">
        <f>VLOOKUP(A195, 'Stock Register'!A:F, 6, FALSE)</f>
        <v>-1</v>
      </c>
    </row>
    <row r="196" spans="1:14" ht="30" hidden="1" x14ac:dyDescent="0.25">
      <c r="A196" s="205" t="str">
        <f>'Stock Register'!A182</f>
        <v>SISTER TURMERIC POWDER 40 GM</v>
      </c>
      <c r="B196" s="28" t="s">
        <v>204</v>
      </c>
      <c r="C196" s="28">
        <v>19</v>
      </c>
      <c r="D196" s="29">
        <f>SUMIF('Purchase Register'!C:C, A196, 'Purchase Register'!G:G)</f>
        <v>10.8</v>
      </c>
      <c r="E196" s="190">
        <v>19</v>
      </c>
      <c r="F196" s="60">
        <f>SUMIF('Sales Register'!C:C, A196, 'Sales Register'!D:D)</f>
        <v>17</v>
      </c>
      <c r="G196" s="60">
        <f t="shared" si="20"/>
        <v>323</v>
      </c>
      <c r="H196" s="60">
        <f t="shared" si="21"/>
        <v>183.60000000000002</v>
      </c>
      <c r="I196" s="60">
        <f t="shared" si="22"/>
        <v>139.39999999999998</v>
      </c>
      <c r="J196" s="60">
        <f t="shared" si="23"/>
        <v>0.43157894736842101</v>
      </c>
      <c r="K196" s="35" t="str">
        <f t="shared" si="24"/>
        <v>75%</v>
      </c>
      <c r="M196" s="30">
        <f t="shared" si="25"/>
        <v>0.75925925925925919</v>
      </c>
      <c r="N196" s="34">
        <f>VLOOKUP(A196, 'Stock Register'!A:F, 6, FALSE)</f>
        <v>8</v>
      </c>
    </row>
    <row r="197" spans="1:14" hidden="1" x14ac:dyDescent="0.25">
      <c r="A197" s="205" t="str">
        <f>'Stock Register'!A183</f>
        <v>SMALL PAPER PLATE LOT 1</v>
      </c>
      <c r="B197" s="28" t="s">
        <v>483</v>
      </c>
      <c r="C197" s="28">
        <v>10</v>
      </c>
      <c r="D197" s="29">
        <f>SUMIF('Purchase Register'!C:C, A197, 'Purchase Register'!G:G)</f>
        <v>10</v>
      </c>
      <c r="E197" s="190">
        <v>15</v>
      </c>
      <c r="F197" s="60">
        <f>SUMIF('Sales Register'!C:C, A197, 'Sales Register'!D:D)</f>
        <v>2</v>
      </c>
      <c r="G197" s="60">
        <f t="shared" si="20"/>
        <v>30</v>
      </c>
      <c r="H197" s="60">
        <f t="shared" si="21"/>
        <v>20</v>
      </c>
      <c r="I197" s="60">
        <f t="shared" si="22"/>
        <v>10</v>
      </c>
      <c r="J197" s="60">
        <f t="shared" si="23"/>
        <v>0.33333333333333331</v>
      </c>
      <c r="K197" s="35" t="str">
        <f t="shared" si="24"/>
        <v>50%</v>
      </c>
      <c r="M197" s="30">
        <f t="shared" si="25"/>
        <v>0.5</v>
      </c>
      <c r="N197" s="34">
        <f>VLOOKUP(A197, 'Stock Register'!A:F, 6, FALSE)</f>
        <v>3</v>
      </c>
    </row>
    <row r="198" spans="1:14" hidden="1" x14ac:dyDescent="0.25">
      <c r="A198" s="205" t="str">
        <f>'Stock Register'!A184</f>
        <v>SPRITE 2.2 ML LOT 1</v>
      </c>
      <c r="B198" s="28" t="s">
        <v>387</v>
      </c>
      <c r="D198" s="29">
        <f>SUMIF('Purchase Register'!C:C, A198, 'Purchase Register'!G:G)</f>
        <v>85</v>
      </c>
      <c r="E198" s="190">
        <v>99</v>
      </c>
      <c r="F198" s="60">
        <f>SUMIF('Sales Register'!C:C, A198, 'Sales Register'!D:D)</f>
        <v>4</v>
      </c>
      <c r="G198" s="60">
        <f t="shared" si="20"/>
        <v>396</v>
      </c>
      <c r="H198" s="60">
        <f t="shared" si="21"/>
        <v>340</v>
      </c>
      <c r="I198" s="60">
        <f t="shared" si="22"/>
        <v>56</v>
      </c>
      <c r="J198" s="60">
        <f t="shared" si="23"/>
        <v>0.14141414141414141</v>
      </c>
      <c r="K198" s="35" t="str">
        <f t="shared" si="24"/>
        <v>16%</v>
      </c>
      <c r="M198" s="30">
        <f t="shared" si="25"/>
        <v>0.16470588235294117</v>
      </c>
      <c r="N198" s="34">
        <f>VLOOKUP(A198, 'Stock Register'!A:F, 6, FALSE)</f>
        <v>0</v>
      </c>
    </row>
    <row r="199" spans="1:14" ht="45" hidden="1" x14ac:dyDescent="0.25">
      <c r="A199" s="205" t="str">
        <f>'Stock Register'!A185</f>
        <v>SUN MAGIC  ANTI MOSQUITO STICK</v>
      </c>
      <c r="B199" s="28" t="s">
        <v>190</v>
      </c>
      <c r="D199" s="29">
        <f>SUMIF('Purchase Register'!C:C, A199, 'Purchase Register'!G:G)</f>
        <v>7.916666666666667</v>
      </c>
      <c r="E199" s="190">
        <v>10</v>
      </c>
      <c r="F199" s="60">
        <f>SUMIF('Sales Register'!C:C, A199, 'Sales Register'!D:D)</f>
        <v>10</v>
      </c>
      <c r="G199" s="60">
        <f t="shared" si="20"/>
        <v>100</v>
      </c>
      <c r="H199" s="60">
        <f t="shared" si="21"/>
        <v>79.166666666666671</v>
      </c>
      <c r="I199" s="60">
        <f t="shared" si="22"/>
        <v>20.833333333333329</v>
      </c>
      <c r="J199" s="60">
        <f t="shared" si="23"/>
        <v>0.20833333333333329</v>
      </c>
      <c r="K199" s="35" t="str">
        <f t="shared" si="24"/>
        <v>26%</v>
      </c>
      <c r="M199" s="30">
        <f t="shared" si="25"/>
        <v>0.26315789473684204</v>
      </c>
      <c r="N199" s="34">
        <f>VLOOKUP(A199, 'Stock Register'!A:F, 6, FALSE)</f>
        <v>2</v>
      </c>
    </row>
    <row r="200" spans="1:14" s="75" customFormat="1" ht="30" hidden="1" x14ac:dyDescent="0.25">
      <c r="A200" s="204" t="str">
        <f>'Stock Register'!A186</f>
        <v>SUNRISE GARAM MASALA LOT 1</v>
      </c>
      <c r="B200" s="71" t="s">
        <v>204</v>
      </c>
      <c r="C200" s="71"/>
      <c r="D200" s="72">
        <f>SUMIF('Purchase Register'!C:C, A200, 'Purchase Register'!G:G)</f>
        <v>4</v>
      </c>
      <c r="E200" s="191">
        <v>5</v>
      </c>
      <c r="F200" s="74">
        <f>SUMIF('Sales Register'!C:C, A200, 'Sales Register'!D:D)</f>
        <v>20</v>
      </c>
      <c r="G200" s="74">
        <f t="shared" si="20"/>
        <v>100</v>
      </c>
      <c r="H200" s="74">
        <f t="shared" si="21"/>
        <v>80</v>
      </c>
      <c r="I200" s="74">
        <f t="shared" si="22"/>
        <v>20</v>
      </c>
      <c r="J200" s="74">
        <f t="shared" si="23"/>
        <v>0.2</v>
      </c>
      <c r="K200" s="134" t="str">
        <f t="shared" si="24"/>
        <v>25%</v>
      </c>
      <c r="L200" s="73"/>
      <c r="M200" s="99">
        <f t="shared" si="25"/>
        <v>0.25</v>
      </c>
      <c r="N200" s="73">
        <f>VLOOKUP(A200, 'Stock Register'!A:F, 6, FALSE)</f>
        <v>0</v>
      </c>
    </row>
    <row r="201" spans="1:14" hidden="1" x14ac:dyDescent="0.25">
      <c r="A201" s="205" t="str">
        <f>'Stock Register'!A187</f>
        <v xml:space="preserve">SUNRISE MUSTARD POWDER </v>
      </c>
      <c r="B201" s="28" t="s">
        <v>204</v>
      </c>
      <c r="D201" s="29">
        <f>SUMIF('Purchase Register'!C:C, A201, 'Purchase Register'!G:G)</f>
        <v>13.2</v>
      </c>
      <c r="E201" s="190">
        <v>15</v>
      </c>
      <c r="F201" s="60">
        <f>SUMIF('Sales Register'!C:C, A201, 'Sales Register'!D:D)</f>
        <v>2</v>
      </c>
      <c r="G201" s="60">
        <f t="shared" si="20"/>
        <v>30</v>
      </c>
      <c r="H201" s="60">
        <f t="shared" si="21"/>
        <v>26.4</v>
      </c>
      <c r="I201" s="60">
        <f t="shared" si="22"/>
        <v>3.6000000000000014</v>
      </c>
      <c r="J201" s="60">
        <f t="shared" si="23"/>
        <v>0.12000000000000005</v>
      </c>
      <c r="K201" s="35" t="str">
        <f t="shared" si="24"/>
        <v>13%</v>
      </c>
      <c r="M201" s="30">
        <f t="shared" si="25"/>
        <v>0.13636363636363644</v>
      </c>
      <c r="N201" s="34">
        <f>VLOOKUP(A201, 'Stock Register'!A:F, 6, FALSE)</f>
        <v>23</v>
      </c>
    </row>
    <row r="202" spans="1:14" s="75" customFormat="1" ht="30" hidden="1" x14ac:dyDescent="0.25">
      <c r="A202" s="204" t="str">
        <f>'Stock Register'!A188</f>
        <v>SUNSILK BLACK SHINE SATCHET</v>
      </c>
      <c r="B202" s="71" t="s">
        <v>180</v>
      </c>
      <c r="C202" s="71"/>
      <c r="D202" s="72">
        <v>0.81</v>
      </c>
      <c r="E202" s="191">
        <v>1</v>
      </c>
      <c r="F202" s="74">
        <f>SUMIF('Sales Register'!C:C, A202, 'Sales Register'!D:D)</f>
        <v>85</v>
      </c>
      <c r="G202" s="74">
        <f t="shared" si="20"/>
        <v>85</v>
      </c>
      <c r="H202" s="74">
        <f t="shared" si="21"/>
        <v>68.850000000000009</v>
      </c>
      <c r="I202" s="74">
        <f t="shared" si="22"/>
        <v>16.149999999999991</v>
      </c>
      <c r="J202" s="74">
        <f t="shared" si="23"/>
        <v>0.18999999999999989</v>
      </c>
      <c r="K202" s="134" t="str">
        <f t="shared" si="24"/>
        <v>23%</v>
      </c>
      <c r="L202" s="73"/>
      <c r="M202" s="99">
        <f t="shared" si="25"/>
        <v>0.23456790123456783</v>
      </c>
      <c r="N202" s="73">
        <f>VLOOKUP(A202, 'Stock Register'!A:F, 6, FALSE)</f>
        <v>-21</v>
      </c>
    </row>
    <row r="203" spans="1:14" ht="30" hidden="1" x14ac:dyDescent="0.25">
      <c r="A203" s="205" t="str">
        <f>'Stock Register'!A189</f>
        <v xml:space="preserve">SUNSILK BLACK SHINE SHAMPOO </v>
      </c>
      <c r="B203" s="28" t="s">
        <v>180</v>
      </c>
      <c r="D203" s="29">
        <v>71</v>
      </c>
      <c r="E203" s="190">
        <v>86</v>
      </c>
      <c r="F203" s="60">
        <f>SUMIF('Sales Register'!C:C, A203, 'Sales Register'!D:D)</f>
        <v>2</v>
      </c>
      <c r="G203" s="60">
        <f t="shared" si="20"/>
        <v>172</v>
      </c>
      <c r="H203" s="60">
        <f t="shared" si="21"/>
        <v>142</v>
      </c>
      <c r="I203" s="60">
        <f t="shared" si="22"/>
        <v>30</v>
      </c>
      <c r="J203" s="60">
        <f t="shared" si="23"/>
        <v>0.1744186046511628</v>
      </c>
      <c r="K203" s="35" t="str">
        <f t="shared" si="24"/>
        <v>21%</v>
      </c>
      <c r="M203" s="30">
        <f t="shared" si="25"/>
        <v>0.21126760563380281</v>
      </c>
      <c r="N203" s="34">
        <f>VLOOKUP(A203, 'Stock Register'!A:F, 6, FALSE)</f>
        <v>0</v>
      </c>
    </row>
    <row r="204" spans="1:14" ht="30" hidden="1" x14ac:dyDescent="0.25">
      <c r="A204" s="205" t="str">
        <f>'Stock Register'!A190</f>
        <v>SUNSILK BLACK SHINE SHAMPOO 80 ML</v>
      </c>
      <c r="B204" s="28" t="s">
        <v>180</v>
      </c>
      <c r="D204" s="29">
        <v>76</v>
      </c>
      <c r="E204" s="190">
        <v>86</v>
      </c>
      <c r="F204" s="60">
        <f>SUMIF('Sales Register'!C:C, A204, 'Sales Register'!D:D)</f>
        <v>0</v>
      </c>
      <c r="G204" s="60">
        <f t="shared" si="20"/>
        <v>0</v>
      </c>
      <c r="H204" s="60">
        <f t="shared" si="21"/>
        <v>0</v>
      </c>
      <c r="I204" s="60">
        <f t="shared" si="22"/>
        <v>0</v>
      </c>
      <c r="J204" s="60">
        <f t="shared" si="23"/>
        <v>0</v>
      </c>
      <c r="K204" s="35" t="str">
        <f t="shared" si="24"/>
        <v>13%</v>
      </c>
      <c r="M204" s="30">
        <f t="shared" si="25"/>
        <v>0.13157894736842105</v>
      </c>
      <c r="N204" s="34">
        <f>VLOOKUP(A204, 'Stock Register'!A:F, 6, FALSE)</f>
        <v>2</v>
      </c>
    </row>
    <row r="205" spans="1:14" ht="30" hidden="1" x14ac:dyDescent="0.25">
      <c r="A205" s="205" t="str">
        <f>'Stock Register'!A191</f>
        <v>SUNSILK THICK AND LONG SHAMPOO</v>
      </c>
      <c r="B205" s="28" t="s">
        <v>180</v>
      </c>
      <c r="D205" s="29">
        <f>SUMIF('Purchase Register'!C:C, A205, 'Purchase Register'!G:G)</f>
        <v>76</v>
      </c>
      <c r="E205" s="190">
        <v>86</v>
      </c>
      <c r="F205" s="60">
        <f>SUMIF('Sales Register'!C:C, A205, 'Sales Register'!D:D)</f>
        <v>2</v>
      </c>
      <c r="G205" s="60">
        <f t="shared" si="20"/>
        <v>172</v>
      </c>
      <c r="H205" s="60">
        <f t="shared" si="21"/>
        <v>152</v>
      </c>
      <c r="I205" s="60">
        <f t="shared" si="22"/>
        <v>20</v>
      </c>
      <c r="J205" s="60">
        <f t="shared" si="23"/>
        <v>0.11627906976744186</v>
      </c>
      <c r="K205" s="35" t="str">
        <f t="shared" si="24"/>
        <v>13%</v>
      </c>
      <c r="M205" s="30">
        <f t="shared" si="25"/>
        <v>0.13157894736842105</v>
      </c>
      <c r="N205" s="34">
        <f>VLOOKUP(A205, 'Stock Register'!A:F, 6, FALSE)</f>
        <v>0</v>
      </c>
    </row>
    <row r="206" spans="1:14" ht="30" hidden="1" x14ac:dyDescent="0.25">
      <c r="A206" s="205" t="str">
        <f>'Stock Register'!A192</f>
        <v>SUPER TELEVISION WASHING SOAP 110 GM</v>
      </c>
      <c r="B206" s="28" t="s">
        <v>205</v>
      </c>
      <c r="D206" s="29">
        <f>SUMIF('Purchase Register'!C:C, A206, 'Purchase Register'!G:G)</f>
        <v>9</v>
      </c>
      <c r="E206" s="190">
        <v>10</v>
      </c>
      <c r="F206" s="60">
        <f>SUMIF('Sales Register'!C:C, A206, 'Sales Register'!D:D)</f>
        <v>4</v>
      </c>
      <c r="G206" s="60">
        <f t="shared" si="20"/>
        <v>40</v>
      </c>
      <c r="H206" s="60">
        <f t="shared" si="21"/>
        <v>36</v>
      </c>
      <c r="I206" s="60">
        <f t="shared" si="22"/>
        <v>4</v>
      </c>
      <c r="J206" s="60">
        <f t="shared" si="23"/>
        <v>0.1</v>
      </c>
      <c r="K206" s="35" t="str">
        <f t="shared" si="24"/>
        <v>11%</v>
      </c>
      <c r="M206" s="30">
        <f t="shared" si="25"/>
        <v>0.1111111111111111</v>
      </c>
      <c r="N206" s="34">
        <f>VLOOKUP(A206, 'Stock Register'!A:F, 6, FALSE)</f>
        <v>2</v>
      </c>
    </row>
    <row r="207" spans="1:14" s="75" customFormat="1" hidden="1" x14ac:dyDescent="0.25">
      <c r="A207" s="204" t="str">
        <f>'Stock Register'!A193</f>
        <v>SURF EXCEL 500 GM</v>
      </c>
      <c r="B207" s="71" t="s">
        <v>221</v>
      </c>
      <c r="C207" s="71">
        <v>10</v>
      </c>
      <c r="D207" s="72">
        <v>64</v>
      </c>
      <c r="E207" s="191">
        <v>70</v>
      </c>
      <c r="F207" s="74">
        <f>SUMIF('Sales Register'!C:C, A207, 'Sales Register'!D:D)</f>
        <v>9</v>
      </c>
      <c r="G207" s="74">
        <f t="shared" si="20"/>
        <v>630</v>
      </c>
      <c r="H207" s="74">
        <f t="shared" si="21"/>
        <v>576</v>
      </c>
      <c r="I207" s="74">
        <f t="shared" si="22"/>
        <v>54</v>
      </c>
      <c r="J207" s="74">
        <f t="shared" si="23"/>
        <v>8.5714285714285715E-2</v>
      </c>
      <c r="K207" s="134" t="str">
        <f t="shared" si="24"/>
        <v>9%</v>
      </c>
      <c r="L207" s="73"/>
      <c r="M207" s="99">
        <f t="shared" si="25"/>
        <v>9.375E-2</v>
      </c>
      <c r="N207" s="73">
        <f>VLOOKUP(A207, 'Stock Register'!A:F, 6, FALSE)</f>
        <v>-1</v>
      </c>
    </row>
    <row r="208" spans="1:14" s="75" customFormat="1" hidden="1" x14ac:dyDescent="0.25">
      <c r="A208" s="204" t="str">
        <f>'Stock Register'!A194</f>
        <v>SURF EXCEL 70 GM</v>
      </c>
      <c r="B208" s="71" t="s">
        <v>494</v>
      </c>
      <c r="C208" s="71"/>
      <c r="D208" s="72">
        <v>9</v>
      </c>
      <c r="E208" s="191">
        <v>10</v>
      </c>
      <c r="F208" s="74">
        <f>SUMIF('Sales Register'!C:C, A208, 'Sales Register'!D:D)</f>
        <v>12</v>
      </c>
      <c r="G208" s="74">
        <f t="shared" si="20"/>
        <v>120</v>
      </c>
      <c r="H208" s="74">
        <f t="shared" si="21"/>
        <v>108</v>
      </c>
      <c r="I208" s="74">
        <f t="shared" si="22"/>
        <v>12</v>
      </c>
      <c r="J208" s="74">
        <f t="shared" si="23"/>
        <v>0.1</v>
      </c>
      <c r="K208" s="134" t="str">
        <f t="shared" si="24"/>
        <v>11%</v>
      </c>
      <c r="L208" s="73"/>
      <c r="M208" s="99">
        <f t="shared" si="25"/>
        <v>0.1111111111111111</v>
      </c>
      <c r="N208" s="73">
        <f>VLOOKUP(A208, 'Stock Register'!A:F, 6, FALSE)</f>
        <v>0</v>
      </c>
    </row>
    <row r="209" spans="1:14" s="75" customFormat="1" hidden="1" x14ac:dyDescent="0.25">
      <c r="A209" s="204" t="str">
        <f>'Stock Register'!A195</f>
        <v>SURF EXCEL 70 GM LOT 1</v>
      </c>
      <c r="B209" s="71" t="s">
        <v>494</v>
      </c>
      <c r="C209" s="71"/>
      <c r="D209" s="72">
        <v>9</v>
      </c>
      <c r="E209" s="191">
        <v>10</v>
      </c>
      <c r="F209" s="74">
        <f>SUMIF('Sales Register'!C:C, A209, 'Sales Register'!D:D)</f>
        <v>12</v>
      </c>
      <c r="G209" s="74">
        <f t="shared" si="20"/>
        <v>120</v>
      </c>
      <c r="H209" s="74">
        <f t="shared" si="21"/>
        <v>108</v>
      </c>
      <c r="I209" s="74">
        <f t="shared" si="22"/>
        <v>12</v>
      </c>
      <c r="J209" s="74">
        <f t="shared" si="23"/>
        <v>0.1</v>
      </c>
      <c r="K209" s="134" t="str">
        <f t="shared" si="24"/>
        <v>11%</v>
      </c>
      <c r="L209" s="73"/>
      <c r="M209" s="99">
        <f t="shared" si="25"/>
        <v>0.1111111111111111</v>
      </c>
      <c r="N209" s="73" t="e">
        <f>VLOOKUP(A209, 'Stock Register'!A:F, 6, FALSE)</f>
        <v>#N/A</v>
      </c>
    </row>
    <row r="210" spans="1:14" hidden="1" x14ac:dyDescent="0.25">
      <c r="A210" s="205" t="str">
        <f>'Stock Register'!A196</f>
        <v>SURJYO COIL</v>
      </c>
      <c r="B210" s="28" t="s">
        <v>221</v>
      </c>
      <c r="C210" s="28">
        <v>35</v>
      </c>
      <c r="D210" s="29">
        <v>52</v>
      </c>
      <c r="E210" s="190">
        <v>60</v>
      </c>
      <c r="F210" s="60">
        <f>SUMIF('Sales Register'!C:C, A210, 'Sales Register'!D:D)</f>
        <v>7</v>
      </c>
      <c r="G210" s="60">
        <f t="shared" si="20"/>
        <v>420</v>
      </c>
      <c r="H210" s="60">
        <f t="shared" si="21"/>
        <v>364</v>
      </c>
      <c r="I210" s="60">
        <f t="shared" si="22"/>
        <v>56</v>
      </c>
      <c r="J210" s="60">
        <f t="shared" si="23"/>
        <v>0.13333333333333333</v>
      </c>
      <c r="K210" s="35" t="str">
        <f t="shared" si="24"/>
        <v>15%</v>
      </c>
      <c r="M210" s="30">
        <f t="shared" si="25"/>
        <v>0.15384615384615385</v>
      </c>
      <c r="N210" s="34">
        <f>VLOOKUP(A210, 'Stock Register'!A:F, 6, FALSE)</f>
        <v>1</v>
      </c>
    </row>
    <row r="211" spans="1:14" s="75" customFormat="1" hidden="1" x14ac:dyDescent="0.25">
      <c r="A211" s="204" t="str">
        <f>'Stock Register'!A197</f>
        <v>TATA SALT</v>
      </c>
      <c r="B211" s="71" t="s">
        <v>234</v>
      </c>
      <c r="C211" s="71"/>
      <c r="D211" s="72">
        <v>27</v>
      </c>
      <c r="E211" s="191">
        <v>30</v>
      </c>
      <c r="F211" s="74">
        <f>SUMIF('Sales Register'!C:C, A211, 'Sales Register'!D:D)</f>
        <v>8</v>
      </c>
      <c r="G211" s="74">
        <f t="shared" si="20"/>
        <v>240</v>
      </c>
      <c r="H211" s="74">
        <f t="shared" si="21"/>
        <v>216</v>
      </c>
      <c r="I211" s="74">
        <f t="shared" si="22"/>
        <v>24</v>
      </c>
      <c r="J211" s="74">
        <f t="shared" si="23"/>
        <v>0.1</v>
      </c>
      <c r="K211" s="134" t="str">
        <f t="shared" si="24"/>
        <v>11%</v>
      </c>
      <c r="L211" s="73"/>
      <c r="M211" s="99">
        <f t="shared" si="25"/>
        <v>0.1111111111111111</v>
      </c>
      <c r="N211" s="34">
        <f>VLOOKUP(A211, 'Stock Register'!A:F, 6, FALSE)</f>
        <v>2</v>
      </c>
    </row>
    <row r="212" spans="1:14" hidden="1" x14ac:dyDescent="0.25">
      <c r="A212" s="205" t="str">
        <f>'Stock Register'!A198</f>
        <v>TIDE WHITE BAR</v>
      </c>
      <c r="B212" s="28" t="s">
        <v>205</v>
      </c>
      <c r="D212" s="29">
        <f>SUMIF('Purchase Register'!C:C, A212, 'Purchase Register'!G:G)</f>
        <v>9.16</v>
      </c>
      <c r="E212" s="190">
        <v>10</v>
      </c>
      <c r="F212" s="60">
        <f>SUMIF('Sales Register'!C:C, A212, 'Sales Register'!D:D)</f>
        <v>1</v>
      </c>
      <c r="G212" s="60">
        <f t="shared" si="20"/>
        <v>10</v>
      </c>
      <c r="H212" s="60">
        <f t="shared" si="21"/>
        <v>9.16</v>
      </c>
      <c r="I212" s="60">
        <f t="shared" si="22"/>
        <v>0.83999999999999986</v>
      </c>
      <c r="J212" s="60">
        <f t="shared" si="23"/>
        <v>8.3999999999999991E-2</v>
      </c>
      <c r="K212" s="35" t="str">
        <f t="shared" si="24"/>
        <v>9%</v>
      </c>
      <c r="M212" s="30">
        <f t="shared" si="25"/>
        <v>9.170305676855893E-2</v>
      </c>
      <c r="N212" s="34">
        <f>VLOOKUP(A212, 'Stock Register'!A:F, 6, FALSE)</f>
        <v>5</v>
      </c>
    </row>
    <row r="213" spans="1:14" hidden="1" x14ac:dyDescent="0.25">
      <c r="A213" s="205" t="str">
        <f>'Stock Register'!A199</f>
        <v>TISSUE LOT 1</v>
      </c>
      <c r="B213" s="28" t="s">
        <v>408</v>
      </c>
      <c r="D213" s="29">
        <f>SUMIF('Purchase Register'!C:C, A213, 'Purchase Register'!G:G)</f>
        <v>12</v>
      </c>
      <c r="E213" s="190">
        <v>20</v>
      </c>
      <c r="F213" s="60">
        <f>SUMIF('Sales Register'!C:C, A213, 'Sales Register'!D:D)</f>
        <v>2</v>
      </c>
      <c r="G213" s="60">
        <f t="shared" si="20"/>
        <v>40</v>
      </c>
      <c r="H213" s="60">
        <f t="shared" si="21"/>
        <v>24</v>
      </c>
      <c r="I213" s="60">
        <f t="shared" si="22"/>
        <v>16</v>
      </c>
      <c r="J213" s="60">
        <f t="shared" si="23"/>
        <v>0.4</v>
      </c>
      <c r="K213" s="35" t="str">
        <f t="shared" si="24"/>
        <v>66%</v>
      </c>
      <c r="M213" s="30">
        <f t="shared" si="25"/>
        <v>0.66666666666666663</v>
      </c>
      <c r="N213" s="34">
        <f>VLOOKUP(A213, 'Stock Register'!A:F, 6, FALSE)</f>
        <v>3</v>
      </c>
    </row>
    <row r="214" spans="1:14" s="75" customFormat="1" hidden="1" x14ac:dyDescent="0.25">
      <c r="A214" s="204" t="str">
        <f>'Stock Register'!A200</f>
        <v>LOOSE SUGAR LOT 1</v>
      </c>
      <c r="B214" s="71" t="s">
        <v>221</v>
      </c>
      <c r="C214" s="71">
        <v>27</v>
      </c>
      <c r="D214" s="72">
        <f>SUMIF('Purchase Register'!C:C, A214, 'Purchase Register'!G:G)</f>
        <v>48</v>
      </c>
      <c r="E214" s="191">
        <v>27</v>
      </c>
      <c r="F214" s="74">
        <f>SUMIF('Sales Register'!C:C, A214, 'Sales Register'!D:D)</f>
        <v>4.18</v>
      </c>
      <c r="G214" s="74">
        <f t="shared" si="20"/>
        <v>112.85999999999999</v>
      </c>
      <c r="H214" s="74">
        <f t="shared" si="21"/>
        <v>200.64</v>
      </c>
      <c r="I214" s="74">
        <f t="shared" si="22"/>
        <v>-87.78</v>
      </c>
      <c r="J214" s="74">
        <f t="shared" si="23"/>
        <v>-0.7777777777777779</v>
      </c>
      <c r="K214" s="134" t="str">
        <f t="shared" si="24"/>
        <v>NO PROFIT</v>
      </c>
      <c r="L214" s="73"/>
      <c r="M214" s="99">
        <f t="shared" si="25"/>
        <v>-0.4375</v>
      </c>
      <c r="N214" s="34">
        <f>VLOOKUP(A214, 'Stock Register'!A:F, 6, FALSE)</f>
        <v>0.82000000000000028</v>
      </c>
    </row>
    <row r="215" spans="1:14" s="75" customFormat="1" ht="30" hidden="1" x14ac:dyDescent="0.25">
      <c r="A215" s="204" t="str">
        <f>'Stock Register'!A201</f>
        <v>TRESSEMME SHAMPOO CONDITIONER SATCHET LOT 1</v>
      </c>
      <c r="B215" s="71"/>
      <c r="C215" s="71"/>
      <c r="D215" s="72">
        <v>4</v>
      </c>
      <c r="E215" s="191">
        <v>5</v>
      </c>
      <c r="F215" s="74">
        <f>SUMIF('Sales Register'!C:C, A215, 'Sales Register'!D:D)</f>
        <v>25</v>
      </c>
      <c r="G215" s="74">
        <f t="shared" si="20"/>
        <v>125</v>
      </c>
      <c r="H215" s="74">
        <f t="shared" si="21"/>
        <v>100</v>
      </c>
      <c r="I215" s="74">
        <f t="shared" si="22"/>
        <v>25</v>
      </c>
      <c r="J215" s="74">
        <f t="shared" si="23"/>
        <v>0.2</v>
      </c>
      <c r="K215" s="134" t="str">
        <f t="shared" si="24"/>
        <v>25%</v>
      </c>
      <c r="L215" s="73"/>
      <c r="M215" s="99">
        <f t="shared" si="25"/>
        <v>0.25</v>
      </c>
      <c r="N215" s="73" t="e">
        <f>VLOOKUP(A215, 'Stock Register'!A:F, 6, FALSE)</f>
        <v>#N/A</v>
      </c>
    </row>
    <row r="216" spans="1:14" hidden="1" x14ac:dyDescent="0.25">
      <c r="A216" s="205" t="str">
        <f>'Stock Register'!A202</f>
        <v>UJALA 10 INR BOTTLE</v>
      </c>
      <c r="D216" s="29">
        <v>8.75</v>
      </c>
      <c r="E216" s="190">
        <v>10</v>
      </c>
      <c r="F216" s="60">
        <f>SUMIF('Sales Register'!C:C, A216, 'Sales Register'!D:D)</f>
        <v>0</v>
      </c>
      <c r="G216" s="60">
        <f t="shared" si="20"/>
        <v>0</v>
      </c>
      <c r="H216" s="60">
        <f t="shared" si="21"/>
        <v>0</v>
      </c>
      <c r="I216" s="60">
        <f t="shared" si="22"/>
        <v>0</v>
      </c>
      <c r="J216" s="60">
        <f t="shared" si="23"/>
        <v>0</v>
      </c>
      <c r="K216" s="35" t="str">
        <f t="shared" si="24"/>
        <v>14%</v>
      </c>
      <c r="M216" s="30">
        <f t="shared" si="25"/>
        <v>0.14285714285714285</v>
      </c>
      <c r="N216" s="34">
        <f>VLOOKUP(A216, 'Stock Register'!A:F, 6, FALSE)</f>
        <v>12</v>
      </c>
    </row>
    <row r="217" spans="1:14" ht="30" hidden="1" x14ac:dyDescent="0.25">
      <c r="A217" s="205" t="str">
        <f>'Stock Register'!A203</f>
        <v>HEAD AND SHOULDERS SATCHET LOT 2</v>
      </c>
      <c r="C217" s="28">
        <v>5</v>
      </c>
      <c r="D217" s="29">
        <v>8.66</v>
      </c>
      <c r="E217" s="190">
        <v>10</v>
      </c>
      <c r="F217" s="60">
        <f>SUMIF('Sales Register'!C:C, A217, 'Sales Register'!D:D)</f>
        <v>8</v>
      </c>
      <c r="G217" s="60">
        <f t="shared" si="20"/>
        <v>80</v>
      </c>
      <c r="H217" s="60">
        <f t="shared" si="21"/>
        <v>69.28</v>
      </c>
      <c r="I217" s="60">
        <f t="shared" si="22"/>
        <v>10.719999999999999</v>
      </c>
      <c r="J217" s="60">
        <f t="shared" si="23"/>
        <v>0.13399999999999998</v>
      </c>
      <c r="K217" s="35" t="str">
        <f t="shared" si="24"/>
        <v>15%</v>
      </c>
      <c r="M217" s="30">
        <f t="shared" si="25"/>
        <v>0.15473441108545033</v>
      </c>
      <c r="N217" s="34">
        <f>VLOOKUP(A217, 'Stock Register'!A:F, 6, FALSE)</f>
        <v>24</v>
      </c>
    </row>
    <row r="218" spans="1:14" hidden="1" x14ac:dyDescent="0.25">
      <c r="A218" s="205" t="str">
        <f>'Stock Register'!A204</f>
        <v>UJALA 250 ML</v>
      </c>
      <c r="D218" s="29">
        <v>77</v>
      </c>
      <c r="E218" s="190">
        <v>85</v>
      </c>
      <c r="F218" s="60">
        <f>SUMIF('Sales Register'!C:C, A218, 'Sales Register'!D:D)</f>
        <v>0</v>
      </c>
      <c r="G218" s="60">
        <f t="shared" si="20"/>
        <v>0</v>
      </c>
      <c r="H218" s="60">
        <f t="shared" si="21"/>
        <v>0</v>
      </c>
      <c r="I218" s="60">
        <f t="shared" si="22"/>
        <v>0</v>
      </c>
      <c r="J218" s="60">
        <f t="shared" si="23"/>
        <v>0</v>
      </c>
      <c r="K218" s="35" t="str">
        <f t="shared" si="24"/>
        <v>10%</v>
      </c>
      <c r="M218" s="30">
        <f t="shared" si="25"/>
        <v>0.1038961038961039</v>
      </c>
      <c r="N218" s="34">
        <f>VLOOKUP(A218, 'Stock Register'!A:F, 6, FALSE)</f>
        <v>2</v>
      </c>
    </row>
    <row r="219" spans="1:14" hidden="1" x14ac:dyDescent="0.25">
      <c r="A219" s="205" t="str">
        <f>'Stock Register'!A205</f>
        <v>UJALA 75 ML</v>
      </c>
      <c r="B219" s="28" t="s">
        <v>172</v>
      </c>
      <c r="D219" s="29">
        <v>33.33</v>
      </c>
      <c r="E219" s="190">
        <v>37</v>
      </c>
      <c r="F219" s="60">
        <f>SUMIF('Sales Register'!C:C, A219, 'Sales Register'!D:D)</f>
        <v>1</v>
      </c>
      <c r="G219" s="60">
        <f t="shared" si="20"/>
        <v>37</v>
      </c>
      <c r="H219" s="60">
        <f t="shared" si="21"/>
        <v>33.33</v>
      </c>
      <c r="I219" s="60">
        <f t="shared" si="22"/>
        <v>3.6700000000000017</v>
      </c>
      <c r="J219" s="60">
        <f t="shared" si="23"/>
        <v>9.9189189189189231E-2</v>
      </c>
      <c r="K219" s="35" t="str">
        <f t="shared" si="24"/>
        <v>11%</v>
      </c>
      <c r="M219" s="30">
        <f t="shared" si="25"/>
        <v>0.11011101110111017</v>
      </c>
      <c r="N219" s="34">
        <f>VLOOKUP(A219, 'Stock Register'!A:F, 6, FALSE)</f>
        <v>5</v>
      </c>
    </row>
    <row r="220" spans="1:14" s="75" customFormat="1" ht="30" hidden="1" x14ac:dyDescent="0.25">
      <c r="A220" s="204" t="str">
        <f>'Stock Register'!A207</f>
        <v>LAYS WEST INDIESHOT N SWEET CHILLI LOT 1</v>
      </c>
      <c r="B220" s="71" t="s">
        <v>172</v>
      </c>
      <c r="C220" s="71"/>
      <c r="D220" s="72">
        <f>SUMIF('Purchase Register'!C:C, A220, 'Purchase Register'!G:G)</f>
        <v>9.0833333333333339</v>
      </c>
      <c r="E220" s="191">
        <v>10</v>
      </c>
      <c r="F220" s="74">
        <f>SUMIF('Sales Register'!C:C, A220, 'Sales Register'!D:D)</f>
        <v>7</v>
      </c>
      <c r="G220" s="74">
        <f t="shared" si="20"/>
        <v>70</v>
      </c>
      <c r="H220" s="74">
        <f t="shared" si="21"/>
        <v>63.583333333333336</v>
      </c>
      <c r="I220" s="74">
        <f t="shared" si="22"/>
        <v>6.4166666666666643</v>
      </c>
      <c r="J220" s="74">
        <f t="shared" si="23"/>
        <v>9.1666666666666632E-2</v>
      </c>
      <c r="K220" s="134" t="str">
        <f t="shared" si="24"/>
        <v>10%</v>
      </c>
      <c r="L220" s="73"/>
      <c r="M220" s="99">
        <f t="shared" si="25"/>
        <v>0.10091743119266047</v>
      </c>
      <c r="N220" s="73">
        <f>VLOOKUP(A220, 'Stock Register'!A:F, 6, FALSE)</f>
        <v>17</v>
      </c>
    </row>
    <row r="221" spans="1:14" hidden="1" x14ac:dyDescent="0.25">
      <c r="A221" s="205" t="str">
        <f>'Stock Register'!A208</f>
        <v xml:space="preserve">VASELINE </v>
      </c>
      <c r="D221" s="29">
        <f>SUMIF('Purchase Register'!C:C, A221, 'Purchase Register'!G:G)</f>
        <v>4.583333333333333</v>
      </c>
      <c r="E221" s="190">
        <v>5</v>
      </c>
      <c r="F221" s="60">
        <f>SUMIF('Sales Register'!C:C, A221, 'Sales Register'!D:D)</f>
        <v>0</v>
      </c>
      <c r="G221" s="60">
        <f t="shared" si="20"/>
        <v>0</v>
      </c>
      <c r="H221" s="60">
        <f t="shared" si="21"/>
        <v>0</v>
      </c>
      <c r="I221" s="60">
        <f t="shared" si="22"/>
        <v>0</v>
      </c>
      <c r="J221" s="60">
        <f t="shared" si="23"/>
        <v>0</v>
      </c>
      <c r="K221" s="35" t="str">
        <f t="shared" si="24"/>
        <v>9%</v>
      </c>
      <c r="M221" s="30">
        <f t="shared" si="25"/>
        <v>9.0909090909090981E-2</v>
      </c>
      <c r="N221" s="34">
        <f>VLOOKUP(A221, 'Stock Register'!A:F, 6, FALSE)</f>
        <v>48</v>
      </c>
    </row>
    <row r="222" spans="1:14" hidden="1" x14ac:dyDescent="0.25">
      <c r="A222" s="205" t="str">
        <f>'Stock Register'!A209</f>
        <v xml:space="preserve">VEET 30 GM </v>
      </c>
      <c r="B222" s="28" t="s">
        <v>480</v>
      </c>
      <c r="D222" s="29">
        <f>SUMIF('Purchase Register'!C:C, A222, 'Purchase Register'!G:G)</f>
        <v>95</v>
      </c>
      <c r="E222" s="190">
        <v>109</v>
      </c>
      <c r="F222" s="60">
        <f>SUMIF('Sales Register'!C:C, A222, 'Sales Register'!D:D)</f>
        <v>0</v>
      </c>
      <c r="G222" s="60">
        <f t="shared" si="20"/>
        <v>0</v>
      </c>
      <c r="H222" s="60">
        <f t="shared" si="21"/>
        <v>0</v>
      </c>
      <c r="I222" s="60">
        <f t="shared" si="22"/>
        <v>0</v>
      </c>
      <c r="J222" s="60">
        <f t="shared" si="23"/>
        <v>0</v>
      </c>
      <c r="K222" s="35" t="str">
        <f t="shared" si="24"/>
        <v>14%</v>
      </c>
      <c r="M222" s="30">
        <f t="shared" si="25"/>
        <v>0.14736842105263157</v>
      </c>
      <c r="N222" s="34">
        <f>VLOOKUP(A222, 'Stock Register'!A:F, 6, FALSE)</f>
        <v>2</v>
      </c>
    </row>
    <row r="223" spans="1:14" hidden="1" x14ac:dyDescent="0.25">
      <c r="A223" s="205" t="str">
        <f>'Stock Register'!A210</f>
        <v>VIMAL PAPAD</v>
      </c>
      <c r="B223" s="28" t="s">
        <v>171</v>
      </c>
      <c r="D223" s="29">
        <v>15</v>
      </c>
      <c r="E223" s="190">
        <v>20</v>
      </c>
      <c r="F223" s="60">
        <f>SUMIF('Sales Register'!C:C, A223, 'Sales Register'!D:D)</f>
        <v>2</v>
      </c>
      <c r="G223" s="60">
        <f t="shared" si="20"/>
        <v>40</v>
      </c>
      <c r="H223" s="60">
        <f t="shared" si="21"/>
        <v>30</v>
      </c>
      <c r="I223" s="60">
        <f t="shared" si="22"/>
        <v>10</v>
      </c>
      <c r="J223" s="60">
        <f t="shared" si="23"/>
        <v>0.25</v>
      </c>
      <c r="K223" s="35" t="str">
        <f t="shared" si="24"/>
        <v>33%</v>
      </c>
      <c r="M223" s="30">
        <f t="shared" si="25"/>
        <v>0.33333333333333331</v>
      </c>
      <c r="N223" s="34">
        <f>VLOOKUP(A223, 'Stock Register'!A:F, 6, FALSE)</f>
        <v>2</v>
      </c>
    </row>
    <row r="224" spans="1:14" hidden="1" x14ac:dyDescent="0.25">
      <c r="A224" s="205" t="str">
        <f>'Stock Register'!A211</f>
        <v>VIVEL  SET PINK</v>
      </c>
      <c r="B224" s="28" t="s">
        <v>198</v>
      </c>
      <c r="D224" s="29">
        <f>SUMIF('Purchase Register'!C:C, A224, 'Purchase Register'!G:G)</f>
        <v>18</v>
      </c>
      <c r="E224" s="190">
        <v>35</v>
      </c>
      <c r="F224" s="60">
        <f>SUMIF('Sales Register'!C:C, A224, 'Sales Register'!D:D)</f>
        <v>1</v>
      </c>
      <c r="G224" s="60">
        <f t="shared" si="20"/>
        <v>35</v>
      </c>
      <c r="H224" s="60">
        <f t="shared" si="21"/>
        <v>18</v>
      </c>
      <c r="I224" s="60">
        <f t="shared" si="22"/>
        <v>17</v>
      </c>
      <c r="J224" s="60">
        <f t="shared" si="23"/>
        <v>0.48571428571428571</v>
      </c>
      <c r="K224" s="35" t="str">
        <f t="shared" si="24"/>
        <v>94%</v>
      </c>
      <c r="M224" s="30">
        <f t="shared" si="25"/>
        <v>0.94444444444444442</v>
      </c>
      <c r="N224" s="34">
        <f>VLOOKUP(A224, 'Stock Register'!A:F, 6, FALSE)</f>
        <v>9</v>
      </c>
    </row>
    <row r="225" spans="1:14" s="75" customFormat="1" hidden="1" x14ac:dyDescent="0.25">
      <c r="A225" s="204" t="str">
        <f>'Stock Register'!A212</f>
        <v>VIVEL ALOE</v>
      </c>
      <c r="B225" s="71" t="s">
        <v>184</v>
      </c>
      <c r="C225" s="71"/>
      <c r="D225" s="72">
        <v>9</v>
      </c>
      <c r="E225" s="191">
        <v>10</v>
      </c>
      <c r="F225" s="74">
        <f>SUMIF('Sales Register'!C:C, A225, 'Sales Register'!D:D)</f>
        <v>5</v>
      </c>
      <c r="G225" s="74">
        <f t="shared" si="20"/>
        <v>50</v>
      </c>
      <c r="H225" s="74">
        <f t="shared" si="21"/>
        <v>45</v>
      </c>
      <c r="I225" s="74">
        <f t="shared" si="22"/>
        <v>5</v>
      </c>
      <c r="J225" s="74">
        <f t="shared" si="23"/>
        <v>0.1</v>
      </c>
      <c r="K225" s="134" t="str">
        <f t="shared" si="24"/>
        <v>11%</v>
      </c>
      <c r="L225" s="73"/>
      <c r="M225" s="99">
        <f t="shared" si="25"/>
        <v>0.1111111111111111</v>
      </c>
      <c r="N225" s="73">
        <f>VLOOKUP(A225, 'Stock Register'!A:F, 6, FALSE)</f>
        <v>-1</v>
      </c>
    </row>
    <row r="226" spans="1:14" hidden="1" x14ac:dyDescent="0.25">
      <c r="A226" s="205" t="str">
        <f>'Stock Register'!A213</f>
        <v>WHOLE DARCHINI LOT 1</v>
      </c>
      <c r="B226" s="28" t="s">
        <v>204</v>
      </c>
      <c r="D226" s="29">
        <f>SUMIF('Purchase Register'!C:C, A226, 'Purchase Register'!G:G)</f>
        <v>400</v>
      </c>
      <c r="E226" s="190">
        <v>480</v>
      </c>
      <c r="F226" s="60">
        <f>SUMIF('Sales Register'!C:C, A226, 'Sales Register'!D:D)</f>
        <v>6.0000000000000005E-2</v>
      </c>
      <c r="G226" s="60">
        <f t="shared" si="20"/>
        <v>28.8</v>
      </c>
      <c r="H226" s="60">
        <f t="shared" si="21"/>
        <v>24.000000000000004</v>
      </c>
      <c r="I226" s="60">
        <f t="shared" si="22"/>
        <v>4.7999999999999972</v>
      </c>
      <c r="J226" s="60">
        <f t="shared" si="23"/>
        <v>0.16666666666666657</v>
      </c>
      <c r="K226" s="35" t="str">
        <f t="shared" si="24"/>
        <v>20%</v>
      </c>
      <c r="M226" s="30">
        <f t="shared" si="25"/>
        <v>0.2</v>
      </c>
      <c r="N226" s="34">
        <f>VLOOKUP(A226, 'Stock Register'!A:F, 6, FALSE)</f>
        <v>0.14000000000000001</v>
      </c>
    </row>
    <row r="227" spans="1:14" hidden="1" x14ac:dyDescent="0.25">
      <c r="A227" s="205" t="str">
        <f>'Stock Register'!A214</f>
        <v>WHOLE GOL MORICH LOT 1</v>
      </c>
      <c r="B227" s="28" t="s">
        <v>204</v>
      </c>
      <c r="D227" s="29">
        <f>SUMIF('Purchase Register'!C:C, A227, 'Purchase Register'!G:G)</f>
        <v>750</v>
      </c>
      <c r="E227" s="190">
        <v>180</v>
      </c>
      <c r="F227" s="60">
        <f>SUMIF('Sales Register'!C:C, A227, 'Sales Register'!D:D)</f>
        <v>0</v>
      </c>
      <c r="G227" s="60">
        <f t="shared" si="20"/>
        <v>0</v>
      </c>
      <c r="H227" s="60">
        <f t="shared" si="21"/>
        <v>0</v>
      </c>
      <c r="I227" s="60">
        <f t="shared" si="22"/>
        <v>0</v>
      </c>
      <c r="J227" s="60">
        <f t="shared" si="23"/>
        <v>0</v>
      </c>
      <c r="K227" s="35" t="str">
        <f t="shared" si="24"/>
        <v>NO PROFIT</v>
      </c>
      <c r="M227" s="30">
        <f t="shared" si="25"/>
        <v>-0.76</v>
      </c>
      <c r="N227" s="34">
        <f>VLOOKUP(A227, 'Stock Register'!A:F, 6, FALSE)</f>
        <v>0.2</v>
      </c>
    </row>
    <row r="228" spans="1:14" s="75" customFormat="1" hidden="1" x14ac:dyDescent="0.25">
      <c r="A228" s="204" t="str">
        <f>'Stock Register'!A215</f>
        <v>WHOLE DHANIA LOT 1</v>
      </c>
      <c r="B228" s="71" t="s">
        <v>204</v>
      </c>
      <c r="C228" s="71"/>
      <c r="D228" s="72">
        <f>SUMIF('Purchase Register'!C:C, A228, 'Purchase Register'!G:G)</f>
        <v>150</v>
      </c>
      <c r="E228" s="191">
        <v>3000</v>
      </c>
      <c r="F228" s="74">
        <f>SUMIF('Sales Register'!C:C, A228, 'Sales Register'!D:D)</f>
        <v>1.302</v>
      </c>
      <c r="G228" s="74">
        <f t="shared" si="20"/>
        <v>3906</v>
      </c>
      <c r="H228" s="74">
        <f t="shared" si="21"/>
        <v>195.3</v>
      </c>
      <c r="I228" s="74">
        <f t="shared" si="22"/>
        <v>3710.7</v>
      </c>
      <c r="J228" s="74">
        <f t="shared" si="23"/>
        <v>0.95</v>
      </c>
      <c r="K228" s="134" t="str">
        <f t="shared" si="24"/>
        <v>100% or More</v>
      </c>
      <c r="L228" s="73"/>
      <c r="M228" s="99">
        <f t="shared" si="25"/>
        <v>19</v>
      </c>
      <c r="N228" s="73">
        <f>VLOOKUP(A228, 'Stock Register'!A:F, 6, FALSE)</f>
        <v>-1.1020000000000001</v>
      </c>
    </row>
    <row r="229" spans="1:14" s="75" customFormat="1" hidden="1" x14ac:dyDescent="0.25">
      <c r="A229" s="204" t="str">
        <f>'Stock Register'!A216</f>
        <v>WHOLE MOURI LOT 1</v>
      </c>
      <c r="B229" s="71" t="s">
        <v>204</v>
      </c>
      <c r="C229" s="71"/>
      <c r="D229" s="72">
        <f>SUMIF('Purchase Register'!C:C, A229, 'Purchase Register'!G:G)</f>
        <v>150</v>
      </c>
      <c r="E229" s="191">
        <v>900</v>
      </c>
      <c r="F229" s="74">
        <f>SUMIF('Sales Register'!C:C, A229, 'Sales Register'!D:D)</f>
        <v>0.27500000000000002</v>
      </c>
      <c r="G229" s="74">
        <f t="shared" si="20"/>
        <v>247.50000000000003</v>
      </c>
      <c r="H229" s="74">
        <f t="shared" si="21"/>
        <v>41.25</v>
      </c>
      <c r="I229" s="74">
        <f t="shared" si="22"/>
        <v>206.25000000000003</v>
      </c>
      <c r="J229" s="74">
        <f t="shared" si="23"/>
        <v>0.83333333333333337</v>
      </c>
      <c r="K229" s="134" t="str">
        <f t="shared" si="24"/>
        <v>100% or More</v>
      </c>
      <c r="L229" s="73"/>
      <c r="M229" s="99">
        <f t="shared" si="25"/>
        <v>5</v>
      </c>
      <c r="N229" s="73">
        <f>VLOOKUP(A229, 'Stock Register'!A:F, 6, FALSE)</f>
        <v>-7.5000000000000011E-2</v>
      </c>
    </row>
    <row r="230" spans="1:14" s="75" customFormat="1" hidden="1" x14ac:dyDescent="0.25">
      <c r="A230" s="204" t="str">
        <f>'Stock Register'!A217</f>
        <v>WHOLE ELACHI LOT 1</v>
      </c>
      <c r="B230" s="71" t="s">
        <v>204</v>
      </c>
      <c r="C230" s="71"/>
      <c r="D230" s="72">
        <f>SUMIF('Purchase Register'!C:C, A230, 'Purchase Register'!G:G)</f>
        <v>2800</v>
      </c>
      <c r="E230" s="191">
        <v>480</v>
      </c>
      <c r="F230" s="74">
        <f>SUMIF('Sales Register'!C:C, A230, 'Sales Register'!D:D)</f>
        <v>0.15100000000000002</v>
      </c>
      <c r="G230" s="74">
        <f t="shared" si="20"/>
        <v>72.480000000000018</v>
      </c>
      <c r="H230" s="74">
        <f t="shared" si="21"/>
        <v>422.80000000000007</v>
      </c>
      <c r="I230" s="74">
        <f t="shared" si="22"/>
        <v>-350.32000000000005</v>
      </c>
      <c r="J230" s="74">
        <f t="shared" si="23"/>
        <v>-4.833333333333333</v>
      </c>
      <c r="K230" s="134" t="str">
        <f t="shared" si="24"/>
        <v>NO PROFIT</v>
      </c>
      <c r="L230" s="73"/>
      <c r="M230" s="99">
        <f t="shared" si="25"/>
        <v>-0.82857142857142863</v>
      </c>
      <c r="N230" s="73">
        <f>VLOOKUP(A230, 'Stock Register'!A:F, 6, FALSE)</f>
        <v>-5.1000000000000018E-2</v>
      </c>
    </row>
    <row r="231" spans="1:14" s="75" customFormat="1" hidden="1" x14ac:dyDescent="0.25">
      <c r="A231" s="204" t="str">
        <f>'Stock Register'!A218</f>
        <v>WHOLE JEERA LOT 1</v>
      </c>
      <c r="B231" s="71" t="s">
        <v>204</v>
      </c>
      <c r="C231" s="71"/>
      <c r="D231" s="72">
        <f>SUMIF('Purchase Register'!C:C, A231, 'Purchase Register'!G:G)</f>
        <v>400</v>
      </c>
      <c r="E231" s="191">
        <v>420</v>
      </c>
      <c r="F231" s="74">
        <f>SUMIF('Sales Register'!C:C, A231, 'Sales Register'!D:D)</f>
        <v>0.21599999999999997</v>
      </c>
      <c r="G231" s="74">
        <f t="shared" si="20"/>
        <v>90.719999999999985</v>
      </c>
      <c r="H231" s="74">
        <f t="shared" si="21"/>
        <v>86.399999999999991</v>
      </c>
      <c r="I231" s="74">
        <f t="shared" si="22"/>
        <v>4.3199999999999932</v>
      </c>
      <c r="J231" s="74">
        <f t="shared" si="23"/>
        <v>4.7619047619047554E-2</v>
      </c>
      <c r="K231" s="134" t="str">
        <f t="shared" si="24"/>
        <v>5%</v>
      </c>
      <c r="L231" s="73"/>
      <c r="M231" s="99">
        <f t="shared" si="25"/>
        <v>0.05</v>
      </c>
      <c r="N231" s="73">
        <f>VLOOKUP(A231, 'Stock Register'!A:F, 6, FALSE)</f>
        <v>-1.5999999999999959E-2</v>
      </c>
    </row>
    <row r="232" spans="1:14" hidden="1" x14ac:dyDescent="0.25">
      <c r="A232" s="205" t="str">
        <f>'Stock Register'!A219</f>
        <v>WHOLE MEETHI LOT 1</v>
      </c>
      <c r="B232" s="28" t="s">
        <v>204</v>
      </c>
      <c r="D232" s="29">
        <f>SUMIF('Purchase Register'!C:C, A232, 'Purchase Register'!G:G)</f>
        <v>100</v>
      </c>
      <c r="E232" s="190">
        <v>1450</v>
      </c>
      <c r="F232" s="60">
        <f>SUMIF('Sales Register'!C:C, A232, 'Sales Register'!D:D)</f>
        <v>0.24700000000000003</v>
      </c>
      <c r="G232" s="60">
        <f t="shared" si="20"/>
        <v>358.15000000000003</v>
      </c>
      <c r="H232" s="60">
        <f t="shared" si="21"/>
        <v>24.700000000000003</v>
      </c>
      <c r="I232" s="60">
        <f t="shared" si="22"/>
        <v>333.45000000000005</v>
      </c>
      <c r="J232" s="60">
        <f t="shared" si="23"/>
        <v>0.93103448275862077</v>
      </c>
      <c r="K232" s="35" t="str">
        <f t="shared" si="24"/>
        <v>100% or More</v>
      </c>
      <c r="M232" s="30">
        <f t="shared" si="25"/>
        <v>13.5</v>
      </c>
      <c r="N232" s="34">
        <f>VLOOKUP(A232, 'Stock Register'!A:F, 6, FALSE)</f>
        <v>-4.7000000000000014E-2</v>
      </c>
    </row>
    <row r="233" spans="1:14" s="75" customFormat="1" hidden="1" x14ac:dyDescent="0.25">
      <c r="A233" s="204" t="str">
        <f>'Stock Register'!A220</f>
        <v>WHOLE KALIJEERA LOT 1</v>
      </c>
      <c r="B233" s="71" t="s">
        <v>204</v>
      </c>
      <c r="C233" s="71"/>
      <c r="D233" s="72">
        <f>SUMIF('Purchase Register'!C:C, A233, 'Purchase Register'!G:G)</f>
        <v>350</v>
      </c>
      <c r="E233" s="191">
        <v>120</v>
      </c>
      <c r="F233" s="74">
        <f>SUMIF('Sales Register'!C:C, A233, 'Sales Register'!D:D)</f>
        <v>0.21700000000000003</v>
      </c>
      <c r="G233" s="74">
        <f t="shared" si="20"/>
        <v>26.040000000000003</v>
      </c>
      <c r="H233" s="74">
        <f t="shared" si="21"/>
        <v>75.95</v>
      </c>
      <c r="I233" s="74">
        <f t="shared" si="22"/>
        <v>-49.91</v>
      </c>
      <c r="J233" s="74">
        <f t="shared" si="23"/>
        <v>-1.9166666666666663</v>
      </c>
      <c r="K233" s="134" t="str">
        <f t="shared" si="24"/>
        <v>NO PROFIT</v>
      </c>
      <c r="L233" s="73"/>
      <c r="M233" s="99">
        <f t="shared" si="25"/>
        <v>-0.65714285714285714</v>
      </c>
      <c r="N233" s="73">
        <f>VLOOKUP(A233, 'Stock Register'!A:F, 6, FALSE)</f>
        <v>-1.7000000000000015E-2</v>
      </c>
    </row>
    <row r="234" spans="1:14" hidden="1" x14ac:dyDescent="0.25">
      <c r="A234" s="205" t="str">
        <f>'Stock Register'!A221</f>
        <v>WHOLE LONG LOT 1</v>
      </c>
      <c r="B234" s="28" t="s">
        <v>204</v>
      </c>
      <c r="D234" s="29">
        <f>SUMIF('Purchase Register'!C:C, A234, 'Purchase Register'!G:G)</f>
        <v>1200</v>
      </c>
      <c r="E234" s="190">
        <v>1450</v>
      </c>
      <c r="F234" s="60">
        <f>SUMIF('Sales Register'!C:C, A234, 'Sales Register'!D:D)</f>
        <v>0.13900000000000001</v>
      </c>
      <c r="G234" s="60">
        <f t="shared" si="20"/>
        <v>201.55</v>
      </c>
      <c r="H234" s="60">
        <f t="shared" si="21"/>
        <v>166.8</v>
      </c>
      <c r="I234" s="60">
        <f t="shared" si="22"/>
        <v>34.75</v>
      </c>
      <c r="J234" s="60">
        <f t="shared" si="23"/>
        <v>0.17241379310344826</v>
      </c>
      <c r="K234" s="35" t="str">
        <f t="shared" si="24"/>
        <v>20%</v>
      </c>
      <c r="M234" s="30">
        <f t="shared" si="25"/>
        <v>0.20833333333333334</v>
      </c>
      <c r="N234" s="34">
        <f>VLOOKUP(A234, 'Stock Register'!A:F, 6, FALSE)</f>
        <v>6.0999999999999999E-2</v>
      </c>
    </row>
    <row r="235" spans="1:14" ht="30" hidden="1" x14ac:dyDescent="0.25">
      <c r="A235" s="205" t="s">
        <v>445</v>
      </c>
      <c r="B235" s="28" t="s">
        <v>176</v>
      </c>
      <c r="D235" s="29">
        <f>SUMIF('Purchase Register'!C:C, A235, 'Purchase Register'!G:G)</f>
        <v>6.25</v>
      </c>
      <c r="E235" s="190">
        <v>10</v>
      </c>
      <c r="F235" s="60">
        <f>SUMIF('Sales Register'!C:C, A235, 'Sales Register'!D:D)</f>
        <v>21</v>
      </c>
      <c r="G235" s="60">
        <f t="shared" si="20"/>
        <v>210</v>
      </c>
      <c r="H235" s="60">
        <f t="shared" si="21"/>
        <v>131.25</v>
      </c>
      <c r="I235" s="60">
        <f t="shared" si="22"/>
        <v>78.75</v>
      </c>
      <c r="J235" s="60">
        <f t="shared" si="23"/>
        <v>0.375</v>
      </c>
      <c r="K235" s="35" t="str">
        <f t="shared" si="24"/>
        <v>60%</v>
      </c>
      <c r="M235" s="30">
        <f t="shared" si="25"/>
        <v>0.6</v>
      </c>
      <c r="N235" s="34">
        <f>VLOOKUP(A235, 'Stock Register'!A:F, 6, FALSE)</f>
        <v>3</v>
      </c>
    </row>
    <row r="236" spans="1:14" s="75" customFormat="1" hidden="1" x14ac:dyDescent="0.25">
      <c r="A236" s="204" t="str">
        <f>'Stock Register'!A120</f>
        <v>TOP BUTTER MUNCH LOT 1</v>
      </c>
      <c r="B236" s="71" t="s">
        <v>486</v>
      </c>
      <c r="C236" s="71"/>
      <c r="D236" s="72">
        <f>SUMIF('Purchase Register'!C:C, A236, 'Purchase Register'!G:G)</f>
        <v>25</v>
      </c>
      <c r="E236" s="191">
        <v>56</v>
      </c>
      <c r="F236" s="74">
        <f>SUMIF('Sales Register'!C:C, A236, 'Sales Register'!D:D)</f>
        <v>2</v>
      </c>
      <c r="G236" s="74">
        <f t="shared" si="20"/>
        <v>112</v>
      </c>
      <c r="H236" s="74">
        <f t="shared" si="21"/>
        <v>50</v>
      </c>
      <c r="I236" s="74">
        <f t="shared" si="22"/>
        <v>62</v>
      </c>
      <c r="J236" s="74">
        <f t="shared" si="23"/>
        <v>0.5535714285714286</v>
      </c>
      <c r="K236" s="134" t="str">
        <f t="shared" si="24"/>
        <v>100% or More</v>
      </c>
      <c r="L236" s="73">
        <v>54</v>
      </c>
      <c r="M236" s="99">
        <f t="shared" si="25"/>
        <v>1.24</v>
      </c>
      <c r="N236" s="73">
        <f>VLOOKUP(A236, 'Stock Register'!A:F, 6, FALSE)</f>
        <v>0</v>
      </c>
    </row>
    <row r="237" spans="1:14" s="75" customFormat="1" ht="30" hidden="1" x14ac:dyDescent="0.25">
      <c r="A237" s="204" t="str">
        <f>'Stock Register'!A138</f>
        <v>MOUNTAIN DEW 400 ML LOT 1</v>
      </c>
      <c r="B237" s="71" t="s">
        <v>387</v>
      </c>
      <c r="C237" s="71">
        <v>20</v>
      </c>
      <c r="D237" s="72">
        <f>SUMIF('Purchase Register'!C:C, A237, 'Purchase Register'!G:G)</f>
        <v>17.666666666666668</v>
      </c>
      <c r="E237" s="191">
        <v>20</v>
      </c>
      <c r="F237" s="74">
        <f>SUMIF('Sales Register'!C:C, A237, 'Sales Register'!D:D)</f>
        <v>31</v>
      </c>
      <c r="G237" s="74">
        <f t="shared" si="20"/>
        <v>620</v>
      </c>
      <c r="H237" s="74">
        <f t="shared" si="21"/>
        <v>547.66666666666674</v>
      </c>
      <c r="I237" s="74">
        <f t="shared" si="22"/>
        <v>72.333333333333258</v>
      </c>
      <c r="J237" s="74">
        <f t="shared" si="23"/>
        <v>0.11666666666666654</v>
      </c>
      <c r="K237" s="134" t="str">
        <f t="shared" si="24"/>
        <v>13%</v>
      </c>
      <c r="L237" s="73"/>
      <c r="M237" s="99">
        <f t="shared" si="25"/>
        <v>0.13207547169811312</v>
      </c>
      <c r="N237" s="73">
        <f>VLOOKUP(A237, 'Stock Register'!A:F, 6, FALSE)</f>
        <v>-1</v>
      </c>
    </row>
    <row r="238" spans="1:14" s="75" customFormat="1" hidden="1" x14ac:dyDescent="0.25">
      <c r="A238" s="204" t="s">
        <v>495</v>
      </c>
      <c r="B238" s="71"/>
      <c r="C238" s="71"/>
      <c r="D238" s="72">
        <f>SUMIF('Purchase Register'!C:C, A238, 'Purchase Register'!G:G)</f>
        <v>1250</v>
      </c>
      <c r="E238" s="191">
        <v>1270</v>
      </c>
      <c r="F238" s="74">
        <f>SUMIF('Sales Register'!C:C, A238, 'Sales Register'!D:D)</f>
        <v>2</v>
      </c>
      <c r="G238" s="74">
        <f t="shared" si="20"/>
        <v>2540</v>
      </c>
      <c r="H238" s="74">
        <f t="shared" si="21"/>
        <v>2500</v>
      </c>
      <c r="I238" s="74">
        <f t="shared" si="22"/>
        <v>40</v>
      </c>
      <c r="J238" s="74">
        <f t="shared" si="23"/>
        <v>1.5748031496062992E-2</v>
      </c>
      <c r="K238" s="134" t="str">
        <f t="shared" si="24"/>
        <v>1%</v>
      </c>
      <c r="L238" s="73"/>
      <c r="M238" s="99">
        <f t="shared" si="25"/>
        <v>1.6E-2</v>
      </c>
      <c r="N238" s="73">
        <f>VLOOKUP(A238, 'Stock Register'!A:F, 6, FALSE)</f>
        <v>-1</v>
      </c>
    </row>
    <row r="239" spans="1:14" s="75" customFormat="1" hidden="1" x14ac:dyDescent="0.25">
      <c r="A239" s="204" t="s">
        <v>496</v>
      </c>
      <c r="B239" s="71"/>
      <c r="C239" s="71"/>
      <c r="D239" s="72">
        <f>SUMIF('Purchase Register'!C:C, A239, 'Purchase Register'!G:G)</f>
        <v>240</v>
      </c>
      <c r="E239" s="191">
        <v>280</v>
      </c>
      <c r="F239" s="74">
        <f>SUMIF('Sales Register'!C:C, A239, 'Sales Register'!D:D)</f>
        <v>3.0661</v>
      </c>
      <c r="G239" s="74">
        <f t="shared" si="20"/>
        <v>858.50800000000004</v>
      </c>
      <c r="H239" s="74">
        <f t="shared" si="21"/>
        <v>735.86400000000003</v>
      </c>
      <c r="I239" s="74">
        <f t="shared" si="22"/>
        <v>122.64400000000001</v>
      </c>
      <c r="J239" s="74">
        <f t="shared" si="23"/>
        <v>0.14285714285714285</v>
      </c>
      <c r="K239" s="134" t="str">
        <f t="shared" si="24"/>
        <v>16%</v>
      </c>
      <c r="L239" s="73"/>
      <c r="M239" s="99">
        <f t="shared" si="25"/>
        <v>0.16666666666666666</v>
      </c>
      <c r="N239" s="73">
        <f>VLOOKUP(A239, 'Stock Register'!A:F, 6, FALSE)</f>
        <v>-2.0661</v>
      </c>
    </row>
    <row r="240" spans="1:14" hidden="1" x14ac:dyDescent="0.25">
      <c r="A240" s="205" t="s">
        <v>497</v>
      </c>
      <c r="D240" s="29">
        <f>SUMIF('Purchase Register'!C:C, A240, 'Purchase Register'!G:G)</f>
        <v>25</v>
      </c>
      <c r="E240" s="190">
        <v>35</v>
      </c>
      <c r="F240" s="60">
        <f>SUMIF('Sales Register'!C:C, A240, 'Sales Register'!D:D)</f>
        <v>15</v>
      </c>
      <c r="G240" s="60">
        <f t="shared" si="20"/>
        <v>525</v>
      </c>
      <c r="H240" s="60">
        <f t="shared" si="21"/>
        <v>375</v>
      </c>
      <c r="I240" s="60">
        <f t="shared" si="22"/>
        <v>150</v>
      </c>
      <c r="J240" s="60">
        <f t="shared" si="23"/>
        <v>0.2857142857142857</v>
      </c>
      <c r="K240" s="35" t="str">
        <f t="shared" si="24"/>
        <v>40%</v>
      </c>
      <c r="L240" s="34">
        <v>33</v>
      </c>
      <c r="M240" s="30">
        <f t="shared" si="25"/>
        <v>0.4</v>
      </c>
      <c r="N240" s="34">
        <f>VLOOKUP(A240, 'Stock Register'!A:F, 6, FALSE)</f>
        <v>5</v>
      </c>
    </row>
    <row r="241" spans="1:14" s="75" customFormat="1" hidden="1" x14ac:dyDescent="0.25">
      <c r="A241" s="204" t="s">
        <v>498</v>
      </c>
      <c r="B241" s="71"/>
      <c r="C241" s="71"/>
      <c r="D241" s="72">
        <f>SUMIF('Purchase Register'!C:C, A241, 'Purchase Register'!G:G)</f>
        <v>160</v>
      </c>
      <c r="E241" s="191">
        <v>200</v>
      </c>
      <c r="F241" s="74">
        <f>SUMIF('Sales Register'!C:C, A241, 'Sales Register'!D:D)</f>
        <v>2.2250000000000001</v>
      </c>
      <c r="G241" s="74">
        <f t="shared" si="20"/>
        <v>445</v>
      </c>
      <c r="H241" s="74">
        <f t="shared" si="21"/>
        <v>356</v>
      </c>
      <c r="I241" s="74">
        <f t="shared" si="22"/>
        <v>89</v>
      </c>
      <c r="J241" s="74">
        <f t="shared" si="23"/>
        <v>0.2</v>
      </c>
      <c r="K241" s="134" t="str">
        <f t="shared" si="24"/>
        <v>25%</v>
      </c>
      <c r="L241" s="73"/>
      <c r="M241" s="99">
        <f t="shared" si="25"/>
        <v>0.25</v>
      </c>
      <c r="N241" s="73">
        <f>VLOOKUP(A241, 'Stock Register'!A:F, 6, FALSE)</f>
        <v>-0.22500000000000009</v>
      </c>
    </row>
    <row r="242" spans="1:14" hidden="1" x14ac:dyDescent="0.25">
      <c r="A242" s="205" t="s">
        <v>499</v>
      </c>
      <c r="D242" s="29">
        <f>SUMIF('Purchase Register'!C:C, A242, 'Purchase Register'!G:G)</f>
        <v>12.5</v>
      </c>
      <c r="E242" s="190">
        <v>20</v>
      </c>
      <c r="F242" s="60">
        <f>SUMIF('Sales Register'!C:C, A242, 'Sales Register'!D:D)</f>
        <v>6</v>
      </c>
      <c r="G242" s="60">
        <f t="shared" si="20"/>
        <v>120</v>
      </c>
      <c r="H242" s="60">
        <f t="shared" si="21"/>
        <v>75</v>
      </c>
      <c r="I242" s="60">
        <f t="shared" si="22"/>
        <v>45</v>
      </c>
      <c r="J242" s="60">
        <f t="shared" si="23"/>
        <v>0.375</v>
      </c>
      <c r="K242" s="35" t="str">
        <f t="shared" si="24"/>
        <v>60%</v>
      </c>
      <c r="M242" s="30">
        <f t="shared" si="25"/>
        <v>0.6</v>
      </c>
      <c r="N242" s="34">
        <f>VLOOKUP(A242, 'Stock Register'!A:F, 6, FALSE)</f>
        <v>6</v>
      </c>
    </row>
    <row r="243" spans="1:14" ht="30" hidden="1" x14ac:dyDescent="0.25">
      <c r="A243" s="205" t="s">
        <v>500</v>
      </c>
      <c r="D243" s="29">
        <f>SUMIF('Purchase Register'!C:C, A243, 'Purchase Register'!G:G)</f>
        <v>140</v>
      </c>
      <c r="E243" s="190">
        <v>165</v>
      </c>
      <c r="F243" s="60">
        <f>SUMIF('Sales Register'!C:C, A243, 'Sales Register'!D:D)</f>
        <v>1</v>
      </c>
      <c r="G243" s="60">
        <f t="shared" si="20"/>
        <v>165</v>
      </c>
      <c r="H243" s="60">
        <f t="shared" si="21"/>
        <v>140</v>
      </c>
      <c r="I243" s="60">
        <f t="shared" si="22"/>
        <v>25</v>
      </c>
      <c r="J243" s="60">
        <f t="shared" si="23"/>
        <v>0.15151515151515152</v>
      </c>
      <c r="K243" s="35" t="str">
        <f t="shared" si="24"/>
        <v>17%</v>
      </c>
      <c r="L243" s="34">
        <v>162</v>
      </c>
      <c r="M243" s="30">
        <f t="shared" si="25"/>
        <v>0.17857142857142858</v>
      </c>
      <c r="N243" s="34">
        <f>VLOOKUP(A243, 'Stock Register'!A:F, 6, FALSE)</f>
        <v>1</v>
      </c>
    </row>
    <row r="244" spans="1:14" ht="30" hidden="1" x14ac:dyDescent="0.25">
      <c r="A244" s="205" t="s">
        <v>501</v>
      </c>
      <c r="D244" s="29">
        <f>SUMIF('Purchase Register'!C:C, A244, 'Purchase Register'!G:G)</f>
        <v>3</v>
      </c>
      <c r="E244" s="190">
        <v>5</v>
      </c>
      <c r="F244" s="60">
        <f>SUMIF('Sales Register'!C:C, A244, 'Sales Register'!D:D)</f>
        <v>21</v>
      </c>
      <c r="G244" s="60">
        <f t="shared" si="20"/>
        <v>105</v>
      </c>
      <c r="H244" s="60">
        <f t="shared" si="21"/>
        <v>63</v>
      </c>
      <c r="I244" s="60">
        <f t="shared" si="22"/>
        <v>42</v>
      </c>
      <c r="J244" s="60">
        <f t="shared" si="23"/>
        <v>0.4</v>
      </c>
      <c r="K244" s="35" t="str">
        <f t="shared" si="24"/>
        <v>66%</v>
      </c>
      <c r="M244" s="30">
        <f t="shared" si="25"/>
        <v>0.66666666666666663</v>
      </c>
      <c r="N244" s="34">
        <f>VLOOKUP(A244, 'Stock Register'!A:F, 6, FALSE)</f>
        <v>-1</v>
      </c>
    </row>
    <row r="245" spans="1:14" s="75" customFormat="1" ht="30" hidden="1" x14ac:dyDescent="0.25">
      <c r="A245" s="204" t="s">
        <v>502</v>
      </c>
      <c r="B245" s="71"/>
      <c r="C245" s="71"/>
      <c r="D245" s="72">
        <f>SUMIF('Purchase Register'!C:C, A245, 'Purchase Register'!G:G)</f>
        <v>8.75</v>
      </c>
      <c r="E245" s="191">
        <v>10</v>
      </c>
      <c r="F245" s="74">
        <f>SUMIF('Sales Register'!C:C, A245, 'Sales Register'!D:D)</f>
        <v>32</v>
      </c>
      <c r="G245" s="74">
        <f t="shared" si="20"/>
        <v>320</v>
      </c>
      <c r="H245" s="74">
        <f t="shared" si="21"/>
        <v>280</v>
      </c>
      <c r="I245" s="74">
        <f t="shared" si="22"/>
        <v>40</v>
      </c>
      <c r="J245" s="74">
        <f t="shared" si="23"/>
        <v>0.125</v>
      </c>
      <c r="K245" s="134" t="str">
        <f t="shared" si="24"/>
        <v>14%</v>
      </c>
      <c r="L245" s="73">
        <v>10</v>
      </c>
      <c r="M245" s="99">
        <f t="shared" si="25"/>
        <v>0.14285714285714285</v>
      </c>
      <c r="N245" s="73">
        <f>VLOOKUP(A245, 'Stock Register'!A:F, 6, FALSE)</f>
        <v>0</v>
      </c>
    </row>
    <row r="246" spans="1:14" ht="30" hidden="1" x14ac:dyDescent="0.25">
      <c r="A246" s="205" t="s">
        <v>503</v>
      </c>
      <c r="D246" s="29">
        <f>SUMIF('Purchase Register'!C:C, A246, 'Purchase Register'!G:G)</f>
        <v>6.5</v>
      </c>
      <c r="E246" s="190">
        <v>10</v>
      </c>
      <c r="F246" s="60">
        <f>SUMIF('Sales Register'!C:C, A246, 'Sales Register'!D:D)</f>
        <v>23</v>
      </c>
      <c r="G246" s="60">
        <f t="shared" ref="G246:G309" si="26">E246*F246</f>
        <v>230</v>
      </c>
      <c r="H246" s="60">
        <f t="shared" si="21"/>
        <v>149.5</v>
      </c>
      <c r="I246" s="60">
        <f t="shared" si="22"/>
        <v>80.5</v>
      </c>
      <c r="J246" s="60">
        <f t="shared" si="23"/>
        <v>0.35</v>
      </c>
      <c r="K246" s="35" t="str">
        <f t="shared" si="24"/>
        <v>53%</v>
      </c>
      <c r="M246" s="30">
        <f t="shared" si="25"/>
        <v>0.53846153846153844</v>
      </c>
      <c r="N246" s="34">
        <f>VLOOKUP(A246, 'Stock Register'!A:F, 6, FALSE)</f>
        <v>17</v>
      </c>
    </row>
    <row r="247" spans="1:14" hidden="1" x14ac:dyDescent="0.25">
      <c r="A247" s="205" t="s">
        <v>459</v>
      </c>
      <c r="D247" s="29">
        <f>SUMIF('Purchase Register'!C:C, A247, 'Purchase Register'!G:G)</f>
        <v>35</v>
      </c>
      <c r="E247" s="190">
        <v>45</v>
      </c>
      <c r="F247" s="60">
        <f>SUMIF('Sales Register'!C:C, A247, 'Sales Register'!D:D)</f>
        <v>5</v>
      </c>
      <c r="G247" s="60">
        <f t="shared" si="26"/>
        <v>225</v>
      </c>
      <c r="H247" s="60">
        <f t="shared" si="21"/>
        <v>175</v>
      </c>
      <c r="I247" s="60">
        <f t="shared" si="22"/>
        <v>50</v>
      </c>
      <c r="J247" s="60">
        <f t="shared" si="23"/>
        <v>0.22222222222222221</v>
      </c>
      <c r="K247" s="35" t="str">
        <f t="shared" si="24"/>
        <v>28%</v>
      </c>
      <c r="M247" s="30">
        <f t="shared" si="25"/>
        <v>0.2857142857142857</v>
      </c>
      <c r="N247" s="34">
        <f>VLOOKUP(A247, 'Stock Register'!A:F, 6, FALSE)</f>
        <v>0</v>
      </c>
    </row>
    <row r="248" spans="1:14" ht="30" hidden="1" x14ac:dyDescent="0.25">
      <c r="A248" s="205" t="s">
        <v>509</v>
      </c>
      <c r="D248" s="29">
        <f>SUMIF('Purchase Register'!C:C, A248, 'Purchase Register'!G:G)</f>
        <v>120</v>
      </c>
      <c r="E248" s="190">
        <v>135</v>
      </c>
      <c r="F248" s="60">
        <f>SUMIF('Sales Register'!C:C, A248, 'Sales Register'!D:D)</f>
        <v>5.7119999999999997</v>
      </c>
      <c r="G248" s="60">
        <f t="shared" si="26"/>
        <v>771.12</v>
      </c>
      <c r="H248" s="60">
        <f t="shared" si="21"/>
        <v>685.43999999999994</v>
      </c>
      <c r="I248" s="60">
        <f t="shared" si="22"/>
        <v>85.680000000000064</v>
      </c>
      <c r="J248" s="60">
        <f t="shared" si="23"/>
        <v>0.11111111111111119</v>
      </c>
      <c r="K248" s="35" t="str">
        <f t="shared" si="24"/>
        <v>12%</v>
      </c>
      <c r="M248" s="30">
        <f t="shared" si="25"/>
        <v>0.125</v>
      </c>
      <c r="N248" s="34">
        <f>VLOOKUP(A248, 'Stock Register'!A:F, 6, FALSE)</f>
        <v>0.28800000000000026</v>
      </c>
    </row>
    <row r="249" spans="1:14" s="75" customFormat="1" ht="30" hidden="1" x14ac:dyDescent="0.25">
      <c r="A249" s="204" t="s">
        <v>510</v>
      </c>
      <c r="B249" s="71"/>
      <c r="C249" s="71"/>
      <c r="D249" s="72">
        <f>SUMIF('Purchase Register'!C:C, A249, 'Purchase Register'!G:G)</f>
        <v>190</v>
      </c>
      <c r="E249" s="191">
        <v>210</v>
      </c>
      <c r="F249" s="74">
        <f>SUMIF('Sales Register'!C:C, A249, 'Sales Register'!D:D)</f>
        <v>3</v>
      </c>
      <c r="G249" s="74">
        <f t="shared" si="26"/>
        <v>630</v>
      </c>
      <c r="H249" s="74">
        <f t="shared" si="21"/>
        <v>570</v>
      </c>
      <c r="I249" s="74">
        <f t="shared" si="22"/>
        <v>60</v>
      </c>
      <c r="J249" s="74">
        <f t="shared" si="23"/>
        <v>9.5238095238095233E-2</v>
      </c>
      <c r="K249" s="134" t="str">
        <f t="shared" si="24"/>
        <v>10%</v>
      </c>
      <c r="L249" s="73">
        <v>205</v>
      </c>
      <c r="M249" s="99">
        <f t="shared" si="25"/>
        <v>0.10526315789473684</v>
      </c>
      <c r="N249" s="73">
        <f>VLOOKUP(A249, 'Stock Register'!A:F, 6, FALSE)</f>
        <v>0</v>
      </c>
    </row>
    <row r="250" spans="1:14" ht="30" hidden="1" x14ac:dyDescent="0.25">
      <c r="A250" s="205" t="s">
        <v>511</v>
      </c>
      <c r="D250" s="29">
        <f>SUMIF('Purchase Register'!C:C, A250, 'Purchase Register'!G:G)</f>
        <v>80</v>
      </c>
      <c r="E250" s="190">
        <v>87</v>
      </c>
      <c r="F250" s="60">
        <f>SUMIF('Sales Register'!C:C, A250, 'Sales Register'!D:D)</f>
        <v>1</v>
      </c>
      <c r="G250" s="60">
        <f t="shared" si="26"/>
        <v>87</v>
      </c>
      <c r="H250" s="60">
        <f t="shared" si="21"/>
        <v>80</v>
      </c>
      <c r="I250" s="60">
        <f t="shared" si="22"/>
        <v>7</v>
      </c>
      <c r="J250" s="60">
        <f t="shared" si="23"/>
        <v>8.0459770114942528E-2</v>
      </c>
      <c r="K250" s="35" t="str">
        <f t="shared" si="24"/>
        <v>8%</v>
      </c>
      <c r="L250" s="34">
        <v>85</v>
      </c>
      <c r="M250" s="30">
        <f t="shared" si="25"/>
        <v>8.7499999999999994E-2</v>
      </c>
      <c r="N250" s="34">
        <f>VLOOKUP(A250, 'Stock Register'!A:F, 6, FALSE)</f>
        <v>2</v>
      </c>
    </row>
    <row r="251" spans="1:14" s="75" customFormat="1" hidden="1" x14ac:dyDescent="0.25">
      <c r="A251" s="204" t="s">
        <v>512</v>
      </c>
      <c r="B251" s="71"/>
      <c r="C251" s="71"/>
      <c r="D251" s="72">
        <f>SUMIF('Purchase Register'!C:C, A251, 'Purchase Register'!G:G)</f>
        <v>9.1666666666666661</v>
      </c>
      <c r="E251" s="191">
        <v>10</v>
      </c>
      <c r="F251" s="74">
        <f>SUMIF('Sales Register'!C:C, A251, 'Sales Register'!D:D)</f>
        <v>9</v>
      </c>
      <c r="G251" s="74">
        <f t="shared" si="26"/>
        <v>90</v>
      </c>
      <c r="H251" s="74">
        <f t="shared" si="21"/>
        <v>82.5</v>
      </c>
      <c r="I251" s="74">
        <f t="shared" si="22"/>
        <v>7.5</v>
      </c>
      <c r="J251" s="74">
        <f t="shared" si="23"/>
        <v>8.3333333333333329E-2</v>
      </c>
      <c r="K251" s="134" t="str">
        <f t="shared" si="24"/>
        <v>9%</v>
      </c>
      <c r="L251" s="73"/>
      <c r="M251" s="99">
        <f t="shared" si="25"/>
        <v>9.0909090909090981E-2</v>
      </c>
      <c r="N251" s="73">
        <f>VLOOKUP(A251, 'Stock Register'!A:F, 6, FALSE)</f>
        <v>-3</v>
      </c>
    </row>
    <row r="252" spans="1:14" s="75" customFormat="1" hidden="1" x14ac:dyDescent="0.25">
      <c r="A252" s="204" t="s">
        <v>513</v>
      </c>
      <c r="B252" s="71"/>
      <c r="C252" s="71"/>
      <c r="D252" s="72">
        <f>SUMIF('Purchase Register'!C:C, A252, 'Purchase Register'!G:G)</f>
        <v>1120</v>
      </c>
      <c r="E252" s="191">
        <v>1150</v>
      </c>
      <c r="F252" s="74">
        <f>SUMIF('Sales Register'!C:C, A252, 'Sales Register'!D:D)</f>
        <v>4</v>
      </c>
      <c r="G252" s="74">
        <f t="shared" si="26"/>
        <v>4600</v>
      </c>
      <c r="H252" s="74">
        <f t="shared" si="21"/>
        <v>4480</v>
      </c>
      <c r="I252" s="74">
        <f t="shared" si="22"/>
        <v>120</v>
      </c>
      <c r="J252" s="74">
        <f t="shared" si="23"/>
        <v>2.6086956521739129E-2</v>
      </c>
      <c r="K252" s="134" t="str">
        <f t="shared" si="24"/>
        <v>2%</v>
      </c>
      <c r="L252" s="73"/>
      <c r="M252" s="99">
        <f t="shared" si="25"/>
        <v>2.6785714285714284E-2</v>
      </c>
      <c r="N252" s="73">
        <f>VLOOKUP(A252, 'Stock Register'!A:F, 6, FALSE)</f>
        <v>-1</v>
      </c>
    </row>
    <row r="253" spans="1:14" ht="30" hidden="1" x14ac:dyDescent="0.25">
      <c r="A253" s="205" t="s">
        <v>514</v>
      </c>
      <c r="D253" s="29">
        <f>SUMIF('Purchase Register'!C:C, A253, 'Purchase Register'!G:G)</f>
        <v>140</v>
      </c>
      <c r="E253" s="190">
        <v>160</v>
      </c>
      <c r="F253" s="60">
        <f>SUMIF('Sales Register'!C:C, A253, 'Sales Register'!D:D)</f>
        <v>0</v>
      </c>
      <c r="G253" s="60">
        <f t="shared" si="26"/>
        <v>0</v>
      </c>
      <c r="H253" s="60">
        <f t="shared" si="21"/>
        <v>0</v>
      </c>
      <c r="I253" s="60">
        <f t="shared" si="22"/>
        <v>0</v>
      </c>
      <c r="J253" s="60">
        <f t="shared" si="23"/>
        <v>0</v>
      </c>
      <c r="K253" s="35" t="str">
        <f t="shared" si="24"/>
        <v>14%</v>
      </c>
      <c r="M253" s="30">
        <f t="shared" si="25"/>
        <v>0.14285714285714285</v>
      </c>
      <c r="N253" s="34">
        <f>VLOOKUP(A253, 'Stock Register'!A:F, 6, FALSE)</f>
        <v>4</v>
      </c>
    </row>
    <row r="254" spans="1:14" hidden="1" x14ac:dyDescent="0.25">
      <c r="A254" s="205" t="s">
        <v>515</v>
      </c>
      <c r="D254" s="29">
        <f>SUMIF('Purchase Register'!C:C, A254, 'Purchase Register'!G:G)</f>
        <v>70</v>
      </c>
      <c r="E254" s="190">
        <v>80</v>
      </c>
      <c r="F254" s="60">
        <f>SUMIF('Sales Register'!C:C, A254, 'Sales Register'!D:D)</f>
        <v>0.875</v>
      </c>
      <c r="G254" s="60">
        <f t="shared" si="26"/>
        <v>70</v>
      </c>
      <c r="H254" s="60">
        <f t="shared" si="21"/>
        <v>61.25</v>
      </c>
      <c r="I254" s="60">
        <f t="shared" si="22"/>
        <v>8.75</v>
      </c>
      <c r="J254" s="60">
        <f t="shared" si="23"/>
        <v>0.125</v>
      </c>
      <c r="K254" s="35" t="str">
        <f t="shared" si="24"/>
        <v>14%</v>
      </c>
      <c r="M254" s="30">
        <f t="shared" si="25"/>
        <v>0.14285714285714285</v>
      </c>
      <c r="N254" s="34">
        <f>VLOOKUP(A254, 'Stock Register'!A:F, 6, FALSE)</f>
        <v>0.125</v>
      </c>
    </row>
    <row r="255" spans="1:14" s="75" customFormat="1" ht="30" hidden="1" x14ac:dyDescent="0.25">
      <c r="A255" s="204" t="s">
        <v>516</v>
      </c>
      <c r="B255" s="71"/>
      <c r="C255" s="71"/>
      <c r="D255" s="72">
        <f>SUMIF('Purchase Register'!C:C, A255, 'Purchase Register'!G:G)</f>
        <v>33</v>
      </c>
      <c r="E255" s="191">
        <v>35</v>
      </c>
      <c r="F255" s="74">
        <f>SUMIF('Sales Register'!C:C, A255, 'Sales Register'!D:D)</f>
        <v>4</v>
      </c>
      <c r="G255" s="74">
        <f t="shared" si="26"/>
        <v>140</v>
      </c>
      <c r="H255" s="74">
        <f t="shared" si="21"/>
        <v>132</v>
      </c>
      <c r="I255" s="74">
        <f t="shared" si="22"/>
        <v>8</v>
      </c>
      <c r="J255" s="74">
        <f t="shared" si="23"/>
        <v>5.7142857142857141E-2</v>
      </c>
      <c r="K255" s="134" t="str">
        <f t="shared" si="24"/>
        <v>6%</v>
      </c>
      <c r="L255" s="73"/>
      <c r="M255" s="99">
        <f t="shared" si="25"/>
        <v>6.0606060606060608E-2</v>
      </c>
      <c r="N255" s="73">
        <f>VLOOKUP(A255, 'Stock Register'!A:F, 6, FALSE)</f>
        <v>-2</v>
      </c>
    </row>
    <row r="256" spans="1:14" s="75" customFormat="1" hidden="1" x14ac:dyDescent="0.25">
      <c r="A256" s="204" t="s">
        <v>517</v>
      </c>
      <c r="B256" s="71"/>
      <c r="C256" s="71"/>
      <c r="D256" s="72">
        <f>SUMIF('Purchase Register'!C:C, A256, 'Purchase Register'!G:G)</f>
        <v>25</v>
      </c>
      <c r="E256" s="191">
        <v>27</v>
      </c>
      <c r="F256" s="74">
        <f>SUMIF('Sales Register'!C:C, A256, 'Sales Register'!D:D)</f>
        <v>4</v>
      </c>
      <c r="G256" s="74">
        <f t="shared" si="26"/>
        <v>108</v>
      </c>
      <c r="H256" s="74">
        <f t="shared" si="21"/>
        <v>100</v>
      </c>
      <c r="I256" s="74">
        <f t="shared" si="22"/>
        <v>8</v>
      </c>
      <c r="J256" s="74">
        <f t="shared" si="23"/>
        <v>7.407407407407407E-2</v>
      </c>
      <c r="K256" s="134" t="str">
        <f t="shared" si="24"/>
        <v>8%</v>
      </c>
      <c r="L256" s="73"/>
      <c r="M256" s="99">
        <f t="shared" si="25"/>
        <v>0.08</v>
      </c>
      <c r="N256" s="73">
        <f>VLOOKUP(A256, 'Stock Register'!A:F, 6, FALSE)</f>
        <v>-1</v>
      </c>
    </row>
    <row r="257" spans="1:14" s="75" customFormat="1" hidden="1" x14ac:dyDescent="0.25">
      <c r="A257" s="204" t="s">
        <v>518</v>
      </c>
      <c r="B257" s="71"/>
      <c r="C257" s="71"/>
      <c r="D257" s="72">
        <f>SUMIF('Purchase Register'!C:C, A257, 'Purchase Register'!G:G)</f>
        <v>65</v>
      </c>
      <c r="E257" s="191">
        <v>70</v>
      </c>
      <c r="F257" s="74">
        <f>SUMIF('Sales Register'!C:C, A257, 'Sales Register'!D:D)</f>
        <v>4</v>
      </c>
      <c r="G257" s="74">
        <f t="shared" si="26"/>
        <v>280</v>
      </c>
      <c r="H257" s="74">
        <f t="shared" si="21"/>
        <v>260</v>
      </c>
      <c r="I257" s="74">
        <f t="shared" si="22"/>
        <v>20</v>
      </c>
      <c r="J257" s="74">
        <f t="shared" si="23"/>
        <v>7.1428571428571425E-2</v>
      </c>
      <c r="K257" s="134" t="str">
        <f t="shared" si="24"/>
        <v>7%</v>
      </c>
      <c r="L257" s="73"/>
      <c r="M257" s="99">
        <f t="shared" si="25"/>
        <v>7.6923076923076927E-2</v>
      </c>
      <c r="N257" s="73">
        <f>VLOOKUP(A257, 'Stock Register'!A:F, 6, FALSE)</f>
        <v>0</v>
      </c>
    </row>
    <row r="258" spans="1:14" hidden="1" x14ac:dyDescent="0.25">
      <c r="A258" s="205" t="s">
        <v>519</v>
      </c>
      <c r="D258" s="29">
        <f>SUMIF('Purchase Register'!C:C, A258, 'Purchase Register'!G:G)</f>
        <v>8.75</v>
      </c>
      <c r="E258" s="190">
        <v>10</v>
      </c>
      <c r="F258" s="60">
        <f>SUMIF('Sales Register'!C:C, A258, 'Sales Register'!D:D)</f>
        <v>12</v>
      </c>
      <c r="G258" s="60">
        <f t="shared" si="26"/>
        <v>120</v>
      </c>
      <c r="H258" s="60">
        <f t="shared" ref="H258:H321" si="27">D258*F258</f>
        <v>105</v>
      </c>
      <c r="I258" s="60">
        <f t="shared" ref="I258:I321" si="28">G258-H258</f>
        <v>15</v>
      </c>
      <c r="J258" s="60">
        <f t="shared" ref="J258:J321" si="29">IF(G258=0,0,I258/G258)</f>
        <v>0.125</v>
      </c>
      <c r="K258" s="35" t="str">
        <f t="shared" si="24"/>
        <v>14%</v>
      </c>
      <c r="M258" s="30">
        <f t="shared" si="25"/>
        <v>0.14285714285714285</v>
      </c>
      <c r="N258" s="34">
        <f>VLOOKUP(A258, 'Stock Register'!A:F, 6, FALSE)</f>
        <v>0</v>
      </c>
    </row>
    <row r="259" spans="1:14" ht="30" hidden="1" x14ac:dyDescent="0.25">
      <c r="A259" s="205" t="s">
        <v>520</v>
      </c>
      <c r="D259" s="29">
        <f>SUMIF('Purchase Register'!C:C, A259, 'Purchase Register'!G:G)</f>
        <v>9</v>
      </c>
      <c r="E259" s="190">
        <v>10</v>
      </c>
      <c r="F259" s="60">
        <f>SUMIF('Sales Register'!C:C, A259, 'Sales Register'!D:D)</f>
        <v>8</v>
      </c>
      <c r="G259" s="60">
        <f t="shared" si="26"/>
        <v>80</v>
      </c>
      <c r="H259" s="60">
        <f t="shared" si="27"/>
        <v>72</v>
      </c>
      <c r="I259" s="60">
        <f t="shared" si="28"/>
        <v>8</v>
      </c>
      <c r="J259" s="60">
        <f t="shared" si="29"/>
        <v>0.1</v>
      </c>
      <c r="K259" s="35" t="str">
        <f t="shared" ref="K259:K322" si="30">IF(E259&lt;=D259, "NO PROFIT", IF((E259-D259)/D259 &gt;= 1, "100% or More", TEXT(_xlfn.FLOOR.MATH((E259-D259)/D259, 0.01), "0%")))</f>
        <v>11%</v>
      </c>
      <c r="M259" s="30">
        <f t="shared" ref="M259:M322" si="31">IF(D259=0, 0, (E259-D259)/D259)</f>
        <v>0.1111111111111111</v>
      </c>
      <c r="N259" s="34">
        <f>VLOOKUP(A259, 'Stock Register'!A:F, 6, FALSE)</f>
        <v>4</v>
      </c>
    </row>
    <row r="260" spans="1:14" s="75" customFormat="1" hidden="1" x14ac:dyDescent="0.25">
      <c r="A260" s="204" t="s">
        <v>521</v>
      </c>
      <c r="B260" s="71"/>
      <c r="C260" s="71"/>
      <c r="D260" s="72">
        <f>SUMIF('Purchase Register'!C:C, A260, 'Purchase Register'!G:G)</f>
        <v>9</v>
      </c>
      <c r="E260" s="191">
        <v>10</v>
      </c>
      <c r="F260" s="74">
        <f>SUMIF('Sales Register'!C:C, A260, 'Sales Register'!D:D)</f>
        <v>1</v>
      </c>
      <c r="G260" s="74">
        <f t="shared" si="26"/>
        <v>10</v>
      </c>
      <c r="H260" s="74">
        <f t="shared" si="27"/>
        <v>9</v>
      </c>
      <c r="I260" s="74">
        <f t="shared" si="28"/>
        <v>1</v>
      </c>
      <c r="J260" s="74">
        <f t="shared" si="29"/>
        <v>0.1</v>
      </c>
      <c r="K260" s="134" t="str">
        <f t="shared" si="30"/>
        <v>11%</v>
      </c>
      <c r="L260" s="73"/>
      <c r="M260" s="99">
        <f t="shared" si="31"/>
        <v>0.1111111111111111</v>
      </c>
      <c r="N260" s="73">
        <f>VLOOKUP(A260, 'Stock Register'!A:F, 6, FALSE)</f>
        <v>9</v>
      </c>
    </row>
    <row r="261" spans="1:14" s="75" customFormat="1" hidden="1" x14ac:dyDescent="0.25">
      <c r="A261" s="204" t="s">
        <v>522</v>
      </c>
      <c r="B261" s="71"/>
      <c r="C261" s="71"/>
      <c r="D261" s="72">
        <f>SUMIF('Purchase Register'!C:C, A261, 'Purchase Register'!G:G)</f>
        <v>55</v>
      </c>
      <c r="E261" s="191">
        <v>60</v>
      </c>
      <c r="F261" s="74">
        <f>SUMIF('Sales Register'!C:C, A261, 'Sales Register'!D:D)</f>
        <v>12</v>
      </c>
      <c r="G261" s="74">
        <f t="shared" si="26"/>
        <v>720</v>
      </c>
      <c r="H261" s="74">
        <f t="shared" si="27"/>
        <v>660</v>
      </c>
      <c r="I261" s="74">
        <f t="shared" si="28"/>
        <v>60</v>
      </c>
      <c r="J261" s="74">
        <f t="shared" si="29"/>
        <v>8.3333333333333329E-2</v>
      </c>
      <c r="K261" s="134" t="str">
        <f t="shared" si="30"/>
        <v>9%</v>
      </c>
      <c r="L261" s="73"/>
      <c r="M261" s="99">
        <f t="shared" si="31"/>
        <v>9.0909090909090912E-2</v>
      </c>
      <c r="N261" s="73">
        <f>VLOOKUP(A261, 'Stock Register'!A:F, 6, FALSE)</f>
        <v>-6</v>
      </c>
    </row>
    <row r="262" spans="1:14" hidden="1" x14ac:dyDescent="0.25">
      <c r="A262" s="205" t="s">
        <v>523</v>
      </c>
      <c r="D262" s="29">
        <f>SUMIF('Purchase Register'!C:C, A262, 'Purchase Register'!G:G)</f>
        <v>240</v>
      </c>
      <c r="E262" s="190">
        <v>280</v>
      </c>
      <c r="F262" s="60">
        <f>SUMIF('Sales Register'!C:C, A262, 'Sales Register'!D:D)</f>
        <v>4.6004285714285729</v>
      </c>
      <c r="G262" s="60">
        <f t="shared" si="26"/>
        <v>1288.1200000000003</v>
      </c>
      <c r="H262" s="60">
        <f t="shared" si="27"/>
        <v>1104.1028571428574</v>
      </c>
      <c r="I262" s="60">
        <f t="shared" si="28"/>
        <v>184.01714285714297</v>
      </c>
      <c r="J262" s="60">
        <f t="shared" si="29"/>
        <v>0.1428571428571429</v>
      </c>
      <c r="K262" s="35" t="str">
        <f t="shared" si="30"/>
        <v>16%</v>
      </c>
      <c r="M262" s="30">
        <f t="shared" si="31"/>
        <v>0.16666666666666666</v>
      </c>
      <c r="N262" s="34">
        <f>VLOOKUP(A262, 'Stock Register'!A:F, 6, FALSE)</f>
        <v>0.39957142857142713</v>
      </c>
    </row>
    <row r="263" spans="1:14" hidden="1" x14ac:dyDescent="0.25">
      <c r="A263" s="205" t="s">
        <v>524</v>
      </c>
      <c r="D263" s="29">
        <f>SUMIF('Purchase Register'!C:C, A263, 'Purchase Register'!G:G)</f>
        <v>0.9</v>
      </c>
      <c r="E263" s="190">
        <v>1</v>
      </c>
      <c r="F263" s="60">
        <f>SUMIF('Sales Register'!C:C, A263, 'Sales Register'!D:D)</f>
        <v>97</v>
      </c>
      <c r="G263" s="60">
        <f t="shared" si="26"/>
        <v>97</v>
      </c>
      <c r="H263" s="60">
        <f t="shared" si="27"/>
        <v>87.3</v>
      </c>
      <c r="I263" s="60">
        <f t="shared" si="28"/>
        <v>9.7000000000000028</v>
      </c>
      <c r="J263" s="60">
        <f t="shared" si="29"/>
        <v>0.10000000000000003</v>
      </c>
      <c r="K263" s="35" t="str">
        <f t="shared" si="30"/>
        <v>11%</v>
      </c>
      <c r="M263" s="30">
        <f t="shared" si="31"/>
        <v>0.11111111111111108</v>
      </c>
      <c r="N263" s="34">
        <f>VLOOKUP(A263, 'Stock Register'!A:F, 6, FALSE)</f>
        <v>103</v>
      </c>
    </row>
    <row r="264" spans="1:14" ht="30" hidden="1" x14ac:dyDescent="0.25">
      <c r="A264" s="205" t="s">
        <v>525</v>
      </c>
      <c r="C264" s="28">
        <v>29</v>
      </c>
      <c r="D264" s="29">
        <f>SUMIF('Purchase Register'!C:C, A264, 'Purchase Register'!G:G)</f>
        <v>20.8</v>
      </c>
      <c r="E264" s="190">
        <v>29</v>
      </c>
      <c r="F264" s="60">
        <f>SUMIF('Sales Register'!C:C, A264, 'Sales Register'!D:D)</f>
        <v>11</v>
      </c>
      <c r="G264" s="60">
        <f t="shared" si="26"/>
        <v>319</v>
      </c>
      <c r="H264" s="60">
        <f t="shared" si="27"/>
        <v>228.8</v>
      </c>
      <c r="I264" s="60">
        <f t="shared" si="28"/>
        <v>90.199999999999989</v>
      </c>
      <c r="J264" s="60">
        <f t="shared" si="29"/>
        <v>0.28275862068965513</v>
      </c>
      <c r="K264" s="35" t="str">
        <f t="shared" si="30"/>
        <v>39%</v>
      </c>
      <c r="M264" s="30">
        <f t="shared" si="31"/>
        <v>0.39423076923076916</v>
      </c>
      <c r="N264" s="34">
        <f>VLOOKUP(A264, 'Stock Register'!A:F, 6, FALSE)</f>
        <v>14</v>
      </c>
    </row>
    <row r="265" spans="1:14" ht="30" hidden="1" x14ac:dyDescent="0.25">
      <c r="A265" s="205" t="s">
        <v>526</v>
      </c>
      <c r="C265" s="28">
        <v>70</v>
      </c>
      <c r="D265" s="29">
        <f>SUMIF('Purchase Register'!C:C, A265, 'Purchase Register'!G:G)</f>
        <v>52</v>
      </c>
      <c r="E265" s="190">
        <v>65</v>
      </c>
      <c r="F265" s="60">
        <f>SUMIF('Sales Register'!C:C, A265, 'Sales Register'!D:D)</f>
        <v>11</v>
      </c>
      <c r="G265" s="60">
        <f t="shared" si="26"/>
        <v>715</v>
      </c>
      <c r="H265" s="60">
        <f t="shared" si="27"/>
        <v>572</v>
      </c>
      <c r="I265" s="60">
        <f t="shared" si="28"/>
        <v>143</v>
      </c>
      <c r="J265" s="60">
        <f t="shared" si="29"/>
        <v>0.2</v>
      </c>
      <c r="K265" s="35" t="str">
        <f t="shared" si="30"/>
        <v>25%</v>
      </c>
      <c r="M265" s="30">
        <f t="shared" si="31"/>
        <v>0.25</v>
      </c>
      <c r="N265" s="34">
        <f>VLOOKUP(A265, 'Stock Register'!A:F, 6, FALSE)</f>
        <v>-1</v>
      </c>
    </row>
    <row r="266" spans="1:14" hidden="1" x14ac:dyDescent="0.25">
      <c r="A266" s="205" t="s">
        <v>527</v>
      </c>
      <c r="D266" s="29">
        <f>SUMIF('Purchase Register'!C:C, A266, 'Purchase Register'!G:G)</f>
        <v>52</v>
      </c>
      <c r="E266" s="190">
        <v>58</v>
      </c>
      <c r="F266" s="60">
        <f>SUMIF('Sales Register'!C:C, A266, 'Sales Register'!D:D)</f>
        <v>4</v>
      </c>
      <c r="G266" s="60">
        <f t="shared" si="26"/>
        <v>232</v>
      </c>
      <c r="H266" s="60">
        <f t="shared" si="27"/>
        <v>208</v>
      </c>
      <c r="I266" s="60">
        <f t="shared" si="28"/>
        <v>24</v>
      </c>
      <c r="J266" s="60">
        <f t="shared" si="29"/>
        <v>0.10344827586206896</v>
      </c>
      <c r="K266" s="35" t="str">
        <f t="shared" si="30"/>
        <v>11%</v>
      </c>
      <c r="M266" s="30">
        <f t="shared" si="31"/>
        <v>0.11538461538461539</v>
      </c>
      <c r="N266" s="34">
        <f>VLOOKUP(A266, 'Stock Register'!A:F, 6, FALSE)</f>
        <v>1</v>
      </c>
    </row>
    <row r="267" spans="1:14" hidden="1" x14ac:dyDescent="0.25">
      <c r="A267" s="205" t="s">
        <v>528</v>
      </c>
      <c r="B267" s="28" t="s">
        <v>204</v>
      </c>
      <c r="D267" s="29">
        <f>SUMIF('Purchase Register'!C:C, A267, 'Purchase Register'!G:G)</f>
        <v>140</v>
      </c>
      <c r="E267" s="190">
        <v>200</v>
      </c>
      <c r="F267" s="60">
        <f>SUMIF('Sales Register'!C:C, A267, 'Sales Register'!D:D)</f>
        <v>0.4</v>
      </c>
      <c r="G267" s="60">
        <f t="shared" si="26"/>
        <v>80</v>
      </c>
      <c r="H267" s="60">
        <f t="shared" si="27"/>
        <v>56</v>
      </c>
      <c r="I267" s="60">
        <f t="shared" si="28"/>
        <v>24</v>
      </c>
      <c r="J267" s="60">
        <f t="shared" si="29"/>
        <v>0.3</v>
      </c>
      <c r="K267" s="35" t="str">
        <f t="shared" si="30"/>
        <v>42%</v>
      </c>
      <c r="M267" s="30">
        <f t="shared" si="31"/>
        <v>0.42857142857142855</v>
      </c>
      <c r="N267" s="34">
        <f>VLOOKUP(A267, 'Stock Register'!A:F, 6, FALSE)</f>
        <v>9.9999999999999978E-2</v>
      </c>
    </row>
    <row r="268" spans="1:14" s="75" customFormat="1" hidden="1" x14ac:dyDescent="0.25">
      <c r="A268" s="204" t="s">
        <v>529</v>
      </c>
      <c r="B268" s="71"/>
      <c r="C268" s="71"/>
      <c r="D268" s="72">
        <f>SUMIF('Purchase Register'!C:C, A268, 'Purchase Register'!G:G)</f>
        <v>9.1999999999999993</v>
      </c>
      <c r="E268" s="191">
        <v>10</v>
      </c>
      <c r="F268" s="74">
        <f>SUMIF('Sales Register'!C:C, A268, 'Sales Register'!D:D)</f>
        <v>10</v>
      </c>
      <c r="G268" s="74">
        <f t="shared" si="26"/>
        <v>100</v>
      </c>
      <c r="H268" s="74">
        <f t="shared" si="27"/>
        <v>92</v>
      </c>
      <c r="I268" s="74">
        <f t="shared" si="28"/>
        <v>8</v>
      </c>
      <c r="J268" s="74">
        <f t="shared" si="29"/>
        <v>0.08</v>
      </c>
      <c r="K268" s="134" t="str">
        <f t="shared" si="30"/>
        <v>8%</v>
      </c>
      <c r="L268" s="73"/>
      <c r="M268" s="99">
        <f t="shared" si="31"/>
        <v>8.6956521739130516E-2</v>
      </c>
      <c r="N268" s="73">
        <f>VLOOKUP(A268, 'Stock Register'!A:F, 6, FALSE)</f>
        <v>0</v>
      </c>
    </row>
    <row r="269" spans="1:14" s="75" customFormat="1" hidden="1" x14ac:dyDescent="0.25">
      <c r="A269" s="204" t="s">
        <v>531</v>
      </c>
      <c r="B269" s="71"/>
      <c r="C269" s="71"/>
      <c r="D269" s="72">
        <f>SUMIF('Purchase Register'!C:C, A269, 'Purchase Register'!G:G)</f>
        <v>4.6875</v>
      </c>
      <c r="E269" s="191">
        <v>5</v>
      </c>
      <c r="F269" s="74">
        <f>SUMIF('Sales Register'!C:C, A269, 'Sales Register'!D:D)</f>
        <v>16</v>
      </c>
      <c r="G269" s="74">
        <f t="shared" si="26"/>
        <v>80</v>
      </c>
      <c r="H269" s="74">
        <f t="shared" si="27"/>
        <v>75</v>
      </c>
      <c r="I269" s="74">
        <f t="shared" si="28"/>
        <v>5</v>
      </c>
      <c r="J269" s="74">
        <f t="shared" si="29"/>
        <v>6.25E-2</v>
      </c>
      <c r="K269" s="134" t="str">
        <f t="shared" si="30"/>
        <v>6%</v>
      </c>
      <c r="L269" s="73"/>
      <c r="M269" s="99">
        <f t="shared" si="31"/>
        <v>6.6666666666666666E-2</v>
      </c>
      <c r="N269" s="73">
        <f>VLOOKUP(A269, 'Stock Register'!A:F, 6, FALSE)</f>
        <v>0</v>
      </c>
    </row>
    <row r="270" spans="1:14" s="75" customFormat="1" ht="30" hidden="1" x14ac:dyDescent="0.25">
      <c r="A270" s="204" t="s">
        <v>530</v>
      </c>
      <c r="B270" s="71"/>
      <c r="C270" s="71"/>
      <c r="D270" s="72">
        <f>SUMIF('Purchase Register'!C:C, A270, 'Purchase Register'!G:G)</f>
        <v>8.3333333333333339</v>
      </c>
      <c r="E270" s="191">
        <v>10</v>
      </c>
      <c r="F270" s="74">
        <f>SUMIF('Sales Register'!C:C, A270, 'Sales Register'!D:D)</f>
        <v>16</v>
      </c>
      <c r="G270" s="74">
        <f t="shared" si="26"/>
        <v>160</v>
      </c>
      <c r="H270" s="74">
        <f t="shared" si="27"/>
        <v>133.33333333333334</v>
      </c>
      <c r="I270" s="74">
        <f t="shared" si="28"/>
        <v>26.666666666666657</v>
      </c>
      <c r="J270" s="74">
        <f t="shared" si="29"/>
        <v>0.1666666666666666</v>
      </c>
      <c r="K270" s="134" t="str">
        <f t="shared" si="30"/>
        <v>20%</v>
      </c>
      <c r="L270" s="73"/>
      <c r="M270" s="99">
        <f t="shared" si="31"/>
        <v>0.19999999999999993</v>
      </c>
      <c r="N270" s="73">
        <f>VLOOKUP(A270, 'Stock Register'!A:F, 6, FALSE)</f>
        <v>2</v>
      </c>
    </row>
    <row r="271" spans="1:14" s="75" customFormat="1" hidden="1" x14ac:dyDescent="0.25">
      <c r="A271" s="204" t="s">
        <v>532</v>
      </c>
      <c r="B271" s="71"/>
      <c r="C271" s="71"/>
      <c r="D271" s="72">
        <f>SUMIF('Purchase Register'!C:C, A271, 'Purchase Register'!G:G)</f>
        <v>4.5333333333333332</v>
      </c>
      <c r="E271" s="191">
        <v>5</v>
      </c>
      <c r="F271" s="74">
        <f>SUMIF('Sales Register'!C:C, A271, 'Sales Register'!D:D)</f>
        <v>60</v>
      </c>
      <c r="G271" s="74">
        <f t="shared" si="26"/>
        <v>300</v>
      </c>
      <c r="H271" s="74">
        <f t="shared" si="27"/>
        <v>272</v>
      </c>
      <c r="I271" s="74">
        <f t="shared" si="28"/>
        <v>28</v>
      </c>
      <c r="J271" s="74">
        <f t="shared" si="29"/>
        <v>9.3333333333333338E-2</v>
      </c>
      <c r="K271" s="134" t="str">
        <f t="shared" si="30"/>
        <v>10%</v>
      </c>
      <c r="L271" s="73"/>
      <c r="M271" s="99">
        <f t="shared" si="31"/>
        <v>0.10294117647058826</v>
      </c>
      <c r="N271" s="73">
        <f>VLOOKUP(A271, 'Stock Register'!A:F, 6, FALSE)</f>
        <v>0</v>
      </c>
    </row>
    <row r="272" spans="1:14" hidden="1" x14ac:dyDescent="0.25">
      <c r="A272" s="205" t="s">
        <v>533</v>
      </c>
      <c r="D272" s="29">
        <f>SUMIF('Purchase Register'!C:C, A272, 'Purchase Register'!G:G)</f>
        <v>8.3333333333333339</v>
      </c>
      <c r="E272" s="190">
        <v>10</v>
      </c>
      <c r="F272" s="60">
        <f>SUMIF('Sales Register'!C:C, A272, 'Sales Register'!D:D)</f>
        <v>26</v>
      </c>
      <c r="G272" s="60">
        <f t="shared" si="26"/>
        <v>260</v>
      </c>
      <c r="H272" s="60">
        <f t="shared" si="27"/>
        <v>216.66666666666669</v>
      </c>
      <c r="I272" s="60">
        <f t="shared" si="28"/>
        <v>43.333333333333314</v>
      </c>
      <c r="J272" s="60">
        <f t="shared" si="29"/>
        <v>0.1666666666666666</v>
      </c>
      <c r="K272" s="35" t="str">
        <f t="shared" si="30"/>
        <v>20%</v>
      </c>
      <c r="M272" s="30">
        <f t="shared" si="31"/>
        <v>0.19999999999999993</v>
      </c>
      <c r="N272" s="34">
        <f>VLOOKUP(A272, 'Stock Register'!A:F, 6, FALSE)</f>
        <v>-8</v>
      </c>
    </row>
    <row r="273" spans="1:14" hidden="1" x14ac:dyDescent="0.25">
      <c r="A273" s="205" t="s">
        <v>534</v>
      </c>
      <c r="D273" s="29">
        <f>SUMIF('Purchase Register'!C:C, A273, 'Purchase Register'!G:G)</f>
        <v>4.583333333333333</v>
      </c>
      <c r="E273" s="190">
        <v>5</v>
      </c>
      <c r="F273" s="60">
        <f>SUMIF('Sales Register'!C:C, A273, 'Sales Register'!D:D)</f>
        <v>7</v>
      </c>
      <c r="G273" s="60">
        <f t="shared" si="26"/>
        <v>35</v>
      </c>
      <c r="H273" s="60">
        <f t="shared" si="27"/>
        <v>32.083333333333329</v>
      </c>
      <c r="I273" s="60">
        <f t="shared" si="28"/>
        <v>2.9166666666666714</v>
      </c>
      <c r="J273" s="60">
        <f t="shared" si="29"/>
        <v>8.3333333333333467E-2</v>
      </c>
      <c r="K273" s="35" t="str">
        <f t="shared" si="30"/>
        <v>9%</v>
      </c>
      <c r="M273" s="30">
        <f t="shared" si="31"/>
        <v>9.0909090909090981E-2</v>
      </c>
      <c r="N273" s="34">
        <f>VLOOKUP(A273, 'Stock Register'!A:F, 6, FALSE)</f>
        <v>5</v>
      </c>
    </row>
    <row r="274" spans="1:14" s="75" customFormat="1" hidden="1" x14ac:dyDescent="0.25">
      <c r="A274" s="204" t="s">
        <v>535</v>
      </c>
      <c r="B274" s="71"/>
      <c r="C274" s="71"/>
      <c r="D274" s="72">
        <f>SUMIF('Purchase Register'!C:C, A274, 'Purchase Register'!G:G)</f>
        <v>9.1666666666666661</v>
      </c>
      <c r="E274" s="191">
        <v>10</v>
      </c>
      <c r="F274" s="74">
        <f>SUMIF('Sales Register'!C:C, A274, 'Sales Register'!D:D)</f>
        <v>33</v>
      </c>
      <c r="G274" s="74">
        <f t="shared" si="26"/>
        <v>330</v>
      </c>
      <c r="H274" s="74">
        <f t="shared" si="27"/>
        <v>302.5</v>
      </c>
      <c r="I274" s="74">
        <f t="shared" si="28"/>
        <v>27.5</v>
      </c>
      <c r="J274" s="74">
        <f t="shared" si="29"/>
        <v>8.3333333333333329E-2</v>
      </c>
      <c r="K274" s="134" t="str">
        <f t="shared" si="30"/>
        <v>9%</v>
      </c>
      <c r="L274" s="73"/>
      <c r="M274" s="99">
        <f t="shared" si="31"/>
        <v>9.0909090909090981E-2</v>
      </c>
      <c r="N274" s="73">
        <f>VLOOKUP(A274, 'Stock Register'!A:F, 6, FALSE)</f>
        <v>15</v>
      </c>
    </row>
    <row r="275" spans="1:14" hidden="1" x14ac:dyDescent="0.25">
      <c r="A275" s="205" t="s">
        <v>536</v>
      </c>
      <c r="D275" s="29">
        <f>SUMIF('Purchase Register'!C:C, A275, 'Purchase Register'!G:G)</f>
        <v>0.8</v>
      </c>
      <c r="E275" s="190">
        <v>1</v>
      </c>
      <c r="F275" s="60">
        <f>SUMIF('Sales Register'!C:C, A275, 'Sales Register'!D:D)</f>
        <v>7</v>
      </c>
      <c r="G275" s="60">
        <f t="shared" si="26"/>
        <v>7</v>
      </c>
      <c r="H275" s="60">
        <f t="shared" si="27"/>
        <v>5.6000000000000005</v>
      </c>
      <c r="I275" s="60">
        <f t="shared" si="28"/>
        <v>1.3999999999999995</v>
      </c>
      <c r="J275" s="60">
        <f t="shared" si="29"/>
        <v>0.19999999999999993</v>
      </c>
      <c r="K275" s="35" t="str">
        <f t="shared" si="30"/>
        <v>25%</v>
      </c>
      <c r="M275" s="30">
        <f t="shared" si="31"/>
        <v>0.24999999999999994</v>
      </c>
      <c r="N275" s="34">
        <f>VLOOKUP(A275, 'Stock Register'!A:F, 6, FALSE)</f>
        <v>43</v>
      </c>
    </row>
    <row r="276" spans="1:14" s="75" customFormat="1" hidden="1" x14ac:dyDescent="0.25">
      <c r="A276" s="204" t="s">
        <v>537</v>
      </c>
      <c r="B276" s="71"/>
      <c r="C276" s="71"/>
      <c r="D276" s="72">
        <f>SUMIF('Purchase Register'!C:C, A276, 'Purchase Register'!G:G)</f>
        <v>33</v>
      </c>
      <c r="E276" s="191">
        <v>35</v>
      </c>
      <c r="F276" s="74">
        <f>SUMIF('Sales Register'!C:C, A276, 'Sales Register'!D:D)</f>
        <v>2</v>
      </c>
      <c r="G276" s="74">
        <f t="shared" si="26"/>
        <v>70</v>
      </c>
      <c r="H276" s="74">
        <f t="shared" si="27"/>
        <v>66</v>
      </c>
      <c r="I276" s="74">
        <f t="shared" si="28"/>
        <v>4</v>
      </c>
      <c r="J276" s="74">
        <f t="shared" si="29"/>
        <v>5.7142857142857141E-2</v>
      </c>
      <c r="K276" s="134" t="str">
        <f t="shared" si="30"/>
        <v>6%</v>
      </c>
      <c r="L276" s="73"/>
      <c r="M276" s="99">
        <f t="shared" si="31"/>
        <v>6.0606060606060608E-2</v>
      </c>
      <c r="N276" s="73">
        <f>VLOOKUP(A276, 'Stock Register'!A:F, 6, FALSE)</f>
        <v>0</v>
      </c>
    </row>
    <row r="277" spans="1:14" hidden="1" x14ac:dyDescent="0.25">
      <c r="A277" s="205" t="s">
        <v>540</v>
      </c>
      <c r="D277" s="29">
        <f>SUMIF('Purchase Register'!C:C, A277, 'Purchase Register'!G:G)</f>
        <v>10</v>
      </c>
      <c r="E277" s="190">
        <v>15</v>
      </c>
      <c r="F277" s="60">
        <f>SUMIF('Sales Register'!C:C, A277, 'Sales Register'!D:D)</f>
        <v>6</v>
      </c>
      <c r="G277" s="60">
        <f t="shared" si="26"/>
        <v>90</v>
      </c>
      <c r="H277" s="60">
        <f t="shared" si="27"/>
        <v>60</v>
      </c>
      <c r="I277" s="60">
        <f t="shared" si="28"/>
        <v>30</v>
      </c>
      <c r="J277" s="60">
        <f t="shared" si="29"/>
        <v>0.33333333333333331</v>
      </c>
      <c r="K277" s="35" t="str">
        <f t="shared" si="30"/>
        <v>50%</v>
      </c>
      <c r="M277" s="30">
        <f t="shared" si="31"/>
        <v>0.5</v>
      </c>
      <c r="N277" s="34">
        <f>VLOOKUP(A277, 'Stock Register'!A:F, 6, FALSE)</f>
        <v>18</v>
      </c>
    </row>
    <row r="278" spans="1:14" ht="30" hidden="1" x14ac:dyDescent="0.25">
      <c r="A278" s="205" t="s">
        <v>539</v>
      </c>
      <c r="D278" s="29">
        <f>SUMIF('Purchase Register'!C:C, A278, 'Purchase Register'!G:G)</f>
        <v>16.666666666666668</v>
      </c>
      <c r="E278" s="190">
        <v>20</v>
      </c>
      <c r="F278" s="60">
        <f>SUMIF('Sales Register'!C:C, A278, 'Sales Register'!D:D)</f>
        <v>12</v>
      </c>
      <c r="G278" s="60">
        <f t="shared" si="26"/>
        <v>240</v>
      </c>
      <c r="H278" s="60">
        <f t="shared" si="27"/>
        <v>200</v>
      </c>
      <c r="I278" s="60">
        <f t="shared" si="28"/>
        <v>40</v>
      </c>
      <c r="J278" s="60">
        <f t="shared" si="29"/>
        <v>0.16666666666666666</v>
      </c>
      <c r="K278" s="35" t="str">
        <f t="shared" si="30"/>
        <v>20%</v>
      </c>
      <c r="M278" s="30">
        <f t="shared" si="31"/>
        <v>0.19999999999999993</v>
      </c>
      <c r="N278" s="34">
        <f>VLOOKUP(A278, 'Stock Register'!A:F, 6, FALSE)</f>
        <v>0</v>
      </c>
    </row>
    <row r="279" spans="1:14" s="75" customFormat="1" hidden="1" x14ac:dyDescent="0.25">
      <c r="A279" s="204" t="s">
        <v>541</v>
      </c>
      <c r="B279" s="71"/>
      <c r="C279" s="71"/>
      <c r="D279" s="72">
        <f>SUMIF('Purchase Register'!C:C, A279, 'Purchase Register'!G:G)</f>
        <v>58.409090909090907</v>
      </c>
      <c r="E279" s="191">
        <v>70</v>
      </c>
      <c r="F279" s="74">
        <f>SUMIF('Sales Register'!C:C, A279, 'Sales Register'!D:D)</f>
        <v>23.679000000000002</v>
      </c>
      <c r="G279" s="74">
        <f t="shared" si="26"/>
        <v>1657.5300000000002</v>
      </c>
      <c r="H279" s="74">
        <f t="shared" si="27"/>
        <v>1383.0688636363636</v>
      </c>
      <c r="I279" s="74">
        <f t="shared" si="28"/>
        <v>274.46113636363657</v>
      </c>
      <c r="J279" s="74">
        <f t="shared" si="29"/>
        <v>0.1655844155844157</v>
      </c>
      <c r="K279" s="134" t="str">
        <f t="shared" si="30"/>
        <v>19%</v>
      </c>
      <c r="L279" s="73">
        <v>68</v>
      </c>
      <c r="M279" s="99">
        <f t="shared" si="31"/>
        <v>0.19844357976653701</v>
      </c>
      <c r="N279" s="73">
        <f>VLOOKUP(A279, 'Stock Register'!A:F, 6, FALSE)</f>
        <v>-1.679000000000002</v>
      </c>
    </row>
    <row r="280" spans="1:14" hidden="1" x14ac:dyDescent="0.25">
      <c r="A280" s="205" t="s">
        <v>542</v>
      </c>
      <c r="D280" s="29">
        <f>SUMIF('Purchase Register'!C:C, A280, 'Purchase Register'!G:G)</f>
        <v>85</v>
      </c>
      <c r="E280" s="190">
        <v>95</v>
      </c>
      <c r="F280" s="60">
        <f>SUMIF('Sales Register'!C:C, A280, 'Sales Register'!D:D)</f>
        <v>2.0550000000000002</v>
      </c>
      <c r="G280" s="60">
        <f t="shared" si="26"/>
        <v>195.22500000000002</v>
      </c>
      <c r="H280" s="60">
        <f t="shared" si="27"/>
        <v>174.67500000000001</v>
      </c>
      <c r="I280" s="60">
        <f t="shared" si="28"/>
        <v>20.550000000000011</v>
      </c>
      <c r="J280" s="60">
        <f t="shared" si="29"/>
        <v>0.10526315789473689</v>
      </c>
      <c r="K280" s="35" t="str">
        <f t="shared" si="30"/>
        <v>11%</v>
      </c>
      <c r="M280" s="30">
        <f t="shared" si="31"/>
        <v>0.11764705882352941</v>
      </c>
      <c r="N280" s="34">
        <f>VLOOKUP(A280, 'Stock Register'!A:F, 6, FALSE)</f>
        <v>-5.500000000000016E-2</v>
      </c>
    </row>
    <row r="281" spans="1:14" s="75" customFormat="1" hidden="1" x14ac:dyDescent="0.25">
      <c r="A281" s="204" t="s">
        <v>543</v>
      </c>
      <c r="B281" s="71"/>
      <c r="C281" s="71"/>
      <c r="D281" s="72">
        <f>SUMIF('Purchase Register'!C:C, A281, 'Purchase Register'!G:G)</f>
        <v>25</v>
      </c>
      <c r="E281" s="191">
        <v>27</v>
      </c>
      <c r="F281" s="74">
        <f>SUMIF('Sales Register'!C:C, A281, 'Sales Register'!D:D)</f>
        <v>6</v>
      </c>
      <c r="G281" s="74">
        <f t="shared" si="26"/>
        <v>162</v>
      </c>
      <c r="H281" s="74">
        <f t="shared" si="27"/>
        <v>150</v>
      </c>
      <c r="I281" s="74">
        <f t="shared" si="28"/>
        <v>12</v>
      </c>
      <c r="J281" s="74">
        <f t="shared" si="29"/>
        <v>7.407407407407407E-2</v>
      </c>
      <c r="K281" s="134" t="str">
        <f t="shared" si="30"/>
        <v>8%</v>
      </c>
      <c r="L281" s="73"/>
      <c r="M281" s="99">
        <f t="shared" si="31"/>
        <v>0.08</v>
      </c>
      <c r="N281" s="73">
        <f>VLOOKUP(A281, 'Stock Register'!A:F, 6, FALSE)</f>
        <v>-3</v>
      </c>
    </row>
    <row r="282" spans="1:14" s="75" customFormat="1" hidden="1" x14ac:dyDescent="0.25">
      <c r="A282" s="204" t="s">
        <v>544</v>
      </c>
      <c r="B282" s="71"/>
      <c r="C282" s="71"/>
      <c r="D282" s="72">
        <f>SUMIF('Purchase Register'!C:C, A282, 'Purchase Register'!G:G)</f>
        <v>25</v>
      </c>
      <c r="E282" s="191">
        <v>27</v>
      </c>
      <c r="F282" s="74">
        <f>SUMIF('Sales Register'!C:C, A282, 'Sales Register'!D:D)</f>
        <v>2</v>
      </c>
      <c r="G282" s="74">
        <f t="shared" si="26"/>
        <v>54</v>
      </c>
      <c r="H282" s="74">
        <f t="shared" si="27"/>
        <v>50</v>
      </c>
      <c r="I282" s="74">
        <f t="shared" si="28"/>
        <v>4</v>
      </c>
      <c r="J282" s="74">
        <f t="shared" si="29"/>
        <v>7.407407407407407E-2</v>
      </c>
      <c r="K282" s="134" t="str">
        <f t="shared" si="30"/>
        <v>8%</v>
      </c>
      <c r="L282" s="73"/>
      <c r="M282" s="99">
        <f t="shared" si="31"/>
        <v>0.08</v>
      </c>
      <c r="N282" s="73">
        <f>VLOOKUP(A282, 'Stock Register'!A:F, 6, FALSE)</f>
        <v>0</v>
      </c>
    </row>
    <row r="283" spans="1:14" s="75" customFormat="1" hidden="1" x14ac:dyDescent="0.25">
      <c r="A283" s="204" t="s">
        <v>545</v>
      </c>
      <c r="B283" s="71"/>
      <c r="C283" s="71"/>
      <c r="D283" s="72">
        <f>SUMIF('Purchase Register'!C:C, A283, 'Purchase Register'!G:G)</f>
        <v>25</v>
      </c>
      <c r="E283" s="191">
        <v>30</v>
      </c>
      <c r="F283" s="74">
        <f>SUMIF('Sales Register'!C:C, A283, 'Sales Register'!D:D)</f>
        <v>6</v>
      </c>
      <c r="G283" s="74">
        <f t="shared" si="26"/>
        <v>180</v>
      </c>
      <c r="H283" s="74">
        <f t="shared" si="27"/>
        <v>150</v>
      </c>
      <c r="I283" s="74">
        <f t="shared" si="28"/>
        <v>30</v>
      </c>
      <c r="J283" s="74">
        <f t="shared" si="29"/>
        <v>0.16666666666666666</v>
      </c>
      <c r="K283" s="134" t="str">
        <f t="shared" si="30"/>
        <v>20%</v>
      </c>
      <c r="L283" s="73"/>
      <c r="M283" s="99">
        <f t="shared" si="31"/>
        <v>0.2</v>
      </c>
      <c r="N283" s="73">
        <f>VLOOKUP(A283, 'Stock Register'!A:F, 6, FALSE)</f>
        <v>0</v>
      </c>
    </row>
    <row r="284" spans="1:14" s="75" customFormat="1" hidden="1" x14ac:dyDescent="0.25">
      <c r="A284" s="204" t="s">
        <v>546</v>
      </c>
      <c r="B284" s="71"/>
      <c r="C284" s="71"/>
      <c r="D284" s="72">
        <f>SUMIF('Purchase Register'!C:C, A284, 'Purchase Register'!G:G)</f>
        <v>37</v>
      </c>
      <c r="E284" s="191">
        <v>40</v>
      </c>
      <c r="F284" s="74">
        <f>SUMIF('Sales Register'!C:C, A284, 'Sales Register'!D:D)</f>
        <v>2</v>
      </c>
      <c r="G284" s="74">
        <f t="shared" si="26"/>
        <v>80</v>
      </c>
      <c r="H284" s="74">
        <f t="shared" si="27"/>
        <v>74</v>
      </c>
      <c r="I284" s="74">
        <f t="shared" si="28"/>
        <v>6</v>
      </c>
      <c r="J284" s="74">
        <f t="shared" si="29"/>
        <v>7.4999999999999997E-2</v>
      </c>
      <c r="K284" s="134" t="str">
        <f t="shared" si="30"/>
        <v>8%</v>
      </c>
      <c r="L284" s="73"/>
      <c r="M284" s="99">
        <f t="shared" si="31"/>
        <v>8.1081081081081086E-2</v>
      </c>
      <c r="N284" s="73">
        <f>VLOOKUP(A284, 'Stock Register'!A:F, 6, FALSE)</f>
        <v>0</v>
      </c>
    </row>
    <row r="285" spans="1:14" s="75" customFormat="1" hidden="1" x14ac:dyDescent="0.25">
      <c r="A285" s="204" t="s">
        <v>547</v>
      </c>
      <c r="B285" s="71"/>
      <c r="C285" s="71"/>
      <c r="D285" s="72">
        <f>SUMIF('Purchase Register'!C:C, A285, 'Purchase Register'!G:G)</f>
        <v>7</v>
      </c>
      <c r="E285" s="191">
        <v>7.5</v>
      </c>
      <c r="F285" s="74">
        <f>SUMIF('Sales Register'!C:C, A285, 'Sales Register'!D:D)</f>
        <v>30</v>
      </c>
      <c r="G285" s="74">
        <f t="shared" si="26"/>
        <v>225</v>
      </c>
      <c r="H285" s="74">
        <f t="shared" si="27"/>
        <v>210</v>
      </c>
      <c r="I285" s="74">
        <f t="shared" si="28"/>
        <v>15</v>
      </c>
      <c r="J285" s="74">
        <f t="shared" si="29"/>
        <v>6.6666666666666666E-2</v>
      </c>
      <c r="K285" s="134" t="str">
        <f t="shared" si="30"/>
        <v>7%</v>
      </c>
      <c r="L285" s="73"/>
      <c r="M285" s="99">
        <f t="shared" si="31"/>
        <v>7.1428571428571425E-2</v>
      </c>
      <c r="N285" s="34">
        <f>VLOOKUP(A285, 'Stock Register'!A:F, 6, FALSE)</f>
        <v>0</v>
      </c>
    </row>
    <row r="286" spans="1:14" s="75" customFormat="1" hidden="1" x14ac:dyDescent="0.25">
      <c r="A286" s="204" t="s">
        <v>548</v>
      </c>
      <c r="B286" s="71"/>
      <c r="C286" s="71"/>
      <c r="D286" s="72">
        <f>SUMIF('Purchase Register'!C:C, A286, 'Purchase Register'!G:G)</f>
        <v>7.333333333333333</v>
      </c>
      <c r="E286" s="191">
        <v>9</v>
      </c>
      <c r="F286" s="74">
        <f>SUMIF('Sales Register'!C:C, A286, 'Sales Register'!D:D)</f>
        <v>30</v>
      </c>
      <c r="G286" s="74">
        <f t="shared" si="26"/>
        <v>270</v>
      </c>
      <c r="H286" s="74">
        <f t="shared" si="27"/>
        <v>220</v>
      </c>
      <c r="I286" s="74">
        <f t="shared" si="28"/>
        <v>50</v>
      </c>
      <c r="J286" s="74">
        <f t="shared" si="29"/>
        <v>0.18518518518518517</v>
      </c>
      <c r="K286" s="134" t="str">
        <f t="shared" si="30"/>
        <v>22%</v>
      </c>
      <c r="L286" s="73"/>
      <c r="M286" s="99">
        <f t="shared" si="31"/>
        <v>0.22727272727272732</v>
      </c>
      <c r="N286" s="34">
        <f>VLOOKUP(A286, 'Stock Register'!A:F, 6, FALSE)</f>
        <v>0</v>
      </c>
    </row>
    <row r="287" spans="1:14" hidden="1" x14ac:dyDescent="0.25">
      <c r="A287" s="205" t="s">
        <v>549</v>
      </c>
      <c r="D287" s="29">
        <f>SUMIF('Purchase Register'!C:C, A287, 'Purchase Register'!G:G)</f>
        <v>19.6875</v>
      </c>
      <c r="E287" s="190">
        <v>25</v>
      </c>
      <c r="F287" s="60">
        <f>SUMIF('Sales Register'!C:C, A287, 'Sales Register'!D:D)</f>
        <v>23</v>
      </c>
      <c r="G287" s="60">
        <f t="shared" si="26"/>
        <v>575</v>
      </c>
      <c r="H287" s="60">
        <f t="shared" si="27"/>
        <v>452.8125</v>
      </c>
      <c r="I287" s="60">
        <f t="shared" si="28"/>
        <v>122.1875</v>
      </c>
      <c r="J287" s="60">
        <f t="shared" si="29"/>
        <v>0.21249999999999999</v>
      </c>
      <c r="K287" s="35" t="str">
        <f t="shared" si="30"/>
        <v>26%</v>
      </c>
      <c r="L287" s="34">
        <v>24</v>
      </c>
      <c r="M287" s="30">
        <f t="shared" si="31"/>
        <v>0.26984126984126983</v>
      </c>
      <c r="N287" s="34">
        <f>VLOOKUP(A287, 'Stock Register'!A:F, 6, FALSE)</f>
        <v>9</v>
      </c>
    </row>
    <row r="288" spans="1:14" s="75" customFormat="1" hidden="1" x14ac:dyDescent="0.25">
      <c r="A288" s="204" t="s">
        <v>551</v>
      </c>
      <c r="B288" s="71"/>
      <c r="C288" s="71"/>
      <c r="D288" s="72">
        <f>SUMIF('Purchase Register'!C:C, A288, 'Purchase Register'!G:G)</f>
        <v>4.583333333333333</v>
      </c>
      <c r="E288" s="191">
        <v>5</v>
      </c>
      <c r="F288" s="74">
        <f>SUMIF('Sales Register'!C:C, A288, 'Sales Register'!D:D)</f>
        <v>37</v>
      </c>
      <c r="G288" s="74">
        <f t="shared" si="26"/>
        <v>185</v>
      </c>
      <c r="H288" s="74">
        <f t="shared" si="27"/>
        <v>169.58333333333331</v>
      </c>
      <c r="I288" s="74">
        <f t="shared" si="28"/>
        <v>15.416666666666686</v>
      </c>
      <c r="J288" s="74">
        <f t="shared" si="29"/>
        <v>8.333333333333344E-2</v>
      </c>
      <c r="K288" s="134" t="str">
        <f t="shared" si="30"/>
        <v>9%</v>
      </c>
      <c r="L288" s="73"/>
      <c r="M288" s="99">
        <f t="shared" si="31"/>
        <v>9.0909090909090981E-2</v>
      </c>
      <c r="N288" s="73">
        <f>VLOOKUP(A288, 'Stock Register'!A:F, 6, FALSE)</f>
        <v>-1</v>
      </c>
    </row>
    <row r="289" spans="1:14" hidden="1" x14ac:dyDescent="0.25">
      <c r="A289" s="205" t="s">
        <v>553</v>
      </c>
      <c r="D289" s="29">
        <f>SUMIF('Purchase Register'!C:C, A289, 'Purchase Register'!G:G)</f>
        <v>4.5</v>
      </c>
      <c r="E289" s="190">
        <v>5</v>
      </c>
      <c r="F289" s="60">
        <f>SUMIF('Sales Register'!C:C, A289, 'Sales Register'!D:D)</f>
        <v>12</v>
      </c>
      <c r="G289" s="60">
        <f t="shared" si="26"/>
        <v>60</v>
      </c>
      <c r="H289" s="60">
        <f t="shared" si="27"/>
        <v>54</v>
      </c>
      <c r="I289" s="60">
        <f t="shared" si="28"/>
        <v>6</v>
      </c>
      <c r="J289" s="60">
        <f t="shared" si="29"/>
        <v>0.1</v>
      </c>
      <c r="K289" s="35" t="str">
        <f t="shared" si="30"/>
        <v>11%</v>
      </c>
      <c r="M289" s="30">
        <f t="shared" si="31"/>
        <v>0.1111111111111111</v>
      </c>
      <c r="N289" s="34">
        <f>VLOOKUP(A289, 'Stock Register'!A:F, 6, FALSE)</f>
        <v>36</v>
      </c>
    </row>
    <row r="290" spans="1:14" hidden="1" x14ac:dyDescent="0.25">
      <c r="A290" s="205" t="s">
        <v>554</v>
      </c>
      <c r="D290" s="29">
        <f>SUMIF('Purchase Register'!C:C, A290, 'Purchase Register'!G:G)</f>
        <v>4</v>
      </c>
      <c r="E290" s="190">
        <v>5</v>
      </c>
      <c r="F290" s="60">
        <f>SUMIF('Sales Register'!C:C, A290, 'Sales Register'!D:D)</f>
        <v>7</v>
      </c>
      <c r="G290" s="60">
        <f t="shared" si="26"/>
        <v>35</v>
      </c>
      <c r="H290" s="60">
        <f t="shared" si="27"/>
        <v>28</v>
      </c>
      <c r="I290" s="60">
        <f t="shared" si="28"/>
        <v>7</v>
      </c>
      <c r="J290" s="60">
        <f t="shared" si="29"/>
        <v>0.2</v>
      </c>
      <c r="K290" s="35" t="str">
        <f t="shared" si="30"/>
        <v>25%</v>
      </c>
      <c r="M290" s="30">
        <f t="shared" si="31"/>
        <v>0.25</v>
      </c>
      <c r="N290" s="34">
        <f>VLOOKUP(A290, 'Stock Register'!A:F, 6, FALSE)</f>
        <v>18</v>
      </c>
    </row>
    <row r="291" spans="1:14" ht="30" hidden="1" x14ac:dyDescent="0.25">
      <c r="A291" s="205" t="s">
        <v>555</v>
      </c>
      <c r="D291" s="29">
        <f>SUMIF('Purchase Register'!C:C, A291, 'Purchase Register'!G:G)</f>
        <v>92</v>
      </c>
      <c r="E291" s="190">
        <v>99</v>
      </c>
      <c r="F291" s="60">
        <f>SUMIF('Sales Register'!C:C, A291, 'Sales Register'!D:D)</f>
        <v>2</v>
      </c>
      <c r="G291" s="60">
        <f t="shared" si="26"/>
        <v>198</v>
      </c>
      <c r="H291" s="60">
        <f t="shared" si="27"/>
        <v>184</v>
      </c>
      <c r="I291" s="60">
        <f t="shared" si="28"/>
        <v>14</v>
      </c>
      <c r="J291" s="60">
        <f t="shared" si="29"/>
        <v>7.0707070707070704E-2</v>
      </c>
      <c r="K291" s="35" t="str">
        <f t="shared" si="30"/>
        <v>7%</v>
      </c>
      <c r="L291" s="34">
        <v>98</v>
      </c>
      <c r="M291" s="30">
        <f t="shared" si="31"/>
        <v>7.6086956521739135E-2</v>
      </c>
      <c r="N291" s="34">
        <f>VLOOKUP(A291, 'Stock Register'!A:F, 6, FALSE)</f>
        <v>1</v>
      </c>
    </row>
    <row r="292" spans="1:14" s="75" customFormat="1" hidden="1" x14ac:dyDescent="0.25">
      <c r="A292" s="204" t="s">
        <v>556</v>
      </c>
      <c r="B292" s="71"/>
      <c r="C292" s="71"/>
      <c r="D292" s="72">
        <f>SUMIF('Purchase Register'!C:C, A292, 'Purchase Register'!G:G)</f>
        <v>9.1666666666666661</v>
      </c>
      <c r="E292" s="191">
        <v>10</v>
      </c>
      <c r="F292" s="74">
        <f>SUMIF('Sales Register'!C:C, A292, 'Sales Register'!D:D)</f>
        <v>4</v>
      </c>
      <c r="G292" s="74">
        <f t="shared" si="26"/>
        <v>40</v>
      </c>
      <c r="H292" s="74">
        <f t="shared" si="27"/>
        <v>36.666666666666664</v>
      </c>
      <c r="I292" s="74">
        <f t="shared" si="28"/>
        <v>3.3333333333333357</v>
      </c>
      <c r="J292" s="74">
        <f t="shared" si="29"/>
        <v>8.3333333333333398E-2</v>
      </c>
      <c r="K292" s="134" t="str">
        <f t="shared" si="30"/>
        <v>9%</v>
      </c>
      <c r="L292" s="73"/>
      <c r="M292" s="99">
        <f t="shared" si="31"/>
        <v>9.0909090909090981E-2</v>
      </c>
      <c r="N292" s="73">
        <f>VLOOKUP(A292, 'Stock Register'!A:F, 6, FALSE)</f>
        <v>20</v>
      </c>
    </row>
    <row r="293" spans="1:14" hidden="1" x14ac:dyDescent="0.25">
      <c r="A293" s="205" t="s">
        <v>557</v>
      </c>
      <c r="D293" s="29">
        <f>SUMIF('Purchase Register'!C:C, A293, 'Purchase Register'!G:G)</f>
        <v>100</v>
      </c>
      <c r="E293" s="190">
        <v>110</v>
      </c>
      <c r="F293" s="60">
        <f>SUMIF('Sales Register'!C:C, A293, 'Sales Register'!D:D)</f>
        <v>3</v>
      </c>
      <c r="G293" s="60">
        <f t="shared" si="26"/>
        <v>330</v>
      </c>
      <c r="H293" s="60">
        <f t="shared" si="27"/>
        <v>300</v>
      </c>
      <c r="I293" s="60">
        <f t="shared" si="28"/>
        <v>30</v>
      </c>
      <c r="J293" s="60">
        <f t="shared" si="29"/>
        <v>9.0909090909090912E-2</v>
      </c>
      <c r="K293" s="35" t="str">
        <f t="shared" si="30"/>
        <v>10%</v>
      </c>
      <c r="L293" s="34">
        <v>109</v>
      </c>
      <c r="M293" s="30">
        <f t="shared" si="31"/>
        <v>0.1</v>
      </c>
      <c r="N293" s="34">
        <f>VLOOKUP(A293, 'Stock Register'!A:F, 6, FALSE)</f>
        <v>-1</v>
      </c>
    </row>
    <row r="294" spans="1:14" s="75" customFormat="1" hidden="1" x14ac:dyDescent="0.25">
      <c r="A294" s="204" t="s">
        <v>558</v>
      </c>
      <c r="B294" s="71"/>
      <c r="C294" s="71"/>
      <c r="D294" s="72">
        <v>9</v>
      </c>
      <c r="E294" s="191">
        <v>10</v>
      </c>
      <c r="F294" s="74">
        <f>SUMIF('Sales Register'!C:C, A294, 'Sales Register'!D:D)</f>
        <v>14</v>
      </c>
      <c r="G294" s="74">
        <f t="shared" si="26"/>
        <v>140</v>
      </c>
      <c r="H294" s="74">
        <f t="shared" si="27"/>
        <v>126</v>
      </c>
      <c r="I294" s="74">
        <f t="shared" si="28"/>
        <v>14</v>
      </c>
      <c r="J294" s="74">
        <f t="shared" si="29"/>
        <v>0.1</v>
      </c>
      <c r="K294" s="134" t="str">
        <f t="shared" si="30"/>
        <v>11%</v>
      </c>
      <c r="L294" s="73"/>
      <c r="M294" s="99">
        <f t="shared" si="31"/>
        <v>0.1111111111111111</v>
      </c>
      <c r="N294" s="73">
        <f>VLOOKUP(A294, 'Stock Register'!A:F, 6, FALSE)</f>
        <v>-2</v>
      </c>
    </row>
    <row r="295" spans="1:14" s="75" customFormat="1" hidden="1" x14ac:dyDescent="0.25">
      <c r="A295" s="204" t="s">
        <v>559</v>
      </c>
      <c r="B295" s="71"/>
      <c r="C295" s="71"/>
      <c r="D295" s="72">
        <f>SUMIF('Purchase Register'!C:C, A295, 'Purchase Register'!G:G)</f>
        <v>32</v>
      </c>
      <c r="E295" s="191">
        <v>35</v>
      </c>
      <c r="F295" s="74">
        <f>SUMIF('Sales Register'!C:C, A295, 'Sales Register'!D:D)</f>
        <v>3</v>
      </c>
      <c r="G295" s="74">
        <f t="shared" si="26"/>
        <v>105</v>
      </c>
      <c r="H295" s="74">
        <f t="shared" si="27"/>
        <v>96</v>
      </c>
      <c r="I295" s="74">
        <f t="shared" si="28"/>
        <v>9</v>
      </c>
      <c r="J295" s="74">
        <f t="shared" si="29"/>
        <v>8.5714285714285715E-2</v>
      </c>
      <c r="K295" s="134" t="str">
        <f t="shared" si="30"/>
        <v>9%</v>
      </c>
      <c r="L295" s="73"/>
      <c r="M295" s="99">
        <f t="shared" si="31"/>
        <v>9.375E-2</v>
      </c>
      <c r="N295" s="73">
        <f>VLOOKUP(A295, 'Stock Register'!A:F, 6, FALSE)</f>
        <v>0</v>
      </c>
    </row>
    <row r="296" spans="1:14" s="75" customFormat="1" hidden="1" x14ac:dyDescent="0.25">
      <c r="A296" s="204" t="s">
        <v>560</v>
      </c>
      <c r="B296" s="71"/>
      <c r="C296" s="71"/>
      <c r="D296" s="72">
        <f>SUMIF('Purchase Register'!C:C, A296, 'Purchase Register'!G:G)</f>
        <v>27.5</v>
      </c>
      <c r="E296" s="191">
        <v>10</v>
      </c>
      <c r="F296" s="74">
        <f>SUMIF('Sales Register'!C:C, A296, 'Sales Register'!D:D)</f>
        <v>16</v>
      </c>
      <c r="G296" s="74">
        <f t="shared" si="26"/>
        <v>160</v>
      </c>
      <c r="H296" s="74">
        <f t="shared" si="27"/>
        <v>440</v>
      </c>
      <c r="I296" s="74">
        <f t="shared" si="28"/>
        <v>-280</v>
      </c>
      <c r="J296" s="74">
        <f t="shared" si="29"/>
        <v>-1.75</v>
      </c>
      <c r="K296" s="134" t="str">
        <f t="shared" si="30"/>
        <v>NO PROFIT</v>
      </c>
      <c r="L296" s="73"/>
      <c r="M296" s="99">
        <f t="shared" si="31"/>
        <v>-0.63636363636363635</v>
      </c>
      <c r="N296" s="73">
        <f>VLOOKUP(A296, 'Stock Register'!A:F, 6, FALSE)</f>
        <v>-4</v>
      </c>
    </row>
    <row r="297" spans="1:14" hidden="1" x14ac:dyDescent="0.25">
      <c r="A297" s="205" t="s">
        <v>561</v>
      </c>
      <c r="D297" s="29">
        <f>SUMIF('Purchase Register'!C:C, A297, 'Purchase Register'!G:G)</f>
        <v>9.4166666666666661</v>
      </c>
      <c r="E297" s="190">
        <v>10</v>
      </c>
      <c r="F297" s="60">
        <f>SUMIF('Sales Register'!C:C, A297, 'Sales Register'!D:D)</f>
        <v>9</v>
      </c>
      <c r="G297" s="60">
        <f t="shared" si="26"/>
        <v>90</v>
      </c>
      <c r="H297" s="60">
        <f t="shared" si="27"/>
        <v>84.75</v>
      </c>
      <c r="I297" s="60">
        <f t="shared" si="28"/>
        <v>5.25</v>
      </c>
      <c r="J297" s="60">
        <f t="shared" si="29"/>
        <v>5.8333333333333334E-2</v>
      </c>
      <c r="K297" s="35" t="str">
        <f t="shared" si="30"/>
        <v>6%</v>
      </c>
      <c r="M297" s="30">
        <f t="shared" si="31"/>
        <v>6.1946902654867325E-2</v>
      </c>
      <c r="N297" s="34">
        <f>VLOOKUP(A297, 'Stock Register'!A:F, 6, FALSE)</f>
        <v>15</v>
      </c>
    </row>
    <row r="298" spans="1:14" ht="30" hidden="1" x14ac:dyDescent="0.25">
      <c r="A298" s="205" t="s">
        <v>562</v>
      </c>
      <c r="D298" s="29">
        <f>SUMIF('Purchase Register'!C:C, A298, 'Purchase Register'!G:G)</f>
        <v>0.875</v>
      </c>
      <c r="E298" s="190">
        <v>1</v>
      </c>
      <c r="F298" s="60">
        <f>SUMIF('Sales Register'!C:C, A298, 'Sales Register'!D:D)</f>
        <v>32</v>
      </c>
      <c r="G298" s="60">
        <f t="shared" si="26"/>
        <v>32</v>
      </c>
      <c r="H298" s="60">
        <f t="shared" si="27"/>
        <v>28</v>
      </c>
      <c r="I298" s="60">
        <f t="shared" si="28"/>
        <v>4</v>
      </c>
      <c r="J298" s="60">
        <f t="shared" si="29"/>
        <v>0.125</v>
      </c>
      <c r="K298" s="35" t="str">
        <f t="shared" si="30"/>
        <v>14%</v>
      </c>
      <c r="M298" s="30">
        <f t="shared" si="31"/>
        <v>0.14285714285714285</v>
      </c>
      <c r="N298" s="34">
        <f>VLOOKUP(A298, 'Stock Register'!A:F, 6, FALSE)</f>
        <v>0</v>
      </c>
    </row>
    <row r="299" spans="1:14" s="75" customFormat="1" hidden="1" x14ac:dyDescent="0.25">
      <c r="A299" s="204" t="s">
        <v>563</v>
      </c>
      <c r="B299" s="71"/>
      <c r="C299" s="71"/>
      <c r="D299" s="72">
        <f>SUMIF('Purchase Register'!C:C, A299, 'Purchase Register'!G:G)</f>
        <v>25</v>
      </c>
      <c r="E299" s="191">
        <v>30</v>
      </c>
      <c r="F299" s="74">
        <f>SUMIF('Sales Register'!C:C, A299, 'Sales Register'!D:D)</f>
        <v>16.802999999999997</v>
      </c>
      <c r="G299" s="74">
        <f t="shared" si="26"/>
        <v>504.08999999999992</v>
      </c>
      <c r="H299" s="74">
        <f t="shared" si="27"/>
        <v>420.07499999999993</v>
      </c>
      <c r="I299" s="74">
        <f t="shared" si="28"/>
        <v>84.014999999999986</v>
      </c>
      <c r="J299" s="74">
        <f t="shared" si="29"/>
        <v>0.16666666666666666</v>
      </c>
      <c r="K299" s="134" t="str">
        <f t="shared" si="30"/>
        <v>20%</v>
      </c>
      <c r="L299" s="73"/>
      <c r="M299" s="99">
        <f t="shared" si="31"/>
        <v>0.2</v>
      </c>
      <c r="N299" s="73">
        <f>VLOOKUP(A299, 'Stock Register'!A:F, 6, FALSE)</f>
        <v>-6.8029999999999973</v>
      </c>
    </row>
    <row r="300" spans="1:14" s="75" customFormat="1" hidden="1" x14ac:dyDescent="0.25">
      <c r="A300" s="204" t="s">
        <v>564</v>
      </c>
      <c r="B300" s="71"/>
      <c r="C300" s="71"/>
      <c r="D300" s="72">
        <f>SUMIF('Purchase Register'!C:C, A300, 'Purchase Register'!G:G)</f>
        <v>260</v>
      </c>
      <c r="E300" s="191">
        <v>300</v>
      </c>
      <c r="F300" s="74">
        <f>SUMIF('Sales Register'!C:C, A300, 'Sales Register'!D:D)</f>
        <v>1.155</v>
      </c>
      <c r="G300" s="74">
        <f t="shared" si="26"/>
        <v>346.5</v>
      </c>
      <c r="H300" s="74">
        <f t="shared" si="27"/>
        <v>300.3</v>
      </c>
      <c r="I300" s="74">
        <f t="shared" si="28"/>
        <v>46.199999999999989</v>
      </c>
      <c r="J300" s="74">
        <f t="shared" si="29"/>
        <v>0.1333333333333333</v>
      </c>
      <c r="K300" s="134" t="str">
        <f t="shared" si="30"/>
        <v>15%</v>
      </c>
      <c r="L300" s="73"/>
      <c r="M300" s="99">
        <f t="shared" si="31"/>
        <v>0.15384615384615385</v>
      </c>
      <c r="N300" s="73">
        <f>VLOOKUP(A300, 'Stock Register'!A:F, 6, FALSE)</f>
        <v>-0.15500000000000003</v>
      </c>
    </row>
    <row r="301" spans="1:14" s="75" customFormat="1" hidden="1" x14ac:dyDescent="0.25">
      <c r="A301" s="204" t="s">
        <v>565</v>
      </c>
      <c r="B301" s="71"/>
      <c r="C301" s="71"/>
      <c r="D301" s="72">
        <f>SUMIF('Purchase Register'!C:C, A301, 'Purchase Register'!G:G)</f>
        <v>9.0833333333333339</v>
      </c>
      <c r="E301" s="191">
        <v>10</v>
      </c>
      <c r="F301" s="74">
        <f>SUMIF('Sales Register'!C:C, A301, 'Sales Register'!D:D)</f>
        <v>124</v>
      </c>
      <c r="G301" s="74">
        <f t="shared" si="26"/>
        <v>1240</v>
      </c>
      <c r="H301" s="74">
        <f t="shared" si="27"/>
        <v>1126.3333333333335</v>
      </c>
      <c r="I301" s="74">
        <f t="shared" si="28"/>
        <v>113.66666666666652</v>
      </c>
      <c r="J301" s="74">
        <f t="shared" si="29"/>
        <v>9.1666666666666549E-2</v>
      </c>
      <c r="K301" s="134" t="str">
        <f t="shared" si="30"/>
        <v>10%</v>
      </c>
      <c r="L301" s="73"/>
      <c r="M301" s="99">
        <f t="shared" si="31"/>
        <v>0.10091743119266047</v>
      </c>
      <c r="N301" s="73">
        <f>VLOOKUP(A301, 'Stock Register'!A:F, 6, FALSE)</f>
        <v>-4</v>
      </c>
    </row>
    <row r="302" spans="1:14" hidden="1" x14ac:dyDescent="0.25">
      <c r="A302" s="205" t="s">
        <v>567</v>
      </c>
      <c r="D302" s="29">
        <f>SUMIF('Purchase Register'!C:C, A302, 'Purchase Register'!G:G)</f>
        <v>1.1000000000000001</v>
      </c>
      <c r="E302" s="190">
        <v>2</v>
      </c>
      <c r="F302" s="60">
        <f>SUMIF('Sales Register'!C:C, A302, 'Sales Register'!D:D)</f>
        <v>30</v>
      </c>
      <c r="G302" s="60">
        <f t="shared" si="26"/>
        <v>60</v>
      </c>
      <c r="H302" s="60">
        <f t="shared" si="27"/>
        <v>33</v>
      </c>
      <c r="I302" s="60">
        <f t="shared" si="28"/>
        <v>27</v>
      </c>
      <c r="J302" s="60">
        <f t="shared" si="29"/>
        <v>0.45</v>
      </c>
      <c r="K302" s="35" t="str">
        <f t="shared" si="30"/>
        <v>81%</v>
      </c>
      <c r="M302" s="30">
        <f t="shared" si="31"/>
        <v>0.81818181818181801</v>
      </c>
      <c r="N302" s="34">
        <f>VLOOKUP(A302, 'Stock Register'!A:F, 6, FALSE)</f>
        <v>170</v>
      </c>
    </row>
    <row r="303" spans="1:14" hidden="1" x14ac:dyDescent="0.25">
      <c r="A303" s="205" t="s">
        <v>568</v>
      </c>
      <c r="D303" s="29">
        <f>SUMIF('Purchase Register'!C:C, A303, 'Purchase Register'!G:G)</f>
        <v>0.8125</v>
      </c>
      <c r="E303" s="190">
        <v>1</v>
      </c>
      <c r="F303" s="60">
        <f>SUMIF('Sales Register'!C:C, A303, 'Sales Register'!D:D)</f>
        <v>25</v>
      </c>
      <c r="G303" s="60">
        <f t="shared" si="26"/>
        <v>25</v>
      </c>
      <c r="H303" s="60">
        <f t="shared" si="27"/>
        <v>20.3125</v>
      </c>
      <c r="I303" s="60">
        <f t="shared" si="28"/>
        <v>4.6875</v>
      </c>
      <c r="J303" s="60">
        <f t="shared" si="29"/>
        <v>0.1875</v>
      </c>
      <c r="K303" s="35" t="str">
        <f t="shared" si="30"/>
        <v>23%</v>
      </c>
      <c r="M303" s="30">
        <f t="shared" si="31"/>
        <v>0.23076923076923078</v>
      </c>
      <c r="N303" s="34">
        <f>VLOOKUP(A303, 'Stock Register'!A:F, 6, FALSE)</f>
        <v>135</v>
      </c>
    </row>
    <row r="304" spans="1:14" hidden="1" x14ac:dyDescent="0.25">
      <c r="A304" s="205" t="s">
        <v>569</v>
      </c>
      <c r="D304" s="29">
        <f>SUMIF('Purchase Register'!C:C, A304, 'Purchase Register'!G:G)</f>
        <v>6.666666666666667</v>
      </c>
      <c r="E304" s="190">
        <v>10</v>
      </c>
      <c r="F304" s="60">
        <f>SUMIF('Sales Register'!C:C, A304, 'Sales Register'!D:D)</f>
        <v>9</v>
      </c>
      <c r="G304" s="60">
        <f t="shared" si="26"/>
        <v>90</v>
      </c>
      <c r="H304" s="60">
        <f t="shared" si="27"/>
        <v>60</v>
      </c>
      <c r="I304" s="60">
        <f t="shared" si="28"/>
        <v>30</v>
      </c>
      <c r="J304" s="60">
        <f t="shared" si="29"/>
        <v>0.33333333333333331</v>
      </c>
      <c r="K304" s="35" t="str">
        <f t="shared" si="30"/>
        <v>50%</v>
      </c>
      <c r="M304" s="30">
        <f t="shared" si="31"/>
        <v>0.49999999999999994</v>
      </c>
      <c r="N304" s="34">
        <f>VLOOKUP(A304, 'Stock Register'!A:F, 6, FALSE)</f>
        <v>3</v>
      </c>
    </row>
    <row r="305" spans="1:14" hidden="1" x14ac:dyDescent="0.25">
      <c r="A305" s="205" t="s">
        <v>570</v>
      </c>
      <c r="D305" s="29">
        <f>SUMIF('Purchase Register'!C:C, A305, 'Purchase Register'!G:G)</f>
        <v>10.833333333333334</v>
      </c>
      <c r="E305" s="190">
        <v>20</v>
      </c>
      <c r="F305" s="60">
        <f>SUMIF('Sales Register'!C:C, A305, 'Sales Register'!D:D)</f>
        <v>2</v>
      </c>
      <c r="G305" s="60">
        <f t="shared" si="26"/>
        <v>40</v>
      </c>
      <c r="H305" s="60">
        <f t="shared" si="27"/>
        <v>21.666666666666668</v>
      </c>
      <c r="I305" s="60">
        <f t="shared" si="28"/>
        <v>18.333333333333332</v>
      </c>
      <c r="J305" s="60">
        <f t="shared" si="29"/>
        <v>0.45833333333333331</v>
      </c>
      <c r="K305" s="35" t="str">
        <f t="shared" si="30"/>
        <v>84%</v>
      </c>
      <c r="M305" s="30">
        <f t="shared" si="31"/>
        <v>0.84615384615384603</v>
      </c>
      <c r="N305" s="34">
        <f>VLOOKUP(A305, 'Stock Register'!A:F, 6, FALSE)</f>
        <v>10</v>
      </c>
    </row>
    <row r="306" spans="1:14" hidden="1" x14ac:dyDescent="0.25">
      <c r="A306" s="205" t="s">
        <v>571</v>
      </c>
      <c r="D306" s="29">
        <f>SUMIF('Purchase Register'!C:C, A306, 'Purchase Register'!G:G)</f>
        <v>16</v>
      </c>
      <c r="E306" s="190">
        <v>20</v>
      </c>
      <c r="F306" s="60">
        <f>SUMIF('Sales Register'!C:C, A306, 'Sales Register'!D:D)</f>
        <v>22</v>
      </c>
      <c r="G306" s="60">
        <f t="shared" si="26"/>
        <v>440</v>
      </c>
      <c r="H306" s="60">
        <f t="shared" si="27"/>
        <v>352</v>
      </c>
      <c r="I306" s="60">
        <f t="shared" si="28"/>
        <v>88</v>
      </c>
      <c r="J306" s="60">
        <f t="shared" si="29"/>
        <v>0.2</v>
      </c>
      <c r="K306" s="35" t="str">
        <f t="shared" si="30"/>
        <v>25%</v>
      </c>
      <c r="M306" s="30">
        <f t="shared" si="31"/>
        <v>0.25</v>
      </c>
      <c r="N306" s="34">
        <f>VLOOKUP(A306, 'Stock Register'!A:F, 6, FALSE)</f>
        <v>18</v>
      </c>
    </row>
    <row r="307" spans="1:14" hidden="1" x14ac:dyDescent="0.25">
      <c r="A307" s="205" t="s">
        <v>572</v>
      </c>
      <c r="D307" s="29">
        <f>SUMIF('Purchase Register'!C:C, A307, 'Purchase Register'!G:G)</f>
        <v>6.666666666666667</v>
      </c>
      <c r="E307" s="190">
        <v>10</v>
      </c>
      <c r="F307" s="60">
        <f>SUMIF('Sales Register'!C:C, A307, 'Sales Register'!D:D)</f>
        <v>3</v>
      </c>
      <c r="G307" s="60">
        <f t="shared" si="26"/>
        <v>30</v>
      </c>
      <c r="H307" s="60">
        <f t="shared" si="27"/>
        <v>20</v>
      </c>
      <c r="I307" s="60">
        <f t="shared" si="28"/>
        <v>10</v>
      </c>
      <c r="J307" s="60">
        <f t="shared" si="29"/>
        <v>0.33333333333333331</v>
      </c>
      <c r="K307" s="35" t="str">
        <f t="shared" si="30"/>
        <v>50%</v>
      </c>
      <c r="M307" s="30">
        <f t="shared" si="31"/>
        <v>0.49999999999999994</v>
      </c>
      <c r="N307" s="34">
        <f>VLOOKUP(A307, 'Stock Register'!A:F, 6, FALSE)</f>
        <v>27</v>
      </c>
    </row>
    <row r="308" spans="1:14" hidden="1" x14ac:dyDescent="0.25">
      <c r="A308" s="205" t="s">
        <v>573</v>
      </c>
      <c r="D308" s="29">
        <f>SUMIF('Purchase Register'!C:C, A308, 'Purchase Register'!G:G)</f>
        <v>6.666666666666667</v>
      </c>
      <c r="E308" s="190">
        <v>10</v>
      </c>
      <c r="F308" s="60">
        <f>SUMIF('Sales Register'!C:C, A308, 'Sales Register'!D:D)</f>
        <v>1</v>
      </c>
      <c r="G308" s="60">
        <f t="shared" si="26"/>
        <v>10</v>
      </c>
      <c r="H308" s="60">
        <f t="shared" si="27"/>
        <v>6.666666666666667</v>
      </c>
      <c r="I308" s="60">
        <f t="shared" si="28"/>
        <v>3.333333333333333</v>
      </c>
      <c r="J308" s="60">
        <f t="shared" si="29"/>
        <v>0.33333333333333331</v>
      </c>
      <c r="K308" s="35" t="str">
        <f t="shared" si="30"/>
        <v>50%</v>
      </c>
      <c r="M308" s="30">
        <f t="shared" si="31"/>
        <v>0.49999999999999994</v>
      </c>
      <c r="N308" s="34">
        <f>VLOOKUP(A308, 'Stock Register'!A:F, 6, FALSE)</f>
        <v>11</v>
      </c>
    </row>
    <row r="309" spans="1:14" hidden="1" x14ac:dyDescent="0.25">
      <c r="A309" s="205" t="s">
        <v>574</v>
      </c>
      <c r="D309" s="29">
        <f>SUMIF('Purchase Register'!C:C, A309, 'Purchase Register'!G:G)</f>
        <v>6.666666666666667</v>
      </c>
      <c r="E309" s="190">
        <v>10</v>
      </c>
      <c r="F309" s="60">
        <f>SUMIF('Sales Register'!C:C, A309, 'Sales Register'!D:D)</f>
        <v>15</v>
      </c>
      <c r="G309" s="60">
        <f t="shared" si="26"/>
        <v>150</v>
      </c>
      <c r="H309" s="60">
        <f t="shared" si="27"/>
        <v>100</v>
      </c>
      <c r="I309" s="60">
        <f t="shared" si="28"/>
        <v>50</v>
      </c>
      <c r="J309" s="60">
        <f t="shared" si="29"/>
        <v>0.33333333333333331</v>
      </c>
      <c r="K309" s="35" t="str">
        <f t="shared" si="30"/>
        <v>50%</v>
      </c>
      <c r="M309" s="30">
        <f t="shared" si="31"/>
        <v>0.49999999999999994</v>
      </c>
      <c r="N309" s="34">
        <f>VLOOKUP(A309, 'Stock Register'!A:F, 6, FALSE)</f>
        <v>-3</v>
      </c>
    </row>
    <row r="310" spans="1:14" ht="30" hidden="1" x14ac:dyDescent="0.25">
      <c r="A310" s="205" t="s">
        <v>575</v>
      </c>
      <c r="D310" s="29">
        <f>SUMIF('Purchase Register'!C:C, A310, 'Purchase Register'!G:G)</f>
        <v>17.916666666666668</v>
      </c>
      <c r="E310" s="190">
        <v>20</v>
      </c>
      <c r="F310" s="60">
        <f>SUMIF('Sales Register'!C:C, A310, 'Sales Register'!D:D)</f>
        <v>4</v>
      </c>
      <c r="G310" s="60">
        <f t="shared" ref="G310:G373" si="32">E310*F310</f>
        <v>80</v>
      </c>
      <c r="H310" s="60">
        <f t="shared" si="27"/>
        <v>71.666666666666671</v>
      </c>
      <c r="I310" s="60">
        <f t="shared" si="28"/>
        <v>8.3333333333333286</v>
      </c>
      <c r="J310" s="60">
        <f t="shared" si="29"/>
        <v>0.1041666666666666</v>
      </c>
      <c r="K310" s="35" t="str">
        <f t="shared" si="30"/>
        <v>11%</v>
      </c>
      <c r="M310" s="30">
        <f t="shared" si="31"/>
        <v>0.11627906976744179</v>
      </c>
      <c r="N310" s="34">
        <f>VLOOKUP(A310, 'Stock Register'!A:F, 6, FALSE)</f>
        <v>8</v>
      </c>
    </row>
    <row r="311" spans="1:14" ht="30" hidden="1" x14ac:dyDescent="0.25">
      <c r="A311" s="205" t="s">
        <v>577</v>
      </c>
      <c r="D311" s="29">
        <f>SUMIF('Purchase Register'!C:C, A311, 'Purchase Register'!G:G)</f>
        <v>4</v>
      </c>
      <c r="E311" s="190">
        <v>5</v>
      </c>
      <c r="F311" s="60">
        <f>SUMIF('Sales Register'!C:C, A311, 'Sales Register'!D:D)</f>
        <v>22</v>
      </c>
      <c r="G311" s="60">
        <f t="shared" si="32"/>
        <v>110</v>
      </c>
      <c r="H311" s="60">
        <f t="shared" si="27"/>
        <v>88</v>
      </c>
      <c r="I311" s="60">
        <f t="shared" si="28"/>
        <v>22</v>
      </c>
      <c r="J311" s="60">
        <f t="shared" si="29"/>
        <v>0.2</v>
      </c>
      <c r="K311" s="35" t="str">
        <f t="shared" si="30"/>
        <v>25%</v>
      </c>
      <c r="M311" s="30">
        <f t="shared" si="31"/>
        <v>0.25</v>
      </c>
      <c r="N311" s="34">
        <f>VLOOKUP(A311, 'Stock Register'!A:F, 6, FALSE)</f>
        <v>8</v>
      </c>
    </row>
    <row r="312" spans="1:14" hidden="1" x14ac:dyDescent="0.25">
      <c r="A312" s="205" t="s">
        <v>576</v>
      </c>
      <c r="D312" s="29">
        <f>SUMIF('Purchase Register'!C:C, A312, 'Purchase Register'!G:G)</f>
        <v>4</v>
      </c>
      <c r="E312" s="190">
        <v>5</v>
      </c>
      <c r="F312" s="60">
        <f>SUMIF('Sales Register'!C:C, A312, 'Sales Register'!D:D)</f>
        <v>34</v>
      </c>
      <c r="G312" s="60">
        <f t="shared" si="32"/>
        <v>170</v>
      </c>
      <c r="H312" s="60">
        <f t="shared" si="27"/>
        <v>136</v>
      </c>
      <c r="I312" s="60">
        <f t="shared" si="28"/>
        <v>34</v>
      </c>
      <c r="J312" s="60">
        <f t="shared" si="29"/>
        <v>0.2</v>
      </c>
      <c r="K312" s="35" t="str">
        <f t="shared" si="30"/>
        <v>25%</v>
      </c>
      <c r="M312" s="30">
        <f t="shared" si="31"/>
        <v>0.25</v>
      </c>
      <c r="N312" s="34">
        <f>VLOOKUP(A312, 'Stock Register'!A:F, 6, FALSE)</f>
        <v>16</v>
      </c>
    </row>
    <row r="313" spans="1:14" hidden="1" x14ac:dyDescent="0.25">
      <c r="A313" s="205" t="s">
        <v>578</v>
      </c>
      <c r="D313" s="29">
        <f>SUMIF('Purchase Register'!C:C, A313, 'Purchase Register'!G:G)</f>
        <v>4</v>
      </c>
      <c r="E313" s="190">
        <v>5</v>
      </c>
      <c r="F313" s="60">
        <f>SUMIF('Sales Register'!C:C, A313, 'Sales Register'!D:D)</f>
        <v>52</v>
      </c>
      <c r="G313" s="60">
        <f t="shared" si="32"/>
        <v>260</v>
      </c>
      <c r="H313" s="60">
        <f t="shared" si="27"/>
        <v>208</v>
      </c>
      <c r="I313" s="60">
        <f t="shared" si="28"/>
        <v>52</v>
      </c>
      <c r="J313" s="60">
        <f t="shared" si="29"/>
        <v>0.2</v>
      </c>
      <c r="K313" s="35" t="str">
        <f t="shared" si="30"/>
        <v>25%</v>
      </c>
      <c r="M313" s="30">
        <f t="shared" si="31"/>
        <v>0.25</v>
      </c>
      <c r="N313" s="34">
        <f>VLOOKUP(A313, 'Stock Register'!A:F, 6, FALSE)</f>
        <v>-2</v>
      </c>
    </row>
    <row r="314" spans="1:14" hidden="1" x14ac:dyDescent="0.25">
      <c r="A314" s="205" t="s">
        <v>579</v>
      </c>
      <c r="D314" s="29">
        <f>SUMIF('Purchase Register'!C:C, A314, 'Purchase Register'!G:G)</f>
        <v>3.6666666666666665</v>
      </c>
      <c r="E314" s="190">
        <v>5</v>
      </c>
      <c r="F314" s="60">
        <f>SUMIF('Sales Register'!C:C, A314, 'Sales Register'!D:D)</f>
        <v>4</v>
      </c>
      <c r="G314" s="60">
        <f t="shared" si="32"/>
        <v>20</v>
      </c>
      <c r="H314" s="60">
        <f t="shared" si="27"/>
        <v>14.666666666666666</v>
      </c>
      <c r="I314" s="60">
        <f t="shared" si="28"/>
        <v>5.3333333333333339</v>
      </c>
      <c r="J314" s="60">
        <f t="shared" si="29"/>
        <v>0.26666666666666672</v>
      </c>
      <c r="K314" s="35" t="str">
        <f t="shared" si="30"/>
        <v>36%</v>
      </c>
      <c r="M314" s="30">
        <f t="shared" si="31"/>
        <v>0.3636363636363637</v>
      </c>
      <c r="N314" s="34">
        <f>VLOOKUP(A314, 'Stock Register'!A:F, 6, FALSE)</f>
        <v>56</v>
      </c>
    </row>
    <row r="315" spans="1:14" hidden="1" x14ac:dyDescent="0.25">
      <c r="A315" s="205" t="s">
        <v>580</v>
      </c>
      <c r="D315" s="29">
        <f>SUMIF('Purchase Register'!C:C, A315, 'Purchase Register'!G:G)</f>
        <v>0.70588235294117652</v>
      </c>
      <c r="E315" s="190">
        <v>1</v>
      </c>
      <c r="F315" s="60">
        <f>SUMIF('Sales Register'!C:C, A315, 'Sales Register'!D:D)</f>
        <v>35</v>
      </c>
      <c r="G315" s="60">
        <f t="shared" si="32"/>
        <v>35</v>
      </c>
      <c r="H315" s="60">
        <f t="shared" si="27"/>
        <v>24.705882352941178</v>
      </c>
      <c r="I315" s="60">
        <f t="shared" si="28"/>
        <v>10.294117647058822</v>
      </c>
      <c r="J315" s="60">
        <f t="shared" si="29"/>
        <v>0.29411764705882348</v>
      </c>
      <c r="K315" s="35" t="str">
        <f t="shared" si="30"/>
        <v>41%</v>
      </c>
      <c r="M315" s="30">
        <f t="shared" si="31"/>
        <v>0.41666666666666657</v>
      </c>
      <c r="N315" s="34">
        <f>VLOOKUP(A315, 'Stock Register'!A:F, 6, FALSE)</f>
        <v>135</v>
      </c>
    </row>
    <row r="316" spans="1:14" hidden="1" x14ac:dyDescent="0.25">
      <c r="A316" s="205" t="s">
        <v>581</v>
      </c>
      <c r="D316" s="29">
        <f>SUMIF('Purchase Register'!C:C, A316, 'Purchase Register'!G:G)</f>
        <v>1.5</v>
      </c>
      <c r="E316" s="190">
        <v>2</v>
      </c>
      <c r="F316" s="60">
        <f>SUMIF('Sales Register'!C:C, A316, 'Sales Register'!D:D)</f>
        <v>9</v>
      </c>
      <c r="G316" s="60">
        <f t="shared" si="32"/>
        <v>18</v>
      </c>
      <c r="H316" s="60">
        <f t="shared" si="27"/>
        <v>13.5</v>
      </c>
      <c r="I316" s="60">
        <f t="shared" si="28"/>
        <v>4.5</v>
      </c>
      <c r="J316" s="60">
        <f t="shared" si="29"/>
        <v>0.25</v>
      </c>
      <c r="K316" s="35" t="str">
        <f t="shared" si="30"/>
        <v>33%</v>
      </c>
      <c r="M316" s="30">
        <f t="shared" si="31"/>
        <v>0.33333333333333331</v>
      </c>
      <c r="N316" s="34">
        <f>VLOOKUP(A316, 'Stock Register'!A:F, 6, FALSE)</f>
        <v>131</v>
      </c>
    </row>
    <row r="317" spans="1:14" hidden="1" x14ac:dyDescent="0.25">
      <c r="A317" s="205" t="s">
        <v>582</v>
      </c>
      <c r="D317" s="29">
        <f>SUMIF('Purchase Register'!C:C, A317, 'Purchase Register'!G:G)</f>
        <v>7</v>
      </c>
      <c r="E317" s="190">
        <v>10</v>
      </c>
      <c r="F317" s="60">
        <f>SUMIF('Sales Register'!C:C, A317, 'Sales Register'!D:D)</f>
        <v>16</v>
      </c>
      <c r="G317" s="60">
        <f t="shared" si="32"/>
        <v>160</v>
      </c>
      <c r="H317" s="60">
        <f t="shared" si="27"/>
        <v>112</v>
      </c>
      <c r="I317" s="60">
        <f t="shared" si="28"/>
        <v>48</v>
      </c>
      <c r="J317" s="60">
        <f t="shared" si="29"/>
        <v>0.3</v>
      </c>
      <c r="K317" s="35" t="str">
        <f t="shared" si="30"/>
        <v>42%</v>
      </c>
      <c r="M317" s="30">
        <f t="shared" si="31"/>
        <v>0.42857142857142855</v>
      </c>
      <c r="N317" s="34">
        <f>VLOOKUP(A317, 'Stock Register'!A:F, 6, FALSE)</f>
        <v>34</v>
      </c>
    </row>
    <row r="318" spans="1:14" s="75" customFormat="1" hidden="1" x14ac:dyDescent="0.25">
      <c r="A318" s="204" t="s">
        <v>587</v>
      </c>
      <c r="B318" s="71"/>
      <c r="C318" s="71"/>
      <c r="D318" s="72">
        <f>SUMIF('Purchase Register'!C:C, A318, 'Purchase Register'!G:G)</f>
        <v>48</v>
      </c>
      <c r="E318" s="191">
        <v>56</v>
      </c>
      <c r="F318" s="74">
        <f>SUMIF('Sales Register'!C:C, A318, 'Sales Register'!D:D)</f>
        <v>7.3550000000000004</v>
      </c>
      <c r="G318" s="74">
        <f t="shared" si="32"/>
        <v>411.88</v>
      </c>
      <c r="H318" s="74">
        <f t="shared" si="27"/>
        <v>353.04</v>
      </c>
      <c r="I318" s="74">
        <f t="shared" si="28"/>
        <v>58.839999999999975</v>
      </c>
      <c r="J318" s="74">
        <f t="shared" si="29"/>
        <v>0.14285714285714279</v>
      </c>
      <c r="K318" s="134" t="str">
        <f t="shared" si="30"/>
        <v>16%</v>
      </c>
      <c r="L318" s="73"/>
      <c r="M318" s="99">
        <f t="shared" si="31"/>
        <v>0.16666666666666666</v>
      </c>
      <c r="N318" s="34">
        <f>VLOOKUP(A318, 'Stock Register'!A:F, 6, FALSE)</f>
        <v>-1.3550000000000004</v>
      </c>
    </row>
    <row r="319" spans="1:14" hidden="1" x14ac:dyDescent="0.25">
      <c r="A319" s="205" t="s">
        <v>588</v>
      </c>
      <c r="D319" s="29">
        <f>SUMIF('Purchase Register'!C:C, A319, 'Purchase Register'!G:G)</f>
        <v>160</v>
      </c>
      <c r="E319" s="190">
        <v>190</v>
      </c>
      <c r="F319" s="60">
        <f>SUMIF('Sales Register'!C:C, A319, 'Sales Register'!D:D)</f>
        <v>5.0570000000000004</v>
      </c>
      <c r="G319" s="60">
        <f t="shared" si="32"/>
        <v>960.83</v>
      </c>
      <c r="H319" s="60">
        <f t="shared" si="27"/>
        <v>809.12000000000012</v>
      </c>
      <c r="I319" s="60">
        <f t="shared" si="28"/>
        <v>151.70999999999992</v>
      </c>
      <c r="J319" s="60">
        <f t="shared" si="29"/>
        <v>0.15789473684210517</v>
      </c>
      <c r="K319" s="35" t="str">
        <f t="shared" si="30"/>
        <v>18%</v>
      </c>
      <c r="M319" s="30">
        <f t="shared" si="31"/>
        <v>0.1875</v>
      </c>
      <c r="N319" s="34">
        <f>VLOOKUP(A319, 'Stock Register'!A:F, 6, FALSE)</f>
        <v>-5.7000000000000384E-2</v>
      </c>
    </row>
    <row r="320" spans="1:14" s="75" customFormat="1" ht="30" hidden="1" x14ac:dyDescent="0.25">
      <c r="A320" s="204" t="s">
        <v>589</v>
      </c>
      <c r="B320" s="71"/>
      <c r="C320" s="71"/>
      <c r="D320" s="72">
        <f>SUMIF('Purchase Register'!C:C, A320, 'Purchase Register'!G:G)</f>
        <v>120</v>
      </c>
      <c r="E320" s="191">
        <v>135</v>
      </c>
      <c r="F320" s="74">
        <f>SUMIF('Sales Register'!C:C, A320, 'Sales Register'!D:D)</f>
        <v>7.4879999999999995</v>
      </c>
      <c r="G320" s="74">
        <f t="shared" si="32"/>
        <v>1010.8799999999999</v>
      </c>
      <c r="H320" s="74">
        <f t="shared" si="27"/>
        <v>898.56</v>
      </c>
      <c r="I320" s="74">
        <f t="shared" si="28"/>
        <v>112.31999999999994</v>
      </c>
      <c r="J320" s="74">
        <f t="shared" si="29"/>
        <v>0.11111111111111106</v>
      </c>
      <c r="K320" s="134" t="str">
        <f t="shared" si="30"/>
        <v>12%</v>
      </c>
      <c r="L320" s="73"/>
      <c r="M320" s="99">
        <f t="shared" si="31"/>
        <v>0.125</v>
      </c>
      <c r="N320" s="73">
        <f>VLOOKUP(A320, 'Stock Register'!A:F, 6, FALSE)</f>
        <v>-1.4879999999999995</v>
      </c>
    </row>
    <row r="321" spans="1:14" hidden="1" x14ac:dyDescent="0.25">
      <c r="A321" s="205" t="s">
        <v>590</v>
      </c>
      <c r="D321" s="29">
        <f>SUMIF('Purchase Register'!C:C, A321, 'Purchase Register'!G:G)</f>
        <v>37</v>
      </c>
      <c r="E321" s="190">
        <v>44</v>
      </c>
      <c r="F321" s="60">
        <f>SUMIF('Sales Register'!C:C, A321, 'Sales Register'!D:D)</f>
        <v>6.9950000000000001</v>
      </c>
      <c r="G321" s="60">
        <f t="shared" si="32"/>
        <v>307.78000000000003</v>
      </c>
      <c r="H321" s="60">
        <f t="shared" si="27"/>
        <v>258.815</v>
      </c>
      <c r="I321" s="60">
        <f t="shared" si="28"/>
        <v>48.965000000000032</v>
      </c>
      <c r="J321" s="60">
        <f t="shared" si="29"/>
        <v>0.15909090909090917</v>
      </c>
      <c r="K321" s="35" t="str">
        <f t="shared" si="30"/>
        <v>18%</v>
      </c>
      <c r="M321" s="30">
        <f t="shared" si="31"/>
        <v>0.1891891891891892</v>
      </c>
      <c r="N321" s="34">
        <f>VLOOKUP(A321, 'Stock Register'!A:F, 6, FALSE)</f>
        <v>-0.99500000000000011</v>
      </c>
    </row>
    <row r="322" spans="1:14" hidden="1" x14ac:dyDescent="0.25">
      <c r="A322" s="205" t="s">
        <v>591</v>
      </c>
      <c r="D322" s="29">
        <f>SUMIF('Purchase Register'!C:C, A322, 'Purchase Register'!G:G)</f>
        <v>160</v>
      </c>
      <c r="E322" s="190">
        <v>180</v>
      </c>
      <c r="F322" s="60">
        <f>SUMIF('Sales Register'!C:C, A322, 'Sales Register'!D:D)</f>
        <v>3.96</v>
      </c>
      <c r="G322" s="60">
        <f t="shared" si="32"/>
        <v>712.8</v>
      </c>
      <c r="H322" s="60">
        <f t="shared" ref="H322:H385" si="33">D322*F322</f>
        <v>633.6</v>
      </c>
      <c r="I322" s="60">
        <f t="shared" ref="I322:I385" si="34">G322-H322</f>
        <v>79.199999999999932</v>
      </c>
      <c r="J322" s="60">
        <f t="shared" ref="J322:J385" si="35">IF(G322=0,0,I322/G322)</f>
        <v>0.11111111111111102</v>
      </c>
      <c r="K322" s="35" t="str">
        <f t="shared" si="30"/>
        <v>12%</v>
      </c>
      <c r="M322" s="30">
        <f t="shared" si="31"/>
        <v>0.125</v>
      </c>
      <c r="N322" s="34">
        <f>VLOOKUP(A322, 'Stock Register'!A:F, 6, FALSE)</f>
        <v>2.04</v>
      </c>
    </row>
    <row r="323" spans="1:14" ht="30" hidden="1" x14ac:dyDescent="0.25">
      <c r="A323" s="205" t="s">
        <v>599</v>
      </c>
      <c r="D323" s="29">
        <f>SUMIF('Purchase Register'!C:C, A323, 'Purchase Register'!G:G)</f>
        <v>178</v>
      </c>
      <c r="E323" s="190">
        <v>185</v>
      </c>
      <c r="F323" s="60">
        <f>SUMIF('Sales Register'!C:C, A323, 'Sales Register'!D:D)</f>
        <v>13</v>
      </c>
      <c r="G323" s="60">
        <f t="shared" si="32"/>
        <v>2405</v>
      </c>
      <c r="H323" s="60">
        <f t="shared" si="33"/>
        <v>2314</v>
      </c>
      <c r="I323" s="60">
        <f t="shared" si="34"/>
        <v>91</v>
      </c>
      <c r="J323" s="60">
        <f t="shared" si="35"/>
        <v>3.783783783783784E-2</v>
      </c>
      <c r="K323" s="35" t="str">
        <f>IF(E323&lt;=D323, "NO PROFIT", IF((E323-D323)/D323 &gt;= 1, "100% or More", TEXT(_xlfn.FLOOR.MATH((E323-D323)/D323, 0.01), "0%")))</f>
        <v>3%</v>
      </c>
      <c r="M323" s="30">
        <f t="shared" ref="M323:M386" si="36">IF(D323=0, 0, (E323-D323)/D323)</f>
        <v>3.9325842696629212E-2</v>
      </c>
      <c r="N323" s="34">
        <f>VLOOKUP(A323, 'Stock Register'!A:F, 6, FALSE)</f>
        <v>3</v>
      </c>
    </row>
    <row r="324" spans="1:14" ht="30" hidden="1" x14ac:dyDescent="0.25">
      <c r="A324" s="205" t="s">
        <v>601</v>
      </c>
      <c r="D324" s="29">
        <f>SUMIF('Purchase Register'!C:C, A324, 'Purchase Register'!G:G)</f>
        <v>66.538461538461533</v>
      </c>
      <c r="E324" s="190">
        <v>68</v>
      </c>
      <c r="F324" s="60">
        <f>SUMIF('Sales Register'!C:C, A324, 'Sales Register'!D:D)</f>
        <v>22.7</v>
      </c>
      <c r="G324" s="60">
        <f t="shared" si="32"/>
        <v>1543.6</v>
      </c>
      <c r="H324" s="60">
        <f t="shared" si="33"/>
        <v>1510.4230769230767</v>
      </c>
      <c r="I324" s="60">
        <f t="shared" si="34"/>
        <v>33.176923076923231</v>
      </c>
      <c r="J324" s="60">
        <f t="shared" si="35"/>
        <v>2.1493212669683359E-2</v>
      </c>
      <c r="K324" s="35" t="str">
        <f>IF(E324&lt;=D324, "NO PROFIT", IF((E324-D324)/D324 &gt;= 1, "100% or More", TEXT(_xlfn.FLOOR.MATH((E324-D324)/D324, 0.01), "0%")))</f>
        <v>2%</v>
      </c>
      <c r="M324" s="30">
        <f t="shared" si="36"/>
        <v>2.1965317919075227E-2</v>
      </c>
      <c r="N324" s="34">
        <f>VLOOKUP(A324, 'Stock Register'!A:F, 6, FALSE)</f>
        <v>3.3000000000000007</v>
      </c>
    </row>
    <row r="325" spans="1:14" s="75" customFormat="1" hidden="1" x14ac:dyDescent="0.25">
      <c r="A325" s="204" t="s">
        <v>603</v>
      </c>
      <c r="B325" s="71"/>
      <c r="C325" s="71"/>
      <c r="D325" s="72">
        <f>SUMIF('Purchase Register'!C:C, A325, 'Purchase Register'!G:G)</f>
        <v>7</v>
      </c>
      <c r="E325" s="191">
        <v>7.5</v>
      </c>
      <c r="F325" s="74">
        <f>SUMIF('Sales Register'!C:C, A325, 'Sales Register'!D:D)</f>
        <v>30</v>
      </c>
      <c r="G325" s="74">
        <f t="shared" si="32"/>
        <v>225</v>
      </c>
      <c r="H325" s="74">
        <f t="shared" si="33"/>
        <v>210</v>
      </c>
      <c r="I325" s="74">
        <f t="shared" si="34"/>
        <v>15</v>
      </c>
      <c r="J325" s="74">
        <f t="shared" si="35"/>
        <v>6.6666666666666666E-2</v>
      </c>
      <c r="K325" s="134" t="str">
        <f>IF(E325&lt;=D325, "NO PROFIT", IF((E325-D325)/D325 &gt;= 1, "100% or More", TEXT(_xlfn.FLOOR.MATH((E325-D325)/D325, 0.01), "0%")))</f>
        <v>7%</v>
      </c>
      <c r="L325" s="73"/>
      <c r="M325" s="99">
        <f t="shared" si="36"/>
        <v>7.1428571428571425E-2</v>
      </c>
      <c r="N325" s="34">
        <f>VLOOKUP(A325, 'Stock Register'!A:F, 6, FALSE)</f>
        <v>0</v>
      </c>
    </row>
    <row r="326" spans="1:14" s="75" customFormat="1" hidden="1" x14ac:dyDescent="0.25">
      <c r="A326" s="204" t="s">
        <v>604</v>
      </c>
      <c r="B326" s="71"/>
      <c r="C326" s="71"/>
      <c r="D326" s="72">
        <f>SUMIF('Purchase Register'!C:C, A326, 'Purchase Register'!G:G)</f>
        <v>7.333333333333333</v>
      </c>
      <c r="E326" s="191">
        <v>9</v>
      </c>
      <c r="F326" s="74">
        <f>SUMIF('Sales Register'!C:C, A326, 'Sales Register'!D:D)</f>
        <v>30</v>
      </c>
      <c r="G326" s="74">
        <f t="shared" si="32"/>
        <v>270</v>
      </c>
      <c r="H326" s="74">
        <f t="shared" si="33"/>
        <v>220</v>
      </c>
      <c r="I326" s="74">
        <f t="shared" si="34"/>
        <v>50</v>
      </c>
      <c r="J326" s="74">
        <f t="shared" si="35"/>
        <v>0.18518518518518517</v>
      </c>
      <c r="K326" s="134" t="str">
        <f>IF(E326&lt;=D326, "NO PROFIT", IF((E326-D326)/D326 &gt;= 1, "100% or More", TEXT(_xlfn.FLOOR.MATH((E326-D326)/D326, 0.01), "0%")))</f>
        <v>22%</v>
      </c>
      <c r="L326" s="73"/>
      <c r="M326" s="99">
        <f t="shared" si="36"/>
        <v>0.22727272727272732</v>
      </c>
      <c r="N326" s="34">
        <f>VLOOKUP(A326, 'Stock Register'!A:F, 6, FALSE)</f>
        <v>0</v>
      </c>
    </row>
    <row r="327" spans="1:14" s="75" customFormat="1" hidden="1" x14ac:dyDescent="0.25">
      <c r="A327" s="204" t="s">
        <v>605</v>
      </c>
      <c r="B327" s="71"/>
      <c r="C327" s="71"/>
      <c r="D327" s="72">
        <f>SUMIF('Purchase Register'!C:C, A327, 'Purchase Register'!G:G)</f>
        <v>192</v>
      </c>
      <c r="E327" s="191">
        <v>199</v>
      </c>
      <c r="F327" s="74">
        <f>SUMIF('Sales Register'!C:C, A327, 'Sales Register'!D:D)</f>
        <v>20</v>
      </c>
      <c r="G327" s="74">
        <f t="shared" si="32"/>
        <v>3980</v>
      </c>
      <c r="H327" s="74">
        <f t="shared" si="33"/>
        <v>3840</v>
      </c>
      <c r="I327" s="74">
        <f t="shared" si="34"/>
        <v>140</v>
      </c>
      <c r="J327" s="74">
        <f t="shared" si="35"/>
        <v>3.5175879396984924E-2</v>
      </c>
      <c r="K327" s="134" t="str">
        <f t="shared" ref="K327:K354" si="37">IF(E327&lt;=D327, "NO PROFIT", IF((E327-D327)/D327 &gt;= 1, "100% or More", TEXT(_xlfn.FLOOR.MATH((E327-D327)/D327, 0.01), "0%")))</f>
        <v>3%</v>
      </c>
      <c r="L327" s="73"/>
      <c r="M327" s="99">
        <f t="shared" si="36"/>
        <v>3.6458333333333336E-2</v>
      </c>
      <c r="N327" s="73">
        <f>VLOOKUP(A327, 'Stock Register'!A:F, 6, FALSE)</f>
        <v>0</v>
      </c>
    </row>
    <row r="328" spans="1:14" s="75" customFormat="1" ht="30" hidden="1" x14ac:dyDescent="0.25">
      <c r="A328" s="204" t="s">
        <v>626</v>
      </c>
      <c r="B328" s="71"/>
      <c r="C328" s="71"/>
      <c r="D328" s="72">
        <f>SUMIF('Purchase Register'!C:C, A328, 'Purchase Register'!G:G)</f>
        <v>8.75</v>
      </c>
      <c r="E328" s="191">
        <v>10</v>
      </c>
      <c r="F328" s="74">
        <f>SUMIF('Sales Register'!C:C, A328, 'Sales Register'!D:D)</f>
        <v>31</v>
      </c>
      <c r="G328" s="74">
        <f t="shared" si="32"/>
        <v>310</v>
      </c>
      <c r="H328" s="74">
        <f t="shared" si="33"/>
        <v>271.25</v>
      </c>
      <c r="I328" s="74">
        <f t="shared" si="34"/>
        <v>38.75</v>
      </c>
      <c r="J328" s="74">
        <f t="shared" si="35"/>
        <v>0.125</v>
      </c>
      <c r="K328" s="134" t="str">
        <f t="shared" si="37"/>
        <v>14%</v>
      </c>
      <c r="L328" s="73"/>
      <c r="M328" s="99">
        <f t="shared" si="36"/>
        <v>0.14285714285714285</v>
      </c>
      <c r="N328" s="73">
        <f>VLOOKUP(A328, 'Stock Register'!A:F, 6, FALSE)</f>
        <v>-7</v>
      </c>
    </row>
    <row r="329" spans="1:14" hidden="1" x14ac:dyDescent="0.25">
      <c r="A329" s="205" t="s">
        <v>630</v>
      </c>
      <c r="D329" s="29">
        <f>SUMIF('Purchase Register'!C:C, A329, 'Purchase Register'!G:G)</f>
        <v>75</v>
      </c>
      <c r="E329" s="190">
        <v>80</v>
      </c>
      <c r="F329" s="60">
        <f>SUMIF('Sales Register'!C:C, A329, 'Sales Register'!D:D)</f>
        <v>0</v>
      </c>
      <c r="G329" s="60">
        <f t="shared" si="32"/>
        <v>0</v>
      </c>
      <c r="H329" s="60">
        <f t="shared" si="33"/>
        <v>0</v>
      </c>
      <c r="I329" s="60">
        <f t="shared" si="34"/>
        <v>0</v>
      </c>
      <c r="J329" s="60">
        <f t="shared" si="35"/>
        <v>0</v>
      </c>
      <c r="K329" s="35" t="str">
        <f t="shared" si="37"/>
        <v>6%</v>
      </c>
      <c r="M329" s="30">
        <f t="shared" si="36"/>
        <v>6.6666666666666666E-2</v>
      </c>
      <c r="N329" s="34">
        <f>VLOOKUP(A329, 'Stock Register'!A:F, 6, FALSE)</f>
        <v>3</v>
      </c>
    </row>
    <row r="330" spans="1:14" s="75" customFormat="1" ht="30" hidden="1" x14ac:dyDescent="0.25">
      <c r="A330" s="204" t="s">
        <v>627</v>
      </c>
      <c r="B330" s="71"/>
      <c r="C330" s="71"/>
      <c r="D330" s="72">
        <f>SUMIF('Purchase Register'!C:C, A330, 'Purchase Register'!G:G)</f>
        <v>28</v>
      </c>
      <c r="E330" s="191">
        <v>35</v>
      </c>
      <c r="F330" s="74">
        <f>SUMIF('Sales Register'!C:C, A330, 'Sales Register'!D:D)</f>
        <v>5</v>
      </c>
      <c r="G330" s="74">
        <f t="shared" si="32"/>
        <v>175</v>
      </c>
      <c r="H330" s="74">
        <f t="shared" si="33"/>
        <v>140</v>
      </c>
      <c r="I330" s="74">
        <f t="shared" si="34"/>
        <v>35</v>
      </c>
      <c r="J330" s="74">
        <f t="shared" si="35"/>
        <v>0.2</v>
      </c>
      <c r="K330" s="134" t="str">
        <f t="shared" si="37"/>
        <v>25%</v>
      </c>
      <c r="L330" s="73"/>
      <c r="M330" s="99">
        <f t="shared" si="36"/>
        <v>0.25</v>
      </c>
      <c r="N330" s="73">
        <f>VLOOKUP(A330, 'Stock Register'!A:F, 6, FALSE)</f>
        <v>0</v>
      </c>
    </row>
    <row r="331" spans="1:14" s="75" customFormat="1" ht="30" hidden="1" x14ac:dyDescent="0.25">
      <c r="A331" s="204" t="s">
        <v>625</v>
      </c>
      <c r="B331" s="71"/>
      <c r="C331" s="71"/>
      <c r="D331" s="72">
        <f>SUMIF('Purchase Register'!C:C, A331, 'Purchase Register'!G:G)</f>
        <v>148</v>
      </c>
      <c r="E331" s="191">
        <v>155</v>
      </c>
      <c r="F331" s="74">
        <f>SUMIF('Sales Register'!C:C, A331, 'Sales Register'!D:D)</f>
        <v>9</v>
      </c>
      <c r="G331" s="74">
        <f t="shared" si="32"/>
        <v>1395</v>
      </c>
      <c r="H331" s="74">
        <f t="shared" si="33"/>
        <v>1332</v>
      </c>
      <c r="I331" s="74">
        <f t="shared" si="34"/>
        <v>63</v>
      </c>
      <c r="J331" s="74">
        <f t="shared" si="35"/>
        <v>4.5161290322580643E-2</v>
      </c>
      <c r="K331" s="134" t="str">
        <f t="shared" si="37"/>
        <v>4%</v>
      </c>
      <c r="L331" s="73"/>
      <c r="M331" s="99">
        <f t="shared" si="36"/>
        <v>4.72972972972973E-2</v>
      </c>
      <c r="N331" s="73">
        <f>VLOOKUP(A331, 'Stock Register'!A:F, 6, FALSE)</f>
        <v>-6</v>
      </c>
    </row>
    <row r="332" spans="1:14" hidden="1" x14ac:dyDescent="0.25">
      <c r="A332" s="205" t="s">
        <v>629</v>
      </c>
      <c r="D332" s="29">
        <f>SUMIF('Purchase Register'!C:C, A332, 'Purchase Register'!G:G)</f>
        <v>35</v>
      </c>
      <c r="E332" s="190">
        <v>50</v>
      </c>
      <c r="F332" s="60">
        <f>SUMIF('Sales Register'!C:C, A332, 'Sales Register'!D:D)</f>
        <v>2</v>
      </c>
      <c r="G332" s="60">
        <f t="shared" si="32"/>
        <v>100</v>
      </c>
      <c r="H332" s="60">
        <f t="shared" si="33"/>
        <v>70</v>
      </c>
      <c r="I332" s="60">
        <f t="shared" si="34"/>
        <v>30</v>
      </c>
      <c r="J332" s="60">
        <f t="shared" si="35"/>
        <v>0.3</v>
      </c>
      <c r="K332" s="35" t="str">
        <f t="shared" si="37"/>
        <v>42%</v>
      </c>
      <c r="M332" s="30">
        <f t="shared" si="36"/>
        <v>0.42857142857142855</v>
      </c>
      <c r="N332" s="34">
        <f>VLOOKUP(A332, 'Stock Register'!A:F, 6, FALSE)</f>
        <v>1</v>
      </c>
    </row>
    <row r="333" spans="1:14" s="75" customFormat="1" hidden="1" x14ac:dyDescent="0.25">
      <c r="A333" s="204" t="s">
        <v>628</v>
      </c>
      <c r="B333" s="71"/>
      <c r="C333" s="71"/>
      <c r="D333" s="72">
        <f>SUMIF('Purchase Register'!C:C, A333, 'Purchase Register'!G:G)</f>
        <v>53</v>
      </c>
      <c r="E333" s="191">
        <v>62</v>
      </c>
      <c r="F333" s="74">
        <f>SUMIF('Sales Register'!C:C, A333, 'Sales Register'!D:D)</f>
        <v>4</v>
      </c>
      <c r="G333" s="74">
        <f t="shared" si="32"/>
        <v>248</v>
      </c>
      <c r="H333" s="74">
        <f t="shared" si="33"/>
        <v>212</v>
      </c>
      <c r="I333" s="74">
        <f t="shared" si="34"/>
        <v>36</v>
      </c>
      <c r="J333" s="74">
        <f t="shared" si="35"/>
        <v>0.14516129032258066</v>
      </c>
      <c r="K333" s="134" t="str">
        <f t="shared" si="37"/>
        <v>16%</v>
      </c>
      <c r="L333" s="73"/>
      <c r="M333" s="99">
        <f t="shared" si="36"/>
        <v>0.16981132075471697</v>
      </c>
      <c r="N333" s="73">
        <f>VLOOKUP(A333, 'Stock Register'!A:F, 6, FALSE)</f>
        <v>-1</v>
      </c>
    </row>
    <row r="334" spans="1:14" hidden="1" x14ac:dyDescent="0.25">
      <c r="A334" s="205" t="s">
        <v>613</v>
      </c>
      <c r="D334" s="29">
        <f>SUMIF('Purchase Register'!C:C, A334, 'Purchase Register'!G:G)</f>
        <v>8.3333333333333339</v>
      </c>
      <c r="E334" s="190">
        <v>10</v>
      </c>
      <c r="F334" s="60">
        <f>SUMIF('Sales Register'!C:C, A334, 'Sales Register'!D:D)</f>
        <v>1</v>
      </c>
      <c r="G334" s="60">
        <f t="shared" si="32"/>
        <v>10</v>
      </c>
      <c r="H334" s="60">
        <f t="shared" si="33"/>
        <v>8.3333333333333339</v>
      </c>
      <c r="I334" s="60">
        <f t="shared" si="34"/>
        <v>1.6666666666666661</v>
      </c>
      <c r="J334" s="60">
        <f t="shared" si="35"/>
        <v>0.1666666666666666</v>
      </c>
      <c r="K334" s="35" t="str">
        <f t="shared" si="37"/>
        <v>20%</v>
      </c>
      <c r="M334" s="30">
        <f t="shared" si="36"/>
        <v>0.19999999999999993</v>
      </c>
      <c r="N334" s="34">
        <f>VLOOKUP(A334, 'Stock Register'!A:F, 6, FALSE)</f>
        <v>23</v>
      </c>
    </row>
    <row r="335" spans="1:14" hidden="1" x14ac:dyDescent="0.25">
      <c r="A335" s="205" t="s">
        <v>614</v>
      </c>
      <c r="D335" s="29">
        <f>SUMIF('Purchase Register'!C:C, A335, 'Purchase Register'!G:G)</f>
        <v>15</v>
      </c>
      <c r="E335" s="190">
        <v>20</v>
      </c>
      <c r="F335" s="60">
        <f>SUMIF('Sales Register'!C:C, A335, 'Sales Register'!D:D)</f>
        <v>5</v>
      </c>
      <c r="G335" s="60">
        <f t="shared" si="32"/>
        <v>100</v>
      </c>
      <c r="H335" s="60">
        <f t="shared" si="33"/>
        <v>75</v>
      </c>
      <c r="I335" s="60">
        <f t="shared" si="34"/>
        <v>25</v>
      </c>
      <c r="J335" s="60">
        <f t="shared" si="35"/>
        <v>0.25</v>
      </c>
      <c r="K335" s="35" t="str">
        <f>IF(E335&lt;=D335, "NO PROFIT", IF((E335-D335)/D335 &gt;= 1, "100% or More", TEXT(_xlfn.FLOOR.MATH((E335-D335)/D335, 0.01), "0%")))</f>
        <v>33%</v>
      </c>
      <c r="M335" s="30">
        <f t="shared" si="36"/>
        <v>0.33333333333333331</v>
      </c>
      <c r="N335" s="34">
        <f>VLOOKUP(A335, 'Stock Register'!A:F, 6, FALSE)</f>
        <v>0</v>
      </c>
    </row>
    <row r="336" spans="1:14" hidden="1" x14ac:dyDescent="0.25">
      <c r="A336" s="205" t="s">
        <v>615</v>
      </c>
      <c r="D336" s="29">
        <f>SUMIF('Purchase Register'!C:C, A336, 'Purchase Register'!G:G)</f>
        <v>24.166666666666668</v>
      </c>
      <c r="E336" s="190">
        <v>30</v>
      </c>
      <c r="F336" s="60">
        <f>SUMIF('Sales Register'!C:C, A336, 'Sales Register'!D:D)</f>
        <v>12</v>
      </c>
      <c r="G336" s="60">
        <f t="shared" si="32"/>
        <v>360</v>
      </c>
      <c r="H336" s="60">
        <f t="shared" si="33"/>
        <v>290</v>
      </c>
      <c r="I336" s="60">
        <f t="shared" si="34"/>
        <v>70</v>
      </c>
      <c r="J336" s="60">
        <f t="shared" si="35"/>
        <v>0.19444444444444445</v>
      </c>
      <c r="K336" s="35" t="str">
        <f t="shared" si="37"/>
        <v>24%</v>
      </c>
      <c r="M336" s="30">
        <f t="shared" si="36"/>
        <v>0.24137931034482751</v>
      </c>
      <c r="N336" s="34">
        <f>VLOOKUP(A336, 'Stock Register'!A:F, 6, FALSE)</f>
        <v>0</v>
      </c>
    </row>
    <row r="337" spans="1:14" hidden="1" x14ac:dyDescent="0.25">
      <c r="A337" s="205" t="s">
        <v>616</v>
      </c>
      <c r="D337" s="29">
        <f>SUMIF('Purchase Register'!C:C, A337, 'Purchase Register'!G:G)</f>
        <v>38.333333333333336</v>
      </c>
      <c r="E337" s="190">
        <v>50</v>
      </c>
      <c r="F337" s="60">
        <f>SUMIF('Sales Register'!C:C, A337, 'Sales Register'!D:D)</f>
        <v>4</v>
      </c>
      <c r="G337" s="60">
        <f t="shared" si="32"/>
        <v>200</v>
      </c>
      <c r="H337" s="60">
        <f t="shared" si="33"/>
        <v>153.33333333333334</v>
      </c>
      <c r="I337" s="60">
        <f t="shared" si="34"/>
        <v>46.666666666666657</v>
      </c>
      <c r="J337" s="60">
        <f t="shared" si="35"/>
        <v>0.23333333333333328</v>
      </c>
      <c r="K337" s="35" t="str">
        <f t="shared" si="37"/>
        <v>30%</v>
      </c>
      <c r="M337" s="30">
        <f t="shared" si="36"/>
        <v>0.30434782608695643</v>
      </c>
      <c r="N337" s="34">
        <f>VLOOKUP(A337, 'Stock Register'!A:F, 6, FALSE)</f>
        <v>2</v>
      </c>
    </row>
    <row r="338" spans="1:14" s="75" customFormat="1" hidden="1" x14ac:dyDescent="0.25">
      <c r="A338" s="204" t="s">
        <v>617</v>
      </c>
      <c r="B338" s="71"/>
      <c r="C338" s="71"/>
      <c r="D338" s="72">
        <f>SUMIF('Purchase Register'!C:C, A338, 'Purchase Register'!G:G)</f>
        <v>32</v>
      </c>
      <c r="E338" s="191">
        <v>35</v>
      </c>
      <c r="F338" s="74">
        <f>SUMIF('Sales Register'!C:C, A338, 'Sales Register'!D:D)</f>
        <v>3</v>
      </c>
      <c r="G338" s="74">
        <f t="shared" si="32"/>
        <v>105</v>
      </c>
      <c r="H338" s="74">
        <f t="shared" si="33"/>
        <v>96</v>
      </c>
      <c r="I338" s="74">
        <f t="shared" si="34"/>
        <v>9</v>
      </c>
      <c r="J338" s="74">
        <f t="shared" si="35"/>
        <v>8.5714285714285715E-2</v>
      </c>
      <c r="K338" s="134" t="str">
        <f t="shared" si="37"/>
        <v>9%</v>
      </c>
      <c r="L338" s="73"/>
      <c r="M338" s="99">
        <f t="shared" si="36"/>
        <v>9.375E-2</v>
      </c>
      <c r="N338" s="73">
        <f>VLOOKUP(A338, 'Stock Register'!A:F, 6, FALSE)</f>
        <v>0</v>
      </c>
    </row>
    <row r="339" spans="1:14" s="75" customFormat="1" hidden="1" x14ac:dyDescent="0.25">
      <c r="A339" s="204" t="s">
        <v>618</v>
      </c>
      <c r="B339" s="71" t="s">
        <v>186</v>
      </c>
      <c r="C339" s="71">
        <v>50</v>
      </c>
      <c r="D339" s="72">
        <f>SUMIF('Purchase Register'!C:C, A339, 'Purchase Register'!G:G)</f>
        <v>46</v>
      </c>
      <c r="E339" s="191">
        <v>50</v>
      </c>
      <c r="F339" s="74">
        <f>SUMIF('Sales Register'!C:C, A339, 'Sales Register'!D:D)</f>
        <v>3</v>
      </c>
      <c r="G339" s="74">
        <f t="shared" si="32"/>
        <v>150</v>
      </c>
      <c r="H339" s="74">
        <f t="shared" si="33"/>
        <v>138</v>
      </c>
      <c r="I339" s="74">
        <f t="shared" si="34"/>
        <v>12</v>
      </c>
      <c r="J339" s="74">
        <f t="shared" si="35"/>
        <v>0.08</v>
      </c>
      <c r="K339" s="134" t="str">
        <f t="shared" si="37"/>
        <v>8%</v>
      </c>
      <c r="L339" s="73"/>
      <c r="M339" s="99">
        <f t="shared" si="36"/>
        <v>8.6956521739130432E-2</v>
      </c>
      <c r="N339" s="73">
        <f>VLOOKUP(A339, 'Stock Register'!A:F, 6, FALSE)</f>
        <v>0</v>
      </c>
    </row>
    <row r="340" spans="1:14" hidden="1" x14ac:dyDescent="0.25">
      <c r="A340" s="205" t="s">
        <v>620</v>
      </c>
      <c r="D340" s="29">
        <f>SUMIF('Purchase Register'!C:C, A340, 'Purchase Register'!G:G)</f>
        <v>9.5</v>
      </c>
      <c r="E340" s="190">
        <v>10</v>
      </c>
      <c r="F340" s="60">
        <f>SUMIF('Sales Register'!C:C, A340, 'Sales Register'!D:D)</f>
        <v>2</v>
      </c>
      <c r="G340" s="60">
        <f t="shared" si="32"/>
        <v>20</v>
      </c>
      <c r="H340" s="60">
        <f t="shared" si="33"/>
        <v>19</v>
      </c>
      <c r="I340" s="60">
        <f t="shared" si="34"/>
        <v>1</v>
      </c>
      <c r="J340" s="60">
        <f t="shared" si="35"/>
        <v>0.05</v>
      </c>
      <c r="K340" s="35" t="str">
        <f t="shared" si="37"/>
        <v>5%</v>
      </c>
      <c r="M340" s="30">
        <f t="shared" si="36"/>
        <v>5.2631578947368418E-2</v>
      </c>
      <c r="N340" s="34">
        <f>VLOOKUP(A340, 'Stock Register'!A:F, 6, FALSE)</f>
        <v>8</v>
      </c>
    </row>
    <row r="341" spans="1:14" ht="30" hidden="1" x14ac:dyDescent="0.25">
      <c r="A341" s="205" t="s">
        <v>623</v>
      </c>
      <c r="D341" s="29">
        <f>SUMIF('Purchase Register'!C:C, A341, 'Purchase Register'!G:G)</f>
        <v>3.3333333333333335</v>
      </c>
      <c r="E341" s="190">
        <v>4</v>
      </c>
      <c r="F341" s="60">
        <f>SUMIF('Sales Register'!C:C, A341, 'Sales Register'!D:D)</f>
        <v>31</v>
      </c>
      <c r="G341" s="60">
        <f t="shared" si="32"/>
        <v>124</v>
      </c>
      <c r="H341" s="60">
        <f t="shared" si="33"/>
        <v>103.33333333333334</v>
      </c>
      <c r="I341" s="60">
        <f t="shared" si="34"/>
        <v>20.666666666666657</v>
      </c>
      <c r="J341" s="60">
        <f t="shared" si="35"/>
        <v>0.1666666666666666</v>
      </c>
      <c r="K341" s="35" t="str">
        <f t="shared" si="37"/>
        <v>20%</v>
      </c>
      <c r="M341" s="30">
        <f t="shared" si="36"/>
        <v>0.19999999999999996</v>
      </c>
      <c r="N341" s="34">
        <f>VLOOKUP(A341, 'Stock Register'!A:F, 6, FALSE)</f>
        <v>29</v>
      </c>
    </row>
    <row r="342" spans="1:14" hidden="1" x14ac:dyDescent="0.25">
      <c r="A342" s="205" t="s">
        <v>624</v>
      </c>
      <c r="D342" s="29">
        <f>SUMIF('Purchase Register'!C:C, A342, 'Purchase Register'!G:G)</f>
        <v>9.5833333333333339</v>
      </c>
      <c r="E342" s="190">
        <v>15</v>
      </c>
      <c r="F342" s="60">
        <f>SUMIF('Sales Register'!C:C, A342, 'Sales Register'!D:D)</f>
        <v>4</v>
      </c>
      <c r="G342" s="60">
        <f t="shared" si="32"/>
        <v>60</v>
      </c>
      <c r="H342" s="60">
        <f t="shared" si="33"/>
        <v>38.333333333333336</v>
      </c>
      <c r="I342" s="60">
        <f t="shared" si="34"/>
        <v>21.666666666666664</v>
      </c>
      <c r="J342" s="60">
        <f t="shared" si="35"/>
        <v>0.36111111111111105</v>
      </c>
      <c r="K342" s="35" t="str">
        <f t="shared" si="37"/>
        <v>56%</v>
      </c>
      <c r="M342" s="30">
        <f t="shared" si="36"/>
        <v>0.56521739130434778</v>
      </c>
      <c r="N342" s="34">
        <f>VLOOKUP(A342, 'Stock Register'!A:F, 6, FALSE)</f>
        <v>8</v>
      </c>
    </row>
    <row r="343" spans="1:14" s="75" customFormat="1" ht="30" hidden="1" x14ac:dyDescent="0.25">
      <c r="A343" s="204" t="s">
        <v>621</v>
      </c>
      <c r="B343" s="71"/>
      <c r="C343" s="71"/>
      <c r="D343" s="72">
        <f>SUMIF('Purchase Register'!C:C, A343, 'Purchase Register'!G:G)</f>
        <v>70</v>
      </c>
      <c r="E343" s="191">
        <v>75</v>
      </c>
      <c r="F343" s="74">
        <f>SUMIF('Sales Register'!C:C, A343, 'Sales Register'!D:D)</f>
        <v>4</v>
      </c>
      <c r="G343" s="74">
        <f t="shared" si="32"/>
        <v>300</v>
      </c>
      <c r="H343" s="74">
        <f t="shared" si="33"/>
        <v>280</v>
      </c>
      <c r="I343" s="74">
        <f t="shared" si="34"/>
        <v>20</v>
      </c>
      <c r="J343" s="74">
        <f t="shared" si="35"/>
        <v>6.6666666666666666E-2</v>
      </c>
      <c r="K343" s="134" t="str">
        <f t="shared" si="37"/>
        <v>7%</v>
      </c>
      <c r="L343" s="73"/>
      <c r="M343" s="99">
        <f t="shared" si="36"/>
        <v>7.1428571428571425E-2</v>
      </c>
      <c r="N343" s="73">
        <f>VLOOKUP(A343, 'Stock Register'!A:F, 6, FALSE)</f>
        <v>0</v>
      </c>
    </row>
    <row r="344" spans="1:14" hidden="1" x14ac:dyDescent="0.25">
      <c r="A344" s="205" t="s">
        <v>622</v>
      </c>
      <c r="D344" s="29">
        <f>SUMIF('Purchase Register'!C:C, A344, 'Purchase Register'!G:G)</f>
        <v>7.5</v>
      </c>
      <c r="E344" s="190">
        <v>9</v>
      </c>
      <c r="F344" s="60">
        <f>SUMIF('Sales Register'!C:C, A344, 'Sales Register'!D:D)</f>
        <v>8</v>
      </c>
      <c r="G344" s="60">
        <f t="shared" si="32"/>
        <v>72</v>
      </c>
      <c r="H344" s="60">
        <f t="shared" si="33"/>
        <v>60</v>
      </c>
      <c r="I344" s="60">
        <f t="shared" si="34"/>
        <v>12</v>
      </c>
      <c r="J344" s="60">
        <f t="shared" si="35"/>
        <v>0.16666666666666666</v>
      </c>
      <c r="K344" s="35" t="str">
        <f t="shared" si="37"/>
        <v>20%</v>
      </c>
      <c r="M344" s="30">
        <f t="shared" si="36"/>
        <v>0.2</v>
      </c>
      <c r="N344" s="34">
        <f>VLOOKUP(A344, 'Stock Register'!A:F, 6, FALSE)</f>
        <v>22</v>
      </c>
    </row>
    <row r="345" spans="1:14" hidden="1" x14ac:dyDescent="0.25">
      <c r="A345" s="205" t="s">
        <v>619</v>
      </c>
      <c r="D345" s="29">
        <f>SUMIF('Purchase Register'!C:C, A345, 'Purchase Register'!G:G)</f>
        <v>9.5</v>
      </c>
      <c r="E345" s="190">
        <v>10</v>
      </c>
      <c r="F345" s="60">
        <f>SUMIF('Sales Register'!C:C, A345, 'Sales Register'!D:D)</f>
        <v>10</v>
      </c>
      <c r="G345" s="60">
        <f t="shared" si="32"/>
        <v>100</v>
      </c>
      <c r="H345" s="60">
        <f t="shared" si="33"/>
        <v>95</v>
      </c>
      <c r="I345" s="60">
        <f t="shared" si="34"/>
        <v>5</v>
      </c>
      <c r="J345" s="60">
        <f t="shared" si="35"/>
        <v>0.05</v>
      </c>
      <c r="K345" s="35" t="str">
        <f t="shared" si="37"/>
        <v>5%</v>
      </c>
      <c r="M345" s="30">
        <f t="shared" si="36"/>
        <v>5.2631578947368418E-2</v>
      </c>
      <c r="N345" s="34">
        <f>VLOOKUP(A345, 'Stock Register'!A:F, 6, FALSE)</f>
        <v>0</v>
      </c>
    </row>
    <row r="346" spans="1:14" hidden="1" x14ac:dyDescent="0.25">
      <c r="A346" s="205" t="s">
        <v>606</v>
      </c>
      <c r="D346" s="29">
        <f>SUMIF('Purchase Register'!C:C, A346, 'Purchase Register'!G:G)</f>
        <v>4.5</v>
      </c>
      <c r="E346" s="190">
        <v>5</v>
      </c>
      <c r="F346" s="60">
        <f>SUMIF('Sales Register'!C:C, A346, 'Sales Register'!D:D)</f>
        <v>12</v>
      </c>
      <c r="G346" s="60">
        <f t="shared" si="32"/>
        <v>60</v>
      </c>
      <c r="H346" s="60">
        <f t="shared" si="33"/>
        <v>54</v>
      </c>
      <c r="I346" s="60">
        <f t="shared" si="34"/>
        <v>6</v>
      </c>
      <c r="J346" s="60">
        <f t="shared" si="35"/>
        <v>0.1</v>
      </c>
      <c r="K346" s="35" t="str">
        <f t="shared" si="37"/>
        <v>11%</v>
      </c>
      <c r="M346" s="30">
        <f t="shared" si="36"/>
        <v>0.1111111111111111</v>
      </c>
      <c r="N346" s="34">
        <f>VLOOKUP(A346, 'Stock Register'!A:F, 6, FALSE)</f>
        <v>0</v>
      </c>
    </row>
    <row r="347" spans="1:14" s="75" customFormat="1" hidden="1" x14ac:dyDescent="0.25">
      <c r="A347" s="204" t="s">
        <v>607</v>
      </c>
      <c r="B347" s="71"/>
      <c r="C347" s="71"/>
      <c r="D347" s="72">
        <f>SUMIF('Purchase Register'!C:C, A347, 'Purchase Register'!G:G)</f>
        <v>27</v>
      </c>
      <c r="E347" s="191">
        <v>30</v>
      </c>
      <c r="F347" s="74">
        <f>SUMIF('Sales Register'!C:C, A347, 'Sales Register'!D:D)</f>
        <v>6</v>
      </c>
      <c r="G347" s="74">
        <f t="shared" si="32"/>
        <v>180</v>
      </c>
      <c r="H347" s="74">
        <f t="shared" si="33"/>
        <v>162</v>
      </c>
      <c r="I347" s="74">
        <f t="shared" si="34"/>
        <v>18</v>
      </c>
      <c r="J347" s="74">
        <f t="shared" si="35"/>
        <v>0.1</v>
      </c>
      <c r="K347" s="134" t="str">
        <f t="shared" si="37"/>
        <v>11%</v>
      </c>
      <c r="L347" s="73"/>
      <c r="M347" s="99">
        <f t="shared" si="36"/>
        <v>0.1111111111111111</v>
      </c>
      <c r="N347" s="73">
        <f>VLOOKUP(A347, 'Stock Register'!A:F, 6, FALSE)</f>
        <v>-2</v>
      </c>
    </row>
    <row r="348" spans="1:14" s="75" customFormat="1" hidden="1" x14ac:dyDescent="0.25">
      <c r="A348" s="204" t="s">
        <v>608</v>
      </c>
      <c r="B348" s="71"/>
      <c r="C348" s="71"/>
      <c r="D348" s="72">
        <f>SUMIF('Purchase Register'!C:C, A348, 'Purchase Register'!G:G)</f>
        <v>9</v>
      </c>
      <c r="E348" s="191">
        <v>10</v>
      </c>
      <c r="F348" s="74">
        <f>SUMIF('Sales Register'!C:C, A348, 'Sales Register'!D:D)</f>
        <v>3</v>
      </c>
      <c r="G348" s="74">
        <f t="shared" si="32"/>
        <v>30</v>
      </c>
      <c r="H348" s="74">
        <f t="shared" si="33"/>
        <v>27</v>
      </c>
      <c r="I348" s="74">
        <f t="shared" si="34"/>
        <v>3</v>
      </c>
      <c r="J348" s="74">
        <f t="shared" si="35"/>
        <v>0.1</v>
      </c>
      <c r="K348" s="134" t="str">
        <f t="shared" si="37"/>
        <v>11%</v>
      </c>
      <c r="L348" s="73"/>
      <c r="M348" s="99">
        <f t="shared" si="36"/>
        <v>0.1111111111111111</v>
      </c>
      <c r="N348" s="73">
        <f>VLOOKUP(A348, 'Stock Register'!A:F, 6, FALSE)</f>
        <v>0</v>
      </c>
    </row>
    <row r="349" spans="1:14" s="75" customFormat="1" hidden="1" x14ac:dyDescent="0.25">
      <c r="A349" s="204" t="s">
        <v>609</v>
      </c>
      <c r="B349" s="71"/>
      <c r="C349" s="71"/>
      <c r="D349" s="72">
        <f>SUMIF('Purchase Register'!C:C, A349, 'Purchase Register'!G:G)</f>
        <v>9</v>
      </c>
      <c r="E349" s="191">
        <v>10</v>
      </c>
      <c r="F349" s="74">
        <f>SUMIF('Sales Register'!C:C, A349, 'Sales Register'!D:D)</f>
        <v>6</v>
      </c>
      <c r="G349" s="74">
        <f t="shared" si="32"/>
        <v>60</v>
      </c>
      <c r="H349" s="74">
        <f t="shared" si="33"/>
        <v>54</v>
      </c>
      <c r="I349" s="74">
        <f t="shared" si="34"/>
        <v>6</v>
      </c>
      <c r="J349" s="74">
        <f t="shared" si="35"/>
        <v>0.1</v>
      </c>
      <c r="K349" s="134" t="str">
        <f t="shared" si="37"/>
        <v>11%</v>
      </c>
      <c r="L349" s="73"/>
      <c r="M349" s="99">
        <f t="shared" si="36"/>
        <v>0.1111111111111111</v>
      </c>
      <c r="N349" s="73">
        <f>VLOOKUP(A349, 'Stock Register'!A:F, 6, FALSE)</f>
        <v>4</v>
      </c>
    </row>
    <row r="350" spans="1:14" s="164" customFormat="1" hidden="1" x14ac:dyDescent="0.25">
      <c r="A350" s="207" t="s">
        <v>610</v>
      </c>
      <c r="B350" s="160"/>
      <c r="C350" s="160"/>
      <c r="D350" s="157">
        <f>SUMIF('Purchase Register'!C:C, A350, 'Purchase Register'!G:G)</f>
        <v>4.5999999999999996</v>
      </c>
      <c r="E350" s="192">
        <v>5</v>
      </c>
      <c r="F350" s="162">
        <f>SUMIF('Sales Register'!C:C, A350, 'Sales Register'!D:D)</f>
        <v>18</v>
      </c>
      <c r="G350" s="162">
        <f t="shared" si="32"/>
        <v>90</v>
      </c>
      <c r="H350" s="162">
        <f t="shared" si="33"/>
        <v>82.8</v>
      </c>
      <c r="I350" s="162">
        <f t="shared" si="34"/>
        <v>7.2000000000000028</v>
      </c>
      <c r="J350" s="162">
        <f t="shared" si="35"/>
        <v>8.0000000000000029E-2</v>
      </c>
      <c r="K350" s="163" t="str">
        <f t="shared" si="37"/>
        <v>8%</v>
      </c>
      <c r="L350" s="161"/>
      <c r="M350" s="101">
        <f t="shared" si="36"/>
        <v>8.6956521739130516E-2</v>
      </c>
      <c r="N350" s="161">
        <f>VLOOKUP(A350, 'Stock Register'!A:F, 6, FALSE)</f>
        <v>12</v>
      </c>
    </row>
    <row r="351" spans="1:14" s="75" customFormat="1" ht="30" hidden="1" x14ac:dyDescent="0.25">
      <c r="A351" s="204" t="s">
        <v>635</v>
      </c>
      <c r="B351" s="71"/>
      <c r="C351" s="71"/>
      <c r="D351" s="72">
        <f>SUMIF('Purchase Register'!C:C, A351, 'Purchase Register'!G:G)</f>
        <v>9.1666666666666661</v>
      </c>
      <c r="E351" s="191">
        <v>10</v>
      </c>
      <c r="F351" s="74">
        <f>SUMIF('Sales Register'!C:C, A351, 'Sales Register'!D:D)</f>
        <v>7</v>
      </c>
      <c r="G351" s="74">
        <f t="shared" si="32"/>
        <v>70</v>
      </c>
      <c r="H351" s="74">
        <f t="shared" si="33"/>
        <v>64.166666666666657</v>
      </c>
      <c r="I351" s="74">
        <f t="shared" si="34"/>
        <v>5.8333333333333428</v>
      </c>
      <c r="J351" s="74">
        <f t="shared" si="35"/>
        <v>8.3333333333333467E-2</v>
      </c>
      <c r="K351" s="134" t="str">
        <f t="shared" si="37"/>
        <v>9%</v>
      </c>
      <c r="L351" s="73"/>
      <c r="M351" s="99">
        <f t="shared" si="36"/>
        <v>9.0909090909090981E-2</v>
      </c>
      <c r="N351" s="73">
        <f>VLOOKUP(A351, 'Stock Register'!A:F, 6, FALSE)</f>
        <v>-1</v>
      </c>
    </row>
    <row r="352" spans="1:14" s="75" customFormat="1" hidden="1" x14ac:dyDescent="0.25">
      <c r="A352" s="204" t="s">
        <v>611</v>
      </c>
      <c r="B352" s="71"/>
      <c r="C352" s="71"/>
      <c r="D352" s="72">
        <f>SUMIF('Purchase Register'!C:C, A352, 'Purchase Register'!G:G)</f>
        <v>56</v>
      </c>
      <c r="E352" s="191">
        <v>30</v>
      </c>
      <c r="F352" s="74">
        <f>SUMIF('Sales Register'!C:C, A352, 'Sales Register'!D:D)</f>
        <v>4</v>
      </c>
      <c r="G352" s="74">
        <f t="shared" si="32"/>
        <v>120</v>
      </c>
      <c r="H352" s="74">
        <f t="shared" si="33"/>
        <v>224</v>
      </c>
      <c r="I352" s="74">
        <f t="shared" si="34"/>
        <v>-104</v>
      </c>
      <c r="J352" s="74">
        <f t="shared" si="35"/>
        <v>-0.8666666666666667</v>
      </c>
      <c r="K352" s="134" t="str">
        <f t="shared" si="37"/>
        <v>NO PROFIT</v>
      </c>
      <c r="L352" s="73"/>
      <c r="M352" s="99">
        <f t="shared" si="36"/>
        <v>-0.4642857142857143</v>
      </c>
      <c r="N352" s="73">
        <f>VLOOKUP(A352, 'Stock Register'!A:F, 6, FALSE)</f>
        <v>-1</v>
      </c>
    </row>
    <row r="353" spans="1:14" s="75" customFormat="1" hidden="1" x14ac:dyDescent="0.25">
      <c r="A353" s="204" t="s">
        <v>612</v>
      </c>
      <c r="B353" s="71"/>
      <c r="C353" s="71"/>
      <c r="D353" s="72">
        <f>SUMIF('Purchase Register'!C:C, A353, 'Purchase Register'!G:G)</f>
        <v>75</v>
      </c>
      <c r="E353" s="191">
        <v>80</v>
      </c>
      <c r="F353" s="74">
        <f>SUMIF('Sales Register'!C:C, A353, 'Sales Register'!D:D)</f>
        <v>2</v>
      </c>
      <c r="G353" s="74">
        <f t="shared" si="32"/>
        <v>160</v>
      </c>
      <c r="H353" s="74">
        <f t="shared" si="33"/>
        <v>150</v>
      </c>
      <c r="I353" s="74">
        <f t="shared" si="34"/>
        <v>10</v>
      </c>
      <c r="J353" s="74">
        <f t="shared" si="35"/>
        <v>6.25E-2</v>
      </c>
      <c r="K353" s="134" t="str">
        <f t="shared" si="37"/>
        <v>6%</v>
      </c>
      <c r="L353" s="73"/>
      <c r="M353" s="99">
        <f t="shared" si="36"/>
        <v>6.6666666666666666E-2</v>
      </c>
      <c r="N353" s="73">
        <f>VLOOKUP(A353, 'Stock Register'!A:F, 6, FALSE)</f>
        <v>0</v>
      </c>
    </row>
    <row r="354" spans="1:14" s="75" customFormat="1" hidden="1" x14ac:dyDescent="0.25">
      <c r="A354" s="204" t="s">
        <v>636</v>
      </c>
      <c r="B354" s="71"/>
      <c r="C354" s="71"/>
      <c r="D354" s="72">
        <f>SUMIF('Purchase Register'!C:C, A354, 'Purchase Register'!G:G)</f>
        <v>7.0000000000000007E-2</v>
      </c>
      <c r="E354" s="191">
        <v>0.08</v>
      </c>
      <c r="F354" s="74">
        <f>SUMIF('Sales Register'!C:C, A354, 'Sales Register'!D:D)</f>
        <v>1.1280000000000001</v>
      </c>
      <c r="G354" s="74">
        <f t="shared" si="32"/>
        <v>9.0240000000000015E-2</v>
      </c>
      <c r="H354" s="74">
        <f t="shared" si="33"/>
        <v>7.8960000000000016E-2</v>
      </c>
      <c r="I354" s="74">
        <f t="shared" si="34"/>
        <v>1.1279999999999998E-2</v>
      </c>
      <c r="J354" s="74">
        <f t="shared" si="35"/>
        <v>0.12499999999999996</v>
      </c>
      <c r="K354" s="134" t="str">
        <f t="shared" si="37"/>
        <v>14%</v>
      </c>
      <c r="L354" s="73"/>
      <c r="M354" s="99">
        <f t="shared" si="36"/>
        <v>0.14285714285714277</v>
      </c>
      <c r="N354" s="73">
        <f>VLOOKUP(A354, 'Stock Register'!A:F, 6, FALSE)</f>
        <v>998.87199999999996</v>
      </c>
    </row>
    <row r="355" spans="1:14" s="75" customFormat="1" hidden="1" x14ac:dyDescent="0.25">
      <c r="A355" s="204" t="s">
        <v>637</v>
      </c>
      <c r="B355" s="71"/>
      <c r="C355" s="71"/>
      <c r="D355" s="72">
        <f>SUMIF('Purchase Register'!C:C, A355, 'Purchase Register'!G:G)</f>
        <v>54</v>
      </c>
      <c r="E355" s="191">
        <v>60</v>
      </c>
      <c r="F355" s="74">
        <f>SUMIF('Sales Register'!C:C, A355, 'Sales Register'!D:D)</f>
        <v>0</v>
      </c>
      <c r="G355" s="74">
        <f t="shared" si="32"/>
        <v>0</v>
      </c>
      <c r="H355" s="74">
        <f t="shared" si="33"/>
        <v>0</v>
      </c>
      <c r="I355" s="74">
        <f t="shared" si="34"/>
        <v>0</v>
      </c>
      <c r="J355" s="74">
        <f t="shared" si="35"/>
        <v>0</v>
      </c>
      <c r="K355" s="134" t="str">
        <f t="shared" ref="K355:K370" si="38">IF(E355&lt;=D355, "NO PROFIT", IF((E355-D355)/D355 &gt;= 1, "100% or More", TEXT(_xlfn.FLOOR.MATH((E355-D355)/D355, 0.01), "0%")))</f>
        <v>11%</v>
      </c>
      <c r="L355" s="73"/>
      <c r="M355" s="99">
        <f t="shared" si="36"/>
        <v>0.1111111111111111</v>
      </c>
      <c r="N355" s="73">
        <f>VLOOKUP(A355, 'Stock Register'!A:F, 6, FALSE)</f>
        <v>2</v>
      </c>
    </row>
    <row r="356" spans="1:14" s="75" customFormat="1" hidden="1" x14ac:dyDescent="0.25">
      <c r="A356" s="204" t="s">
        <v>638</v>
      </c>
      <c r="B356" s="71"/>
      <c r="C356" s="71"/>
      <c r="D356" s="72">
        <f>SUMIF('Purchase Register'!C:C, A356, 'Purchase Register'!G:G)</f>
        <v>27</v>
      </c>
      <c r="E356" s="191">
        <v>30</v>
      </c>
      <c r="F356" s="74">
        <f>SUMIF('Sales Register'!C:C, A356, 'Sales Register'!D:D)</f>
        <v>12</v>
      </c>
      <c r="G356" s="74">
        <f t="shared" si="32"/>
        <v>360</v>
      </c>
      <c r="H356" s="74">
        <f t="shared" si="33"/>
        <v>324</v>
      </c>
      <c r="I356" s="74">
        <f t="shared" si="34"/>
        <v>36</v>
      </c>
      <c r="J356" s="74">
        <f t="shared" si="35"/>
        <v>0.1</v>
      </c>
      <c r="K356" s="134" t="str">
        <f t="shared" si="38"/>
        <v>11%</v>
      </c>
      <c r="L356" s="73"/>
      <c r="M356" s="99">
        <f t="shared" si="36"/>
        <v>0.1111111111111111</v>
      </c>
      <c r="N356" s="34">
        <f>VLOOKUP(A356, 'Stock Register'!A:F, 6, FALSE)</f>
        <v>-4</v>
      </c>
    </row>
    <row r="357" spans="1:14" ht="30.6" hidden="1" customHeight="1" x14ac:dyDescent="0.25">
      <c r="A357" s="205" t="s">
        <v>639</v>
      </c>
      <c r="D357" s="29">
        <f>SUMIF('Purchase Register'!C:C, A357, 'Purchase Register'!G:G)</f>
        <v>1.6666666666666667</v>
      </c>
      <c r="E357" s="190">
        <v>2</v>
      </c>
      <c r="F357" s="60">
        <f>SUMIF('Sales Register'!C:C, A357, 'Sales Register'!D:D)</f>
        <v>115</v>
      </c>
      <c r="G357" s="60">
        <f t="shared" si="32"/>
        <v>230</v>
      </c>
      <c r="H357" s="60">
        <f t="shared" si="33"/>
        <v>191.66666666666669</v>
      </c>
      <c r="I357" s="60">
        <f t="shared" si="34"/>
        <v>38.333333333333314</v>
      </c>
      <c r="J357" s="60">
        <f t="shared" si="35"/>
        <v>0.16666666666666657</v>
      </c>
      <c r="K357" s="35" t="str">
        <f t="shared" si="38"/>
        <v>20%</v>
      </c>
      <c r="M357" s="30">
        <f t="shared" si="36"/>
        <v>0.19999999999999996</v>
      </c>
      <c r="N357" s="34">
        <f>VLOOKUP(A357, 'Stock Register'!A:F, 6, FALSE)</f>
        <v>29</v>
      </c>
    </row>
    <row r="358" spans="1:14" ht="30" hidden="1" x14ac:dyDescent="0.25">
      <c r="A358" s="205" t="s">
        <v>640</v>
      </c>
      <c r="D358" s="29">
        <f>SUMIF('Purchase Register'!C:C, A358, 'Purchase Register'!G:G)</f>
        <v>4.666666666666667</v>
      </c>
      <c r="E358" s="190">
        <v>5</v>
      </c>
      <c r="F358" s="60">
        <f>SUMIF('Sales Register'!C:C, A358, 'Sales Register'!D:D)</f>
        <v>12</v>
      </c>
      <c r="G358" s="60">
        <f t="shared" si="32"/>
        <v>60</v>
      </c>
      <c r="H358" s="60">
        <f t="shared" si="33"/>
        <v>56</v>
      </c>
      <c r="I358" s="60">
        <f t="shared" si="34"/>
        <v>4</v>
      </c>
      <c r="J358" s="60">
        <f t="shared" si="35"/>
        <v>6.6666666666666666E-2</v>
      </c>
      <c r="K358" s="35" t="str">
        <f t="shared" si="38"/>
        <v>7%</v>
      </c>
      <c r="M358" s="30">
        <f t="shared" si="36"/>
        <v>7.1428571428571355E-2</v>
      </c>
      <c r="N358" s="34">
        <f>VLOOKUP(A358, 'Stock Register'!A:F, 6, FALSE)</f>
        <v>3</v>
      </c>
    </row>
    <row r="359" spans="1:14" s="75" customFormat="1" ht="30" hidden="1" x14ac:dyDescent="0.25">
      <c r="A359" s="204" t="s">
        <v>641</v>
      </c>
      <c r="B359" s="71"/>
      <c r="C359" s="71"/>
      <c r="D359" s="72">
        <f>SUMIF('Purchase Register'!C:C, A359, 'Purchase Register'!G:G)</f>
        <v>190</v>
      </c>
      <c r="E359" s="191">
        <v>205</v>
      </c>
      <c r="F359" s="74">
        <f>SUMIF('Sales Register'!C:C, A359, 'Sales Register'!D:D)</f>
        <v>3</v>
      </c>
      <c r="G359" s="74">
        <f t="shared" si="32"/>
        <v>615</v>
      </c>
      <c r="H359" s="74">
        <f t="shared" si="33"/>
        <v>570</v>
      </c>
      <c r="I359" s="74">
        <f t="shared" si="34"/>
        <v>45</v>
      </c>
      <c r="J359" s="74">
        <f t="shared" si="35"/>
        <v>7.3170731707317069E-2</v>
      </c>
      <c r="K359" s="134" t="str">
        <f t="shared" si="38"/>
        <v>7%</v>
      </c>
      <c r="L359" s="73"/>
      <c r="M359" s="99">
        <f t="shared" si="36"/>
        <v>7.8947368421052627E-2</v>
      </c>
      <c r="N359" s="73">
        <f>VLOOKUP(A359, 'Stock Register'!A:F, 6, FALSE)</f>
        <v>-1</v>
      </c>
    </row>
    <row r="360" spans="1:14" ht="30" hidden="1" x14ac:dyDescent="0.25">
      <c r="A360" s="205" t="s">
        <v>642</v>
      </c>
      <c r="D360" s="29">
        <f>SUMIF('Purchase Register'!C:C, A360, 'Purchase Register'!G:G)</f>
        <v>67.5</v>
      </c>
      <c r="E360" s="190">
        <v>85</v>
      </c>
      <c r="F360" s="60">
        <f>SUMIF('Sales Register'!C:C, A360, 'Sales Register'!D:D)</f>
        <v>5</v>
      </c>
      <c r="G360" s="60">
        <f t="shared" si="32"/>
        <v>425</v>
      </c>
      <c r="H360" s="60">
        <f t="shared" si="33"/>
        <v>337.5</v>
      </c>
      <c r="I360" s="60">
        <f t="shared" si="34"/>
        <v>87.5</v>
      </c>
      <c r="J360" s="60">
        <f t="shared" si="35"/>
        <v>0.20588235294117646</v>
      </c>
      <c r="K360" s="35" t="str">
        <f t="shared" si="38"/>
        <v>25%</v>
      </c>
      <c r="M360" s="30">
        <f t="shared" si="36"/>
        <v>0.25925925925925924</v>
      </c>
      <c r="N360" s="34">
        <f>VLOOKUP(A360, 'Stock Register'!A:F, 6, FALSE)</f>
        <v>-1</v>
      </c>
    </row>
    <row r="361" spans="1:14" s="75" customFormat="1" hidden="1" x14ac:dyDescent="0.25">
      <c r="A361" s="204" t="s">
        <v>643</v>
      </c>
      <c r="B361" s="71"/>
      <c r="C361" s="71"/>
      <c r="D361" s="72">
        <f>SUMIF('Purchase Register'!C:C, A361, 'Purchase Register'!G:G)</f>
        <v>9</v>
      </c>
      <c r="E361" s="191">
        <v>10</v>
      </c>
      <c r="F361" s="74">
        <f>SUMIF('Sales Register'!C:C, A361, 'Sales Register'!D:D)</f>
        <v>12</v>
      </c>
      <c r="G361" s="74">
        <f t="shared" si="32"/>
        <v>120</v>
      </c>
      <c r="H361" s="74">
        <f t="shared" si="33"/>
        <v>108</v>
      </c>
      <c r="I361" s="74">
        <f t="shared" si="34"/>
        <v>12</v>
      </c>
      <c r="J361" s="74">
        <f t="shared" si="35"/>
        <v>0.1</v>
      </c>
      <c r="K361" s="134" t="str">
        <f t="shared" si="38"/>
        <v>11%</v>
      </c>
      <c r="L361" s="73"/>
      <c r="M361" s="99">
        <f t="shared" si="36"/>
        <v>0.1111111111111111</v>
      </c>
      <c r="N361" s="73">
        <f>VLOOKUP(A361, 'Stock Register'!A:F, 6, FALSE)</f>
        <v>0</v>
      </c>
    </row>
    <row r="362" spans="1:14" hidden="1" x14ac:dyDescent="0.25">
      <c r="A362" s="205" t="s">
        <v>644</v>
      </c>
      <c r="D362" s="29">
        <f>SUMIF('Purchase Register'!C:C, A362, 'Purchase Register'!G:G)</f>
        <v>220</v>
      </c>
      <c r="E362" s="190">
        <v>230</v>
      </c>
      <c r="F362" s="60">
        <f>SUMIF('Sales Register'!C:C, A362, 'Sales Register'!D:D)</f>
        <v>1</v>
      </c>
      <c r="G362" s="60">
        <f t="shared" si="32"/>
        <v>230</v>
      </c>
      <c r="H362" s="60">
        <f t="shared" si="33"/>
        <v>220</v>
      </c>
      <c r="I362" s="60">
        <f t="shared" si="34"/>
        <v>10</v>
      </c>
      <c r="J362" s="60">
        <f t="shared" si="35"/>
        <v>4.3478260869565216E-2</v>
      </c>
      <c r="K362" s="35" t="str">
        <f t="shared" si="38"/>
        <v>4%</v>
      </c>
      <c r="M362" s="30">
        <f t="shared" si="36"/>
        <v>4.5454545454545456E-2</v>
      </c>
      <c r="N362" s="34">
        <f>VLOOKUP(A362, 'Stock Register'!A:F, 6, FALSE)</f>
        <v>0</v>
      </c>
    </row>
    <row r="363" spans="1:14" s="75" customFormat="1" hidden="1" x14ac:dyDescent="0.25">
      <c r="A363" s="204" t="s">
        <v>645</v>
      </c>
      <c r="B363" s="71"/>
      <c r="C363" s="71"/>
      <c r="D363" s="72">
        <f>SUMIF('Purchase Register'!C:C, A363, 'Purchase Register'!G:G)</f>
        <v>9.1666666666666661</v>
      </c>
      <c r="E363" s="191">
        <v>10</v>
      </c>
      <c r="F363" s="74">
        <f>SUMIF('Sales Register'!C:C, A363, 'Sales Register'!D:D)</f>
        <v>7</v>
      </c>
      <c r="G363" s="74">
        <f t="shared" si="32"/>
        <v>70</v>
      </c>
      <c r="H363" s="74">
        <f t="shared" si="33"/>
        <v>64.166666666666657</v>
      </c>
      <c r="I363" s="74">
        <f t="shared" si="34"/>
        <v>5.8333333333333428</v>
      </c>
      <c r="J363" s="74">
        <f t="shared" si="35"/>
        <v>8.3333333333333467E-2</v>
      </c>
      <c r="K363" s="134" t="str">
        <f t="shared" si="38"/>
        <v>9%</v>
      </c>
      <c r="L363" s="73"/>
      <c r="M363" s="99">
        <f t="shared" si="36"/>
        <v>9.0909090909090981E-2</v>
      </c>
      <c r="N363" s="73">
        <f>VLOOKUP(A363, 'Stock Register'!A:F, 6, FALSE)</f>
        <v>-1</v>
      </c>
    </row>
    <row r="364" spans="1:14" ht="30" hidden="1" x14ac:dyDescent="0.25">
      <c r="A364" s="205" t="s">
        <v>646</v>
      </c>
      <c r="D364" s="29">
        <f>SUMIF('Purchase Register'!C:C, A364, 'Purchase Register'!G:G)</f>
        <v>3.6666666666666665</v>
      </c>
      <c r="E364" s="190">
        <v>4</v>
      </c>
      <c r="F364" s="60">
        <f>SUMIF('Sales Register'!C:C, A364, 'Sales Register'!D:D)</f>
        <v>14</v>
      </c>
      <c r="G364" s="60">
        <f t="shared" si="32"/>
        <v>56</v>
      </c>
      <c r="H364" s="60">
        <f t="shared" si="33"/>
        <v>51.333333333333329</v>
      </c>
      <c r="I364" s="60">
        <f t="shared" si="34"/>
        <v>4.6666666666666714</v>
      </c>
      <c r="J364" s="60">
        <f t="shared" si="35"/>
        <v>8.3333333333333412E-2</v>
      </c>
      <c r="K364" s="35" t="str">
        <f t="shared" si="38"/>
        <v>9%</v>
      </c>
      <c r="M364" s="30">
        <f t="shared" si="36"/>
        <v>9.0909090909090953E-2</v>
      </c>
      <c r="N364" s="34">
        <f>VLOOKUP(A364, 'Stock Register'!A:F, 6, FALSE)</f>
        <v>16</v>
      </c>
    </row>
    <row r="365" spans="1:14" s="75" customFormat="1" hidden="1" x14ac:dyDescent="0.25">
      <c r="A365" s="204" t="s">
        <v>647</v>
      </c>
      <c r="B365" s="71"/>
      <c r="C365" s="71"/>
      <c r="D365" s="72">
        <f>SUMIF('Purchase Register'!C:C, A365, 'Purchase Register'!G:G)</f>
        <v>4.5</v>
      </c>
      <c r="E365" s="191">
        <v>5</v>
      </c>
      <c r="F365" s="74">
        <f>SUMIF('Sales Register'!C:C, A365, 'Sales Register'!D:D)</f>
        <v>6</v>
      </c>
      <c r="G365" s="74">
        <f t="shared" si="32"/>
        <v>30</v>
      </c>
      <c r="H365" s="74">
        <f t="shared" si="33"/>
        <v>27</v>
      </c>
      <c r="I365" s="74">
        <f t="shared" si="34"/>
        <v>3</v>
      </c>
      <c r="J365" s="74">
        <f t="shared" si="35"/>
        <v>0.1</v>
      </c>
      <c r="K365" s="134" t="str">
        <f t="shared" si="38"/>
        <v>11%</v>
      </c>
      <c r="L365" s="73"/>
      <c r="M365" s="99">
        <f t="shared" si="36"/>
        <v>0.1111111111111111</v>
      </c>
      <c r="N365" s="73">
        <f>VLOOKUP(A365, 'Stock Register'!A:F, 6, FALSE)</f>
        <v>0</v>
      </c>
    </row>
    <row r="366" spans="1:14" s="75" customFormat="1" hidden="1" x14ac:dyDescent="0.25">
      <c r="A366" s="204" t="s">
        <v>648</v>
      </c>
      <c r="B366" s="71"/>
      <c r="C366" s="71"/>
      <c r="D366" s="72">
        <f>SUMIF('Purchase Register'!C:C, A366, 'Purchase Register'!G:G)</f>
        <v>9.1666666666666661</v>
      </c>
      <c r="E366" s="191">
        <v>10</v>
      </c>
      <c r="F366" s="74">
        <f>SUMIF('Sales Register'!C:C, A366, 'Sales Register'!D:D)</f>
        <v>6</v>
      </c>
      <c r="G366" s="74">
        <f t="shared" si="32"/>
        <v>60</v>
      </c>
      <c r="H366" s="74">
        <f t="shared" si="33"/>
        <v>55</v>
      </c>
      <c r="I366" s="74">
        <f t="shared" si="34"/>
        <v>5</v>
      </c>
      <c r="J366" s="74">
        <f t="shared" si="35"/>
        <v>8.3333333333333329E-2</v>
      </c>
      <c r="K366" s="134" t="str">
        <f t="shared" si="38"/>
        <v>9%</v>
      </c>
      <c r="L366" s="73"/>
      <c r="M366" s="99">
        <f t="shared" si="36"/>
        <v>9.0909090909090981E-2</v>
      </c>
      <c r="N366" s="73">
        <f>VLOOKUP(A366, 'Stock Register'!A:F, 6, FALSE)</f>
        <v>0</v>
      </c>
    </row>
    <row r="367" spans="1:14" hidden="1" x14ac:dyDescent="0.25">
      <c r="A367" s="205" t="s">
        <v>649</v>
      </c>
      <c r="D367" s="29">
        <f>SUMIF('Purchase Register'!C:C, A367, 'Purchase Register'!G:G)</f>
        <v>4.5</v>
      </c>
      <c r="E367" s="190">
        <v>5</v>
      </c>
      <c r="F367" s="60">
        <f>SUMIF('Sales Register'!C:C, A367, 'Sales Register'!D:D)</f>
        <v>20</v>
      </c>
      <c r="G367" s="60">
        <f t="shared" si="32"/>
        <v>100</v>
      </c>
      <c r="H367" s="60">
        <f t="shared" si="33"/>
        <v>90</v>
      </c>
      <c r="I367" s="60">
        <f t="shared" si="34"/>
        <v>10</v>
      </c>
      <c r="J367" s="60">
        <f t="shared" si="35"/>
        <v>0.1</v>
      </c>
      <c r="K367" s="35" t="str">
        <f t="shared" si="38"/>
        <v>11%</v>
      </c>
      <c r="M367" s="30">
        <f t="shared" si="36"/>
        <v>0.1111111111111111</v>
      </c>
      <c r="N367" s="34">
        <f>VLOOKUP(A367, 'Stock Register'!A:F, 6, FALSE)</f>
        <v>0</v>
      </c>
    </row>
    <row r="368" spans="1:14" s="75" customFormat="1" hidden="1" x14ac:dyDescent="0.25">
      <c r="A368" s="204" t="s">
        <v>684</v>
      </c>
      <c r="B368" s="71"/>
      <c r="C368" s="71"/>
      <c r="D368" s="72">
        <v>9.07</v>
      </c>
      <c r="E368" s="191">
        <v>9.5</v>
      </c>
      <c r="F368" s="74">
        <f>SUMIF('Sales Register'!C:C, A368, 'Sales Register'!D:D)</f>
        <v>108</v>
      </c>
      <c r="G368" s="74">
        <f t="shared" si="32"/>
        <v>1026</v>
      </c>
      <c r="H368" s="74">
        <f t="shared" si="33"/>
        <v>979.56000000000006</v>
      </c>
      <c r="I368" s="74">
        <f t="shared" si="34"/>
        <v>46.439999999999941</v>
      </c>
      <c r="J368" s="74">
        <f t="shared" si="35"/>
        <v>4.5263157894736783E-2</v>
      </c>
      <c r="K368" s="134" t="str">
        <f t="shared" si="38"/>
        <v>4%</v>
      </c>
      <c r="L368" s="73"/>
      <c r="M368" s="99">
        <f t="shared" si="36"/>
        <v>4.7409040793825769E-2</v>
      </c>
      <c r="N368" s="73">
        <f>VLOOKUP(A368, 'Stock Register'!A:F, 6, FALSE)</f>
        <v>0</v>
      </c>
    </row>
    <row r="369" spans="1:14" s="75" customFormat="1" hidden="1" x14ac:dyDescent="0.25">
      <c r="A369" s="204" t="s">
        <v>651</v>
      </c>
      <c r="B369" s="71"/>
      <c r="C369" s="71"/>
      <c r="D369" s="72">
        <v>7.66</v>
      </c>
      <c r="E369" s="191">
        <v>9</v>
      </c>
      <c r="F369" s="74">
        <f>SUMIF('Sales Register'!C:C, A369, 'Sales Register'!D:D)</f>
        <v>70</v>
      </c>
      <c r="G369" s="74">
        <f t="shared" si="32"/>
        <v>630</v>
      </c>
      <c r="H369" s="74">
        <f t="shared" si="33"/>
        <v>536.20000000000005</v>
      </c>
      <c r="I369" s="74">
        <f t="shared" si="34"/>
        <v>93.799999999999955</v>
      </c>
      <c r="J369" s="74">
        <f t="shared" si="35"/>
        <v>0.14888888888888882</v>
      </c>
      <c r="K369" s="134" t="str">
        <f t="shared" si="38"/>
        <v>17%</v>
      </c>
      <c r="L369" s="73"/>
      <c r="M369" s="99">
        <f t="shared" si="36"/>
        <v>0.17493472584856395</v>
      </c>
      <c r="N369" s="34">
        <f>VLOOKUP(A369, 'Stock Register'!A:F, 6, FALSE)</f>
        <v>-40</v>
      </c>
    </row>
    <row r="370" spans="1:14" s="75" customFormat="1" hidden="1" x14ac:dyDescent="0.25">
      <c r="A370" s="204" t="s">
        <v>608</v>
      </c>
      <c r="B370" s="71"/>
      <c r="C370" s="71"/>
      <c r="D370" s="72">
        <v>9</v>
      </c>
      <c r="E370" s="191">
        <v>10</v>
      </c>
      <c r="F370" s="74">
        <f>SUMIF('Sales Register'!C:C, A370, 'Sales Register'!D:D)</f>
        <v>3</v>
      </c>
      <c r="G370" s="74">
        <f t="shared" si="32"/>
        <v>30</v>
      </c>
      <c r="H370" s="74">
        <f t="shared" si="33"/>
        <v>27</v>
      </c>
      <c r="I370" s="74">
        <f t="shared" si="34"/>
        <v>3</v>
      </c>
      <c r="J370" s="74">
        <f t="shared" si="35"/>
        <v>0.1</v>
      </c>
      <c r="K370" s="134" t="str">
        <f t="shared" si="38"/>
        <v>11%</v>
      </c>
      <c r="L370" s="73"/>
      <c r="M370" s="99">
        <f t="shared" si="36"/>
        <v>0.1111111111111111</v>
      </c>
      <c r="N370" s="73">
        <f>VLOOKUP(A370, 'Stock Register'!A:F, 6, FALSE)</f>
        <v>0</v>
      </c>
    </row>
    <row r="371" spans="1:14" s="75" customFormat="1" ht="30" hidden="1" x14ac:dyDescent="0.25">
      <c r="A371" s="204" t="s">
        <v>652</v>
      </c>
      <c r="B371" s="71"/>
      <c r="C371" s="71"/>
      <c r="D371" s="72">
        <f>SUMIF('Purchase Register'!C:C, A371, 'Purchase Register'!G:G)</f>
        <v>18</v>
      </c>
      <c r="E371" s="191">
        <v>20</v>
      </c>
      <c r="F371" s="74">
        <f>SUMIF('Sales Register'!C:C, A371, 'Sales Register'!D:D)</f>
        <v>9</v>
      </c>
      <c r="G371" s="74">
        <f t="shared" si="32"/>
        <v>180</v>
      </c>
      <c r="H371" s="74">
        <f t="shared" si="33"/>
        <v>162</v>
      </c>
      <c r="I371" s="74">
        <f t="shared" si="34"/>
        <v>18</v>
      </c>
      <c r="J371" s="74">
        <f t="shared" si="35"/>
        <v>0.1</v>
      </c>
      <c r="K371" s="134" t="str">
        <f t="shared" ref="K371:K434" si="39">IF(E371&lt;=D371, "NO PROFIT", IF((E371-D371)/D371 &gt;= 1, "100% or More", TEXT(_xlfn.FLOOR.MATH((E371-D371)/D371, 0.01), "0%")))</f>
        <v>11%</v>
      </c>
      <c r="L371" s="73"/>
      <c r="M371" s="99">
        <f t="shared" si="36"/>
        <v>0.1111111111111111</v>
      </c>
      <c r="N371" s="73">
        <f>VLOOKUP(A371, 'Stock Register'!A:F, 6, FALSE)</f>
        <v>1</v>
      </c>
    </row>
    <row r="372" spans="1:14" s="75" customFormat="1" hidden="1" x14ac:dyDescent="0.25">
      <c r="A372" s="204" t="s">
        <v>560</v>
      </c>
      <c r="B372" s="71"/>
      <c r="C372" s="71"/>
      <c r="D372" s="72">
        <v>9.16</v>
      </c>
      <c r="E372" s="191">
        <v>10</v>
      </c>
      <c r="F372" s="74">
        <f>SUMIF('Sales Register'!C:C, A372, 'Sales Register'!D:D)</f>
        <v>16</v>
      </c>
      <c r="G372" s="74">
        <f t="shared" si="32"/>
        <v>160</v>
      </c>
      <c r="H372" s="74">
        <f t="shared" si="33"/>
        <v>146.56</v>
      </c>
      <c r="I372" s="74">
        <f t="shared" si="34"/>
        <v>13.439999999999998</v>
      </c>
      <c r="J372" s="74">
        <f t="shared" si="35"/>
        <v>8.3999999999999991E-2</v>
      </c>
      <c r="K372" s="134" t="str">
        <f t="shared" si="39"/>
        <v>9%</v>
      </c>
      <c r="L372" s="73"/>
      <c r="M372" s="99">
        <f t="shared" si="36"/>
        <v>9.170305676855893E-2</v>
      </c>
      <c r="N372" s="73">
        <f>VLOOKUP(A372, 'Stock Register'!A:F, 6, FALSE)</f>
        <v>-4</v>
      </c>
    </row>
    <row r="373" spans="1:14" s="75" customFormat="1" ht="30" hidden="1" x14ac:dyDescent="0.25">
      <c r="A373" s="204" t="s">
        <v>653</v>
      </c>
      <c r="B373" s="71"/>
      <c r="C373" s="71">
        <v>120</v>
      </c>
      <c r="D373" s="72">
        <f>SUMIF('Purchase Register'!C:C, A373, 'Purchase Register'!G:G)</f>
        <v>88</v>
      </c>
      <c r="E373" s="191">
        <v>95</v>
      </c>
      <c r="F373" s="74">
        <f>SUMIF('Sales Register'!C:C, A373, 'Sales Register'!D:D)</f>
        <v>6</v>
      </c>
      <c r="G373" s="74">
        <f t="shared" si="32"/>
        <v>570</v>
      </c>
      <c r="H373" s="74">
        <f t="shared" si="33"/>
        <v>528</v>
      </c>
      <c r="I373" s="74">
        <f t="shared" si="34"/>
        <v>42</v>
      </c>
      <c r="J373" s="74">
        <f t="shared" si="35"/>
        <v>7.3684210526315783E-2</v>
      </c>
      <c r="K373" s="134" t="str">
        <f t="shared" si="39"/>
        <v>7%</v>
      </c>
      <c r="L373" s="73"/>
      <c r="M373" s="99">
        <f t="shared" si="36"/>
        <v>7.9545454545454544E-2</v>
      </c>
      <c r="N373" s="73">
        <f>VLOOKUP(A373, 'Stock Register'!A:F, 6, FALSE)</f>
        <v>0</v>
      </c>
    </row>
    <row r="374" spans="1:14" s="75" customFormat="1" hidden="1" x14ac:dyDescent="0.25">
      <c r="A374" s="204" t="s">
        <v>654</v>
      </c>
      <c r="B374" s="71"/>
      <c r="C374" s="71">
        <v>100</v>
      </c>
      <c r="D374" s="72">
        <f>SUMIF('Purchase Register'!C:C, A374, 'Purchase Register'!G:G)</f>
        <v>75</v>
      </c>
      <c r="E374" s="191">
        <v>85</v>
      </c>
      <c r="F374" s="74">
        <f>SUMIF('Sales Register'!C:C, A374, 'Sales Register'!D:D)</f>
        <v>3</v>
      </c>
      <c r="G374" s="74">
        <f t="shared" ref="G374:G437" si="40">E374*F374</f>
        <v>255</v>
      </c>
      <c r="H374" s="74">
        <f t="shared" si="33"/>
        <v>225</v>
      </c>
      <c r="I374" s="74">
        <f t="shared" si="34"/>
        <v>30</v>
      </c>
      <c r="J374" s="74">
        <f t="shared" si="35"/>
        <v>0.11764705882352941</v>
      </c>
      <c r="K374" s="134" t="str">
        <f t="shared" si="39"/>
        <v>13%</v>
      </c>
      <c r="L374" s="73"/>
      <c r="M374" s="99">
        <f t="shared" si="36"/>
        <v>0.13333333333333333</v>
      </c>
      <c r="N374" s="73">
        <f>VLOOKUP(A374, 'Stock Register'!A:F, 6, FALSE)</f>
        <v>0</v>
      </c>
    </row>
    <row r="375" spans="1:14" ht="30" hidden="1" x14ac:dyDescent="0.25">
      <c r="A375" s="205" t="s">
        <v>655</v>
      </c>
      <c r="D375" s="29">
        <f>SUMIF('Purchase Register'!C:C, A375, 'Purchase Register'!G:G)</f>
        <v>10.4</v>
      </c>
      <c r="E375" s="190">
        <v>19</v>
      </c>
      <c r="F375" s="60">
        <f>SUMIF('Sales Register'!C:C, A375, 'Sales Register'!D:D)</f>
        <v>11</v>
      </c>
      <c r="G375" s="60">
        <f t="shared" si="40"/>
        <v>209</v>
      </c>
      <c r="H375" s="60">
        <f t="shared" si="33"/>
        <v>114.4</v>
      </c>
      <c r="I375" s="60">
        <f t="shared" si="34"/>
        <v>94.6</v>
      </c>
      <c r="J375" s="60">
        <f t="shared" si="35"/>
        <v>0.45263157894736838</v>
      </c>
      <c r="K375" s="35" t="str">
        <f t="shared" si="39"/>
        <v>82%</v>
      </c>
      <c r="M375" s="30">
        <f t="shared" si="36"/>
        <v>0.82692307692307687</v>
      </c>
      <c r="N375" s="34">
        <f>VLOOKUP(A375, 'Stock Register'!A:F, 6, FALSE)</f>
        <v>39</v>
      </c>
    </row>
    <row r="376" spans="1:14" hidden="1" x14ac:dyDescent="0.25">
      <c r="A376" s="205" t="s">
        <v>661</v>
      </c>
      <c r="D376" s="29">
        <f>SUMIF('Purchase Register'!C:C, A376, 'Purchase Register'!G:G)</f>
        <v>47.115384615384613</v>
      </c>
      <c r="E376" s="190">
        <v>50</v>
      </c>
      <c r="F376" s="60">
        <f>SUMIF('Sales Register'!C:C, A376, 'Sales Register'!D:D)</f>
        <v>26</v>
      </c>
      <c r="G376" s="60">
        <f t="shared" si="40"/>
        <v>1300</v>
      </c>
      <c r="H376" s="60">
        <f t="shared" si="33"/>
        <v>1225</v>
      </c>
      <c r="I376" s="60">
        <f t="shared" si="34"/>
        <v>75</v>
      </c>
      <c r="J376" s="60">
        <f t="shared" si="35"/>
        <v>5.7692307692307696E-2</v>
      </c>
      <c r="K376" s="35" t="str">
        <f t="shared" si="39"/>
        <v>6%</v>
      </c>
      <c r="M376" s="30">
        <f t="shared" si="36"/>
        <v>6.1224489795918415E-2</v>
      </c>
      <c r="N376" s="34">
        <f>VLOOKUP(A376, 'Stock Register'!A:F, 6, FALSE)</f>
        <v>0</v>
      </c>
    </row>
    <row r="377" spans="1:14" s="75" customFormat="1" ht="30" hidden="1" x14ac:dyDescent="0.25">
      <c r="A377" s="204" t="s">
        <v>662</v>
      </c>
      <c r="B377" s="71"/>
      <c r="C377" s="71"/>
      <c r="D377" s="72">
        <f>SUMIF('Purchase Register'!C:C, A377, 'Purchase Register'!G:G)</f>
        <v>49.230769230769234</v>
      </c>
      <c r="E377" s="191">
        <v>55</v>
      </c>
      <c r="F377" s="74">
        <f>SUMIF('Sales Register'!C:C, A377, 'Sales Register'!D:D)</f>
        <v>29.981999999999999</v>
      </c>
      <c r="G377" s="74">
        <f t="shared" si="40"/>
        <v>1649.01</v>
      </c>
      <c r="H377" s="74">
        <f t="shared" si="33"/>
        <v>1476.0369230769231</v>
      </c>
      <c r="I377" s="74">
        <f t="shared" si="34"/>
        <v>172.97307692307686</v>
      </c>
      <c r="J377" s="74">
        <f t="shared" si="35"/>
        <v>0.10489510489510485</v>
      </c>
      <c r="K377" s="134" t="str">
        <f t="shared" si="39"/>
        <v>11%</v>
      </c>
      <c r="L377" s="73"/>
      <c r="M377" s="99">
        <f t="shared" si="36"/>
        <v>0.11718749999999994</v>
      </c>
      <c r="N377" s="73">
        <f>VLOOKUP(A377, 'Stock Register'!A:F, 6, FALSE)</f>
        <v>-3.9819999999999993</v>
      </c>
    </row>
    <row r="378" spans="1:14" s="75" customFormat="1" hidden="1" x14ac:dyDescent="0.25">
      <c r="A378" s="204" t="s">
        <v>664</v>
      </c>
      <c r="B378" s="71"/>
      <c r="C378" s="71"/>
      <c r="D378" s="72">
        <f>SUMIF('Purchase Register'!C:C, A378, 'Purchase Register'!G:G)</f>
        <v>7.666666666666667</v>
      </c>
      <c r="E378" s="191">
        <v>9</v>
      </c>
      <c r="F378" s="74">
        <f>SUMIF('Sales Register'!C:C, A378, 'Sales Register'!D:D)</f>
        <v>30</v>
      </c>
      <c r="G378" s="74">
        <f t="shared" si="40"/>
        <v>270</v>
      </c>
      <c r="H378" s="74">
        <f t="shared" si="33"/>
        <v>230</v>
      </c>
      <c r="I378" s="74">
        <f t="shared" si="34"/>
        <v>40</v>
      </c>
      <c r="J378" s="74">
        <f t="shared" si="35"/>
        <v>0.14814814814814814</v>
      </c>
      <c r="K378" s="134" t="str">
        <f t="shared" si="39"/>
        <v>17%</v>
      </c>
      <c r="L378" s="73"/>
      <c r="M378" s="99">
        <f t="shared" si="36"/>
        <v>0.17391304347826084</v>
      </c>
      <c r="N378" s="34">
        <f>VLOOKUP(A378, 'Stock Register'!A:F, 6, FALSE)</f>
        <v>0</v>
      </c>
    </row>
    <row r="379" spans="1:14" s="75" customFormat="1" hidden="1" x14ac:dyDescent="0.25">
      <c r="A379" s="204" t="s">
        <v>665</v>
      </c>
      <c r="B379" s="71"/>
      <c r="C379" s="71"/>
      <c r="D379" s="72">
        <f>SUMIF('Purchase Register'!C:C, A379, 'Purchase Register'!G:G)</f>
        <v>14.444444444444445</v>
      </c>
      <c r="E379" s="191">
        <v>20</v>
      </c>
      <c r="F379" s="74">
        <f>SUMIF('Sales Register'!C:C, A379, 'Sales Register'!D:D)</f>
        <v>11</v>
      </c>
      <c r="G379" s="74">
        <f t="shared" si="40"/>
        <v>220</v>
      </c>
      <c r="H379" s="74">
        <f t="shared" si="33"/>
        <v>158.88888888888889</v>
      </c>
      <c r="I379" s="74">
        <f t="shared" si="34"/>
        <v>61.111111111111114</v>
      </c>
      <c r="J379" s="74">
        <f t="shared" si="35"/>
        <v>0.27777777777777779</v>
      </c>
      <c r="K379" s="134" t="str">
        <f t="shared" si="39"/>
        <v>38%</v>
      </c>
      <c r="L379" s="73"/>
      <c r="M379" s="99">
        <f t="shared" si="36"/>
        <v>0.38461538461538458</v>
      </c>
      <c r="N379" s="73">
        <f>VLOOKUP(A379, 'Stock Register'!A:F, 6, FALSE)</f>
        <v>-2</v>
      </c>
    </row>
    <row r="380" spans="1:14" s="75" customFormat="1" hidden="1" x14ac:dyDescent="0.25">
      <c r="A380" s="204" t="s">
        <v>666</v>
      </c>
      <c r="B380" s="71"/>
      <c r="C380" s="71"/>
      <c r="D380" s="72">
        <f>SUMIF('Purchase Register'!C:C, A380, 'Purchase Register'!G:G)</f>
        <v>9.0833333333333339</v>
      </c>
      <c r="E380" s="191">
        <v>10</v>
      </c>
      <c r="F380" s="74">
        <f>SUMIF('Sales Register'!C:C, A380, 'Sales Register'!D:D)</f>
        <v>51</v>
      </c>
      <c r="G380" s="74">
        <f t="shared" si="40"/>
        <v>510</v>
      </c>
      <c r="H380" s="74">
        <f t="shared" si="33"/>
        <v>463.25000000000006</v>
      </c>
      <c r="I380" s="74">
        <f t="shared" si="34"/>
        <v>46.749999999999943</v>
      </c>
      <c r="J380" s="74">
        <f t="shared" si="35"/>
        <v>9.1666666666666549E-2</v>
      </c>
      <c r="K380" s="134" t="str">
        <f t="shared" si="39"/>
        <v>10%</v>
      </c>
      <c r="L380" s="73"/>
      <c r="M380" s="99">
        <f t="shared" si="36"/>
        <v>0.10091743119266047</v>
      </c>
      <c r="N380" s="73">
        <f>VLOOKUP(A380, 'Stock Register'!A:F, 6, FALSE)</f>
        <v>9</v>
      </c>
    </row>
    <row r="381" spans="1:14" s="75" customFormat="1" hidden="1" x14ac:dyDescent="0.25">
      <c r="A381" s="204" t="s">
        <v>667</v>
      </c>
      <c r="B381" s="71"/>
      <c r="C381" s="71"/>
      <c r="D381" s="72">
        <f>SUMIF('Purchase Register'!C:C, A381, 'Purchase Register'!G:G)</f>
        <v>4.5</v>
      </c>
      <c r="E381" s="191">
        <v>5</v>
      </c>
      <c r="F381" s="74">
        <f>SUMIF('Sales Register'!C:C, A381, 'Sales Register'!D:D)</f>
        <v>38</v>
      </c>
      <c r="G381" s="74">
        <f t="shared" si="40"/>
        <v>190</v>
      </c>
      <c r="H381" s="74">
        <f t="shared" si="33"/>
        <v>171</v>
      </c>
      <c r="I381" s="74">
        <f t="shared" si="34"/>
        <v>19</v>
      </c>
      <c r="J381" s="74">
        <f t="shared" si="35"/>
        <v>0.1</v>
      </c>
      <c r="K381" s="134" t="str">
        <f t="shared" si="39"/>
        <v>11%</v>
      </c>
      <c r="L381" s="73"/>
      <c r="M381" s="99">
        <f t="shared" si="36"/>
        <v>0.1111111111111111</v>
      </c>
      <c r="N381" s="73">
        <f>VLOOKUP(A381, 'Stock Register'!A:F, 6, FALSE)</f>
        <v>10</v>
      </c>
    </row>
    <row r="382" spans="1:14" hidden="1" x14ac:dyDescent="0.25">
      <c r="A382" s="205" t="s">
        <v>668</v>
      </c>
      <c r="D382" s="29">
        <f>SUMIF('Purchase Register'!C:C, A382, 'Purchase Register'!G:G)</f>
        <v>4.5</v>
      </c>
      <c r="E382" s="190">
        <v>5</v>
      </c>
      <c r="F382" s="60">
        <f>SUMIF('Sales Register'!C:C, A382, 'Sales Register'!D:D)</f>
        <v>19</v>
      </c>
      <c r="G382" s="60">
        <f t="shared" si="40"/>
        <v>95</v>
      </c>
      <c r="H382" s="60">
        <f t="shared" si="33"/>
        <v>85.5</v>
      </c>
      <c r="I382" s="60">
        <f t="shared" si="34"/>
        <v>9.5</v>
      </c>
      <c r="J382" s="60">
        <f t="shared" si="35"/>
        <v>0.1</v>
      </c>
      <c r="K382" s="35" t="str">
        <f t="shared" si="39"/>
        <v>11%</v>
      </c>
      <c r="M382" s="30">
        <f t="shared" si="36"/>
        <v>0.1111111111111111</v>
      </c>
      <c r="N382" s="34">
        <f>VLOOKUP(A382, 'Stock Register'!A:F, 6, FALSE)</f>
        <v>5</v>
      </c>
    </row>
    <row r="383" spans="1:14" hidden="1" x14ac:dyDescent="0.25">
      <c r="A383" s="205" t="s">
        <v>669</v>
      </c>
      <c r="D383" s="29">
        <f>SUMIF('Purchase Register'!C:C, A383, 'Purchase Register'!G:G)</f>
        <v>4.8</v>
      </c>
      <c r="E383" s="190">
        <v>5</v>
      </c>
      <c r="F383" s="60">
        <f>SUMIF('Sales Register'!C:C, A383, 'Sales Register'!D:D)</f>
        <v>29</v>
      </c>
      <c r="G383" s="60">
        <f t="shared" si="40"/>
        <v>145</v>
      </c>
      <c r="H383" s="60">
        <f t="shared" si="33"/>
        <v>139.19999999999999</v>
      </c>
      <c r="I383" s="60">
        <f t="shared" si="34"/>
        <v>5.8000000000000114</v>
      </c>
      <c r="J383" s="60">
        <f t="shared" si="35"/>
        <v>4.0000000000000077E-2</v>
      </c>
      <c r="K383" s="35" t="str">
        <f t="shared" si="39"/>
        <v>4%</v>
      </c>
      <c r="M383" s="30">
        <f t="shared" si="36"/>
        <v>4.1666666666666706E-2</v>
      </c>
      <c r="N383" s="34">
        <f>VLOOKUP(A383, 'Stock Register'!A:F, 6, FALSE)</f>
        <v>1</v>
      </c>
    </row>
    <row r="384" spans="1:14" s="75" customFormat="1" hidden="1" x14ac:dyDescent="0.25">
      <c r="A384" s="204" t="s">
        <v>680</v>
      </c>
      <c r="B384" s="71"/>
      <c r="C384" s="71"/>
      <c r="D384" s="72">
        <v>9.16</v>
      </c>
      <c r="E384" s="191">
        <v>10</v>
      </c>
      <c r="F384" s="74">
        <f>SUMIF('Sales Register'!C:C, A384, 'Sales Register'!D:D)</f>
        <v>31</v>
      </c>
      <c r="G384" s="74">
        <f t="shared" si="40"/>
        <v>310</v>
      </c>
      <c r="H384" s="74">
        <f t="shared" si="33"/>
        <v>283.95999999999998</v>
      </c>
      <c r="I384" s="74">
        <f t="shared" si="34"/>
        <v>26.04000000000002</v>
      </c>
      <c r="J384" s="74">
        <f t="shared" si="35"/>
        <v>8.4000000000000061E-2</v>
      </c>
      <c r="K384" s="134" t="str">
        <f t="shared" si="39"/>
        <v>9%</v>
      </c>
      <c r="L384" s="73"/>
      <c r="M384" s="99">
        <f t="shared" si="36"/>
        <v>9.170305676855893E-2</v>
      </c>
      <c r="N384" s="73">
        <f>VLOOKUP(A384, 'Stock Register'!A:F, 6, FALSE)</f>
        <v>-7</v>
      </c>
    </row>
    <row r="385" spans="1:14" s="75" customFormat="1" hidden="1" x14ac:dyDescent="0.25">
      <c r="A385" s="204" t="s">
        <v>558</v>
      </c>
      <c r="B385" s="71"/>
      <c r="C385" s="71"/>
      <c r="D385" s="72">
        <v>9</v>
      </c>
      <c r="E385" s="191">
        <v>10</v>
      </c>
      <c r="F385" s="74">
        <f>SUMIF('Sales Register'!C:C, A385, 'Sales Register'!D:D)</f>
        <v>14</v>
      </c>
      <c r="G385" s="74">
        <f t="shared" si="40"/>
        <v>140</v>
      </c>
      <c r="H385" s="74">
        <f t="shared" si="33"/>
        <v>126</v>
      </c>
      <c r="I385" s="74">
        <f t="shared" si="34"/>
        <v>14</v>
      </c>
      <c r="J385" s="74">
        <f t="shared" si="35"/>
        <v>0.1</v>
      </c>
      <c r="K385" s="134" t="str">
        <f t="shared" si="39"/>
        <v>11%</v>
      </c>
      <c r="L385" s="73"/>
      <c r="M385" s="99">
        <f t="shared" si="36"/>
        <v>0.1111111111111111</v>
      </c>
      <c r="N385" s="73">
        <f>VLOOKUP(A385, 'Stock Register'!A:F, 6, FALSE)</f>
        <v>-2</v>
      </c>
    </row>
    <row r="386" spans="1:14" hidden="1" x14ac:dyDescent="0.25">
      <c r="A386" s="205" t="s">
        <v>670</v>
      </c>
      <c r="D386" s="29">
        <f>SUMIF('Purchase Register'!C:C, A386, 'Purchase Register'!G:G)</f>
        <v>9</v>
      </c>
      <c r="E386" s="190">
        <v>10</v>
      </c>
      <c r="F386" s="60">
        <f>SUMIF('Sales Register'!C:C, A386, 'Sales Register'!D:D)</f>
        <v>21</v>
      </c>
      <c r="G386" s="60">
        <f t="shared" si="40"/>
        <v>210</v>
      </c>
      <c r="H386" s="60">
        <f t="shared" ref="H386:H449" si="41">D386*F386</f>
        <v>189</v>
      </c>
      <c r="I386" s="60">
        <f t="shared" ref="I386:I449" si="42">G386-H386</f>
        <v>21</v>
      </c>
      <c r="J386" s="60">
        <f t="shared" ref="J386:J449" si="43">IF(G386=0,0,I386/G386)</f>
        <v>0.1</v>
      </c>
      <c r="K386" s="35" t="str">
        <f t="shared" si="39"/>
        <v>11%</v>
      </c>
      <c r="M386" s="30">
        <f t="shared" si="36"/>
        <v>0.1111111111111111</v>
      </c>
      <c r="N386" s="34">
        <f>VLOOKUP(A386, 'Stock Register'!A:F, 6, FALSE)</f>
        <v>9</v>
      </c>
    </row>
    <row r="387" spans="1:14" s="75" customFormat="1" hidden="1" x14ac:dyDescent="0.25">
      <c r="A387" s="204" t="s">
        <v>671</v>
      </c>
      <c r="B387" s="71"/>
      <c r="C387" s="71"/>
      <c r="D387" s="72">
        <f>SUMIF('Purchase Register'!C:C, A387, 'Purchase Register'!G:G)</f>
        <v>65</v>
      </c>
      <c r="E387" s="191">
        <v>70</v>
      </c>
      <c r="F387" s="74">
        <f>SUMIF('Sales Register'!C:C, A387, 'Sales Register'!D:D)</f>
        <v>3</v>
      </c>
      <c r="G387" s="74">
        <f t="shared" si="40"/>
        <v>210</v>
      </c>
      <c r="H387" s="74">
        <f t="shared" si="41"/>
        <v>195</v>
      </c>
      <c r="I387" s="74">
        <f t="shared" si="42"/>
        <v>15</v>
      </c>
      <c r="J387" s="74">
        <f t="shared" si="43"/>
        <v>7.1428571428571425E-2</v>
      </c>
      <c r="K387" s="134" t="str">
        <f t="shared" si="39"/>
        <v>7%</v>
      </c>
      <c r="L387" s="73"/>
      <c r="M387" s="99">
        <f t="shared" ref="M387:M500" si="44">IF(D387=0, 0, (E387-D387)/D387)</f>
        <v>7.6923076923076927E-2</v>
      </c>
      <c r="N387" s="73">
        <f>VLOOKUP(A387, 'Stock Register'!A:F, 6, FALSE)</f>
        <v>0</v>
      </c>
    </row>
    <row r="388" spans="1:14" hidden="1" x14ac:dyDescent="0.25">
      <c r="A388" s="205" t="s">
        <v>672</v>
      </c>
      <c r="D388" s="29">
        <f>SUMIF('Purchase Register'!C:C, A388, 'Purchase Register'!G:G)</f>
        <v>104</v>
      </c>
      <c r="E388" s="190">
        <v>108</v>
      </c>
      <c r="F388" s="60">
        <f>SUMIF('Sales Register'!C:C, A388, 'Sales Register'!D:D)</f>
        <v>0</v>
      </c>
      <c r="G388" s="60">
        <f t="shared" si="40"/>
        <v>0</v>
      </c>
      <c r="H388" s="60">
        <f t="shared" si="41"/>
        <v>0</v>
      </c>
      <c r="I388" s="60">
        <f t="shared" si="42"/>
        <v>0</v>
      </c>
      <c r="J388" s="60">
        <f t="shared" si="43"/>
        <v>0</v>
      </c>
      <c r="K388" s="35" t="str">
        <f t="shared" si="39"/>
        <v>3%</v>
      </c>
      <c r="M388" s="30">
        <f t="shared" si="44"/>
        <v>3.8461538461538464E-2</v>
      </c>
      <c r="N388" s="34">
        <f>VLOOKUP(A388, 'Stock Register'!A:F, 6, FALSE)</f>
        <v>2</v>
      </c>
    </row>
    <row r="389" spans="1:14" s="75" customFormat="1" ht="30" hidden="1" x14ac:dyDescent="0.25">
      <c r="A389" s="204" t="s">
        <v>673</v>
      </c>
      <c r="B389" s="71"/>
      <c r="C389" s="71"/>
      <c r="D389" s="72">
        <f>SUMIF('Purchase Register'!C:C, A389, 'Purchase Register'!G:G)</f>
        <v>55</v>
      </c>
      <c r="E389" s="191">
        <v>60</v>
      </c>
      <c r="F389" s="74">
        <f>SUMIF('Sales Register'!C:C, A389, 'Sales Register'!D:D)</f>
        <v>4</v>
      </c>
      <c r="G389" s="74">
        <f t="shared" si="40"/>
        <v>240</v>
      </c>
      <c r="H389" s="74">
        <f t="shared" si="41"/>
        <v>220</v>
      </c>
      <c r="I389" s="74">
        <f t="shared" si="42"/>
        <v>20</v>
      </c>
      <c r="J389" s="74">
        <f t="shared" si="43"/>
        <v>8.3333333333333329E-2</v>
      </c>
      <c r="K389" s="134" t="str">
        <f t="shared" si="39"/>
        <v>9%</v>
      </c>
      <c r="L389" s="73"/>
      <c r="M389" s="99">
        <f t="shared" si="44"/>
        <v>9.0909090909090912E-2</v>
      </c>
      <c r="N389" s="73">
        <f>VLOOKUP(A389, 'Stock Register'!A:F, 6, FALSE)</f>
        <v>0</v>
      </c>
    </row>
    <row r="390" spans="1:14" hidden="1" x14ac:dyDescent="0.25">
      <c r="A390" s="205" t="s">
        <v>674</v>
      </c>
      <c r="D390" s="29">
        <f>SUMIF('Purchase Register'!C:C, A390, 'Purchase Register'!G:G)</f>
        <v>54</v>
      </c>
      <c r="E390" s="190">
        <v>58</v>
      </c>
      <c r="F390" s="60">
        <f>SUMIF('Sales Register'!C:C, A390, 'Sales Register'!D:D)</f>
        <v>3</v>
      </c>
      <c r="G390" s="60">
        <f t="shared" si="40"/>
        <v>174</v>
      </c>
      <c r="H390" s="60">
        <f t="shared" si="41"/>
        <v>162</v>
      </c>
      <c r="I390" s="60">
        <f t="shared" si="42"/>
        <v>12</v>
      </c>
      <c r="J390" s="60">
        <f t="shared" si="43"/>
        <v>6.8965517241379309E-2</v>
      </c>
      <c r="K390" s="35" t="str">
        <f t="shared" si="39"/>
        <v>7%</v>
      </c>
      <c r="M390" s="30">
        <f t="shared" si="44"/>
        <v>7.407407407407407E-2</v>
      </c>
      <c r="N390" s="34">
        <f>VLOOKUP(A390, 'Stock Register'!A:F, 6, FALSE)</f>
        <v>0</v>
      </c>
    </row>
    <row r="391" spans="1:14" s="75" customFormat="1" hidden="1" x14ac:dyDescent="0.25">
      <c r="A391" s="204" t="s">
        <v>675</v>
      </c>
      <c r="B391" s="71"/>
      <c r="C391" s="71"/>
      <c r="D391" s="72">
        <f>SUMIF('Purchase Register'!C:C, A391, 'Purchase Register'!G:G)</f>
        <v>37.5</v>
      </c>
      <c r="E391" s="191">
        <v>40</v>
      </c>
      <c r="F391" s="74">
        <f>SUMIF('Sales Register'!C:C, A391, 'Sales Register'!D:D)</f>
        <v>4</v>
      </c>
      <c r="G391" s="74">
        <f t="shared" si="40"/>
        <v>160</v>
      </c>
      <c r="H391" s="74">
        <f t="shared" si="41"/>
        <v>150</v>
      </c>
      <c r="I391" s="74">
        <f t="shared" si="42"/>
        <v>10</v>
      </c>
      <c r="J391" s="74">
        <f t="shared" si="43"/>
        <v>6.25E-2</v>
      </c>
      <c r="K391" s="134" t="str">
        <f t="shared" si="39"/>
        <v>6%</v>
      </c>
      <c r="L391" s="73"/>
      <c r="M391" s="99">
        <f t="shared" si="44"/>
        <v>6.6666666666666666E-2</v>
      </c>
      <c r="N391" s="73">
        <f>VLOOKUP(A391, 'Stock Register'!A:F, 6, FALSE)</f>
        <v>0</v>
      </c>
    </row>
    <row r="392" spans="1:14" s="75" customFormat="1" hidden="1" x14ac:dyDescent="0.25">
      <c r="A392" s="204" t="s">
        <v>611</v>
      </c>
      <c r="B392" s="71"/>
      <c r="C392" s="71"/>
      <c r="D392" s="72">
        <v>28</v>
      </c>
      <c r="E392" s="191">
        <v>30</v>
      </c>
      <c r="F392" s="74">
        <f>SUMIF('Sales Register'!C:C, A392, 'Sales Register'!D:D)</f>
        <v>4</v>
      </c>
      <c r="G392" s="74">
        <f t="shared" si="40"/>
        <v>120</v>
      </c>
      <c r="H392" s="74">
        <f t="shared" si="41"/>
        <v>112</v>
      </c>
      <c r="I392" s="74">
        <f t="shared" si="42"/>
        <v>8</v>
      </c>
      <c r="J392" s="74">
        <f t="shared" si="43"/>
        <v>6.6666666666666666E-2</v>
      </c>
      <c r="K392" s="134" t="str">
        <f t="shared" si="39"/>
        <v>7%</v>
      </c>
      <c r="L392" s="73"/>
      <c r="M392" s="99">
        <f t="shared" si="44"/>
        <v>7.1428571428571425E-2</v>
      </c>
      <c r="N392" s="73">
        <f>VLOOKUP(A392, 'Stock Register'!A:F, 6, FALSE)</f>
        <v>-1</v>
      </c>
    </row>
    <row r="393" spans="1:14" s="75" customFormat="1" hidden="1" x14ac:dyDescent="0.25">
      <c r="A393" s="204" t="s">
        <v>560</v>
      </c>
      <c r="B393" s="71"/>
      <c r="C393" s="71"/>
      <c r="D393" s="72">
        <v>9.16</v>
      </c>
      <c r="E393" s="191">
        <v>10</v>
      </c>
      <c r="F393" s="74">
        <f>SUMIF('Sales Register'!C:C, A393, 'Sales Register'!D:D)</f>
        <v>16</v>
      </c>
      <c r="G393" s="74">
        <f t="shared" si="40"/>
        <v>160</v>
      </c>
      <c r="H393" s="74">
        <f t="shared" si="41"/>
        <v>146.56</v>
      </c>
      <c r="I393" s="74">
        <f t="shared" si="42"/>
        <v>13.439999999999998</v>
      </c>
      <c r="J393" s="74">
        <f t="shared" si="43"/>
        <v>8.3999999999999991E-2</v>
      </c>
      <c r="K393" s="134" t="str">
        <f t="shared" si="39"/>
        <v>9%</v>
      </c>
      <c r="L393" s="73"/>
      <c r="M393" s="99">
        <f t="shared" si="44"/>
        <v>9.170305676855893E-2</v>
      </c>
      <c r="N393" s="73">
        <f>VLOOKUP(A393, 'Stock Register'!A:F, 6, FALSE)</f>
        <v>-4</v>
      </c>
    </row>
    <row r="394" spans="1:14" hidden="1" x14ac:dyDescent="0.25">
      <c r="A394" s="205" t="s">
        <v>678</v>
      </c>
      <c r="D394" s="29">
        <v>5.6</v>
      </c>
      <c r="E394" s="190">
        <v>10</v>
      </c>
      <c r="F394" s="60">
        <f>SUMIF('Sales Register'!C:C, A394, 'Sales Register'!D:D)</f>
        <v>6</v>
      </c>
      <c r="G394" s="60">
        <f t="shared" si="40"/>
        <v>60</v>
      </c>
      <c r="H394" s="60">
        <f t="shared" si="41"/>
        <v>33.599999999999994</v>
      </c>
      <c r="I394" s="60">
        <f t="shared" si="42"/>
        <v>26.400000000000006</v>
      </c>
      <c r="J394" s="60">
        <f t="shared" si="43"/>
        <v>0.44000000000000011</v>
      </c>
      <c r="K394" s="35" t="str">
        <f t="shared" si="39"/>
        <v>78%</v>
      </c>
      <c r="M394" s="30">
        <f t="shared" si="44"/>
        <v>0.78571428571428581</v>
      </c>
      <c r="N394" s="34">
        <f>VLOOKUP(A394, 'Stock Register'!A:F, 6, FALSE)</f>
        <v>19</v>
      </c>
    </row>
    <row r="395" spans="1:14" s="75" customFormat="1" hidden="1" x14ac:dyDescent="0.25">
      <c r="A395" s="204" t="s">
        <v>676</v>
      </c>
      <c r="B395" s="71"/>
      <c r="C395" s="71"/>
      <c r="D395" s="72">
        <f>SUMIF('Purchase Register'!C:C, A395, 'Purchase Register'!G:G)</f>
        <v>25</v>
      </c>
      <c r="E395" s="191">
        <v>27</v>
      </c>
      <c r="F395" s="74">
        <f>SUMIF('Sales Register'!C:C, A395, 'Sales Register'!D:D)</f>
        <v>1</v>
      </c>
      <c r="G395" s="74">
        <f t="shared" si="40"/>
        <v>27</v>
      </c>
      <c r="H395" s="74">
        <f t="shared" si="41"/>
        <v>25</v>
      </c>
      <c r="I395" s="74">
        <f t="shared" si="42"/>
        <v>2</v>
      </c>
      <c r="J395" s="74">
        <f t="shared" si="43"/>
        <v>7.407407407407407E-2</v>
      </c>
      <c r="K395" s="134" t="str">
        <f t="shared" si="39"/>
        <v>8%</v>
      </c>
      <c r="L395" s="73"/>
      <c r="M395" s="99">
        <f t="shared" si="44"/>
        <v>0.08</v>
      </c>
      <c r="N395" s="73">
        <f>VLOOKUP(A395, 'Stock Register'!A:F, 6, FALSE)</f>
        <v>3</v>
      </c>
    </row>
    <row r="396" spans="1:14" hidden="1" x14ac:dyDescent="0.25">
      <c r="A396" s="205" t="s">
        <v>677</v>
      </c>
      <c r="D396" s="29">
        <f>SUMIF('Purchase Register'!C:C, A396, 'Purchase Register'!G:G)</f>
        <v>3.5</v>
      </c>
      <c r="E396" s="190">
        <v>5</v>
      </c>
      <c r="F396" s="60">
        <f>SUMIF('Sales Register'!C:C, A396, 'Sales Register'!D:D)</f>
        <v>10</v>
      </c>
      <c r="G396" s="60">
        <f t="shared" si="40"/>
        <v>50</v>
      </c>
      <c r="H396" s="60">
        <f t="shared" si="41"/>
        <v>35</v>
      </c>
      <c r="I396" s="60">
        <f t="shared" si="42"/>
        <v>15</v>
      </c>
      <c r="J396" s="60">
        <f t="shared" si="43"/>
        <v>0.3</v>
      </c>
      <c r="K396" s="35" t="str">
        <f t="shared" si="39"/>
        <v>42%</v>
      </c>
      <c r="M396" s="30">
        <f t="shared" si="44"/>
        <v>0.42857142857142855</v>
      </c>
      <c r="N396" s="34">
        <f>VLOOKUP(A396, 'Stock Register'!A:F, 6, FALSE)</f>
        <v>10</v>
      </c>
    </row>
    <row r="397" spans="1:14" s="75" customFormat="1" hidden="1" x14ac:dyDescent="0.25">
      <c r="A397" s="204" t="s">
        <v>679</v>
      </c>
      <c r="B397" s="71"/>
      <c r="C397" s="71"/>
      <c r="D397" s="72">
        <f>SUMIF('Purchase Register'!C:C, A397, 'Purchase Register'!G:G)</f>
        <v>14.444444444444445</v>
      </c>
      <c r="E397" s="191">
        <v>20</v>
      </c>
      <c r="F397" s="74">
        <f>SUMIF('Sales Register'!C:C, A397, 'Sales Register'!D:D)</f>
        <v>8</v>
      </c>
      <c r="G397" s="74">
        <f t="shared" si="40"/>
        <v>160</v>
      </c>
      <c r="H397" s="74">
        <f t="shared" si="41"/>
        <v>115.55555555555556</v>
      </c>
      <c r="I397" s="74">
        <f t="shared" si="42"/>
        <v>44.444444444444443</v>
      </c>
      <c r="J397" s="74">
        <f t="shared" si="43"/>
        <v>0.27777777777777779</v>
      </c>
      <c r="K397" s="134" t="str">
        <f t="shared" si="39"/>
        <v>38%</v>
      </c>
      <c r="L397" s="73"/>
      <c r="M397" s="99">
        <f t="shared" si="44"/>
        <v>0.38461538461538458</v>
      </c>
      <c r="N397" s="73">
        <f>VLOOKUP(A397, 'Stock Register'!A:F, 6, FALSE)</f>
        <v>1</v>
      </c>
    </row>
    <row r="398" spans="1:14" s="75" customFormat="1" hidden="1" x14ac:dyDescent="0.25">
      <c r="A398" s="204" t="s">
        <v>681</v>
      </c>
      <c r="B398" s="71"/>
      <c r="C398" s="71"/>
      <c r="D398" s="72">
        <f>SUMIF('Purchase Register'!C:C, A398, 'Purchase Register'!G:G)</f>
        <v>8</v>
      </c>
      <c r="E398" s="191">
        <v>9</v>
      </c>
      <c r="F398" s="74">
        <f>SUMIF('Sales Register'!C:C, A398, 'Sales Register'!D:D)</f>
        <v>30</v>
      </c>
      <c r="G398" s="74">
        <f t="shared" si="40"/>
        <v>270</v>
      </c>
      <c r="H398" s="74">
        <f t="shared" si="41"/>
        <v>240</v>
      </c>
      <c r="I398" s="74">
        <f t="shared" si="42"/>
        <v>30</v>
      </c>
      <c r="J398" s="74">
        <f t="shared" si="43"/>
        <v>0.1111111111111111</v>
      </c>
      <c r="K398" s="134" t="str">
        <f t="shared" si="39"/>
        <v>12%</v>
      </c>
      <c r="L398" s="73"/>
      <c r="M398" s="99">
        <f t="shared" si="44"/>
        <v>0.125</v>
      </c>
      <c r="N398" s="34">
        <f>VLOOKUP(A398, 'Stock Register'!A:F, 6, FALSE)</f>
        <v>0</v>
      </c>
    </row>
    <row r="399" spans="1:14" s="75" customFormat="1" ht="37.15" hidden="1" customHeight="1" x14ac:dyDescent="0.25">
      <c r="A399" s="204" t="s">
        <v>682</v>
      </c>
      <c r="B399" s="71"/>
      <c r="C399" s="71"/>
      <c r="D399" s="72">
        <f>SUMIF('Purchase Register'!C:C, A399, 'Purchase Register'!G:G)</f>
        <v>7.5</v>
      </c>
      <c r="E399" s="191">
        <v>10</v>
      </c>
      <c r="F399" s="74">
        <f>SUMIF('Sales Register'!C:C, A399, 'Sales Register'!D:D)</f>
        <v>38</v>
      </c>
      <c r="G399" s="74">
        <f t="shared" si="40"/>
        <v>380</v>
      </c>
      <c r="H399" s="74">
        <f t="shared" si="41"/>
        <v>285</v>
      </c>
      <c r="I399" s="74">
        <f t="shared" si="42"/>
        <v>95</v>
      </c>
      <c r="J399" s="74">
        <f t="shared" si="43"/>
        <v>0.25</v>
      </c>
      <c r="K399" s="134" t="str">
        <f t="shared" si="39"/>
        <v>33%</v>
      </c>
      <c r="L399" s="73"/>
      <c r="M399" s="99">
        <f t="shared" si="44"/>
        <v>0.33333333333333331</v>
      </c>
      <c r="N399" s="73">
        <f>VLOOKUP(A399, 'Stock Register'!A:F, 6, FALSE)</f>
        <v>-14</v>
      </c>
    </row>
    <row r="400" spans="1:14" ht="33" hidden="1" customHeight="1" x14ac:dyDescent="0.25">
      <c r="A400" s="205" t="s">
        <v>683</v>
      </c>
      <c r="D400" s="29">
        <f>SUMIF('Purchase Register'!C:C, A400, 'Purchase Register'!G:G)</f>
        <v>7</v>
      </c>
      <c r="E400" s="190">
        <v>10</v>
      </c>
      <c r="F400" s="60">
        <f>SUMIF('Sales Register'!C:C, A400, 'Sales Register'!D:D)</f>
        <v>52</v>
      </c>
      <c r="G400" s="60">
        <f t="shared" si="40"/>
        <v>520</v>
      </c>
      <c r="H400" s="60">
        <f t="shared" si="41"/>
        <v>364</v>
      </c>
      <c r="I400" s="60">
        <f t="shared" si="42"/>
        <v>156</v>
      </c>
      <c r="J400" s="60">
        <f t="shared" si="43"/>
        <v>0.3</v>
      </c>
      <c r="K400" s="35" t="str">
        <f t="shared" si="39"/>
        <v>42%</v>
      </c>
      <c r="M400" s="30">
        <f t="shared" si="44"/>
        <v>0.42857142857142855</v>
      </c>
      <c r="N400" s="34">
        <f>VLOOKUP(A400, 'Stock Register'!A:F, 6, FALSE)</f>
        <v>-12</v>
      </c>
    </row>
    <row r="401" spans="1:14" s="75" customFormat="1" hidden="1" x14ac:dyDescent="0.25">
      <c r="A401" s="204" t="s">
        <v>686</v>
      </c>
      <c r="B401" s="71"/>
      <c r="C401" s="71"/>
      <c r="D401" s="72">
        <f>SUMIF('Purchase Register'!C:C, A401, 'Purchase Register'!G:G)</f>
        <v>8</v>
      </c>
      <c r="E401" s="191">
        <v>9</v>
      </c>
      <c r="F401" s="74">
        <f>SUMIF('Sales Register'!C:C, A401, 'Sales Register'!D:D)</f>
        <v>30</v>
      </c>
      <c r="G401" s="74">
        <f t="shared" si="40"/>
        <v>270</v>
      </c>
      <c r="H401" s="74">
        <f t="shared" si="41"/>
        <v>240</v>
      </c>
      <c r="I401" s="74">
        <f t="shared" si="42"/>
        <v>30</v>
      </c>
      <c r="J401" s="74">
        <f t="shared" si="43"/>
        <v>0.1111111111111111</v>
      </c>
      <c r="K401" s="134" t="str">
        <f t="shared" si="39"/>
        <v>12%</v>
      </c>
      <c r="L401" s="73"/>
      <c r="M401" s="99">
        <f t="shared" si="44"/>
        <v>0.125</v>
      </c>
      <c r="N401" s="34">
        <f>VLOOKUP(A401, 'Stock Register'!A:F, 6, FALSE)</f>
        <v>0</v>
      </c>
    </row>
    <row r="402" spans="1:14" s="75" customFormat="1" hidden="1" x14ac:dyDescent="0.25">
      <c r="A402" s="204" t="s">
        <v>688</v>
      </c>
      <c r="B402" s="71"/>
      <c r="C402" s="71"/>
      <c r="D402" s="72">
        <f>SUMIF('Purchase Register'!C:C, A402, 'Purchase Register'!G:G)</f>
        <v>75</v>
      </c>
      <c r="E402" s="191">
        <v>85</v>
      </c>
      <c r="F402" s="74">
        <f>SUMIF('Sales Register'!C:C, A402, 'Sales Register'!D:D)</f>
        <v>2</v>
      </c>
      <c r="G402" s="74">
        <f t="shared" si="40"/>
        <v>170</v>
      </c>
      <c r="H402" s="74">
        <f t="shared" si="41"/>
        <v>150</v>
      </c>
      <c r="I402" s="74">
        <f t="shared" si="42"/>
        <v>20</v>
      </c>
      <c r="J402" s="74">
        <f t="shared" si="43"/>
        <v>0.11764705882352941</v>
      </c>
      <c r="K402" s="134" t="str">
        <f t="shared" si="39"/>
        <v>13%</v>
      </c>
      <c r="L402" s="73"/>
      <c r="M402" s="99">
        <f t="shared" si="44"/>
        <v>0.13333333333333333</v>
      </c>
      <c r="N402" s="73">
        <f>VLOOKUP(A402, 'Stock Register'!A:F, 6, FALSE)</f>
        <v>0</v>
      </c>
    </row>
    <row r="403" spans="1:14" ht="30" hidden="1" x14ac:dyDescent="0.25">
      <c r="A403" s="205" t="s">
        <v>689</v>
      </c>
      <c r="D403" s="29">
        <f>SUMIF('Purchase Register'!C:C, A403, 'Purchase Register'!G:G)</f>
        <v>147</v>
      </c>
      <c r="E403" s="190">
        <v>155</v>
      </c>
      <c r="F403" s="60">
        <f>SUMIF('Sales Register'!C:C, A403, 'Sales Register'!D:D)</f>
        <v>5</v>
      </c>
      <c r="G403" s="60">
        <f t="shared" si="40"/>
        <v>775</v>
      </c>
      <c r="H403" s="60">
        <f t="shared" si="41"/>
        <v>735</v>
      </c>
      <c r="I403" s="60">
        <f t="shared" si="42"/>
        <v>40</v>
      </c>
      <c r="J403" s="60">
        <f t="shared" si="43"/>
        <v>5.1612903225806452E-2</v>
      </c>
      <c r="K403" s="35" t="str">
        <f t="shared" si="39"/>
        <v>5%</v>
      </c>
      <c r="M403" s="30">
        <f t="shared" si="44"/>
        <v>5.4421768707482991E-2</v>
      </c>
      <c r="N403" s="34">
        <f>VLOOKUP(A403, 'Stock Register'!A:F, 6, FALSE)</f>
        <v>0</v>
      </c>
    </row>
    <row r="404" spans="1:14" s="75" customFormat="1" hidden="1" x14ac:dyDescent="0.25">
      <c r="A404" s="204" t="s">
        <v>690</v>
      </c>
      <c r="B404" s="71"/>
      <c r="C404" s="71"/>
      <c r="D404" s="72">
        <f>SUMIF('Purchase Register'!C:C, A404, 'Purchase Register'!G:G)</f>
        <v>55</v>
      </c>
      <c r="E404" s="191">
        <v>70</v>
      </c>
      <c r="F404" s="74">
        <f>SUMIF('Sales Register'!C:C, A404, 'Sales Register'!D:D)</f>
        <v>3</v>
      </c>
      <c r="G404" s="74">
        <f t="shared" si="40"/>
        <v>210</v>
      </c>
      <c r="H404" s="74">
        <f t="shared" si="41"/>
        <v>165</v>
      </c>
      <c r="I404" s="74">
        <f t="shared" si="42"/>
        <v>45</v>
      </c>
      <c r="J404" s="74">
        <f t="shared" si="43"/>
        <v>0.21428571428571427</v>
      </c>
      <c r="K404" s="134" t="str">
        <f t="shared" si="39"/>
        <v>27%</v>
      </c>
      <c r="L404" s="73"/>
      <c r="M404" s="99">
        <f t="shared" si="44"/>
        <v>0.27272727272727271</v>
      </c>
      <c r="N404" s="73">
        <f>VLOOKUP(A404, 'Stock Register'!A:F, 6, FALSE)</f>
        <v>0</v>
      </c>
    </row>
    <row r="405" spans="1:14" s="75" customFormat="1" hidden="1" x14ac:dyDescent="0.25">
      <c r="A405" s="204" t="s">
        <v>691</v>
      </c>
      <c r="B405" s="71"/>
      <c r="C405" s="71"/>
      <c r="D405" s="72">
        <f>SUMIF('Purchase Register'!C:C, A405, 'Purchase Register'!G:G)</f>
        <v>55</v>
      </c>
      <c r="E405" s="191">
        <v>60</v>
      </c>
      <c r="F405" s="74">
        <f>SUMIF('Sales Register'!C:C, A405, 'Sales Register'!D:D)</f>
        <v>2.08</v>
      </c>
      <c r="G405" s="74">
        <f t="shared" si="40"/>
        <v>124.80000000000001</v>
      </c>
      <c r="H405" s="74">
        <f t="shared" si="41"/>
        <v>114.4</v>
      </c>
      <c r="I405" s="74">
        <f t="shared" si="42"/>
        <v>10.400000000000006</v>
      </c>
      <c r="J405" s="74">
        <f t="shared" si="43"/>
        <v>8.333333333333337E-2</v>
      </c>
      <c r="K405" s="134" t="str">
        <f t="shared" si="39"/>
        <v>9%</v>
      </c>
      <c r="L405" s="73"/>
      <c r="M405" s="99">
        <f t="shared" si="44"/>
        <v>9.0909090909090912E-2</v>
      </c>
      <c r="N405" s="73">
        <f>VLOOKUP(A405, 'Stock Register'!A:F, 6, FALSE)</f>
        <v>-8.0000000000000071E-2</v>
      </c>
    </row>
    <row r="406" spans="1:14" s="75" customFormat="1" hidden="1" x14ac:dyDescent="0.25">
      <c r="A406" s="204" t="s">
        <v>692</v>
      </c>
      <c r="B406" s="71"/>
      <c r="C406" s="71"/>
      <c r="D406" s="72">
        <f>SUMIF('Purchase Register'!C:C, A406, 'Purchase Register'!G:G)</f>
        <v>140</v>
      </c>
      <c r="E406" s="191">
        <v>160</v>
      </c>
      <c r="F406" s="74">
        <f>SUMIF('Sales Register'!C:C, A406, 'Sales Register'!D:D)</f>
        <v>1.3000000000000003</v>
      </c>
      <c r="G406" s="74">
        <f t="shared" si="40"/>
        <v>208.00000000000006</v>
      </c>
      <c r="H406" s="74">
        <f t="shared" si="41"/>
        <v>182.00000000000003</v>
      </c>
      <c r="I406" s="74">
        <f t="shared" si="42"/>
        <v>26.000000000000028</v>
      </c>
      <c r="J406" s="74">
        <f t="shared" si="43"/>
        <v>0.12500000000000011</v>
      </c>
      <c r="K406" s="134" t="str">
        <f t="shared" si="39"/>
        <v>14%</v>
      </c>
      <c r="L406" s="73"/>
      <c r="M406" s="99">
        <f t="shared" si="44"/>
        <v>0.14285714285714285</v>
      </c>
      <c r="N406" s="73">
        <f>VLOOKUP(A406, 'Stock Register'!A:F, 6, FALSE)</f>
        <v>-0.30000000000000027</v>
      </c>
    </row>
    <row r="407" spans="1:14" s="75" customFormat="1" hidden="1" x14ac:dyDescent="0.25">
      <c r="A407" s="204" t="s">
        <v>693</v>
      </c>
      <c r="B407" s="71"/>
      <c r="C407" s="71"/>
      <c r="D407" s="72">
        <f>SUMIF('Purchase Register'!C:C, A407, 'Purchase Register'!G:G)</f>
        <v>26</v>
      </c>
      <c r="E407" s="191">
        <v>28</v>
      </c>
      <c r="F407" s="74">
        <f>SUMIF('Sales Register'!C:C, A407, 'Sales Register'!D:D)</f>
        <v>5.51</v>
      </c>
      <c r="G407" s="74">
        <f t="shared" si="40"/>
        <v>154.28</v>
      </c>
      <c r="H407" s="74">
        <f t="shared" si="41"/>
        <v>143.26</v>
      </c>
      <c r="I407" s="74">
        <f t="shared" si="42"/>
        <v>11.02000000000001</v>
      </c>
      <c r="J407" s="74">
        <f t="shared" si="43"/>
        <v>7.1428571428571494E-2</v>
      </c>
      <c r="K407" s="134" t="str">
        <f t="shared" si="39"/>
        <v>7%</v>
      </c>
      <c r="L407" s="73"/>
      <c r="M407" s="99">
        <f t="shared" si="44"/>
        <v>7.6923076923076927E-2</v>
      </c>
      <c r="N407" s="73">
        <f>VLOOKUP(A407, 'Stock Register'!A:F, 6, FALSE)</f>
        <v>4.49</v>
      </c>
    </row>
    <row r="408" spans="1:14" hidden="1" x14ac:dyDescent="0.25">
      <c r="A408" s="205" t="s">
        <v>694</v>
      </c>
      <c r="D408" s="29">
        <f>SUMIF('Purchase Register'!C:C, A408, 'Purchase Register'!G:G)</f>
        <v>21</v>
      </c>
      <c r="E408" s="190">
        <v>25</v>
      </c>
      <c r="F408" s="60">
        <f>SUMIF('Sales Register'!C:C, A408, 'Sales Register'!D:D)</f>
        <v>31</v>
      </c>
      <c r="G408" s="60">
        <f t="shared" si="40"/>
        <v>775</v>
      </c>
      <c r="H408" s="60">
        <f t="shared" si="41"/>
        <v>651</v>
      </c>
      <c r="I408" s="60">
        <f t="shared" si="42"/>
        <v>124</v>
      </c>
      <c r="J408" s="60">
        <f t="shared" si="43"/>
        <v>0.16</v>
      </c>
      <c r="K408" s="35" t="str">
        <f t="shared" si="39"/>
        <v>19%</v>
      </c>
      <c r="M408" s="30">
        <f t="shared" si="44"/>
        <v>0.19047619047619047</v>
      </c>
      <c r="N408" s="34">
        <f>VLOOKUP(A408, 'Stock Register'!A:F, 6, FALSE)</f>
        <v>-11</v>
      </c>
    </row>
    <row r="409" spans="1:14" s="75" customFormat="1" hidden="1" x14ac:dyDescent="0.25">
      <c r="A409" s="204" t="s">
        <v>695</v>
      </c>
      <c r="B409" s="71"/>
      <c r="C409" s="71"/>
      <c r="D409" s="72">
        <f>SUMIF('Purchase Register'!C:C, A409, 'Purchase Register'!G:G)</f>
        <v>27</v>
      </c>
      <c r="E409" s="191">
        <v>30</v>
      </c>
      <c r="F409" s="74">
        <f>SUMIF('Sales Register'!C:C, A409, 'Sales Register'!D:D)</f>
        <v>3</v>
      </c>
      <c r="G409" s="74">
        <f t="shared" si="40"/>
        <v>90</v>
      </c>
      <c r="H409" s="74">
        <f t="shared" si="41"/>
        <v>81</v>
      </c>
      <c r="I409" s="74">
        <f t="shared" si="42"/>
        <v>9</v>
      </c>
      <c r="J409" s="74">
        <f t="shared" si="43"/>
        <v>0.1</v>
      </c>
      <c r="K409" s="134" t="str">
        <f t="shared" si="39"/>
        <v>11%</v>
      </c>
      <c r="L409" s="73"/>
      <c r="M409" s="99">
        <f t="shared" si="44"/>
        <v>0.1111111111111111</v>
      </c>
      <c r="N409" s="73">
        <f>VLOOKUP(A409, 'Stock Register'!A:F, 6, FALSE)</f>
        <v>2</v>
      </c>
    </row>
    <row r="410" spans="1:14" hidden="1" x14ac:dyDescent="0.25">
      <c r="A410" s="205" t="s">
        <v>696</v>
      </c>
      <c r="D410" s="29">
        <f>SUMIF('Purchase Register'!C:C, A410, 'Purchase Register'!G:G)</f>
        <v>37</v>
      </c>
      <c r="E410" s="190">
        <v>40</v>
      </c>
      <c r="F410" s="60">
        <f>SUMIF('Sales Register'!C:C, A410, 'Sales Register'!D:D)</f>
        <v>3</v>
      </c>
      <c r="G410" s="60">
        <f t="shared" si="40"/>
        <v>120</v>
      </c>
      <c r="H410" s="60">
        <f t="shared" si="41"/>
        <v>111</v>
      </c>
      <c r="I410" s="60">
        <f t="shared" si="42"/>
        <v>9</v>
      </c>
      <c r="J410" s="60">
        <f t="shared" si="43"/>
        <v>7.4999999999999997E-2</v>
      </c>
      <c r="K410" s="35" t="str">
        <f t="shared" si="39"/>
        <v>8%</v>
      </c>
      <c r="M410" s="30">
        <f t="shared" si="44"/>
        <v>8.1081081081081086E-2</v>
      </c>
      <c r="N410" s="34">
        <f>VLOOKUP(A410, 'Stock Register'!A:F, 6, FALSE)</f>
        <v>0</v>
      </c>
    </row>
    <row r="411" spans="1:14" ht="30" hidden="1" x14ac:dyDescent="0.25">
      <c r="A411" s="205" t="s">
        <v>697</v>
      </c>
      <c r="D411" s="29">
        <f>SUMIF('Purchase Register'!C:C, A411, 'Purchase Register'!G:G)</f>
        <v>12</v>
      </c>
      <c r="E411" s="190">
        <v>15</v>
      </c>
      <c r="F411" s="60">
        <f>SUMIF('Sales Register'!C:C, A411, 'Sales Register'!D:D)</f>
        <v>2</v>
      </c>
      <c r="G411" s="60">
        <f t="shared" si="40"/>
        <v>30</v>
      </c>
      <c r="H411" s="60">
        <f t="shared" si="41"/>
        <v>24</v>
      </c>
      <c r="I411" s="60">
        <f t="shared" si="42"/>
        <v>6</v>
      </c>
      <c r="J411" s="60">
        <f t="shared" si="43"/>
        <v>0.2</v>
      </c>
      <c r="K411" s="35" t="str">
        <f t="shared" si="39"/>
        <v>25%</v>
      </c>
      <c r="M411" s="30">
        <f t="shared" si="44"/>
        <v>0.25</v>
      </c>
      <c r="N411" s="34">
        <f>VLOOKUP(A411, 'Stock Register'!A:F, 6, FALSE)</f>
        <v>10</v>
      </c>
    </row>
    <row r="412" spans="1:14" s="75" customFormat="1" ht="30" hidden="1" x14ac:dyDescent="0.25">
      <c r="A412" s="204" t="s">
        <v>698</v>
      </c>
      <c r="B412" s="71"/>
      <c r="C412" s="71"/>
      <c r="D412" s="72">
        <f>SUMIF('Purchase Register'!C:C, A412, 'Purchase Register'!G:G)</f>
        <v>38</v>
      </c>
      <c r="E412" s="191">
        <v>40</v>
      </c>
      <c r="F412" s="74">
        <f>SUMIF('Sales Register'!C:C, A412, 'Sales Register'!D:D)</f>
        <v>3</v>
      </c>
      <c r="G412" s="74">
        <f t="shared" si="40"/>
        <v>120</v>
      </c>
      <c r="H412" s="74">
        <f t="shared" si="41"/>
        <v>114</v>
      </c>
      <c r="I412" s="74">
        <f t="shared" si="42"/>
        <v>6</v>
      </c>
      <c r="J412" s="74">
        <f t="shared" si="43"/>
        <v>0.05</v>
      </c>
      <c r="K412" s="134" t="str">
        <f t="shared" si="39"/>
        <v>5%</v>
      </c>
      <c r="L412" s="73"/>
      <c r="M412" s="99">
        <f t="shared" si="44"/>
        <v>5.2631578947368418E-2</v>
      </c>
      <c r="N412" s="73">
        <f>VLOOKUP(A412, 'Stock Register'!A:F, 6, FALSE)</f>
        <v>0</v>
      </c>
    </row>
    <row r="413" spans="1:14" hidden="1" x14ac:dyDescent="0.25">
      <c r="A413" s="205" t="s">
        <v>699</v>
      </c>
      <c r="D413" s="29">
        <f>SUMIF('Purchase Register'!C:C, A413, 'Purchase Register'!G:G)</f>
        <v>14.0625</v>
      </c>
      <c r="E413" s="190">
        <v>15</v>
      </c>
      <c r="F413" s="60">
        <f>SUMIF('Sales Register'!C:C, A413, 'Sales Register'!D:D)</f>
        <v>14</v>
      </c>
      <c r="G413" s="60">
        <f t="shared" si="40"/>
        <v>210</v>
      </c>
      <c r="H413" s="60">
        <f t="shared" si="41"/>
        <v>196.875</v>
      </c>
      <c r="I413" s="60">
        <f t="shared" si="42"/>
        <v>13.125</v>
      </c>
      <c r="J413" s="60">
        <f t="shared" si="43"/>
        <v>6.25E-2</v>
      </c>
      <c r="K413" s="35" t="str">
        <f t="shared" si="39"/>
        <v>6%</v>
      </c>
      <c r="M413" s="30">
        <f t="shared" si="44"/>
        <v>6.6666666666666666E-2</v>
      </c>
      <c r="N413" s="34">
        <f>VLOOKUP(A413, 'Stock Register'!A:F, 6, FALSE)</f>
        <v>2</v>
      </c>
    </row>
    <row r="414" spans="1:14" s="75" customFormat="1" hidden="1" x14ac:dyDescent="0.25">
      <c r="A414" s="204" t="s">
        <v>700</v>
      </c>
      <c r="B414" s="71"/>
      <c r="C414" s="71"/>
      <c r="D414" s="72">
        <f>SUMIF('Purchase Register'!C:C, A414, 'Purchase Register'!G:G)</f>
        <v>4.583333333333333</v>
      </c>
      <c r="E414" s="191">
        <v>5</v>
      </c>
      <c r="F414" s="74">
        <f>SUMIF('Sales Register'!C:C, A414, 'Sales Register'!D:D)</f>
        <v>25</v>
      </c>
      <c r="G414" s="74">
        <f t="shared" si="40"/>
        <v>125</v>
      </c>
      <c r="H414" s="74">
        <f t="shared" si="41"/>
        <v>114.58333333333333</v>
      </c>
      <c r="I414" s="74">
        <f t="shared" si="42"/>
        <v>10.416666666666671</v>
      </c>
      <c r="J414" s="74">
        <f t="shared" si="43"/>
        <v>8.333333333333337E-2</v>
      </c>
      <c r="K414" s="134" t="str">
        <f t="shared" si="39"/>
        <v>9%</v>
      </c>
      <c r="L414" s="73"/>
      <c r="M414" s="99">
        <f t="shared" si="44"/>
        <v>9.0909090909090981E-2</v>
      </c>
      <c r="N414" s="73">
        <f>VLOOKUP(A414, 'Stock Register'!A:F, 6, FALSE)</f>
        <v>-1</v>
      </c>
    </row>
    <row r="415" spans="1:14" s="75" customFormat="1" hidden="1" x14ac:dyDescent="0.25">
      <c r="A415" s="204" t="s">
        <v>701</v>
      </c>
      <c r="B415" s="71"/>
      <c r="C415" s="71"/>
      <c r="D415" s="72">
        <f>SUMIF('Purchase Register'!C:C, A415, 'Purchase Register'!G:G)</f>
        <v>8</v>
      </c>
      <c r="E415" s="191">
        <v>9</v>
      </c>
      <c r="F415" s="74">
        <f>SUMIF('Sales Register'!C:C, A415, 'Sales Register'!D:D)</f>
        <v>90</v>
      </c>
      <c r="G415" s="74">
        <f t="shared" si="40"/>
        <v>810</v>
      </c>
      <c r="H415" s="74">
        <f t="shared" si="41"/>
        <v>720</v>
      </c>
      <c r="I415" s="74">
        <f t="shared" si="42"/>
        <v>90</v>
      </c>
      <c r="J415" s="74">
        <f t="shared" si="43"/>
        <v>0.1111111111111111</v>
      </c>
      <c r="K415" s="134" t="str">
        <f t="shared" si="39"/>
        <v>12%</v>
      </c>
      <c r="L415" s="73"/>
      <c r="M415" s="99">
        <f t="shared" si="44"/>
        <v>0.125</v>
      </c>
      <c r="N415" s="34">
        <f>VLOOKUP(A415, 'Stock Register'!A:F, 6, FALSE)</f>
        <v>0</v>
      </c>
    </row>
    <row r="416" spans="1:14" hidden="1" x14ac:dyDescent="0.25">
      <c r="A416" s="205" t="s">
        <v>702</v>
      </c>
      <c r="D416" s="29">
        <f>SUMIF('Purchase Register'!C:C, A416, 'Purchase Register'!G:G)</f>
        <v>7.5</v>
      </c>
      <c r="E416" s="190">
        <v>10</v>
      </c>
      <c r="F416" s="60">
        <f>SUMIF('Sales Register'!C:C, A416, 'Sales Register'!D:D)</f>
        <v>21</v>
      </c>
      <c r="G416" s="60">
        <f t="shared" si="40"/>
        <v>210</v>
      </c>
      <c r="H416" s="60">
        <f t="shared" si="41"/>
        <v>157.5</v>
      </c>
      <c r="I416" s="60">
        <f t="shared" si="42"/>
        <v>52.5</v>
      </c>
      <c r="J416" s="60">
        <f t="shared" si="43"/>
        <v>0.25</v>
      </c>
      <c r="K416" s="35" t="str">
        <f t="shared" si="39"/>
        <v>33%</v>
      </c>
      <c r="M416" s="30">
        <f t="shared" si="44"/>
        <v>0.33333333333333331</v>
      </c>
      <c r="N416" s="34">
        <f>VLOOKUP(A416, 'Stock Register'!A:F, 6, FALSE)</f>
        <v>27</v>
      </c>
    </row>
    <row r="417" spans="1:14" s="75" customFormat="1" hidden="1" x14ac:dyDescent="0.25">
      <c r="A417" s="204" t="s">
        <v>704</v>
      </c>
      <c r="B417" s="71"/>
      <c r="C417" s="71"/>
      <c r="D417" s="72">
        <f>SUMIF('Purchase Register'!C:C, A417, 'Purchase Register'!G:G)</f>
        <v>37.708333333333336</v>
      </c>
      <c r="E417" s="191">
        <v>39.159999999999997</v>
      </c>
      <c r="F417" s="74">
        <f>SUMIF('Sales Register'!C:C, A417, 'Sales Register'!D:D)</f>
        <v>61</v>
      </c>
      <c r="G417" s="74">
        <f t="shared" si="40"/>
        <v>2388.7599999999998</v>
      </c>
      <c r="H417" s="74">
        <f t="shared" si="41"/>
        <v>2300.2083333333335</v>
      </c>
      <c r="I417" s="74">
        <f t="shared" si="42"/>
        <v>88.551666666666279</v>
      </c>
      <c r="J417" s="74">
        <f t="shared" si="43"/>
        <v>3.7070139598229329E-2</v>
      </c>
      <c r="K417" s="134" t="str">
        <f t="shared" si="39"/>
        <v>3%</v>
      </c>
      <c r="L417" s="73"/>
      <c r="M417" s="99">
        <f t="shared" si="44"/>
        <v>3.8497237569060615E-2</v>
      </c>
      <c r="N417" s="73">
        <f>VLOOKUP(A417, 'Stock Register'!A:F, 6, FALSE)</f>
        <v>-13</v>
      </c>
    </row>
    <row r="418" spans="1:14" s="75" customFormat="1" hidden="1" x14ac:dyDescent="0.25">
      <c r="A418" s="204" t="s">
        <v>705</v>
      </c>
      <c r="B418" s="71"/>
      <c r="C418" s="71"/>
      <c r="D418" s="72">
        <f>SUMIF('Purchase Register'!C:C, A418, 'Purchase Register'!G:G)</f>
        <v>9.1666666666666661</v>
      </c>
      <c r="E418" s="191">
        <v>10</v>
      </c>
      <c r="F418" s="74">
        <f>SUMIF('Sales Register'!C:C, A418, 'Sales Register'!D:D)</f>
        <v>24</v>
      </c>
      <c r="G418" s="74">
        <f t="shared" si="40"/>
        <v>240</v>
      </c>
      <c r="H418" s="74">
        <f t="shared" si="41"/>
        <v>220</v>
      </c>
      <c r="I418" s="74">
        <f t="shared" si="42"/>
        <v>20</v>
      </c>
      <c r="J418" s="74">
        <f t="shared" si="43"/>
        <v>8.3333333333333329E-2</v>
      </c>
      <c r="K418" s="134" t="str">
        <f t="shared" si="39"/>
        <v>9%</v>
      </c>
      <c r="L418" s="73"/>
      <c r="M418" s="99">
        <f t="shared" si="44"/>
        <v>9.0909090909090981E-2</v>
      </c>
      <c r="N418" s="73">
        <f>VLOOKUP(A418, 'Stock Register'!A:F, 6, FALSE)</f>
        <v>-12</v>
      </c>
    </row>
    <row r="419" spans="1:14" s="75" customFormat="1" hidden="1" x14ac:dyDescent="0.25">
      <c r="A419" s="204" t="s">
        <v>706</v>
      </c>
      <c r="B419" s="71"/>
      <c r="C419" s="71"/>
      <c r="D419" s="72">
        <f>SUMIF('Purchase Register'!C:C, A419, 'Purchase Register'!G:G)</f>
        <v>4.583333333333333</v>
      </c>
      <c r="E419" s="191">
        <v>5</v>
      </c>
      <c r="F419" s="74">
        <f>SUMIF('Sales Register'!C:C, A419, 'Sales Register'!D:D)</f>
        <v>24</v>
      </c>
      <c r="G419" s="74">
        <f t="shared" si="40"/>
        <v>120</v>
      </c>
      <c r="H419" s="74">
        <f t="shared" si="41"/>
        <v>110</v>
      </c>
      <c r="I419" s="74">
        <f t="shared" si="42"/>
        <v>10</v>
      </c>
      <c r="J419" s="74">
        <f t="shared" si="43"/>
        <v>8.3333333333333329E-2</v>
      </c>
      <c r="K419" s="134" t="str">
        <f t="shared" si="39"/>
        <v>9%</v>
      </c>
      <c r="L419" s="73"/>
      <c r="M419" s="99">
        <f t="shared" si="44"/>
        <v>9.0909090909090981E-2</v>
      </c>
      <c r="N419" s="73">
        <f>VLOOKUP(A419, 'Stock Register'!A:F, 6, FALSE)</f>
        <v>0</v>
      </c>
    </row>
    <row r="420" spans="1:14" ht="30" hidden="1" x14ac:dyDescent="0.25">
      <c r="A420" s="205" t="s">
        <v>707</v>
      </c>
      <c r="D420" s="29">
        <f>SUMIF('Purchase Register'!C:C, A420, 'Purchase Register'!G:G)</f>
        <v>12.916666666666666</v>
      </c>
      <c r="E420" s="190">
        <v>15</v>
      </c>
      <c r="F420" s="60">
        <f>SUMIF('Sales Register'!C:C, A420, 'Sales Register'!D:D)</f>
        <v>3</v>
      </c>
      <c r="G420" s="60">
        <f t="shared" si="40"/>
        <v>45</v>
      </c>
      <c r="H420" s="60">
        <f t="shared" si="41"/>
        <v>38.75</v>
      </c>
      <c r="I420" s="60">
        <f t="shared" si="42"/>
        <v>6.25</v>
      </c>
      <c r="J420" s="60">
        <f t="shared" si="43"/>
        <v>0.1388888888888889</v>
      </c>
      <c r="K420" s="35" t="str">
        <f t="shared" si="39"/>
        <v>16%</v>
      </c>
      <c r="M420" s="30">
        <f t="shared" si="44"/>
        <v>0.16129032258064521</v>
      </c>
      <c r="N420" s="34">
        <f>VLOOKUP(A420, 'Stock Register'!A:F, 6, FALSE)</f>
        <v>9</v>
      </c>
    </row>
    <row r="421" spans="1:14" s="75" customFormat="1" hidden="1" x14ac:dyDescent="0.25">
      <c r="A421" s="204" t="s">
        <v>708</v>
      </c>
      <c r="B421" s="71"/>
      <c r="C421" s="71"/>
      <c r="D421" s="72">
        <f>SUMIF('Purchase Register'!C:C, A421, 'Purchase Register'!G:G)</f>
        <v>4.333333333333333</v>
      </c>
      <c r="E421" s="191">
        <v>5</v>
      </c>
      <c r="F421" s="74">
        <f>SUMIF('Sales Register'!C:C, A421, 'Sales Register'!D:D)</f>
        <v>10</v>
      </c>
      <c r="G421" s="74">
        <f t="shared" si="40"/>
        <v>50</v>
      </c>
      <c r="H421" s="74">
        <f t="shared" si="41"/>
        <v>43.333333333333329</v>
      </c>
      <c r="I421" s="74">
        <f t="shared" si="42"/>
        <v>6.6666666666666714</v>
      </c>
      <c r="J421" s="74">
        <f t="shared" si="43"/>
        <v>0.13333333333333341</v>
      </c>
      <c r="K421" s="134" t="str">
        <f t="shared" si="39"/>
        <v>15%</v>
      </c>
      <c r="L421" s="73"/>
      <c r="M421" s="99">
        <f t="shared" si="44"/>
        <v>0.15384615384615394</v>
      </c>
      <c r="N421" s="73">
        <f>VLOOKUP(A421, 'Stock Register'!A:F, 6, FALSE)</f>
        <v>2</v>
      </c>
    </row>
    <row r="422" spans="1:14" hidden="1" x14ac:dyDescent="0.25">
      <c r="A422" s="205" t="s">
        <v>709</v>
      </c>
      <c r="D422" s="29">
        <f>SUMIF('Purchase Register'!C:C, A422, 'Purchase Register'!G:G)</f>
        <v>7.333333333333333</v>
      </c>
      <c r="E422" s="190">
        <v>10</v>
      </c>
      <c r="F422" s="60">
        <f>SUMIF('Sales Register'!C:C, A422, 'Sales Register'!D:D)</f>
        <v>18</v>
      </c>
      <c r="G422" s="60">
        <f t="shared" si="40"/>
        <v>180</v>
      </c>
      <c r="H422" s="60">
        <f t="shared" si="41"/>
        <v>132</v>
      </c>
      <c r="I422" s="60">
        <f t="shared" si="42"/>
        <v>48</v>
      </c>
      <c r="J422" s="60">
        <f t="shared" si="43"/>
        <v>0.26666666666666666</v>
      </c>
      <c r="K422" s="35" t="str">
        <f t="shared" si="39"/>
        <v>36%</v>
      </c>
      <c r="M422" s="30">
        <f t="shared" si="44"/>
        <v>0.3636363636363637</v>
      </c>
      <c r="N422" s="34">
        <f>VLOOKUP(A422, 'Stock Register'!A:F, 6, FALSE)</f>
        <v>27</v>
      </c>
    </row>
    <row r="423" spans="1:14" hidden="1" x14ac:dyDescent="0.25">
      <c r="A423" s="205" t="s">
        <v>710</v>
      </c>
      <c r="D423" s="29">
        <f>SUMIF('Purchase Register'!C:C, A423, 'Purchase Register'!G:G)</f>
        <v>3.6666666666666665</v>
      </c>
      <c r="E423" s="190">
        <v>5</v>
      </c>
      <c r="F423" s="60">
        <f>SUMIF('Sales Register'!C:C, A423, 'Sales Register'!D:D)</f>
        <v>6</v>
      </c>
      <c r="G423" s="60">
        <f t="shared" si="40"/>
        <v>30</v>
      </c>
      <c r="H423" s="60">
        <f t="shared" si="41"/>
        <v>22</v>
      </c>
      <c r="I423" s="60">
        <f t="shared" si="42"/>
        <v>8</v>
      </c>
      <c r="J423" s="60">
        <f t="shared" si="43"/>
        <v>0.26666666666666666</v>
      </c>
      <c r="K423" s="35" t="str">
        <f t="shared" si="39"/>
        <v>36%</v>
      </c>
      <c r="M423" s="30">
        <f t="shared" si="44"/>
        <v>0.3636363636363637</v>
      </c>
      <c r="N423" s="34">
        <f>VLOOKUP(A423, 'Stock Register'!A:F, 6, FALSE)</f>
        <v>39</v>
      </c>
    </row>
    <row r="424" spans="1:14" ht="30" hidden="1" x14ac:dyDescent="0.25">
      <c r="A424" s="205" t="s">
        <v>711</v>
      </c>
      <c r="D424" s="29">
        <f>SUMIF('Purchase Register'!C:C, A424, 'Purchase Register'!G:G)</f>
        <v>120</v>
      </c>
      <c r="E424" s="190">
        <v>125</v>
      </c>
      <c r="F424" s="60">
        <f>SUMIF('Sales Register'!C:C, A424, 'Sales Register'!D:D)</f>
        <v>0</v>
      </c>
      <c r="G424" s="60">
        <f t="shared" si="40"/>
        <v>0</v>
      </c>
      <c r="H424" s="60">
        <f t="shared" si="41"/>
        <v>0</v>
      </c>
      <c r="I424" s="60">
        <f t="shared" si="42"/>
        <v>0</v>
      </c>
      <c r="J424" s="60">
        <f t="shared" si="43"/>
        <v>0</v>
      </c>
      <c r="K424" s="35" t="str">
        <f t="shared" si="39"/>
        <v>4%</v>
      </c>
      <c r="M424" s="30">
        <f t="shared" si="44"/>
        <v>4.1666666666666664E-2</v>
      </c>
      <c r="N424" s="34">
        <f>VLOOKUP(A424, 'Stock Register'!A:F, 6, FALSE)</f>
        <v>2</v>
      </c>
    </row>
    <row r="425" spans="1:14" hidden="1" x14ac:dyDescent="0.25">
      <c r="A425" s="205" t="s">
        <v>712</v>
      </c>
      <c r="D425" s="29">
        <f>SUMIF('Purchase Register'!C:C, A425, 'Purchase Register'!G:G)</f>
        <v>74.666666666666671</v>
      </c>
      <c r="E425" s="190">
        <v>80</v>
      </c>
      <c r="F425" s="60">
        <f>SUMIF('Sales Register'!C:C, A425, 'Sales Register'!D:D)</f>
        <v>1</v>
      </c>
      <c r="G425" s="60">
        <f t="shared" si="40"/>
        <v>80</v>
      </c>
      <c r="H425" s="60">
        <f t="shared" si="41"/>
        <v>74.666666666666671</v>
      </c>
      <c r="I425" s="60">
        <f t="shared" si="42"/>
        <v>5.3333333333333286</v>
      </c>
      <c r="J425" s="60">
        <f t="shared" si="43"/>
        <v>6.666666666666661E-2</v>
      </c>
      <c r="K425" s="35" t="str">
        <f t="shared" si="39"/>
        <v>7%</v>
      </c>
      <c r="M425" s="30">
        <f t="shared" si="44"/>
        <v>7.1428571428571355E-2</v>
      </c>
      <c r="N425" s="34">
        <f>VLOOKUP(A425, 'Stock Register'!A:F, 6, FALSE)</f>
        <v>2</v>
      </c>
    </row>
    <row r="426" spans="1:14" hidden="1" x14ac:dyDescent="0.25">
      <c r="A426" s="205" t="s">
        <v>713</v>
      </c>
      <c r="D426" s="29">
        <f>SUMIF('Purchase Register'!C:C, A426, 'Purchase Register'!G:G)</f>
        <v>140</v>
      </c>
      <c r="E426" s="190">
        <v>150</v>
      </c>
      <c r="F426" s="60">
        <f>SUMIF('Sales Register'!C:C, A426, 'Sales Register'!D:D)</f>
        <v>0</v>
      </c>
      <c r="G426" s="60">
        <f t="shared" si="40"/>
        <v>0</v>
      </c>
      <c r="H426" s="60">
        <f t="shared" si="41"/>
        <v>0</v>
      </c>
      <c r="I426" s="60">
        <f t="shared" si="42"/>
        <v>0</v>
      </c>
      <c r="J426" s="60">
        <f t="shared" si="43"/>
        <v>0</v>
      </c>
      <c r="K426" s="35" t="str">
        <f t="shared" si="39"/>
        <v>7%</v>
      </c>
      <c r="M426" s="30">
        <f t="shared" si="44"/>
        <v>7.1428571428571425E-2</v>
      </c>
      <c r="N426" s="34">
        <f>VLOOKUP(A426, 'Stock Register'!A:F, 6, FALSE)</f>
        <v>2</v>
      </c>
    </row>
    <row r="427" spans="1:14" s="75" customFormat="1" hidden="1" x14ac:dyDescent="0.25">
      <c r="A427" s="204" t="s">
        <v>714</v>
      </c>
      <c r="B427" s="71"/>
      <c r="C427" s="71"/>
      <c r="D427" s="72">
        <f>SUMIF('Purchase Register'!C:C, A427, 'Purchase Register'!G:G)</f>
        <v>26</v>
      </c>
      <c r="E427" s="191">
        <v>30</v>
      </c>
      <c r="F427" s="74">
        <f>SUMIF('Sales Register'!C:C, A427, 'Sales Register'!D:D)</f>
        <v>15</v>
      </c>
      <c r="G427" s="74">
        <f t="shared" si="40"/>
        <v>450</v>
      </c>
      <c r="H427" s="74">
        <f t="shared" si="41"/>
        <v>390</v>
      </c>
      <c r="I427" s="74">
        <f t="shared" si="42"/>
        <v>60</v>
      </c>
      <c r="J427" s="74">
        <f t="shared" si="43"/>
        <v>0.13333333333333333</v>
      </c>
      <c r="K427" s="134" t="str">
        <f t="shared" si="39"/>
        <v>15%</v>
      </c>
      <c r="L427" s="73"/>
      <c r="M427" s="99">
        <f t="shared" si="44"/>
        <v>0.15384615384615385</v>
      </c>
      <c r="N427" s="34">
        <f>VLOOKUP(A427, 'Stock Register'!A:F, 6, FALSE)</f>
        <v>0</v>
      </c>
    </row>
    <row r="428" spans="1:14" s="75" customFormat="1" ht="25.15" hidden="1" customHeight="1" x14ac:dyDescent="0.25">
      <c r="A428" s="204" t="s">
        <v>715</v>
      </c>
      <c r="B428" s="71"/>
      <c r="C428" s="71"/>
      <c r="D428" s="72">
        <f>SUMIF('Purchase Register'!C:C, A428, 'Purchase Register'!G:G)</f>
        <v>105</v>
      </c>
      <c r="E428" s="191">
        <v>120</v>
      </c>
      <c r="F428" s="74">
        <f>SUMIF('Sales Register'!C:C, A428, 'Sales Register'!D:D)</f>
        <v>3</v>
      </c>
      <c r="G428" s="74">
        <f t="shared" si="40"/>
        <v>360</v>
      </c>
      <c r="H428" s="74">
        <f t="shared" si="41"/>
        <v>315</v>
      </c>
      <c r="I428" s="74">
        <f t="shared" si="42"/>
        <v>45</v>
      </c>
      <c r="J428" s="74">
        <f t="shared" si="43"/>
        <v>0.125</v>
      </c>
      <c r="K428" s="134" t="str">
        <f t="shared" si="39"/>
        <v>14%</v>
      </c>
      <c r="L428" s="73"/>
      <c r="M428" s="99">
        <f t="shared" si="44"/>
        <v>0.14285714285714285</v>
      </c>
      <c r="N428" s="73">
        <f>VLOOKUP(A428, 'Stock Register'!A:F, 6, FALSE)</f>
        <v>0</v>
      </c>
    </row>
    <row r="429" spans="1:14" s="75" customFormat="1" hidden="1" x14ac:dyDescent="0.25">
      <c r="A429" s="204" t="s">
        <v>716</v>
      </c>
      <c r="B429" s="71"/>
      <c r="C429" s="71"/>
      <c r="D429" s="72">
        <f>SUMIF('Purchase Register'!C:C, A429, 'Purchase Register'!G:G)</f>
        <v>50</v>
      </c>
      <c r="E429" s="191">
        <v>58</v>
      </c>
      <c r="F429" s="74">
        <f>SUMIF('Sales Register'!C:C, A429, 'Sales Register'!D:D)</f>
        <v>2.2599999999999998</v>
      </c>
      <c r="G429" s="74">
        <f t="shared" si="40"/>
        <v>131.07999999999998</v>
      </c>
      <c r="H429" s="74">
        <f t="shared" si="41"/>
        <v>112.99999999999999</v>
      </c>
      <c r="I429" s="74">
        <f t="shared" si="42"/>
        <v>18.079999999999998</v>
      </c>
      <c r="J429" s="74">
        <f t="shared" si="43"/>
        <v>0.13793103448275862</v>
      </c>
      <c r="K429" s="134" t="str">
        <f t="shared" si="39"/>
        <v>16%</v>
      </c>
      <c r="L429" s="73"/>
      <c r="M429" s="99">
        <f t="shared" si="44"/>
        <v>0.16</v>
      </c>
      <c r="N429" s="73">
        <f>VLOOKUP(A429, 'Stock Register'!A:F, 6, FALSE)</f>
        <v>0.74000000000000021</v>
      </c>
    </row>
    <row r="430" spans="1:14" ht="30" hidden="1" x14ac:dyDescent="0.25">
      <c r="A430" s="205" t="s">
        <v>717</v>
      </c>
      <c r="D430" s="29">
        <f>SUMIF('Purchase Register'!C:C, A430, 'Purchase Register'!G:G)</f>
        <v>85</v>
      </c>
      <c r="E430" s="190">
        <v>92</v>
      </c>
      <c r="F430" s="60">
        <f>SUMIF('Sales Register'!C:C, A430, 'Sales Register'!D:D)</f>
        <v>3</v>
      </c>
      <c r="G430" s="60">
        <f t="shared" si="40"/>
        <v>276</v>
      </c>
      <c r="H430" s="60">
        <f t="shared" si="41"/>
        <v>255</v>
      </c>
      <c r="I430" s="60">
        <f t="shared" si="42"/>
        <v>21</v>
      </c>
      <c r="J430" s="60">
        <f t="shared" si="43"/>
        <v>7.6086956521739135E-2</v>
      </c>
      <c r="K430" s="35" t="str">
        <f t="shared" si="39"/>
        <v>8%</v>
      </c>
      <c r="M430" s="30">
        <f t="shared" si="44"/>
        <v>8.2352941176470587E-2</v>
      </c>
      <c r="N430" s="34">
        <f>VLOOKUP(A430, 'Stock Register'!A:F, 6, FALSE)</f>
        <v>0</v>
      </c>
    </row>
    <row r="431" spans="1:14" s="75" customFormat="1" ht="30" hidden="1" x14ac:dyDescent="0.25">
      <c r="A431" s="204" t="s">
        <v>718</v>
      </c>
      <c r="B431" s="71"/>
      <c r="C431" s="71"/>
      <c r="D431" s="72">
        <f>SUMIF('Purchase Register'!C:C, A431, 'Purchase Register'!G:G)</f>
        <v>140</v>
      </c>
      <c r="E431" s="191">
        <v>160</v>
      </c>
      <c r="F431" s="74">
        <f>SUMIF('Sales Register'!C:C, A431, 'Sales Register'!D:D)</f>
        <v>2</v>
      </c>
      <c r="G431" s="74">
        <f t="shared" si="40"/>
        <v>320</v>
      </c>
      <c r="H431" s="74">
        <f t="shared" si="41"/>
        <v>280</v>
      </c>
      <c r="I431" s="74">
        <f t="shared" si="42"/>
        <v>40</v>
      </c>
      <c r="J431" s="74">
        <f t="shared" si="43"/>
        <v>0.125</v>
      </c>
      <c r="K431" s="134" t="str">
        <f t="shared" si="39"/>
        <v>14%</v>
      </c>
      <c r="L431" s="73"/>
      <c r="M431" s="99">
        <f t="shared" si="44"/>
        <v>0.14285714285714285</v>
      </c>
      <c r="N431" s="73">
        <f>VLOOKUP(A431, 'Stock Register'!A:F, 6, FALSE)</f>
        <v>0</v>
      </c>
    </row>
    <row r="432" spans="1:14" s="75" customFormat="1" hidden="1" x14ac:dyDescent="0.25">
      <c r="A432" s="204" t="s">
        <v>719</v>
      </c>
      <c r="B432" s="71"/>
      <c r="C432" s="71"/>
      <c r="D432" s="72">
        <f>SUMIF('Purchase Register'!C:C, A432, 'Purchase Register'!G:G)</f>
        <v>38</v>
      </c>
      <c r="E432" s="191">
        <v>45</v>
      </c>
      <c r="F432" s="74">
        <f>SUMIF('Sales Register'!C:C, A432, 'Sales Register'!D:D)</f>
        <v>4</v>
      </c>
      <c r="G432" s="74">
        <f t="shared" si="40"/>
        <v>180</v>
      </c>
      <c r="H432" s="74">
        <f t="shared" si="41"/>
        <v>152</v>
      </c>
      <c r="I432" s="74">
        <f t="shared" si="42"/>
        <v>28</v>
      </c>
      <c r="J432" s="74">
        <f t="shared" si="43"/>
        <v>0.15555555555555556</v>
      </c>
      <c r="K432" s="134" t="str">
        <f t="shared" si="39"/>
        <v>18%</v>
      </c>
      <c r="L432" s="73"/>
      <c r="M432" s="99">
        <f t="shared" si="44"/>
        <v>0.18421052631578946</v>
      </c>
      <c r="N432" s="73">
        <f>VLOOKUP(A432, 'Stock Register'!A:F, 6, FALSE)</f>
        <v>2</v>
      </c>
    </row>
    <row r="433" spans="1:14" hidden="1" x14ac:dyDescent="0.25">
      <c r="A433" s="205" t="s">
        <v>720</v>
      </c>
      <c r="D433" s="29">
        <f>SUMIF('Purchase Register'!C:C, A433, 'Purchase Register'!G:G)</f>
        <v>115</v>
      </c>
      <c r="E433" s="190">
        <v>135</v>
      </c>
      <c r="F433" s="60">
        <f>SUMIF('Sales Register'!C:C, A433, 'Sales Register'!D:D)</f>
        <v>6.0389999999999997</v>
      </c>
      <c r="G433" s="60">
        <f t="shared" si="40"/>
        <v>815.26499999999999</v>
      </c>
      <c r="H433" s="60">
        <f t="shared" si="41"/>
        <v>694.48500000000001</v>
      </c>
      <c r="I433" s="60">
        <f t="shared" si="42"/>
        <v>120.77999999999997</v>
      </c>
      <c r="J433" s="60">
        <f t="shared" si="43"/>
        <v>0.14814814814814811</v>
      </c>
      <c r="K433" s="35" t="str">
        <f t="shared" si="39"/>
        <v>17%</v>
      </c>
      <c r="M433" s="30">
        <f t="shared" si="44"/>
        <v>0.17391304347826086</v>
      </c>
      <c r="N433" s="34">
        <f>VLOOKUP(A433, 'Stock Register'!A:F, 6, FALSE)</f>
        <v>3.9610000000000003</v>
      </c>
    </row>
    <row r="434" spans="1:14" hidden="1" x14ac:dyDescent="0.25">
      <c r="A434" s="205" t="s">
        <v>721</v>
      </c>
      <c r="D434" s="29">
        <f>SUMIF('Purchase Register'!C:C, A434, 'Purchase Register'!G:G)</f>
        <v>750</v>
      </c>
      <c r="E434" s="190">
        <v>900</v>
      </c>
      <c r="F434" s="60">
        <f>SUMIF('Sales Register'!C:C, A434, 'Sales Register'!D:D)</f>
        <v>0.75500000000000012</v>
      </c>
      <c r="G434" s="60">
        <f t="shared" si="40"/>
        <v>679.50000000000011</v>
      </c>
      <c r="H434" s="60">
        <f t="shared" si="41"/>
        <v>566.25000000000011</v>
      </c>
      <c r="I434" s="60">
        <f t="shared" si="42"/>
        <v>113.25</v>
      </c>
      <c r="J434" s="60">
        <f t="shared" si="43"/>
        <v>0.16666666666666663</v>
      </c>
      <c r="K434" s="35" t="str">
        <f t="shared" si="39"/>
        <v>20%</v>
      </c>
      <c r="M434" s="30">
        <f t="shared" si="44"/>
        <v>0.2</v>
      </c>
      <c r="N434" s="34">
        <f>VLOOKUP(A434, 'Stock Register'!A:F, 6, FALSE)</f>
        <v>0.24499999999999988</v>
      </c>
    </row>
    <row r="435" spans="1:14" hidden="1" x14ac:dyDescent="0.25">
      <c r="A435" s="205" t="s">
        <v>722</v>
      </c>
      <c r="D435" s="29">
        <f>SUMIF('Purchase Register'!C:C, A435, 'Purchase Register'!G:G)</f>
        <v>300</v>
      </c>
      <c r="E435" s="190">
        <v>380</v>
      </c>
      <c r="F435" s="60">
        <f>SUMIF('Sales Register'!C:C, A435, 'Sales Register'!D:D)</f>
        <v>0.32900000000000001</v>
      </c>
      <c r="G435" s="60">
        <f t="shared" si="40"/>
        <v>125.02000000000001</v>
      </c>
      <c r="H435" s="60">
        <f t="shared" si="41"/>
        <v>98.7</v>
      </c>
      <c r="I435" s="60">
        <f t="shared" si="42"/>
        <v>26.320000000000007</v>
      </c>
      <c r="J435" s="60">
        <f t="shared" si="43"/>
        <v>0.21052631578947373</v>
      </c>
      <c r="K435" s="35" t="str">
        <f t="shared" ref="K435:K500" si="45">IF(E435&lt;=D435, "NO PROFIT", IF((E435-D435)/D435 &gt;= 1, "100% or More", TEXT(_xlfn.FLOOR.MATH((E435-D435)/D435, 0.01), "0%")))</f>
        <v>26%</v>
      </c>
      <c r="M435" s="30">
        <f t="shared" si="44"/>
        <v>0.26666666666666666</v>
      </c>
      <c r="N435" s="34">
        <f>VLOOKUP(A435, 'Stock Register'!A:F, 6, FALSE)</f>
        <v>0.67100000000000004</v>
      </c>
    </row>
    <row r="436" spans="1:14" s="75" customFormat="1" hidden="1" x14ac:dyDescent="0.25">
      <c r="A436" s="204" t="s">
        <v>730</v>
      </c>
      <c r="B436" s="71"/>
      <c r="C436" s="71"/>
      <c r="D436" s="72">
        <f>SUMIF('Purchase Register'!C:C, A436, 'Purchase Register'!G:G)</f>
        <v>48</v>
      </c>
      <c r="E436" s="191">
        <v>56</v>
      </c>
      <c r="F436" s="74">
        <f>SUMIF('Sales Register'!C:C, A436, 'Sales Register'!D:D)</f>
        <v>7.7790000000000008</v>
      </c>
      <c r="G436" s="74">
        <f t="shared" si="40"/>
        <v>435.62400000000002</v>
      </c>
      <c r="H436" s="74">
        <f t="shared" si="41"/>
        <v>373.39200000000005</v>
      </c>
      <c r="I436" s="74">
        <f t="shared" si="42"/>
        <v>62.231999999999971</v>
      </c>
      <c r="J436" s="74">
        <f t="shared" si="43"/>
        <v>0.14285714285714279</v>
      </c>
      <c r="K436" s="134" t="str">
        <f t="shared" si="45"/>
        <v>16%</v>
      </c>
      <c r="L436" s="73"/>
      <c r="M436" s="99">
        <f t="shared" si="44"/>
        <v>0.16666666666666666</v>
      </c>
      <c r="N436" s="34">
        <f>VLOOKUP(A436, 'Stock Register'!A:F, 6, FALSE)</f>
        <v>-2.7790000000000008</v>
      </c>
    </row>
    <row r="437" spans="1:14" hidden="1" x14ac:dyDescent="0.25">
      <c r="A437" s="205" t="s">
        <v>723</v>
      </c>
      <c r="D437" s="29">
        <f>SUMIF('Purchase Register'!C:C, A437, 'Purchase Register'!G:G)</f>
        <v>260</v>
      </c>
      <c r="E437" s="190">
        <v>300</v>
      </c>
      <c r="F437" s="60">
        <f>SUMIF('Sales Register'!C:C, A437, 'Sales Register'!D:D)</f>
        <v>1.014</v>
      </c>
      <c r="G437" s="60">
        <f t="shared" si="40"/>
        <v>304.2</v>
      </c>
      <c r="H437" s="60">
        <f t="shared" si="41"/>
        <v>263.64</v>
      </c>
      <c r="I437" s="60">
        <f t="shared" si="42"/>
        <v>40.56</v>
      </c>
      <c r="J437" s="60">
        <f t="shared" si="43"/>
        <v>0.13333333333333336</v>
      </c>
      <c r="K437" s="35" t="str">
        <f t="shared" si="45"/>
        <v>15%</v>
      </c>
      <c r="M437" s="30">
        <f t="shared" si="44"/>
        <v>0.15384615384615385</v>
      </c>
      <c r="N437" s="34">
        <f>VLOOKUP(A437, 'Stock Register'!A:F, 6, FALSE)</f>
        <v>-1.4000000000000012E-2</v>
      </c>
    </row>
    <row r="438" spans="1:14" s="75" customFormat="1" hidden="1" x14ac:dyDescent="0.25">
      <c r="A438" s="204" t="s">
        <v>724</v>
      </c>
      <c r="B438" s="71"/>
      <c r="C438" s="71"/>
      <c r="D438" s="72">
        <f>SUMIF('Purchase Register'!C:C, A438, 'Purchase Register'!G:G)</f>
        <v>8.5</v>
      </c>
      <c r="E438" s="191">
        <v>10</v>
      </c>
      <c r="F438" s="74">
        <f>SUMIF('Sales Register'!C:C, A438, 'Sales Register'!D:D)</f>
        <v>10</v>
      </c>
      <c r="G438" s="74">
        <f t="shared" ref="G438:G501" si="46">E438*F438</f>
        <v>100</v>
      </c>
      <c r="H438" s="74">
        <f t="shared" si="41"/>
        <v>85</v>
      </c>
      <c r="I438" s="74">
        <f t="shared" si="42"/>
        <v>15</v>
      </c>
      <c r="J438" s="74">
        <f t="shared" si="43"/>
        <v>0.15</v>
      </c>
      <c r="K438" s="134" t="str">
        <f t="shared" si="45"/>
        <v>17%</v>
      </c>
      <c r="L438" s="73"/>
      <c r="M438" s="99">
        <f t="shared" si="44"/>
        <v>0.17647058823529413</v>
      </c>
      <c r="N438" s="73">
        <f>VLOOKUP(A438, 'Stock Register'!A:F, 6, FALSE)</f>
        <v>0</v>
      </c>
    </row>
    <row r="439" spans="1:14" hidden="1" x14ac:dyDescent="0.25">
      <c r="A439" s="205" t="s">
        <v>725</v>
      </c>
      <c r="D439" s="29">
        <f>SUMIF('Purchase Register'!C:C, A439, 'Purchase Register'!G:G)</f>
        <v>110</v>
      </c>
      <c r="E439" s="190">
        <v>150</v>
      </c>
      <c r="F439" s="60">
        <f>SUMIF('Sales Register'!C:C, A439, 'Sales Register'!D:D)</f>
        <v>0.20500000000000002</v>
      </c>
      <c r="G439" s="60">
        <f t="shared" si="46"/>
        <v>30.750000000000004</v>
      </c>
      <c r="H439" s="60">
        <f t="shared" si="41"/>
        <v>22.55</v>
      </c>
      <c r="I439" s="60">
        <f t="shared" si="42"/>
        <v>8.2000000000000028</v>
      </c>
      <c r="J439" s="60">
        <f t="shared" si="43"/>
        <v>0.26666666666666672</v>
      </c>
      <c r="K439" s="35" t="str">
        <f t="shared" si="45"/>
        <v>36%</v>
      </c>
      <c r="M439" s="30">
        <f t="shared" si="44"/>
        <v>0.36363636363636365</v>
      </c>
      <c r="N439" s="34">
        <f>VLOOKUP(A439, 'Stock Register'!A:F, 6, FALSE)</f>
        <v>0.29499999999999998</v>
      </c>
    </row>
    <row r="440" spans="1:14" hidden="1" x14ac:dyDescent="0.25">
      <c r="A440" s="205" t="s">
        <v>726</v>
      </c>
      <c r="D440" s="29">
        <f>SUMIF('Purchase Register'!C:C, A440, 'Purchase Register'!G:G)</f>
        <v>90</v>
      </c>
      <c r="E440" s="190">
        <v>110</v>
      </c>
      <c r="F440" s="60">
        <f>SUMIF('Sales Register'!C:C, A440, 'Sales Register'!D:D)</f>
        <v>3.5300000000000002</v>
      </c>
      <c r="G440" s="60">
        <f t="shared" si="46"/>
        <v>388.3</v>
      </c>
      <c r="H440" s="60">
        <f t="shared" si="41"/>
        <v>317.70000000000005</v>
      </c>
      <c r="I440" s="60">
        <f t="shared" si="42"/>
        <v>70.599999999999966</v>
      </c>
      <c r="J440" s="60">
        <f t="shared" si="43"/>
        <v>0.18181818181818171</v>
      </c>
      <c r="K440" s="35" t="str">
        <f t="shared" si="45"/>
        <v>22%</v>
      </c>
      <c r="M440" s="30">
        <f t="shared" si="44"/>
        <v>0.22222222222222221</v>
      </c>
      <c r="N440" s="34">
        <f>VLOOKUP(A440, 'Stock Register'!A:F, 6, FALSE)</f>
        <v>1.4699999999999998</v>
      </c>
    </row>
    <row r="441" spans="1:14" hidden="1" x14ac:dyDescent="0.25">
      <c r="A441" s="205" t="s">
        <v>727</v>
      </c>
      <c r="D441" s="29">
        <f>SUMIF('Purchase Register'!C:C, A441, 'Purchase Register'!G:G)</f>
        <v>80</v>
      </c>
      <c r="E441" s="190">
        <v>95</v>
      </c>
      <c r="F441" s="60">
        <f>SUMIF('Sales Register'!C:C, A441, 'Sales Register'!D:D)</f>
        <v>3.0019999999999998</v>
      </c>
      <c r="G441" s="60">
        <f t="shared" si="46"/>
        <v>285.19</v>
      </c>
      <c r="H441" s="60">
        <f t="shared" si="41"/>
        <v>240.15999999999997</v>
      </c>
      <c r="I441" s="60">
        <f t="shared" si="42"/>
        <v>45.03000000000003</v>
      </c>
      <c r="J441" s="60">
        <f t="shared" si="43"/>
        <v>0.15789473684210537</v>
      </c>
      <c r="K441" s="35" t="str">
        <f t="shared" si="45"/>
        <v>18%</v>
      </c>
      <c r="M441" s="30">
        <f t="shared" si="44"/>
        <v>0.1875</v>
      </c>
      <c r="N441" s="34">
        <f>VLOOKUP(A441, 'Stock Register'!A:F, 6, FALSE)</f>
        <v>-1.9999999999997797E-3</v>
      </c>
    </row>
    <row r="442" spans="1:14" hidden="1" x14ac:dyDescent="0.25">
      <c r="A442" s="205" t="s">
        <v>728</v>
      </c>
      <c r="D442" s="29">
        <f>SUMIF('Purchase Register'!C:C, A442, 'Purchase Register'!G:G)</f>
        <v>120</v>
      </c>
      <c r="E442" s="190">
        <v>170</v>
      </c>
      <c r="F442" s="60">
        <f>SUMIF('Sales Register'!C:C, A442, 'Sales Register'!D:D)</f>
        <v>0.51800000000000002</v>
      </c>
      <c r="G442" s="60">
        <f t="shared" si="46"/>
        <v>88.06</v>
      </c>
      <c r="H442" s="60">
        <f t="shared" si="41"/>
        <v>62.160000000000004</v>
      </c>
      <c r="I442" s="60">
        <f t="shared" si="42"/>
        <v>25.9</v>
      </c>
      <c r="J442" s="60">
        <f t="shared" si="43"/>
        <v>0.29411764705882348</v>
      </c>
      <c r="K442" s="35" t="str">
        <f t="shared" si="45"/>
        <v>41%</v>
      </c>
      <c r="M442" s="30">
        <f t="shared" si="44"/>
        <v>0.41666666666666669</v>
      </c>
      <c r="N442" s="34">
        <f>VLOOKUP(A442, 'Stock Register'!A:F, 6, FALSE)</f>
        <v>0.48199999999999998</v>
      </c>
    </row>
    <row r="443" spans="1:14" s="75" customFormat="1" ht="30" hidden="1" x14ac:dyDescent="0.25">
      <c r="A443" s="204" t="s">
        <v>729</v>
      </c>
      <c r="B443" s="71"/>
      <c r="C443" s="71"/>
      <c r="D443" s="72">
        <f>SUMIF('Purchase Register'!C:C, A443, 'Purchase Register'!G:G)</f>
        <v>8.75</v>
      </c>
      <c r="E443" s="191">
        <v>10</v>
      </c>
      <c r="F443" s="74">
        <f>SUMIF('Sales Register'!C:C, A443, 'Sales Register'!D:D)</f>
        <v>30</v>
      </c>
      <c r="G443" s="74">
        <f t="shared" si="46"/>
        <v>300</v>
      </c>
      <c r="H443" s="74">
        <f t="shared" si="41"/>
        <v>262.5</v>
      </c>
      <c r="I443" s="74">
        <f t="shared" si="42"/>
        <v>37.5</v>
      </c>
      <c r="J443" s="74">
        <f t="shared" si="43"/>
        <v>0.125</v>
      </c>
      <c r="K443" s="134" t="str">
        <f t="shared" si="45"/>
        <v>14%</v>
      </c>
      <c r="L443" s="73"/>
      <c r="M443" s="99">
        <f t="shared" si="44"/>
        <v>0.14285714285714285</v>
      </c>
      <c r="N443" s="73">
        <f>VLOOKUP(A443, 'Stock Register'!A:F, 6, FALSE)</f>
        <v>-6</v>
      </c>
    </row>
    <row r="444" spans="1:14" s="75" customFormat="1" hidden="1" x14ac:dyDescent="0.25">
      <c r="A444" s="204" t="s">
        <v>731</v>
      </c>
      <c r="B444" s="71"/>
      <c r="C444" s="71"/>
      <c r="D444" s="72">
        <f>SUMIF('Purchase Register'!C:C, A444, 'Purchase Register'!G:G)</f>
        <v>50</v>
      </c>
      <c r="E444" s="191">
        <v>60</v>
      </c>
      <c r="F444" s="74">
        <f>SUMIF('Sales Register'!C:C, A444, 'Sales Register'!D:D)</f>
        <v>3.1</v>
      </c>
      <c r="G444" s="74">
        <f t="shared" si="46"/>
        <v>186</v>
      </c>
      <c r="H444" s="74">
        <f t="shared" si="41"/>
        <v>155</v>
      </c>
      <c r="I444" s="74">
        <f t="shared" si="42"/>
        <v>31</v>
      </c>
      <c r="J444" s="74">
        <f t="shared" si="43"/>
        <v>0.16666666666666666</v>
      </c>
      <c r="K444" s="134" t="str">
        <f t="shared" si="45"/>
        <v>20%</v>
      </c>
      <c r="L444" s="73"/>
      <c r="M444" s="99">
        <f t="shared" si="44"/>
        <v>0.2</v>
      </c>
      <c r="N444" s="73">
        <f>VLOOKUP(A444, 'Stock Register'!A:F, 6, FALSE)</f>
        <v>-1.1000000000000001</v>
      </c>
    </row>
    <row r="445" spans="1:14" s="75" customFormat="1" ht="30" hidden="1" x14ac:dyDescent="0.25">
      <c r="A445" s="204" t="s">
        <v>733</v>
      </c>
      <c r="B445" s="71"/>
      <c r="C445" s="71"/>
      <c r="D445" s="72">
        <f>SUMIF('Purchase Register'!C:C, A445, 'Purchase Register'!G:G)</f>
        <v>49.230769230769234</v>
      </c>
      <c r="E445" s="191">
        <v>55</v>
      </c>
      <c r="F445" s="74">
        <f>SUMIF('Sales Register'!C:C, A445, 'Sales Register'!D:D)</f>
        <v>105</v>
      </c>
      <c r="G445" s="74">
        <f t="shared" si="46"/>
        <v>5775</v>
      </c>
      <c r="H445" s="74">
        <f t="shared" si="41"/>
        <v>5169.2307692307695</v>
      </c>
      <c r="I445" s="74">
        <f t="shared" si="42"/>
        <v>605.76923076923049</v>
      </c>
      <c r="J445" s="74">
        <f t="shared" si="43"/>
        <v>0.10489510489510484</v>
      </c>
      <c r="K445" s="134" t="str">
        <f t="shared" si="45"/>
        <v>11%</v>
      </c>
      <c r="L445" s="73"/>
      <c r="M445" s="99">
        <f t="shared" si="44"/>
        <v>0.11718749999999994</v>
      </c>
      <c r="N445" s="73">
        <f>VLOOKUP(A445, 'Stock Register'!A:F, 6, FALSE)</f>
        <v>-1</v>
      </c>
    </row>
    <row r="446" spans="1:14" ht="30" hidden="1" x14ac:dyDescent="0.25">
      <c r="A446" s="205" t="s">
        <v>734</v>
      </c>
      <c r="D446" s="29">
        <f>SUMIF('Purchase Register'!C:C, A446, 'Purchase Register'!G:G)</f>
        <v>43.46153846153846</v>
      </c>
      <c r="E446" s="190">
        <v>50</v>
      </c>
      <c r="F446" s="60">
        <f>SUMIF('Sales Register'!C:C, A446, 'Sales Register'!D:D)</f>
        <v>16.25</v>
      </c>
      <c r="G446" s="60">
        <f t="shared" si="46"/>
        <v>812.5</v>
      </c>
      <c r="H446" s="60">
        <f t="shared" si="41"/>
        <v>706.25</v>
      </c>
      <c r="I446" s="60">
        <f t="shared" si="42"/>
        <v>106.25</v>
      </c>
      <c r="J446" s="60">
        <f t="shared" si="43"/>
        <v>0.13076923076923078</v>
      </c>
      <c r="K446" s="35" t="str">
        <f t="shared" si="45"/>
        <v>15%</v>
      </c>
      <c r="M446" s="30">
        <f t="shared" si="44"/>
        <v>0.15044247787610623</v>
      </c>
      <c r="N446" s="34">
        <f>VLOOKUP(A446, 'Stock Register'!A:F, 6, FALSE)</f>
        <v>9.75</v>
      </c>
    </row>
    <row r="447" spans="1:14" ht="30" hidden="1" x14ac:dyDescent="0.25">
      <c r="A447" s="205" t="s">
        <v>735</v>
      </c>
      <c r="D447" s="29">
        <f>SUMIF('Purchase Register'!C:C, A447, 'Purchase Register'!G:G)</f>
        <v>66.538461538461533</v>
      </c>
      <c r="E447" s="190">
        <v>68</v>
      </c>
      <c r="F447" s="60">
        <f>SUMIF('Sales Register'!C:C, A447, 'Sales Register'!D:D)</f>
        <v>23</v>
      </c>
      <c r="G447" s="60">
        <f t="shared" si="46"/>
        <v>1564</v>
      </c>
      <c r="H447" s="60">
        <f t="shared" si="41"/>
        <v>1530.3846153846152</v>
      </c>
      <c r="I447" s="60">
        <f t="shared" si="42"/>
        <v>33.615384615384755</v>
      </c>
      <c r="J447" s="60">
        <f t="shared" si="43"/>
        <v>2.1493212669683348E-2</v>
      </c>
      <c r="K447" s="35" t="str">
        <f t="shared" si="45"/>
        <v>2%</v>
      </c>
      <c r="M447" s="30">
        <f t="shared" si="44"/>
        <v>2.1965317919075227E-2</v>
      </c>
      <c r="N447" s="34">
        <f>VLOOKUP(A447, 'Stock Register'!A:F, 6, FALSE)</f>
        <v>3</v>
      </c>
    </row>
    <row r="448" spans="1:14" s="75" customFormat="1" hidden="1" x14ac:dyDescent="0.25">
      <c r="A448" s="204" t="s">
        <v>736</v>
      </c>
      <c r="B448" s="71"/>
      <c r="C448" s="71"/>
      <c r="D448" s="72">
        <f>SUMIF('Purchase Register'!C:C, A448, 'Purchase Register'!G:G)</f>
        <v>50</v>
      </c>
      <c r="E448" s="191">
        <v>55</v>
      </c>
      <c r="F448" s="74">
        <f>SUMIF('Sales Register'!C:C, A448, 'Sales Register'!D:D)</f>
        <v>9</v>
      </c>
      <c r="G448" s="74">
        <f t="shared" si="46"/>
        <v>495</v>
      </c>
      <c r="H448" s="74">
        <f t="shared" si="41"/>
        <v>450</v>
      </c>
      <c r="I448" s="74">
        <f t="shared" si="42"/>
        <v>45</v>
      </c>
      <c r="J448" s="74">
        <f t="shared" si="43"/>
        <v>9.0909090909090912E-2</v>
      </c>
      <c r="K448" s="134" t="str">
        <f t="shared" si="45"/>
        <v>10%</v>
      </c>
      <c r="L448" s="73"/>
      <c r="M448" s="99">
        <f t="shared" si="44"/>
        <v>0.1</v>
      </c>
      <c r="N448" s="73">
        <f>VLOOKUP(A448, 'Stock Register'!A:F, 6, FALSE)</f>
        <v>0</v>
      </c>
    </row>
    <row r="449" spans="1:14" s="75" customFormat="1" hidden="1" x14ac:dyDescent="0.25">
      <c r="A449" s="204" t="s">
        <v>737</v>
      </c>
      <c r="B449" s="71"/>
      <c r="C449" s="71"/>
      <c r="D449" s="72">
        <f>SUMIF('Purchase Register'!C:C, A449, 'Purchase Register'!G:G)</f>
        <v>15</v>
      </c>
      <c r="E449" s="191">
        <v>20</v>
      </c>
      <c r="F449" s="74">
        <f>SUMIF('Sales Register'!C:C, A449, 'Sales Register'!D:D)</f>
        <v>7</v>
      </c>
      <c r="G449" s="74">
        <f t="shared" si="46"/>
        <v>140</v>
      </c>
      <c r="H449" s="74">
        <f t="shared" si="41"/>
        <v>105</v>
      </c>
      <c r="I449" s="74">
        <f t="shared" si="42"/>
        <v>35</v>
      </c>
      <c r="J449" s="74">
        <f t="shared" si="43"/>
        <v>0.25</v>
      </c>
      <c r="K449" s="134" t="str">
        <f t="shared" si="45"/>
        <v>33%</v>
      </c>
      <c r="L449" s="73"/>
      <c r="M449" s="99">
        <f t="shared" si="44"/>
        <v>0.33333333333333331</v>
      </c>
      <c r="N449" s="73">
        <f>VLOOKUP(A449, 'Stock Register'!A:F, 6, FALSE)</f>
        <v>-1</v>
      </c>
    </row>
    <row r="450" spans="1:14" hidden="1" x14ac:dyDescent="0.25">
      <c r="A450" s="205" t="s">
        <v>738</v>
      </c>
      <c r="D450" s="29">
        <f>SUMIF('Purchase Register'!C:C, A450, 'Purchase Register'!G:G)</f>
        <v>42</v>
      </c>
      <c r="E450" s="190">
        <v>50</v>
      </c>
      <c r="F450" s="60">
        <f>SUMIF('Sales Register'!C:C, A450, 'Sales Register'!D:D)</f>
        <v>2</v>
      </c>
      <c r="G450" s="60">
        <f t="shared" si="46"/>
        <v>100</v>
      </c>
      <c r="H450" s="60">
        <f t="shared" ref="H450:H513" si="47">D450*F450</f>
        <v>84</v>
      </c>
      <c r="I450" s="60">
        <f t="shared" ref="I450:I513" si="48">G450-H450</f>
        <v>16</v>
      </c>
      <c r="J450" s="60">
        <f t="shared" ref="J450:J513" si="49">IF(G450=0,0,I450/G450)</f>
        <v>0.16</v>
      </c>
      <c r="K450" s="35" t="str">
        <f t="shared" si="45"/>
        <v>19%</v>
      </c>
      <c r="M450" s="30">
        <f t="shared" si="44"/>
        <v>0.19047619047619047</v>
      </c>
      <c r="N450" s="34">
        <f>VLOOKUP(A450, 'Stock Register'!A:F, 6, FALSE)</f>
        <v>0</v>
      </c>
    </row>
    <row r="451" spans="1:14" hidden="1" x14ac:dyDescent="0.25">
      <c r="A451" s="205" t="s">
        <v>739</v>
      </c>
      <c r="D451" s="29">
        <f>SUMIF('Purchase Register'!C:C, A451, 'Purchase Register'!G:G)</f>
        <v>42</v>
      </c>
      <c r="E451" s="190">
        <v>50</v>
      </c>
      <c r="F451" s="60">
        <f>SUMIF('Sales Register'!C:C, A451, 'Sales Register'!D:D)</f>
        <v>3</v>
      </c>
      <c r="G451" s="60">
        <f t="shared" si="46"/>
        <v>150</v>
      </c>
      <c r="H451" s="60">
        <f t="shared" si="47"/>
        <v>126</v>
      </c>
      <c r="I451" s="60">
        <f t="shared" si="48"/>
        <v>24</v>
      </c>
      <c r="J451" s="60">
        <f t="shared" si="49"/>
        <v>0.16</v>
      </c>
      <c r="K451" s="35" t="str">
        <f t="shared" si="45"/>
        <v>19%</v>
      </c>
      <c r="M451" s="30">
        <f t="shared" si="44"/>
        <v>0.19047619047619047</v>
      </c>
      <c r="N451" s="34">
        <f>VLOOKUP(A451, 'Stock Register'!A:F, 6, FALSE)</f>
        <v>0</v>
      </c>
    </row>
    <row r="452" spans="1:14" s="75" customFormat="1" hidden="1" x14ac:dyDescent="0.25">
      <c r="A452" s="204" t="s">
        <v>741</v>
      </c>
      <c r="B452" s="71"/>
      <c r="C452" s="71"/>
      <c r="D452" s="72">
        <f>SUMIF('Purchase Register'!C:C, A452, 'Purchase Register'!G:G)</f>
        <v>8.1666666666666661</v>
      </c>
      <c r="E452" s="191">
        <v>10</v>
      </c>
      <c r="F452" s="74">
        <f>SUMIF('Sales Register'!C:C, A452, 'Sales Register'!D:D)</f>
        <v>6</v>
      </c>
      <c r="G452" s="74">
        <f t="shared" si="46"/>
        <v>60</v>
      </c>
      <c r="H452" s="74">
        <f t="shared" si="47"/>
        <v>49</v>
      </c>
      <c r="I452" s="74">
        <f t="shared" si="48"/>
        <v>11</v>
      </c>
      <c r="J452" s="74">
        <f t="shared" si="49"/>
        <v>0.18333333333333332</v>
      </c>
      <c r="K452" s="134" t="str">
        <f t="shared" si="45"/>
        <v>22%</v>
      </c>
      <c r="L452" s="73"/>
      <c r="M452" s="99">
        <f t="shared" si="44"/>
        <v>0.22448979591836743</v>
      </c>
      <c r="N452" s="73">
        <f>VLOOKUP(A452, 'Stock Register'!A:F, 6, FALSE)</f>
        <v>24</v>
      </c>
    </row>
    <row r="453" spans="1:14" ht="30" hidden="1" x14ac:dyDescent="0.25">
      <c r="A453" s="205" t="s">
        <v>740</v>
      </c>
      <c r="D453" s="29">
        <f>SUMIF('Purchase Register'!C:C, A453, 'Purchase Register'!G:G)</f>
        <v>8.1666666666666661</v>
      </c>
      <c r="E453" s="190">
        <v>10</v>
      </c>
      <c r="F453" s="60">
        <f>SUMIF('Sales Register'!C:C, A453, 'Sales Register'!D:D)</f>
        <v>28</v>
      </c>
      <c r="G453" s="60">
        <f t="shared" si="46"/>
        <v>280</v>
      </c>
      <c r="H453" s="60">
        <f t="shared" si="47"/>
        <v>228.66666666666666</v>
      </c>
      <c r="I453" s="60">
        <f t="shared" si="48"/>
        <v>51.333333333333343</v>
      </c>
      <c r="J453" s="60">
        <f t="shared" si="49"/>
        <v>0.18333333333333338</v>
      </c>
      <c r="K453" s="35" t="str">
        <f t="shared" si="45"/>
        <v>22%</v>
      </c>
      <c r="M453" s="30">
        <f t="shared" si="44"/>
        <v>0.22448979591836743</v>
      </c>
      <c r="N453" s="34">
        <f>VLOOKUP(A453, 'Stock Register'!A:F, 6, FALSE)</f>
        <v>2</v>
      </c>
    </row>
    <row r="454" spans="1:14" hidden="1" x14ac:dyDescent="0.25">
      <c r="A454" s="205" t="s">
        <v>742</v>
      </c>
      <c r="D454" s="29">
        <f>SUMIF('Purchase Register'!C:C, A454, 'Purchase Register'!G:G)</f>
        <v>18</v>
      </c>
      <c r="E454" s="190">
        <v>25</v>
      </c>
      <c r="F454" s="60">
        <f>SUMIF('Sales Register'!C:C, A454, 'Sales Register'!D:D)</f>
        <v>4</v>
      </c>
      <c r="G454" s="60">
        <f t="shared" si="46"/>
        <v>100</v>
      </c>
      <c r="H454" s="60">
        <f t="shared" si="47"/>
        <v>72</v>
      </c>
      <c r="I454" s="60">
        <f t="shared" si="48"/>
        <v>28</v>
      </c>
      <c r="J454" s="60">
        <f t="shared" si="49"/>
        <v>0.28000000000000003</v>
      </c>
      <c r="K454" s="35" t="str">
        <f t="shared" si="45"/>
        <v>38%</v>
      </c>
      <c r="M454" s="30">
        <f t="shared" si="44"/>
        <v>0.3888888888888889</v>
      </c>
      <c r="N454" s="34">
        <f>VLOOKUP(A454, 'Stock Register'!A:F, 6, FALSE)</f>
        <v>-1</v>
      </c>
    </row>
    <row r="455" spans="1:14" hidden="1" x14ac:dyDescent="0.25">
      <c r="A455" s="205" t="s">
        <v>743</v>
      </c>
      <c r="D455" s="29">
        <f>SUMIF('Purchase Register'!C:C, A455, 'Purchase Register'!G:G)</f>
        <v>180</v>
      </c>
      <c r="E455" s="190">
        <v>180</v>
      </c>
      <c r="F455" s="60">
        <f>SUMIF('Sales Register'!C:C, A455, 'Sales Register'!D:D)</f>
        <v>0</v>
      </c>
      <c r="G455" s="60">
        <f t="shared" si="46"/>
        <v>0</v>
      </c>
      <c r="H455" s="60">
        <f t="shared" si="47"/>
        <v>0</v>
      </c>
      <c r="I455" s="60">
        <f t="shared" si="48"/>
        <v>0</v>
      </c>
      <c r="J455" s="60">
        <f t="shared" si="49"/>
        <v>0</v>
      </c>
      <c r="K455" s="35" t="str">
        <f t="shared" si="45"/>
        <v>NO PROFIT</v>
      </c>
      <c r="M455" s="30">
        <f t="shared" si="44"/>
        <v>0</v>
      </c>
      <c r="N455" s="34">
        <f>VLOOKUP(A455, 'Stock Register'!A:F, 6, FALSE)</f>
        <v>1</v>
      </c>
    </row>
    <row r="456" spans="1:14" hidden="1" x14ac:dyDescent="0.25">
      <c r="A456" s="205" t="s">
        <v>744</v>
      </c>
      <c r="D456" s="29">
        <f>SUMIF('Purchase Register'!C:C, A456, 'Purchase Register'!G:G)</f>
        <v>50</v>
      </c>
      <c r="E456" s="190">
        <v>50</v>
      </c>
      <c r="F456" s="60">
        <f>SUMIF('Sales Register'!C:C, A456, 'Sales Register'!D:D)</f>
        <v>0</v>
      </c>
      <c r="G456" s="60">
        <f t="shared" si="46"/>
        <v>0</v>
      </c>
      <c r="H456" s="60">
        <f t="shared" si="47"/>
        <v>0</v>
      </c>
      <c r="I456" s="60">
        <f t="shared" si="48"/>
        <v>0</v>
      </c>
      <c r="J456" s="60">
        <f t="shared" si="49"/>
        <v>0</v>
      </c>
      <c r="K456" s="35" t="str">
        <f t="shared" si="45"/>
        <v>NO PROFIT</v>
      </c>
      <c r="M456" s="30">
        <f t="shared" si="44"/>
        <v>0</v>
      </c>
      <c r="N456" s="34">
        <f>VLOOKUP(A456, 'Stock Register'!A:F, 6, FALSE)</f>
        <v>2</v>
      </c>
    </row>
    <row r="457" spans="1:14" hidden="1" x14ac:dyDescent="0.25">
      <c r="A457" s="205" t="s">
        <v>745</v>
      </c>
      <c r="D457" s="29">
        <f>SUMIF('Purchase Register'!C:C, A457, 'Purchase Register'!G:G)</f>
        <v>4</v>
      </c>
      <c r="E457" s="190">
        <v>5</v>
      </c>
      <c r="F457" s="60">
        <f>SUMIF('Sales Register'!C:C, A457, 'Sales Register'!D:D)</f>
        <v>3</v>
      </c>
      <c r="G457" s="60">
        <f t="shared" si="46"/>
        <v>15</v>
      </c>
      <c r="H457" s="60">
        <f t="shared" si="47"/>
        <v>12</v>
      </c>
      <c r="I457" s="60">
        <f t="shared" si="48"/>
        <v>3</v>
      </c>
      <c r="J457" s="60">
        <f t="shared" si="49"/>
        <v>0.2</v>
      </c>
      <c r="K457" s="35" t="str">
        <f t="shared" si="45"/>
        <v>25%</v>
      </c>
      <c r="M457" s="30">
        <f t="shared" si="44"/>
        <v>0.25</v>
      </c>
      <c r="N457" s="34">
        <f>VLOOKUP(A457, 'Stock Register'!A:F, 6, FALSE)</f>
        <v>17</v>
      </c>
    </row>
    <row r="458" spans="1:14" ht="30" hidden="1" x14ac:dyDescent="0.25">
      <c r="A458" s="205" t="s">
        <v>746</v>
      </c>
      <c r="D458" s="29">
        <f>SUMIF('Purchase Register'!C:C, A458, 'Purchase Register'!G:G)</f>
        <v>50</v>
      </c>
      <c r="E458" s="190">
        <v>55</v>
      </c>
      <c r="F458" s="60">
        <f>SUMIF('Sales Register'!C:C, A458, 'Sales Register'!D:D)</f>
        <v>2</v>
      </c>
      <c r="G458" s="60">
        <f t="shared" si="46"/>
        <v>110</v>
      </c>
      <c r="H458" s="60">
        <f t="shared" si="47"/>
        <v>100</v>
      </c>
      <c r="I458" s="60">
        <f t="shared" si="48"/>
        <v>10</v>
      </c>
      <c r="J458" s="60">
        <f t="shared" si="49"/>
        <v>9.0909090909090912E-2</v>
      </c>
      <c r="K458" s="35" t="str">
        <f t="shared" si="45"/>
        <v>10%</v>
      </c>
      <c r="M458" s="30">
        <f t="shared" si="44"/>
        <v>0.1</v>
      </c>
      <c r="N458" s="34">
        <f>VLOOKUP(A458, 'Stock Register'!A:F, 6, FALSE)</f>
        <v>1</v>
      </c>
    </row>
    <row r="459" spans="1:14" hidden="1" x14ac:dyDescent="0.25">
      <c r="A459" s="205" t="s">
        <v>747</v>
      </c>
      <c r="D459" s="29">
        <f>SUMIF('Purchase Register'!C:C, A459, 'Purchase Register'!G:G)</f>
        <v>9.1666666666666661</v>
      </c>
      <c r="E459" s="190">
        <v>10</v>
      </c>
      <c r="F459" s="60">
        <f>SUMIF('Sales Register'!C:C, A459, 'Sales Register'!D:D)</f>
        <v>11</v>
      </c>
      <c r="G459" s="60">
        <f t="shared" si="46"/>
        <v>110</v>
      </c>
      <c r="H459" s="60">
        <f t="shared" si="47"/>
        <v>100.83333333333333</v>
      </c>
      <c r="I459" s="60">
        <f t="shared" si="48"/>
        <v>9.1666666666666714</v>
      </c>
      <c r="J459" s="60">
        <f t="shared" si="49"/>
        <v>8.333333333333337E-2</v>
      </c>
      <c r="K459" s="35" t="str">
        <f t="shared" si="45"/>
        <v>9%</v>
      </c>
      <c r="M459" s="30">
        <f t="shared" si="44"/>
        <v>9.0909090909090981E-2</v>
      </c>
      <c r="N459" s="34">
        <f>VLOOKUP(A459, 'Stock Register'!A:F, 6, FALSE)</f>
        <v>1</v>
      </c>
    </row>
    <row r="460" spans="1:14" s="75" customFormat="1" hidden="1" x14ac:dyDescent="0.25">
      <c r="A460" s="204" t="s">
        <v>748</v>
      </c>
      <c r="B460" s="71"/>
      <c r="C460" s="71"/>
      <c r="D460" s="72">
        <f>SUMIF('Purchase Register'!C:C, A460, 'Purchase Register'!G:G)</f>
        <v>7.666666666666667</v>
      </c>
      <c r="E460" s="191">
        <v>9</v>
      </c>
      <c r="F460" s="74">
        <f>SUMIF('Sales Register'!C:C, A460, 'Sales Register'!D:D)</f>
        <v>65</v>
      </c>
      <c r="G460" s="74">
        <f t="shared" si="46"/>
        <v>585</v>
      </c>
      <c r="H460" s="74">
        <f t="shared" si="47"/>
        <v>498.33333333333337</v>
      </c>
      <c r="I460" s="74">
        <f t="shared" si="48"/>
        <v>86.666666666666629</v>
      </c>
      <c r="J460" s="74">
        <f t="shared" si="49"/>
        <v>0.14814814814814808</v>
      </c>
      <c r="K460" s="134" t="str">
        <f t="shared" si="45"/>
        <v>17%</v>
      </c>
      <c r="L460" s="73"/>
      <c r="M460" s="99">
        <f t="shared" si="44"/>
        <v>0.17391304347826084</v>
      </c>
      <c r="N460" s="34">
        <f>VLOOKUP(A460, 'Stock Register'!A:F, 6, FALSE)</f>
        <v>-5</v>
      </c>
    </row>
    <row r="461" spans="1:14" hidden="1" x14ac:dyDescent="0.25">
      <c r="A461" s="205" t="s">
        <v>749</v>
      </c>
      <c r="D461" s="29">
        <f>SUMIF('Purchase Register'!C:C, A461, 'Purchase Register'!G:G)</f>
        <v>90</v>
      </c>
      <c r="E461" s="190">
        <v>100</v>
      </c>
      <c r="F461" s="60">
        <f>SUMIF('Sales Register'!C:C, A461, 'Sales Register'!D:D)</f>
        <v>1</v>
      </c>
      <c r="G461" s="60">
        <f t="shared" si="46"/>
        <v>100</v>
      </c>
      <c r="H461" s="60">
        <f t="shared" si="47"/>
        <v>90</v>
      </c>
      <c r="I461" s="60">
        <f t="shared" si="48"/>
        <v>10</v>
      </c>
      <c r="J461" s="60">
        <f t="shared" si="49"/>
        <v>0.1</v>
      </c>
      <c r="K461" s="35" t="str">
        <f t="shared" si="45"/>
        <v>11%</v>
      </c>
      <c r="M461" s="30">
        <f t="shared" si="44"/>
        <v>0.1111111111111111</v>
      </c>
      <c r="N461" s="34">
        <f>VLOOKUP(A461, 'Stock Register'!A:F, 6, FALSE)</f>
        <v>1</v>
      </c>
    </row>
    <row r="462" spans="1:14" hidden="1" x14ac:dyDescent="0.25">
      <c r="A462" s="205" t="s">
        <v>751</v>
      </c>
      <c r="D462" s="29">
        <f>SUMIF('Purchase Register'!C:C, A462, 'Purchase Register'!G:G)</f>
        <v>90</v>
      </c>
      <c r="E462" s="190">
        <v>100</v>
      </c>
      <c r="F462" s="60">
        <f>SUMIF('Sales Register'!C:C, A462, 'Sales Register'!D:D)</f>
        <v>2</v>
      </c>
      <c r="G462" s="60">
        <f t="shared" si="46"/>
        <v>200</v>
      </c>
      <c r="H462" s="60">
        <f t="shared" si="47"/>
        <v>180</v>
      </c>
      <c r="I462" s="60">
        <f t="shared" si="48"/>
        <v>20</v>
      </c>
      <c r="J462" s="60">
        <f t="shared" si="49"/>
        <v>0.1</v>
      </c>
      <c r="K462" s="35" t="str">
        <f t="shared" si="45"/>
        <v>11%</v>
      </c>
      <c r="M462" s="30">
        <f t="shared" si="44"/>
        <v>0.1111111111111111</v>
      </c>
      <c r="N462" s="34">
        <f>VLOOKUP(A462, 'Stock Register'!A:F, 6, FALSE)</f>
        <v>0</v>
      </c>
    </row>
    <row r="463" spans="1:14" hidden="1" x14ac:dyDescent="0.25">
      <c r="A463" s="205" t="s">
        <v>750</v>
      </c>
      <c r="D463" s="29">
        <f>SUMIF('Purchase Register'!C:C, A463, 'Purchase Register'!G:G)</f>
        <v>45.533333333333331</v>
      </c>
      <c r="E463" s="190">
        <v>50</v>
      </c>
      <c r="F463" s="60">
        <f>SUMIF('Sales Register'!C:C, A463, 'Sales Register'!D:D)</f>
        <v>13</v>
      </c>
      <c r="G463" s="60">
        <f t="shared" si="46"/>
        <v>650</v>
      </c>
      <c r="H463" s="60">
        <f t="shared" si="47"/>
        <v>591.93333333333328</v>
      </c>
      <c r="I463" s="60">
        <f t="shared" si="48"/>
        <v>58.06666666666672</v>
      </c>
      <c r="J463" s="60">
        <f t="shared" si="49"/>
        <v>8.9333333333333417E-2</v>
      </c>
      <c r="K463" s="35" t="str">
        <f t="shared" si="45"/>
        <v>9%</v>
      </c>
      <c r="M463" s="30">
        <f t="shared" si="44"/>
        <v>9.8096632503660366E-2</v>
      </c>
      <c r="N463" s="34">
        <f>VLOOKUP(A463, 'Stock Register'!A:F, 6, FALSE)</f>
        <v>2</v>
      </c>
    </row>
    <row r="464" spans="1:14" hidden="1" x14ac:dyDescent="0.25">
      <c r="A464" s="205" t="s">
        <v>752</v>
      </c>
      <c r="D464" s="29">
        <f>SUMIF('Purchase Register'!C:C, A464, 'Purchase Register'!G:G)</f>
        <v>45.533333333333331</v>
      </c>
      <c r="E464" s="190">
        <v>50</v>
      </c>
      <c r="F464" s="60">
        <f>SUMIF('Sales Register'!C:C, A464, 'Sales Register'!D:D)</f>
        <v>12</v>
      </c>
      <c r="G464" s="60">
        <f t="shared" si="46"/>
        <v>600</v>
      </c>
      <c r="H464" s="60">
        <f t="shared" si="47"/>
        <v>546.4</v>
      </c>
      <c r="I464" s="60">
        <f t="shared" si="48"/>
        <v>53.600000000000023</v>
      </c>
      <c r="J464" s="60">
        <f t="shared" si="49"/>
        <v>8.9333333333333376E-2</v>
      </c>
      <c r="K464" s="35" t="str">
        <f t="shared" si="45"/>
        <v>9%</v>
      </c>
      <c r="M464" s="30">
        <f t="shared" si="44"/>
        <v>9.8096632503660366E-2</v>
      </c>
      <c r="N464" s="34">
        <f>VLOOKUP(A464, 'Stock Register'!A:F, 6, FALSE)</f>
        <v>3</v>
      </c>
    </row>
    <row r="465" spans="1:14" hidden="1" x14ac:dyDescent="0.25">
      <c r="A465" s="205" t="s">
        <v>753</v>
      </c>
      <c r="D465" s="29">
        <f>SUMIF('Purchase Register'!C:C, A465, 'Purchase Register'!G:G)</f>
        <v>8.1666666666666661</v>
      </c>
      <c r="E465" s="190">
        <v>10</v>
      </c>
      <c r="F465" s="60">
        <f>SUMIF('Sales Register'!C:C, A465, 'Sales Register'!D:D)</f>
        <v>17</v>
      </c>
      <c r="G465" s="60">
        <f t="shared" si="46"/>
        <v>170</v>
      </c>
      <c r="H465" s="60">
        <f t="shared" si="47"/>
        <v>138.83333333333331</v>
      </c>
      <c r="I465" s="60">
        <f t="shared" si="48"/>
        <v>31.166666666666686</v>
      </c>
      <c r="J465" s="60">
        <f t="shared" si="49"/>
        <v>0.18333333333333343</v>
      </c>
      <c r="K465" s="35" t="str">
        <f t="shared" si="45"/>
        <v>22%</v>
      </c>
      <c r="M465" s="30">
        <f t="shared" si="44"/>
        <v>0.22448979591836743</v>
      </c>
      <c r="N465" s="34">
        <f>VLOOKUP(A465, 'Stock Register'!A:F, 6, FALSE)</f>
        <v>13</v>
      </c>
    </row>
    <row r="466" spans="1:14" ht="30" hidden="1" x14ac:dyDescent="0.25">
      <c r="A466" s="205" t="s">
        <v>754</v>
      </c>
      <c r="D466" s="29">
        <f>SUMIF('Purchase Register'!C:C, A466, 'Purchase Register'!G:G)</f>
        <v>8.1666666666666661</v>
      </c>
      <c r="E466" s="190">
        <v>10</v>
      </c>
      <c r="F466" s="60">
        <f>SUMIF('Sales Register'!C:C, A466, 'Sales Register'!D:D)</f>
        <v>2</v>
      </c>
      <c r="G466" s="60">
        <f t="shared" si="46"/>
        <v>20</v>
      </c>
      <c r="H466" s="60">
        <f t="shared" si="47"/>
        <v>16.333333333333332</v>
      </c>
      <c r="I466" s="60">
        <f t="shared" si="48"/>
        <v>3.6666666666666679</v>
      </c>
      <c r="J466" s="60">
        <f t="shared" si="49"/>
        <v>0.1833333333333334</v>
      </c>
      <c r="K466" s="35" t="str">
        <f t="shared" si="45"/>
        <v>22%</v>
      </c>
      <c r="M466" s="30">
        <f t="shared" si="44"/>
        <v>0.22448979591836743</v>
      </c>
      <c r="N466" s="34">
        <f>VLOOKUP(A466, 'Stock Register'!A:F, 6, FALSE)</f>
        <v>28</v>
      </c>
    </row>
    <row r="467" spans="1:14" s="75" customFormat="1" hidden="1" x14ac:dyDescent="0.25">
      <c r="A467" s="204" t="s">
        <v>755</v>
      </c>
      <c r="B467" s="71"/>
      <c r="C467" s="71"/>
      <c r="D467" s="72">
        <f>SUMIF('Purchase Register'!C:C, A467, 'Purchase Register'!G:G)</f>
        <v>55</v>
      </c>
      <c r="E467" s="191">
        <v>59</v>
      </c>
      <c r="F467" s="74">
        <f>SUMIF('Sales Register'!C:C, A467, 'Sales Register'!D:D)</f>
        <v>6</v>
      </c>
      <c r="G467" s="74">
        <f t="shared" si="46"/>
        <v>354</v>
      </c>
      <c r="H467" s="74">
        <f t="shared" si="47"/>
        <v>330</v>
      </c>
      <c r="I467" s="74">
        <f t="shared" si="48"/>
        <v>24</v>
      </c>
      <c r="J467" s="74">
        <f t="shared" si="49"/>
        <v>6.7796610169491525E-2</v>
      </c>
      <c r="K467" s="134" t="str">
        <f t="shared" si="45"/>
        <v>7%</v>
      </c>
      <c r="L467" s="73"/>
      <c r="M467" s="99">
        <f t="shared" si="44"/>
        <v>7.2727272727272724E-2</v>
      </c>
      <c r="N467" s="73">
        <f>VLOOKUP(A467, 'Stock Register'!A:F, 6, FALSE)</f>
        <v>-3</v>
      </c>
    </row>
    <row r="468" spans="1:14" ht="30" hidden="1" x14ac:dyDescent="0.25">
      <c r="A468" s="205" t="s">
        <v>756</v>
      </c>
      <c r="D468" s="29">
        <f>SUMIF('Purchase Register'!C:C, A468, 'Purchase Register'!G:G)</f>
        <v>130</v>
      </c>
      <c r="E468" s="190">
        <v>150</v>
      </c>
      <c r="F468" s="60">
        <f>SUMIF('Sales Register'!C:C, A468, 'Sales Register'!D:D)</f>
        <v>0</v>
      </c>
      <c r="G468" s="60">
        <f t="shared" si="46"/>
        <v>0</v>
      </c>
      <c r="H468" s="60">
        <f t="shared" si="47"/>
        <v>0</v>
      </c>
      <c r="I468" s="60">
        <f t="shared" si="48"/>
        <v>0</v>
      </c>
      <c r="J468" s="60">
        <f t="shared" si="49"/>
        <v>0</v>
      </c>
      <c r="K468" s="35" t="str">
        <f t="shared" si="45"/>
        <v>15%</v>
      </c>
      <c r="M468" s="30">
        <f t="shared" si="44"/>
        <v>0.15384615384615385</v>
      </c>
      <c r="N468" s="34">
        <f>VLOOKUP(A468, 'Stock Register'!A:F, 6, FALSE)</f>
        <v>4</v>
      </c>
    </row>
    <row r="469" spans="1:14" hidden="1" x14ac:dyDescent="0.25">
      <c r="A469" s="205" t="s">
        <v>757</v>
      </c>
      <c r="D469" s="29">
        <f>SUMIF('Purchase Register'!C:C, A469, 'Purchase Register'!G:G)</f>
        <v>125</v>
      </c>
      <c r="E469" s="190">
        <v>140</v>
      </c>
      <c r="F469" s="60">
        <f>SUMIF('Sales Register'!C:C, A469, 'Sales Register'!D:D)</f>
        <v>1.6800000000000002</v>
      </c>
      <c r="G469" s="60">
        <f t="shared" si="46"/>
        <v>235.20000000000002</v>
      </c>
      <c r="H469" s="60">
        <f t="shared" si="47"/>
        <v>210.00000000000003</v>
      </c>
      <c r="I469" s="60">
        <f t="shared" si="48"/>
        <v>25.199999999999989</v>
      </c>
      <c r="J469" s="60">
        <f t="shared" si="49"/>
        <v>0.10714285714285708</v>
      </c>
      <c r="K469" s="35" t="str">
        <f t="shared" si="45"/>
        <v>12%</v>
      </c>
      <c r="M469" s="30">
        <f t="shared" si="44"/>
        <v>0.12</v>
      </c>
      <c r="N469" s="34">
        <f>VLOOKUP(A469, 'Stock Register'!A:F, 6, FALSE)</f>
        <v>0.31999999999999984</v>
      </c>
    </row>
    <row r="470" spans="1:14" hidden="1" x14ac:dyDescent="0.25">
      <c r="A470" s="205" t="s">
        <v>758</v>
      </c>
      <c r="D470" s="29">
        <f>SUMIF('Purchase Register'!C:C, A470, 'Purchase Register'!G:G)</f>
        <v>20</v>
      </c>
      <c r="E470" s="190">
        <v>25</v>
      </c>
      <c r="F470" s="60">
        <f>SUMIF('Sales Register'!C:C, A470, 'Sales Register'!D:D)</f>
        <v>1</v>
      </c>
      <c r="G470" s="60">
        <f t="shared" si="46"/>
        <v>25</v>
      </c>
      <c r="H470" s="60">
        <f t="shared" si="47"/>
        <v>20</v>
      </c>
      <c r="I470" s="60">
        <f t="shared" si="48"/>
        <v>5</v>
      </c>
      <c r="J470" s="60">
        <f t="shared" si="49"/>
        <v>0.2</v>
      </c>
      <c r="K470" s="35" t="str">
        <f t="shared" si="45"/>
        <v>25%</v>
      </c>
      <c r="M470" s="30">
        <f t="shared" si="44"/>
        <v>0.25</v>
      </c>
      <c r="N470" s="34">
        <f>VLOOKUP(A470, 'Stock Register'!A:F, 6, FALSE)</f>
        <v>2</v>
      </c>
    </row>
    <row r="471" spans="1:14" ht="30" hidden="1" x14ac:dyDescent="0.25">
      <c r="A471" s="205" t="s">
        <v>759</v>
      </c>
      <c r="D471" s="29">
        <f>SUMIF('Purchase Register'!C:C, A471, 'Purchase Register'!G:G)</f>
        <v>4.2</v>
      </c>
      <c r="E471" s="190">
        <v>5</v>
      </c>
      <c r="F471" s="60">
        <f>SUMIF('Sales Register'!C:C, A471, 'Sales Register'!D:D)</f>
        <v>16</v>
      </c>
      <c r="G471" s="60">
        <f t="shared" si="46"/>
        <v>80</v>
      </c>
      <c r="H471" s="60">
        <f t="shared" si="47"/>
        <v>67.2</v>
      </c>
      <c r="I471" s="60">
        <f t="shared" si="48"/>
        <v>12.799999999999997</v>
      </c>
      <c r="J471" s="60">
        <f t="shared" si="49"/>
        <v>0.15999999999999998</v>
      </c>
      <c r="K471" s="35" t="str">
        <f t="shared" si="45"/>
        <v>19%</v>
      </c>
      <c r="M471" s="30">
        <f t="shared" si="44"/>
        <v>0.19047619047619044</v>
      </c>
      <c r="N471" s="34">
        <f>VLOOKUP(A471, 'Stock Register'!A:F, 6, FALSE)</f>
        <v>4</v>
      </c>
    </row>
    <row r="472" spans="1:14" ht="30" hidden="1" x14ac:dyDescent="0.25">
      <c r="A472" s="205" t="s">
        <v>760</v>
      </c>
      <c r="D472" s="29">
        <f>SUMIF('Purchase Register'!C:C, A472, 'Purchase Register'!G:G)</f>
        <v>0.875</v>
      </c>
      <c r="E472" s="190">
        <v>1</v>
      </c>
      <c r="F472" s="60">
        <f>SUMIF('Sales Register'!C:C, A472, 'Sales Register'!D:D)</f>
        <v>35</v>
      </c>
      <c r="G472" s="60">
        <f t="shared" si="46"/>
        <v>35</v>
      </c>
      <c r="H472" s="60">
        <f t="shared" si="47"/>
        <v>30.625</v>
      </c>
      <c r="I472" s="60">
        <f t="shared" si="48"/>
        <v>4.375</v>
      </c>
      <c r="J472" s="60">
        <f t="shared" si="49"/>
        <v>0.125</v>
      </c>
      <c r="K472" s="35" t="str">
        <f t="shared" si="45"/>
        <v>14%</v>
      </c>
      <c r="M472" s="30">
        <f t="shared" si="44"/>
        <v>0.14285714285714285</v>
      </c>
      <c r="N472" s="34">
        <f>VLOOKUP(A472, 'Stock Register'!A:F, 6, FALSE)</f>
        <v>-3</v>
      </c>
    </row>
    <row r="473" spans="1:14" hidden="1" x14ac:dyDescent="0.25">
      <c r="A473" s="205" t="s">
        <v>761</v>
      </c>
      <c r="D473" s="29">
        <f>SUMIF('Purchase Register'!C:C, A473, 'Purchase Register'!G:G)</f>
        <v>39.166666666666664</v>
      </c>
      <c r="E473" s="190">
        <v>45</v>
      </c>
      <c r="F473" s="60">
        <f>SUMIF('Sales Register'!C:C, A473, 'Sales Register'!D:D)</f>
        <v>6</v>
      </c>
      <c r="G473" s="60">
        <f t="shared" si="46"/>
        <v>270</v>
      </c>
      <c r="H473" s="60">
        <f t="shared" si="47"/>
        <v>235</v>
      </c>
      <c r="I473" s="60">
        <f t="shared" si="48"/>
        <v>35</v>
      </c>
      <c r="J473" s="60">
        <f t="shared" si="49"/>
        <v>0.12962962962962962</v>
      </c>
      <c r="K473" s="35" t="str">
        <f t="shared" si="45"/>
        <v>14%</v>
      </c>
      <c r="M473" s="30">
        <f t="shared" si="44"/>
        <v>0.14893617021276603</v>
      </c>
      <c r="N473" s="34">
        <f>VLOOKUP(A473, 'Stock Register'!A:F, 6, FALSE)</f>
        <v>0</v>
      </c>
    </row>
    <row r="474" spans="1:14" s="75" customFormat="1" hidden="1" x14ac:dyDescent="0.25">
      <c r="A474" s="204" t="s">
        <v>762</v>
      </c>
      <c r="B474" s="71"/>
      <c r="C474" s="71"/>
      <c r="D474" s="72">
        <f>SUMIF('Purchase Register'!C:C, A474, 'Purchase Register'!G:G)</f>
        <v>18.333333333333332</v>
      </c>
      <c r="E474" s="191">
        <v>10</v>
      </c>
      <c r="F474" s="74">
        <f>SUMIF('Sales Register'!C:C, A474, 'Sales Register'!D:D)</f>
        <v>12</v>
      </c>
      <c r="G474" s="74">
        <f t="shared" si="46"/>
        <v>120</v>
      </c>
      <c r="H474" s="74">
        <f t="shared" si="47"/>
        <v>220</v>
      </c>
      <c r="I474" s="74">
        <f t="shared" si="48"/>
        <v>-100</v>
      </c>
      <c r="J474" s="74">
        <f t="shared" si="49"/>
        <v>-0.83333333333333337</v>
      </c>
      <c r="K474" s="134" t="str">
        <f t="shared" si="45"/>
        <v>NO PROFIT</v>
      </c>
      <c r="L474" s="73"/>
      <c r="M474" s="99">
        <f t="shared" si="44"/>
        <v>-0.45454545454545453</v>
      </c>
      <c r="N474" s="73">
        <f>VLOOKUP(A474, 'Stock Register'!A:F, 6, FALSE)</f>
        <v>0</v>
      </c>
    </row>
    <row r="475" spans="1:14" s="75" customFormat="1" hidden="1" x14ac:dyDescent="0.25">
      <c r="A475" s="204" t="s">
        <v>763</v>
      </c>
      <c r="B475" s="71"/>
      <c r="C475" s="71"/>
      <c r="D475" s="72">
        <f>SUMIF('Purchase Register'!C:C, A475, 'Purchase Register'!G:G)</f>
        <v>4.583333333333333</v>
      </c>
      <c r="E475" s="191">
        <v>5</v>
      </c>
      <c r="F475" s="74">
        <f>SUMIF('Sales Register'!C:C, A475, 'Sales Register'!D:D)</f>
        <v>14</v>
      </c>
      <c r="G475" s="74">
        <f t="shared" si="46"/>
        <v>70</v>
      </c>
      <c r="H475" s="74">
        <f t="shared" si="47"/>
        <v>64.166666666666657</v>
      </c>
      <c r="I475" s="74">
        <f t="shared" si="48"/>
        <v>5.8333333333333428</v>
      </c>
      <c r="J475" s="74">
        <f t="shared" si="49"/>
        <v>8.3333333333333467E-2</v>
      </c>
      <c r="K475" s="134" t="str">
        <f t="shared" si="45"/>
        <v>9%</v>
      </c>
      <c r="L475" s="73"/>
      <c r="M475" s="99">
        <f t="shared" si="44"/>
        <v>9.0909090909090981E-2</v>
      </c>
      <c r="N475" s="73">
        <f>VLOOKUP(A475, 'Stock Register'!A:F, 6, FALSE)</f>
        <v>-2</v>
      </c>
    </row>
    <row r="476" spans="1:14" hidden="1" x14ac:dyDescent="0.25">
      <c r="A476" s="204" t="s">
        <v>763</v>
      </c>
      <c r="D476" s="29">
        <f>SUMIF('Purchase Register'!C:C, A476, 'Purchase Register'!G:G)</f>
        <v>4.583333333333333</v>
      </c>
      <c r="E476" s="190">
        <v>5</v>
      </c>
      <c r="F476" s="60">
        <f>SUMIF('Sales Register'!C:C, A476, 'Sales Register'!D:D)</f>
        <v>14</v>
      </c>
      <c r="G476" s="60">
        <f t="shared" si="46"/>
        <v>70</v>
      </c>
      <c r="H476" s="60">
        <f t="shared" si="47"/>
        <v>64.166666666666657</v>
      </c>
      <c r="I476" s="60">
        <f t="shared" si="48"/>
        <v>5.8333333333333428</v>
      </c>
      <c r="J476" s="60">
        <f t="shared" si="49"/>
        <v>8.3333333333333467E-2</v>
      </c>
      <c r="K476" s="35" t="str">
        <f t="shared" si="45"/>
        <v>9%</v>
      </c>
      <c r="M476" s="30">
        <f t="shared" si="44"/>
        <v>9.0909090909090981E-2</v>
      </c>
      <c r="N476" s="34">
        <f>VLOOKUP(A476, 'Stock Register'!A:F, 6, FALSE)</f>
        <v>-2</v>
      </c>
    </row>
    <row r="477" spans="1:14" ht="30" hidden="1" x14ac:dyDescent="0.25">
      <c r="A477" s="205" t="s">
        <v>765</v>
      </c>
      <c r="D477" s="29">
        <f>SUMIF('Purchase Register'!C:C, A477, 'Purchase Register'!G:G)</f>
        <v>126.66666666666667</v>
      </c>
      <c r="E477" s="190">
        <v>135</v>
      </c>
      <c r="F477" s="60">
        <f>SUMIF('Sales Register'!C:C, A477, 'Sales Register'!D:D)</f>
        <v>0</v>
      </c>
      <c r="G477" s="60">
        <f t="shared" si="46"/>
        <v>0</v>
      </c>
      <c r="H477" s="60">
        <f t="shared" si="47"/>
        <v>0</v>
      </c>
      <c r="I477" s="60">
        <f t="shared" si="48"/>
        <v>0</v>
      </c>
      <c r="J477" s="60">
        <f t="shared" si="49"/>
        <v>0</v>
      </c>
      <c r="K477" s="35" t="str">
        <f t="shared" si="45"/>
        <v>6%</v>
      </c>
      <c r="M477" s="30">
        <f t="shared" si="44"/>
        <v>6.5789473684210481E-2</v>
      </c>
      <c r="N477" s="34">
        <f>VLOOKUP(A477, 'Stock Register'!A:F, 6, FALSE)</f>
        <v>3</v>
      </c>
    </row>
    <row r="478" spans="1:14" ht="30" hidden="1" x14ac:dyDescent="0.25">
      <c r="A478" s="205" t="s">
        <v>766</v>
      </c>
      <c r="D478" s="29">
        <f>SUMIF('Purchase Register'!C:C, A478, 'Purchase Register'!G:G)</f>
        <v>66.666666666666671</v>
      </c>
      <c r="E478" s="190">
        <v>72</v>
      </c>
      <c r="F478" s="60">
        <f>SUMIF('Sales Register'!C:C, A478, 'Sales Register'!D:D)</f>
        <v>2</v>
      </c>
      <c r="G478" s="60">
        <f t="shared" si="46"/>
        <v>144</v>
      </c>
      <c r="H478" s="60">
        <f t="shared" si="47"/>
        <v>133.33333333333334</v>
      </c>
      <c r="I478" s="60">
        <f t="shared" si="48"/>
        <v>10.666666666666657</v>
      </c>
      <c r="J478" s="60">
        <f t="shared" si="49"/>
        <v>7.4074074074074014E-2</v>
      </c>
      <c r="K478" s="35" t="str">
        <f t="shared" si="45"/>
        <v>7%</v>
      </c>
      <c r="M478" s="30">
        <f t="shared" si="44"/>
        <v>7.9999999999999918E-2</v>
      </c>
      <c r="N478" s="34">
        <f>VLOOKUP(A478, 'Stock Register'!A:F, 6, FALSE)</f>
        <v>1</v>
      </c>
    </row>
    <row r="479" spans="1:14" s="75" customFormat="1" hidden="1" x14ac:dyDescent="0.25">
      <c r="A479" s="204" t="s">
        <v>767</v>
      </c>
      <c r="B479" s="71"/>
      <c r="C479" s="71"/>
      <c r="D479" s="72">
        <f>SUMIF('Purchase Register'!C:C, A479, 'Purchase Register'!G:G)</f>
        <v>9</v>
      </c>
      <c r="E479" s="191">
        <v>10</v>
      </c>
      <c r="F479" s="74">
        <f>SUMIF('Sales Register'!C:C, A479, 'Sales Register'!D:D)</f>
        <v>20</v>
      </c>
      <c r="G479" s="74">
        <f t="shared" si="46"/>
        <v>200</v>
      </c>
      <c r="H479" s="74">
        <f t="shared" si="47"/>
        <v>180</v>
      </c>
      <c r="I479" s="74">
        <f t="shared" si="48"/>
        <v>20</v>
      </c>
      <c r="J479" s="74">
        <f t="shared" si="49"/>
        <v>0.1</v>
      </c>
      <c r="K479" s="134" t="str">
        <f t="shared" si="45"/>
        <v>11%</v>
      </c>
      <c r="L479" s="73"/>
      <c r="M479" s="99">
        <f t="shared" si="44"/>
        <v>0.1111111111111111</v>
      </c>
      <c r="N479" s="73">
        <f>VLOOKUP(A479, 'Stock Register'!A:F, 6, FALSE)</f>
        <v>4</v>
      </c>
    </row>
    <row r="480" spans="1:14" s="75" customFormat="1" ht="30" hidden="1" x14ac:dyDescent="0.25">
      <c r="A480" s="204" t="s">
        <v>768</v>
      </c>
      <c r="B480" s="71"/>
      <c r="C480" s="71"/>
      <c r="D480" s="72">
        <f>SUMIF('Purchase Register'!C:C, A480, 'Purchase Register'!G:G)</f>
        <v>9</v>
      </c>
      <c r="E480" s="191">
        <v>10</v>
      </c>
      <c r="F480" s="74">
        <f>SUMIF('Sales Register'!C:C, A480, 'Sales Register'!D:D)</f>
        <v>10</v>
      </c>
      <c r="G480" s="74">
        <f t="shared" si="46"/>
        <v>100</v>
      </c>
      <c r="H480" s="74">
        <f t="shared" si="47"/>
        <v>90</v>
      </c>
      <c r="I480" s="74">
        <f t="shared" si="48"/>
        <v>10</v>
      </c>
      <c r="J480" s="74">
        <f t="shared" si="49"/>
        <v>0.1</v>
      </c>
      <c r="K480" s="134" t="str">
        <f t="shared" si="45"/>
        <v>11%</v>
      </c>
      <c r="L480" s="73"/>
      <c r="M480" s="99">
        <f t="shared" si="44"/>
        <v>0.1111111111111111</v>
      </c>
      <c r="N480" s="73">
        <f>VLOOKUP(A480, 'Stock Register'!A:F, 6, FALSE)</f>
        <v>0</v>
      </c>
    </row>
    <row r="481" spans="1:14" ht="30" hidden="1" x14ac:dyDescent="0.25">
      <c r="A481" s="205" t="s">
        <v>769</v>
      </c>
      <c r="D481" s="29">
        <f>SUMIF('Purchase Register'!C:C, A481, 'Purchase Register'!G:G)</f>
        <v>16.666666666666668</v>
      </c>
      <c r="E481" s="190">
        <v>20</v>
      </c>
      <c r="F481" s="60">
        <f>SUMIF('Sales Register'!C:C, A481, 'Sales Register'!D:D)</f>
        <v>8</v>
      </c>
      <c r="G481" s="60">
        <f t="shared" si="46"/>
        <v>160</v>
      </c>
      <c r="H481" s="60">
        <f t="shared" si="47"/>
        <v>133.33333333333334</v>
      </c>
      <c r="I481" s="60">
        <f t="shared" si="48"/>
        <v>26.666666666666657</v>
      </c>
      <c r="J481" s="60">
        <f t="shared" si="49"/>
        <v>0.1666666666666666</v>
      </c>
      <c r="K481" s="35" t="str">
        <f t="shared" si="45"/>
        <v>20%</v>
      </c>
      <c r="M481" s="30">
        <f t="shared" si="44"/>
        <v>0.19999999999999993</v>
      </c>
      <c r="N481" s="34">
        <f>VLOOKUP(A481, 'Stock Register'!A:F, 6, FALSE)</f>
        <v>4</v>
      </c>
    </row>
    <row r="482" spans="1:14" ht="30" hidden="1" x14ac:dyDescent="0.25">
      <c r="A482" s="205" t="s">
        <v>771</v>
      </c>
      <c r="D482" s="29">
        <f>SUMIF('Purchase Register'!C:C, A482, 'Purchase Register'!G:G)</f>
        <v>148</v>
      </c>
      <c r="E482" s="190">
        <v>158</v>
      </c>
      <c r="F482" s="60">
        <f>SUMIF('Sales Register'!C:C, A482, 'Sales Register'!D:D)</f>
        <v>4</v>
      </c>
      <c r="G482" s="60">
        <f t="shared" si="46"/>
        <v>632</v>
      </c>
      <c r="H482" s="60">
        <f t="shared" si="47"/>
        <v>592</v>
      </c>
      <c r="I482" s="60">
        <f t="shared" si="48"/>
        <v>40</v>
      </c>
      <c r="J482" s="60">
        <f t="shared" si="49"/>
        <v>6.3291139240506333E-2</v>
      </c>
      <c r="K482" s="35" t="str">
        <f t="shared" si="45"/>
        <v>6%</v>
      </c>
      <c r="M482" s="30">
        <f t="shared" si="44"/>
        <v>6.7567567567567571E-2</v>
      </c>
      <c r="N482" s="34">
        <f>VLOOKUP(A482, 'Stock Register'!A:F, 6, FALSE)</f>
        <v>-1</v>
      </c>
    </row>
    <row r="483" spans="1:14" ht="30" hidden="1" x14ac:dyDescent="0.25">
      <c r="A483" s="205" t="s">
        <v>770</v>
      </c>
      <c r="D483" s="29">
        <f>SUMIF('Purchase Register'!C:C, A483, 'Purchase Register'!G:G)</f>
        <v>82</v>
      </c>
      <c r="E483" s="190">
        <v>90</v>
      </c>
      <c r="F483" s="60">
        <f>SUMIF('Sales Register'!C:C, A483, 'Sales Register'!D:D)</f>
        <v>3</v>
      </c>
      <c r="G483" s="60">
        <f t="shared" si="46"/>
        <v>270</v>
      </c>
      <c r="H483" s="60">
        <f t="shared" si="47"/>
        <v>246</v>
      </c>
      <c r="I483" s="60">
        <f t="shared" si="48"/>
        <v>24</v>
      </c>
      <c r="J483" s="60">
        <f t="shared" si="49"/>
        <v>8.8888888888888892E-2</v>
      </c>
      <c r="K483" s="35" t="str">
        <f t="shared" si="45"/>
        <v>9%</v>
      </c>
      <c r="M483" s="30">
        <f t="shared" si="44"/>
        <v>9.7560975609756101E-2</v>
      </c>
      <c r="N483" s="34">
        <f>VLOOKUP(A483, 'Stock Register'!A:F, 6, FALSE)</f>
        <v>0</v>
      </c>
    </row>
    <row r="484" spans="1:14" s="75" customFormat="1" ht="30" hidden="1" x14ac:dyDescent="0.25">
      <c r="A484" s="204" t="s">
        <v>772</v>
      </c>
      <c r="B484" s="71"/>
      <c r="C484" s="71"/>
      <c r="D484" s="72">
        <f>SUMIF('Purchase Register'!C:C, A484, 'Purchase Register'!G:G)</f>
        <v>18</v>
      </c>
      <c r="E484" s="191">
        <v>20</v>
      </c>
      <c r="F484" s="74">
        <f>SUMIF('Sales Register'!C:C, A484, 'Sales Register'!D:D)</f>
        <v>9</v>
      </c>
      <c r="G484" s="74">
        <f t="shared" si="46"/>
        <v>180</v>
      </c>
      <c r="H484" s="74">
        <f t="shared" si="47"/>
        <v>162</v>
      </c>
      <c r="I484" s="74">
        <f t="shared" si="48"/>
        <v>18</v>
      </c>
      <c r="J484" s="74">
        <f t="shared" si="49"/>
        <v>0.1</v>
      </c>
      <c r="K484" s="134" t="str">
        <f t="shared" si="45"/>
        <v>11%</v>
      </c>
      <c r="L484" s="73"/>
      <c r="M484" s="99">
        <f t="shared" si="44"/>
        <v>0.1111111111111111</v>
      </c>
      <c r="N484" s="73">
        <f>VLOOKUP(A484, 'Stock Register'!A:F, 6, FALSE)</f>
        <v>1</v>
      </c>
    </row>
    <row r="485" spans="1:14" s="75" customFormat="1" ht="30" hidden="1" x14ac:dyDescent="0.25">
      <c r="A485" s="204" t="s">
        <v>773</v>
      </c>
      <c r="B485" s="71"/>
      <c r="C485" s="71"/>
      <c r="D485" s="72">
        <f>SUMIF('Purchase Register'!C:C, A485, 'Purchase Register'!G:G)</f>
        <v>55</v>
      </c>
      <c r="E485" s="191">
        <v>60</v>
      </c>
      <c r="F485" s="74">
        <f>SUMIF('Sales Register'!C:C, A485, 'Sales Register'!D:D)</f>
        <v>2</v>
      </c>
      <c r="G485" s="74">
        <f t="shared" si="46"/>
        <v>120</v>
      </c>
      <c r="H485" s="74">
        <f t="shared" si="47"/>
        <v>110</v>
      </c>
      <c r="I485" s="74">
        <f t="shared" si="48"/>
        <v>10</v>
      </c>
      <c r="J485" s="74">
        <f t="shared" si="49"/>
        <v>8.3333333333333329E-2</v>
      </c>
      <c r="K485" s="134" t="str">
        <f t="shared" si="45"/>
        <v>9%</v>
      </c>
      <c r="L485" s="73"/>
      <c r="M485" s="99">
        <f t="shared" si="44"/>
        <v>9.0909090909090912E-2</v>
      </c>
      <c r="N485" s="73">
        <f>VLOOKUP(A485, 'Stock Register'!A:F, 6, FALSE)</f>
        <v>0</v>
      </c>
    </row>
    <row r="486" spans="1:14" ht="30" hidden="1" x14ac:dyDescent="0.25">
      <c r="A486" s="205" t="s">
        <v>774</v>
      </c>
      <c r="D486" s="29">
        <f>SUMIF('Purchase Register'!C:C, A486, 'Purchase Register'!G:G)</f>
        <v>1785</v>
      </c>
      <c r="E486" s="190">
        <v>1810</v>
      </c>
      <c r="F486" s="60">
        <f>SUMIF('Sales Register'!C:C, A486, 'Sales Register'!D:D)</f>
        <v>2</v>
      </c>
      <c r="G486" s="60">
        <f t="shared" si="46"/>
        <v>3620</v>
      </c>
      <c r="H486" s="60">
        <f t="shared" si="47"/>
        <v>3570</v>
      </c>
      <c r="I486" s="60">
        <f t="shared" si="48"/>
        <v>50</v>
      </c>
      <c r="J486" s="60">
        <f t="shared" si="49"/>
        <v>1.3812154696132596E-2</v>
      </c>
      <c r="K486" s="35" t="str">
        <f t="shared" si="45"/>
        <v>1%</v>
      </c>
      <c r="M486" s="30">
        <f t="shared" si="44"/>
        <v>1.4005602240896359E-2</v>
      </c>
      <c r="N486" s="34">
        <f>VLOOKUP(A486, 'Stock Register'!A:F, 6, FALSE)</f>
        <v>0</v>
      </c>
    </row>
    <row r="487" spans="1:14" s="75" customFormat="1" hidden="1" x14ac:dyDescent="0.25">
      <c r="A487" s="204" t="s">
        <v>775</v>
      </c>
      <c r="B487" s="71"/>
      <c r="C487" s="71"/>
      <c r="D487" s="72">
        <f>SUMIF('Purchase Register'!C:C, A487, 'Purchase Register'!G:G)</f>
        <v>7.666666666666667</v>
      </c>
      <c r="E487" s="191">
        <v>9</v>
      </c>
      <c r="F487" s="74">
        <f>SUMIF('Sales Register'!C:C, A487, 'Sales Register'!D:D)</f>
        <v>23</v>
      </c>
      <c r="G487" s="74">
        <f t="shared" si="46"/>
        <v>207</v>
      </c>
      <c r="H487" s="74">
        <f t="shared" si="47"/>
        <v>176.33333333333334</v>
      </c>
      <c r="I487" s="74">
        <f t="shared" si="48"/>
        <v>30.666666666666657</v>
      </c>
      <c r="J487" s="74">
        <f t="shared" si="49"/>
        <v>0.14814814814814811</v>
      </c>
      <c r="K487" s="134" t="str">
        <f t="shared" si="45"/>
        <v>17%</v>
      </c>
      <c r="L487" s="73"/>
      <c r="M487" s="99">
        <f t="shared" si="44"/>
        <v>0.17391304347826084</v>
      </c>
      <c r="N487" s="34">
        <f>VLOOKUP(A487, 'Stock Register'!A:F, 6, FALSE)</f>
        <v>7</v>
      </c>
    </row>
    <row r="488" spans="1:14" hidden="1" x14ac:dyDescent="0.25">
      <c r="A488" s="205" t="s">
        <v>776</v>
      </c>
      <c r="D488" s="29">
        <f>SUMIF('Purchase Register'!C:C, A488, 'Purchase Register'!G:G)</f>
        <v>4.5263157894736841</v>
      </c>
      <c r="E488" s="190">
        <v>120</v>
      </c>
      <c r="F488" s="60">
        <f>SUMIF('Sales Register'!C:C, A488, 'Sales Register'!D:D)</f>
        <v>2</v>
      </c>
      <c r="G488" s="60">
        <f t="shared" si="46"/>
        <v>240</v>
      </c>
      <c r="H488" s="60">
        <f t="shared" si="47"/>
        <v>9.0526315789473681</v>
      </c>
      <c r="I488" s="60">
        <f t="shared" si="48"/>
        <v>230.94736842105263</v>
      </c>
      <c r="J488" s="60">
        <f t="shared" si="49"/>
        <v>0.96228070175438596</v>
      </c>
      <c r="K488" s="35" t="str">
        <f t="shared" si="45"/>
        <v>100% or More</v>
      </c>
      <c r="M488" s="30">
        <f t="shared" si="44"/>
        <v>25.511627906976745</v>
      </c>
      <c r="N488" s="34">
        <f>VLOOKUP(A488, 'Stock Register'!A:F, 6, FALSE)</f>
        <v>17</v>
      </c>
    </row>
    <row r="489" spans="1:14" s="75" customFormat="1" hidden="1" x14ac:dyDescent="0.25">
      <c r="A489" s="204" t="s">
        <v>778</v>
      </c>
      <c r="B489" s="71"/>
      <c r="C489" s="71"/>
      <c r="D489" s="72">
        <f>SUMIF('Purchase Register'!C:C, A489, 'Purchase Register'!G:G)</f>
        <v>16</v>
      </c>
      <c r="E489" s="191">
        <v>20</v>
      </c>
      <c r="F489" s="74">
        <f>SUMIF('Sales Register'!C:C, A489, 'Sales Register'!D:D)</f>
        <v>17.96</v>
      </c>
      <c r="G489" s="74">
        <f t="shared" si="46"/>
        <v>359.20000000000005</v>
      </c>
      <c r="H489" s="74">
        <f t="shared" si="47"/>
        <v>287.36</v>
      </c>
      <c r="I489" s="74">
        <f t="shared" si="48"/>
        <v>71.840000000000032</v>
      </c>
      <c r="J489" s="74">
        <f t="shared" si="49"/>
        <v>0.20000000000000007</v>
      </c>
      <c r="K489" s="134" t="str">
        <f t="shared" si="45"/>
        <v>25%</v>
      </c>
      <c r="L489" s="73"/>
      <c r="M489" s="99">
        <f t="shared" si="44"/>
        <v>0.25</v>
      </c>
      <c r="N489" s="34">
        <f>VLOOKUP(A489, 'Stock Register'!A:F, 6, FALSE)</f>
        <v>-7.9600000000000009</v>
      </c>
    </row>
    <row r="490" spans="1:14" s="75" customFormat="1" hidden="1" x14ac:dyDescent="0.25">
      <c r="A490" s="204" t="s">
        <v>779</v>
      </c>
      <c r="B490" s="71"/>
      <c r="C490" s="71"/>
      <c r="D490" s="72">
        <f>SUMIF('Purchase Register'!C:C, A490, 'Purchase Register'!G:G)</f>
        <v>28</v>
      </c>
      <c r="E490" s="191">
        <v>32</v>
      </c>
      <c r="F490" s="74">
        <f>SUMIF('Sales Register'!C:C, A490, 'Sales Register'!D:D)</f>
        <v>11.307</v>
      </c>
      <c r="G490" s="74">
        <f t="shared" si="46"/>
        <v>361.82400000000001</v>
      </c>
      <c r="H490" s="74">
        <f t="shared" si="47"/>
        <v>316.596</v>
      </c>
      <c r="I490" s="74">
        <f t="shared" si="48"/>
        <v>45.228000000000009</v>
      </c>
      <c r="J490" s="74">
        <f t="shared" si="49"/>
        <v>0.12500000000000003</v>
      </c>
      <c r="K490" s="134" t="str">
        <f t="shared" si="45"/>
        <v>14%</v>
      </c>
      <c r="L490" s="73"/>
      <c r="M490" s="99">
        <f t="shared" si="44"/>
        <v>0.14285714285714285</v>
      </c>
      <c r="N490" s="73">
        <f>VLOOKUP(A490, 'Stock Register'!A:F, 6, FALSE)</f>
        <v>-1.3070000000000004</v>
      </c>
    </row>
    <row r="491" spans="1:14" s="75" customFormat="1" hidden="1" x14ac:dyDescent="0.25">
      <c r="A491" s="204" t="s">
        <v>780</v>
      </c>
      <c r="B491" s="71"/>
      <c r="C491" s="71"/>
      <c r="D491" s="72">
        <f>SUMIF('Purchase Register'!C:C, A491, 'Purchase Register'!G:G)</f>
        <v>90</v>
      </c>
      <c r="E491" s="191">
        <v>150</v>
      </c>
      <c r="F491" s="74">
        <f>SUMIF('Sales Register'!C:C, A491, 'Sales Register'!D:D)</f>
        <v>1.6090000000000002</v>
      </c>
      <c r="G491" s="74">
        <f t="shared" si="46"/>
        <v>241.35000000000002</v>
      </c>
      <c r="H491" s="74">
        <f t="shared" si="47"/>
        <v>144.81000000000003</v>
      </c>
      <c r="I491" s="74">
        <f t="shared" si="48"/>
        <v>96.539999999999992</v>
      </c>
      <c r="J491" s="74">
        <f t="shared" si="49"/>
        <v>0.39999999999999991</v>
      </c>
      <c r="K491" s="134" t="str">
        <f t="shared" si="45"/>
        <v>66%</v>
      </c>
      <c r="L491" s="73"/>
      <c r="M491" s="99">
        <f t="shared" si="44"/>
        <v>0.66666666666666663</v>
      </c>
      <c r="N491" s="73">
        <f>VLOOKUP(A491, 'Stock Register'!A:F, 6, FALSE)</f>
        <v>-0.60900000000000021</v>
      </c>
    </row>
    <row r="492" spans="1:14" s="75" customFormat="1" hidden="1" x14ac:dyDescent="0.25">
      <c r="A492" s="204" t="s">
        <v>781</v>
      </c>
      <c r="B492" s="71"/>
      <c r="C492" s="71"/>
      <c r="D492" s="72">
        <f>SUMIF('Purchase Register'!C:C, A492, 'Purchase Register'!G:G)</f>
        <v>140</v>
      </c>
      <c r="E492" s="191">
        <v>200</v>
      </c>
      <c r="F492" s="74">
        <f>SUMIF('Sales Register'!C:C, A492, 'Sales Register'!D:D)</f>
        <v>1.6450000000000002</v>
      </c>
      <c r="G492" s="74">
        <f t="shared" si="46"/>
        <v>329.00000000000006</v>
      </c>
      <c r="H492" s="74">
        <f t="shared" si="47"/>
        <v>230.30000000000004</v>
      </c>
      <c r="I492" s="74">
        <f t="shared" si="48"/>
        <v>98.700000000000017</v>
      </c>
      <c r="J492" s="74">
        <f t="shared" si="49"/>
        <v>0.3</v>
      </c>
      <c r="K492" s="134" t="str">
        <f t="shared" si="45"/>
        <v>42%</v>
      </c>
      <c r="L492" s="73"/>
      <c r="M492" s="99">
        <f t="shared" si="44"/>
        <v>0.42857142857142855</v>
      </c>
      <c r="N492" s="73">
        <f>VLOOKUP(A492, 'Stock Register'!A:F, 6, FALSE)</f>
        <v>-0.64500000000000024</v>
      </c>
    </row>
    <row r="493" spans="1:14" s="75" customFormat="1" hidden="1" x14ac:dyDescent="0.25">
      <c r="A493" s="204" t="s">
        <v>782</v>
      </c>
      <c r="B493" s="71"/>
      <c r="C493" s="71"/>
      <c r="D493" s="72">
        <f>SUMIF('Purchase Register'!C:C, A493, 'Purchase Register'!G:G)</f>
        <v>7.666666666666667</v>
      </c>
      <c r="E493" s="191">
        <v>9</v>
      </c>
      <c r="F493" s="74">
        <f>SUMIF('Sales Register'!C:C, A493, 'Sales Register'!D:D)</f>
        <v>54</v>
      </c>
      <c r="G493" s="74">
        <f t="shared" si="46"/>
        <v>486</v>
      </c>
      <c r="H493" s="74">
        <f t="shared" si="47"/>
        <v>414</v>
      </c>
      <c r="I493" s="74">
        <f t="shared" si="48"/>
        <v>72</v>
      </c>
      <c r="J493" s="74">
        <f t="shared" si="49"/>
        <v>0.14814814814814814</v>
      </c>
      <c r="K493" s="134" t="str">
        <f t="shared" si="45"/>
        <v>17%</v>
      </c>
      <c r="L493" s="73"/>
      <c r="M493" s="99">
        <f t="shared" si="44"/>
        <v>0.17391304347826084</v>
      </c>
      <c r="N493" s="34">
        <f>VLOOKUP(A493, 'Stock Register'!A:F, 6, FALSE)</f>
        <v>6</v>
      </c>
    </row>
    <row r="494" spans="1:14" hidden="1" x14ac:dyDescent="0.25">
      <c r="A494" s="205" t="s">
        <v>783</v>
      </c>
      <c r="D494" s="29">
        <f>SUMIF('Purchase Register'!C:C, A494, 'Purchase Register'!G:G)</f>
        <v>8.3333333333333339</v>
      </c>
      <c r="E494" s="190">
        <v>10</v>
      </c>
      <c r="F494" s="60">
        <f>SUMIF('Sales Register'!C:C, A494, 'Sales Register'!D:D)</f>
        <v>24</v>
      </c>
      <c r="G494" s="60">
        <f t="shared" si="46"/>
        <v>240</v>
      </c>
      <c r="H494" s="60">
        <f t="shared" si="47"/>
        <v>200</v>
      </c>
      <c r="I494" s="60">
        <f t="shared" si="48"/>
        <v>40</v>
      </c>
      <c r="J494" s="60">
        <f t="shared" si="49"/>
        <v>0.16666666666666666</v>
      </c>
      <c r="K494" s="35" t="str">
        <f t="shared" si="45"/>
        <v>20%</v>
      </c>
      <c r="M494" s="30">
        <f t="shared" si="44"/>
        <v>0.19999999999999993</v>
      </c>
      <c r="N494" s="34">
        <f>VLOOKUP(A494, 'Stock Register'!A:F, 6, FALSE)</f>
        <v>6</v>
      </c>
    </row>
    <row r="495" spans="1:14" hidden="1" x14ac:dyDescent="0.25">
      <c r="A495" s="205" t="s">
        <v>784</v>
      </c>
      <c r="D495" s="29">
        <f>SUMIF('Purchase Register'!C:C, A495, 'Purchase Register'!G:G)</f>
        <v>0.88235294117647056</v>
      </c>
      <c r="E495" s="190">
        <v>1</v>
      </c>
      <c r="F495" s="60">
        <f>SUMIF('Sales Register'!C:C, A495, 'Sales Register'!D:D)</f>
        <v>56</v>
      </c>
      <c r="G495" s="60">
        <f t="shared" si="46"/>
        <v>56</v>
      </c>
      <c r="H495" s="60">
        <f t="shared" si="47"/>
        <v>49.411764705882348</v>
      </c>
      <c r="I495" s="60">
        <f t="shared" si="48"/>
        <v>6.5882352941176521</v>
      </c>
      <c r="J495" s="60">
        <f t="shared" si="49"/>
        <v>0.11764705882352951</v>
      </c>
      <c r="K495" s="35" t="str">
        <f t="shared" si="45"/>
        <v>13%</v>
      </c>
      <c r="M495" s="30">
        <f t="shared" si="44"/>
        <v>0.13333333333333336</v>
      </c>
      <c r="N495" s="34">
        <f>VLOOKUP(A495, 'Stock Register'!A:F, 6, FALSE)</f>
        <v>114</v>
      </c>
    </row>
    <row r="496" spans="1:14" hidden="1" x14ac:dyDescent="0.25">
      <c r="A496" s="205" t="s">
        <v>785</v>
      </c>
      <c r="D496" s="29">
        <f>SUMIF('Purchase Register'!C:C, A496, 'Purchase Register'!G:G)</f>
        <v>0.88235294117647056</v>
      </c>
      <c r="E496" s="190">
        <v>1</v>
      </c>
      <c r="F496" s="60">
        <f>SUMIF('Sales Register'!C:C, A496, 'Sales Register'!D:D)</f>
        <v>69</v>
      </c>
      <c r="G496" s="60">
        <f t="shared" si="46"/>
        <v>69</v>
      </c>
      <c r="H496" s="60">
        <f t="shared" si="47"/>
        <v>60.882352941176471</v>
      </c>
      <c r="I496" s="60">
        <f t="shared" si="48"/>
        <v>8.117647058823529</v>
      </c>
      <c r="J496" s="60">
        <f t="shared" si="49"/>
        <v>0.11764705882352941</v>
      </c>
      <c r="K496" s="35" t="str">
        <f t="shared" si="45"/>
        <v>13%</v>
      </c>
      <c r="M496" s="30">
        <f t="shared" si="44"/>
        <v>0.13333333333333336</v>
      </c>
      <c r="N496" s="34">
        <f>VLOOKUP(A496, 'Stock Register'!A:F, 6, FALSE)</f>
        <v>101</v>
      </c>
    </row>
    <row r="497" spans="1:14" s="75" customFormat="1" ht="30" hidden="1" x14ac:dyDescent="0.25">
      <c r="A497" s="204" t="s">
        <v>786</v>
      </c>
      <c r="B497" s="71"/>
      <c r="C497" s="71"/>
      <c r="D497" s="72">
        <f>SUMIF('Purchase Register'!C:C, A497, 'Purchase Register'!G:G)</f>
        <v>36</v>
      </c>
      <c r="E497" s="191">
        <v>40</v>
      </c>
      <c r="F497" s="74">
        <f>SUMIF('Sales Register'!C:C, A497, 'Sales Register'!D:D)</f>
        <v>5</v>
      </c>
      <c r="G497" s="74">
        <f t="shared" si="46"/>
        <v>200</v>
      </c>
      <c r="H497" s="74">
        <f t="shared" si="47"/>
        <v>180</v>
      </c>
      <c r="I497" s="74">
        <f t="shared" si="48"/>
        <v>20</v>
      </c>
      <c r="J497" s="74">
        <f t="shared" si="49"/>
        <v>0.1</v>
      </c>
      <c r="K497" s="134" t="str">
        <f t="shared" si="45"/>
        <v>11%</v>
      </c>
      <c r="L497" s="73"/>
      <c r="M497" s="99">
        <f t="shared" si="44"/>
        <v>0.1111111111111111</v>
      </c>
      <c r="N497" s="73">
        <f>VLOOKUP(A497, 'Stock Register'!A:F, 6, FALSE)</f>
        <v>0</v>
      </c>
    </row>
    <row r="498" spans="1:14" s="75" customFormat="1" hidden="1" x14ac:dyDescent="0.25">
      <c r="A498" s="204" t="s">
        <v>787</v>
      </c>
      <c r="B498" s="71"/>
      <c r="C498" s="71"/>
      <c r="D498" s="72">
        <f>SUMIF('Purchase Register'!C:C, A498, 'Purchase Register'!G:G)</f>
        <v>32</v>
      </c>
      <c r="E498" s="191">
        <v>35</v>
      </c>
      <c r="F498" s="74">
        <f>SUMIF('Sales Register'!C:C, A498, 'Sales Register'!D:D)</f>
        <v>3</v>
      </c>
      <c r="G498" s="74">
        <f t="shared" si="46"/>
        <v>105</v>
      </c>
      <c r="H498" s="74">
        <f t="shared" si="47"/>
        <v>96</v>
      </c>
      <c r="I498" s="74">
        <f t="shared" si="48"/>
        <v>9</v>
      </c>
      <c r="J498" s="74">
        <f t="shared" si="49"/>
        <v>8.5714285714285715E-2</v>
      </c>
      <c r="K498" s="134" t="str">
        <f t="shared" si="45"/>
        <v>9%</v>
      </c>
      <c r="L498" s="73"/>
      <c r="M498" s="99">
        <f t="shared" si="44"/>
        <v>9.375E-2</v>
      </c>
      <c r="N498" s="73">
        <f>VLOOKUP(A498, 'Stock Register'!A:F, 6, FALSE)</f>
        <v>0</v>
      </c>
    </row>
    <row r="499" spans="1:14" s="75" customFormat="1" hidden="1" x14ac:dyDescent="0.25">
      <c r="A499" s="204" t="s">
        <v>788</v>
      </c>
      <c r="B499" s="71"/>
      <c r="C499" s="71"/>
      <c r="D499" s="72">
        <f>SUMIF('Purchase Register'!C:C, A499, 'Purchase Register'!G:G)</f>
        <v>37</v>
      </c>
      <c r="E499" s="191">
        <v>40</v>
      </c>
      <c r="F499" s="74">
        <f>SUMIF('Sales Register'!C:C, A499, 'Sales Register'!D:D)</f>
        <v>4</v>
      </c>
      <c r="G499" s="74">
        <f t="shared" si="46"/>
        <v>160</v>
      </c>
      <c r="H499" s="74">
        <f t="shared" si="47"/>
        <v>148</v>
      </c>
      <c r="I499" s="74">
        <f t="shared" si="48"/>
        <v>12</v>
      </c>
      <c r="J499" s="74">
        <f t="shared" si="49"/>
        <v>7.4999999999999997E-2</v>
      </c>
      <c r="K499" s="134" t="str">
        <f t="shared" si="45"/>
        <v>8%</v>
      </c>
      <c r="L499" s="73"/>
      <c r="M499" s="99">
        <f t="shared" si="44"/>
        <v>8.1081081081081086E-2</v>
      </c>
      <c r="N499" s="73">
        <f>VLOOKUP(A499, 'Stock Register'!A:F, 6, FALSE)</f>
        <v>-1</v>
      </c>
    </row>
    <row r="500" spans="1:14" s="75" customFormat="1" hidden="1" x14ac:dyDescent="0.25">
      <c r="A500" s="204" t="s">
        <v>762</v>
      </c>
      <c r="B500" s="71"/>
      <c r="C500" s="71"/>
      <c r="D500" s="72">
        <v>9.16</v>
      </c>
      <c r="E500" s="191">
        <v>10</v>
      </c>
      <c r="F500" s="74">
        <f>SUMIF('Sales Register'!C:C, A500, 'Sales Register'!D:D)</f>
        <v>12</v>
      </c>
      <c r="G500" s="74">
        <f t="shared" si="46"/>
        <v>120</v>
      </c>
      <c r="H500" s="74">
        <f t="shared" si="47"/>
        <v>109.92</v>
      </c>
      <c r="I500" s="74">
        <f t="shared" si="48"/>
        <v>10.079999999999998</v>
      </c>
      <c r="J500" s="74">
        <f t="shared" si="49"/>
        <v>8.3999999999999991E-2</v>
      </c>
      <c r="K500" s="134" t="str">
        <f t="shared" si="45"/>
        <v>9%</v>
      </c>
      <c r="L500" s="73"/>
      <c r="M500" s="99">
        <f t="shared" si="44"/>
        <v>9.170305676855893E-2</v>
      </c>
      <c r="N500" s="73">
        <f>VLOOKUP(A500, 'Stock Register'!A:F, 6, FALSE)</f>
        <v>0</v>
      </c>
    </row>
    <row r="501" spans="1:14" s="75" customFormat="1" ht="30" hidden="1" x14ac:dyDescent="0.25">
      <c r="A501" s="204" t="s">
        <v>789</v>
      </c>
      <c r="B501" s="71"/>
      <c r="C501" s="71"/>
      <c r="D501" s="72">
        <f>SUMIF('Purchase Register'!C:C, A501, 'Purchase Register'!G:G)</f>
        <v>4.583333333333333</v>
      </c>
      <c r="E501" s="191">
        <v>5</v>
      </c>
      <c r="F501" s="74">
        <f>SUMIF('Sales Register'!C:C, A501, 'Sales Register'!D:D)</f>
        <v>16</v>
      </c>
      <c r="G501" s="74">
        <f t="shared" si="46"/>
        <v>80</v>
      </c>
      <c r="H501" s="74">
        <f t="shared" si="47"/>
        <v>73.333333333333329</v>
      </c>
      <c r="I501" s="74">
        <f t="shared" si="48"/>
        <v>6.6666666666666714</v>
      </c>
      <c r="J501" s="74">
        <f t="shared" si="49"/>
        <v>8.3333333333333398E-2</v>
      </c>
      <c r="K501" s="134" t="str">
        <f t="shared" ref="K501:K661" si="50">IF(E501&lt;=D501, "NO PROFIT", IF((E501-D501)/D501 &gt;= 1, "100% or More", TEXT(_xlfn.FLOOR.MATH((E501-D501)/D501, 0.01), "0%")))</f>
        <v>9%</v>
      </c>
      <c r="L501" s="73"/>
      <c r="M501" s="99">
        <f t="shared" ref="M501:M662" si="51">IF(D501=0, 0, (E501-D501)/D501)</f>
        <v>9.0909090909090981E-2</v>
      </c>
      <c r="N501" s="73">
        <f>VLOOKUP(A501, 'Stock Register'!A:F, 6, FALSE)</f>
        <v>-4</v>
      </c>
    </row>
    <row r="502" spans="1:14" s="75" customFormat="1" hidden="1" x14ac:dyDescent="0.25">
      <c r="A502" s="204" t="s">
        <v>790</v>
      </c>
      <c r="B502" s="71"/>
      <c r="C502" s="71"/>
      <c r="D502" s="72">
        <f>SUMIF('Purchase Register'!C:C, A502, 'Purchase Register'!G:G)</f>
        <v>25</v>
      </c>
      <c r="E502" s="191">
        <v>27</v>
      </c>
      <c r="F502" s="74">
        <f>SUMIF('Sales Register'!C:C, A502, 'Sales Register'!D:D)</f>
        <v>3</v>
      </c>
      <c r="G502" s="74">
        <f t="shared" ref="G502:G565" si="52">E502*F502</f>
        <v>81</v>
      </c>
      <c r="H502" s="74">
        <f t="shared" si="47"/>
        <v>75</v>
      </c>
      <c r="I502" s="74">
        <f t="shared" si="48"/>
        <v>6</v>
      </c>
      <c r="J502" s="74">
        <f t="shared" si="49"/>
        <v>7.407407407407407E-2</v>
      </c>
      <c r="K502" s="134" t="str">
        <f t="shared" si="50"/>
        <v>8%</v>
      </c>
      <c r="L502" s="73"/>
      <c r="M502" s="99">
        <f t="shared" si="51"/>
        <v>0.08</v>
      </c>
      <c r="N502" s="73">
        <f>VLOOKUP(A502, 'Stock Register'!A:F, 6, FALSE)</f>
        <v>1</v>
      </c>
    </row>
    <row r="503" spans="1:14" s="75" customFormat="1" hidden="1" x14ac:dyDescent="0.25">
      <c r="A503" s="204" t="s">
        <v>791</v>
      </c>
      <c r="B503" s="71"/>
      <c r="C503" s="71"/>
      <c r="D503" s="72">
        <f>SUMIF('Purchase Register'!C:C, A503, 'Purchase Register'!G:G)</f>
        <v>9</v>
      </c>
      <c r="E503" s="191">
        <v>10</v>
      </c>
      <c r="F503" s="74">
        <f>SUMIF('Sales Register'!C:C, A503, 'Sales Register'!D:D)</f>
        <v>12</v>
      </c>
      <c r="G503" s="74">
        <f t="shared" si="52"/>
        <v>120</v>
      </c>
      <c r="H503" s="74">
        <f t="shared" si="47"/>
        <v>108</v>
      </c>
      <c r="I503" s="74">
        <f t="shared" si="48"/>
        <v>12</v>
      </c>
      <c r="J503" s="74">
        <f t="shared" si="49"/>
        <v>0.1</v>
      </c>
      <c r="K503" s="134" t="str">
        <f t="shared" si="50"/>
        <v>11%</v>
      </c>
      <c r="L503" s="73"/>
      <c r="M503" s="99">
        <f t="shared" si="51"/>
        <v>0.1111111111111111</v>
      </c>
      <c r="N503" s="73">
        <f>VLOOKUP(A503, 'Stock Register'!A:F, 6, FALSE)</f>
        <v>0</v>
      </c>
    </row>
    <row r="504" spans="1:14" ht="30" hidden="1" x14ac:dyDescent="0.25">
      <c r="A504" s="205" t="s">
        <v>797</v>
      </c>
      <c r="D504" s="29">
        <v>90</v>
      </c>
      <c r="E504" s="190">
        <v>100</v>
      </c>
      <c r="F504" s="60">
        <f>SUMIF('Sales Register'!C:C, A504, 'Sales Register'!D:D)</f>
        <v>4</v>
      </c>
      <c r="G504" s="60">
        <f t="shared" si="52"/>
        <v>400</v>
      </c>
      <c r="H504" s="60">
        <f t="shared" si="47"/>
        <v>360</v>
      </c>
      <c r="I504" s="60">
        <f t="shared" si="48"/>
        <v>40</v>
      </c>
      <c r="J504" s="60">
        <f t="shared" si="49"/>
        <v>0.1</v>
      </c>
      <c r="K504" s="35" t="str">
        <f t="shared" si="50"/>
        <v>11%</v>
      </c>
      <c r="M504" s="30">
        <f t="shared" si="51"/>
        <v>0.1111111111111111</v>
      </c>
      <c r="N504" s="34">
        <f>VLOOKUP(A504, 'Stock Register'!A:F, 6, FALSE)</f>
        <v>-1</v>
      </c>
    </row>
    <row r="505" spans="1:14" ht="30" hidden="1" x14ac:dyDescent="0.25">
      <c r="A505" s="205" t="s">
        <v>792</v>
      </c>
      <c r="D505" s="29">
        <f>SUMIF('Purchase Register'!C:C, A505, 'Purchase Register'!G:G)</f>
        <v>140</v>
      </c>
      <c r="E505" s="190">
        <v>160</v>
      </c>
      <c r="F505" s="60">
        <f>SUMIF('Sales Register'!C:C, A505, 'Sales Register'!D:D)</f>
        <v>3</v>
      </c>
      <c r="G505" s="60">
        <f t="shared" si="52"/>
        <v>480</v>
      </c>
      <c r="H505" s="60">
        <f t="shared" si="47"/>
        <v>420</v>
      </c>
      <c r="I505" s="60">
        <f t="shared" si="48"/>
        <v>60</v>
      </c>
      <c r="J505" s="60">
        <f t="shared" si="49"/>
        <v>0.125</v>
      </c>
      <c r="K505" s="35" t="str">
        <f t="shared" si="50"/>
        <v>14%</v>
      </c>
      <c r="M505" s="30">
        <f t="shared" si="51"/>
        <v>0.14285714285714285</v>
      </c>
      <c r="N505" s="34">
        <f>VLOOKUP(A505, 'Stock Register'!A:F, 6, FALSE)</f>
        <v>0</v>
      </c>
    </row>
    <row r="506" spans="1:14" hidden="1" x14ac:dyDescent="0.25">
      <c r="A506" s="205" t="s">
        <v>793</v>
      </c>
      <c r="D506" s="29">
        <f>SUMIF('Purchase Register'!C:C, A506, 'Purchase Register'!G:G)</f>
        <v>37</v>
      </c>
      <c r="E506" s="190">
        <v>44</v>
      </c>
      <c r="F506" s="60">
        <f>SUMIF('Sales Register'!C:C, A506, 'Sales Register'!D:D)</f>
        <v>0</v>
      </c>
      <c r="G506" s="60">
        <f t="shared" si="52"/>
        <v>0</v>
      </c>
      <c r="H506" s="60">
        <f t="shared" si="47"/>
        <v>0</v>
      </c>
      <c r="I506" s="60">
        <f t="shared" si="48"/>
        <v>0</v>
      </c>
      <c r="J506" s="60">
        <f t="shared" si="49"/>
        <v>0</v>
      </c>
      <c r="K506" s="35" t="str">
        <f t="shared" si="50"/>
        <v>18%</v>
      </c>
      <c r="M506" s="30">
        <f t="shared" si="51"/>
        <v>0.1891891891891892</v>
      </c>
      <c r="N506" s="34">
        <f>VLOOKUP(A506, 'Stock Register'!A:F, 6, FALSE)</f>
        <v>6</v>
      </c>
    </row>
    <row r="507" spans="1:14" s="75" customFormat="1" hidden="1" x14ac:dyDescent="0.25">
      <c r="A507" s="204" t="s">
        <v>794</v>
      </c>
      <c r="B507" s="71"/>
      <c r="C507" s="71"/>
      <c r="D507" s="72">
        <f>SUMIF('Purchase Register'!C:C, A507, 'Purchase Register'!G:G)</f>
        <v>50</v>
      </c>
      <c r="E507" s="191">
        <v>58</v>
      </c>
      <c r="F507" s="74">
        <f>SUMIF('Sales Register'!C:C, A507, 'Sales Register'!D:D)</f>
        <v>1.518</v>
      </c>
      <c r="G507" s="74">
        <f t="shared" si="52"/>
        <v>88.043999999999997</v>
      </c>
      <c r="H507" s="74">
        <f t="shared" si="47"/>
        <v>75.900000000000006</v>
      </c>
      <c r="I507" s="74">
        <f t="shared" si="48"/>
        <v>12.143999999999991</v>
      </c>
      <c r="J507" s="74">
        <f t="shared" si="49"/>
        <v>0.13793103448275854</v>
      </c>
      <c r="K507" s="134" t="str">
        <f t="shared" si="50"/>
        <v>16%</v>
      </c>
      <c r="L507" s="73"/>
      <c r="M507" s="99">
        <f t="shared" si="51"/>
        <v>0.16</v>
      </c>
      <c r="N507" s="34">
        <f>VLOOKUP(A507, 'Stock Register'!A:F, 6, FALSE)</f>
        <v>4.4820000000000002</v>
      </c>
    </row>
    <row r="508" spans="1:14" s="75" customFormat="1" hidden="1" x14ac:dyDescent="0.25">
      <c r="A508" s="204" t="s">
        <v>795</v>
      </c>
      <c r="B508" s="71"/>
      <c r="C508" s="71"/>
      <c r="D508" s="72">
        <f>SUMIF('Purchase Register'!C:C, A508, 'Purchase Register'!G:G)</f>
        <v>140</v>
      </c>
      <c r="E508" s="191">
        <v>160</v>
      </c>
      <c r="F508" s="74">
        <f>SUMIF('Sales Register'!C:C, A508, 'Sales Register'!D:D)</f>
        <v>3.5</v>
      </c>
      <c r="G508" s="74">
        <f t="shared" si="52"/>
        <v>560</v>
      </c>
      <c r="H508" s="74">
        <f t="shared" si="47"/>
        <v>490</v>
      </c>
      <c r="I508" s="74">
        <f t="shared" si="48"/>
        <v>70</v>
      </c>
      <c r="J508" s="74">
        <f t="shared" si="49"/>
        <v>0.125</v>
      </c>
      <c r="K508" s="134" t="str">
        <f t="shared" si="50"/>
        <v>14%</v>
      </c>
      <c r="L508" s="73"/>
      <c r="M508" s="99">
        <f t="shared" si="51"/>
        <v>0.14285714285714285</v>
      </c>
      <c r="N508" s="73">
        <f>VLOOKUP(A508, 'Stock Register'!A:F, 6, FALSE)</f>
        <v>1.5</v>
      </c>
    </row>
    <row r="509" spans="1:14" hidden="1" x14ac:dyDescent="0.25">
      <c r="A509" s="205" t="s">
        <v>796</v>
      </c>
      <c r="D509" s="29">
        <f>SUMIF('Purchase Register'!C:C, A509, 'Purchase Register'!G:G)</f>
        <v>145</v>
      </c>
      <c r="E509" s="190">
        <v>180</v>
      </c>
      <c r="F509" s="60">
        <f>SUMIF('Sales Register'!C:C, A509, 'Sales Register'!D:D)</f>
        <v>1.9750000000000001</v>
      </c>
      <c r="G509" s="60">
        <f t="shared" si="52"/>
        <v>355.5</v>
      </c>
      <c r="H509" s="60">
        <f t="shared" si="47"/>
        <v>286.375</v>
      </c>
      <c r="I509" s="60">
        <f t="shared" si="48"/>
        <v>69.125</v>
      </c>
      <c r="J509" s="60">
        <f t="shared" si="49"/>
        <v>0.19444444444444445</v>
      </c>
      <c r="K509" s="35" t="str">
        <f t="shared" si="50"/>
        <v>24%</v>
      </c>
      <c r="M509" s="30">
        <f t="shared" si="51"/>
        <v>0.2413793103448276</v>
      </c>
      <c r="N509" s="34">
        <f>VLOOKUP(A509, 'Stock Register'!A:F, 6, FALSE)</f>
        <v>4.0250000000000004</v>
      </c>
    </row>
    <row r="510" spans="1:14" s="75" customFormat="1" ht="30" hidden="1" x14ac:dyDescent="0.25">
      <c r="A510" s="204" t="s">
        <v>798</v>
      </c>
      <c r="B510" s="71"/>
      <c r="C510" s="71"/>
      <c r="D510" s="72">
        <f>SUMIF('Purchase Register'!C:C, A510, 'Purchase Register'!G:G)</f>
        <v>360</v>
      </c>
      <c r="E510" s="191">
        <v>375</v>
      </c>
      <c r="F510" s="74">
        <f>SUMIF('Sales Register'!C:C, A510, 'Sales Register'!D:D)</f>
        <v>1</v>
      </c>
      <c r="G510" s="74">
        <f t="shared" si="52"/>
        <v>375</v>
      </c>
      <c r="H510" s="74">
        <f t="shared" si="47"/>
        <v>360</v>
      </c>
      <c r="I510" s="74">
        <f t="shared" si="48"/>
        <v>15</v>
      </c>
      <c r="J510" s="74">
        <f t="shared" si="49"/>
        <v>0.04</v>
      </c>
      <c r="K510" s="134" t="str">
        <f t="shared" si="50"/>
        <v>4%</v>
      </c>
      <c r="L510" s="73"/>
      <c r="M510" s="99">
        <f t="shared" si="51"/>
        <v>4.1666666666666664E-2</v>
      </c>
      <c r="N510" s="73">
        <f>VLOOKUP(A510, 'Stock Register'!A:F, 6, FALSE)</f>
        <v>0</v>
      </c>
    </row>
    <row r="511" spans="1:14" s="75" customFormat="1" ht="30" hidden="1" x14ac:dyDescent="0.25">
      <c r="A511" s="204" t="s">
        <v>799</v>
      </c>
      <c r="B511" s="71"/>
      <c r="C511" s="71"/>
      <c r="D511" s="72">
        <f>SUMIF('Purchase Register'!C:C, A511, 'Purchase Register'!G:G)</f>
        <v>50</v>
      </c>
      <c r="E511" s="191">
        <v>55</v>
      </c>
      <c r="F511" s="74">
        <f>SUMIF('Sales Register'!C:C, A511, 'Sales Register'!D:D)</f>
        <v>4</v>
      </c>
      <c r="G511" s="74">
        <f t="shared" si="52"/>
        <v>220</v>
      </c>
      <c r="H511" s="74">
        <f t="shared" si="47"/>
        <v>200</v>
      </c>
      <c r="I511" s="74">
        <f t="shared" si="48"/>
        <v>20</v>
      </c>
      <c r="J511" s="74">
        <f t="shared" si="49"/>
        <v>9.0909090909090912E-2</v>
      </c>
      <c r="K511" s="134" t="str">
        <f t="shared" si="50"/>
        <v>10%</v>
      </c>
      <c r="L511" s="73"/>
      <c r="M511" s="99">
        <f t="shared" si="51"/>
        <v>0.1</v>
      </c>
      <c r="N511" s="73">
        <f>VLOOKUP(A511, 'Stock Register'!A:F, 6, FALSE)</f>
        <v>-1</v>
      </c>
    </row>
    <row r="512" spans="1:14" ht="30" hidden="1" x14ac:dyDescent="0.25">
      <c r="A512" s="205" t="s">
        <v>800</v>
      </c>
      <c r="D512" s="29">
        <f>SUMIF('Purchase Register'!C:C, A512, 'Purchase Register'!G:G)</f>
        <v>43</v>
      </c>
      <c r="E512" s="190">
        <v>48</v>
      </c>
      <c r="F512" s="60">
        <f>SUMIF('Sales Register'!C:C, A512, 'Sales Register'!D:D)</f>
        <v>2</v>
      </c>
      <c r="G512" s="60">
        <f t="shared" si="52"/>
        <v>96</v>
      </c>
      <c r="H512" s="60">
        <f t="shared" si="47"/>
        <v>86</v>
      </c>
      <c r="I512" s="60">
        <f t="shared" si="48"/>
        <v>10</v>
      </c>
      <c r="J512" s="60">
        <f t="shared" si="49"/>
        <v>0.10416666666666667</v>
      </c>
      <c r="K512" s="35" t="str">
        <f t="shared" si="50"/>
        <v>11%</v>
      </c>
      <c r="M512" s="30">
        <f t="shared" si="51"/>
        <v>0.11627906976744186</v>
      </c>
      <c r="N512" s="34">
        <f>VLOOKUP(A512, 'Stock Register'!A:F, 6, FALSE)</f>
        <v>1</v>
      </c>
    </row>
    <row r="513" spans="1:14" hidden="1" x14ac:dyDescent="0.25">
      <c r="A513" s="205" t="s">
        <v>801</v>
      </c>
      <c r="D513" s="29">
        <f>SUMIF('Purchase Register'!C:C, A513, 'Purchase Register'!G:G)</f>
        <v>18</v>
      </c>
      <c r="E513" s="190">
        <v>20</v>
      </c>
      <c r="F513" s="60">
        <f>SUMIF('Sales Register'!C:C, A513, 'Sales Register'!D:D)</f>
        <v>6</v>
      </c>
      <c r="G513" s="60">
        <f t="shared" si="52"/>
        <v>120</v>
      </c>
      <c r="H513" s="60">
        <f t="shared" si="47"/>
        <v>108</v>
      </c>
      <c r="I513" s="60">
        <f t="shared" si="48"/>
        <v>12</v>
      </c>
      <c r="J513" s="60">
        <f t="shared" si="49"/>
        <v>0.1</v>
      </c>
      <c r="K513" s="35" t="str">
        <f t="shared" si="50"/>
        <v>11%</v>
      </c>
      <c r="M513" s="30">
        <f t="shared" si="51"/>
        <v>0.1111111111111111</v>
      </c>
      <c r="N513" s="34">
        <f>VLOOKUP(A513, 'Stock Register'!A:F, 6, FALSE)</f>
        <v>0</v>
      </c>
    </row>
    <row r="514" spans="1:14" s="75" customFormat="1" hidden="1" x14ac:dyDescent="0.25">
      <c r="A514" s="204" t="s">
        <v>805</v>
      </c>
      <c r="B514" s="71"/>
      <c r="C514" s="71"/>
      <c r="D514" s="72">
        <f>SUMIF('Purchase Register'!C:C, A514, 'Purchase Register'!G:G)</f>
        <v>52.990384615384613</v>
      </c>
      <c r="E514" s="191">
        <v>55</v>
      </c>
      <c r="F514" s="74">
        <f>SUMIF('Sales Register'!C:C, A514, 'Sales Register'!D:D)</f>
        <v>97</v>
      </c>
      <c r="G514" s="74">
        <f t="shared" si="52"/>
        <v>5335</v>
      </c>
      <c r="H514" s="74">
        <f t="shared" ref="H514:H577" si="53">D514*F514</f>
        <v>5140.0673076923076</v>
      </c>
      <c r="I514" s="74">
        <f t="shared" ref="I514:I577" si="54">G514-H514</f>
        <v>194.93269230769238</v>
      </c>
      <c r="J514" s="74">
        <f t="shared" ref="J514:J577" si="55">IF(G514=0,0,I514/G514)</f>
        <v>3.6538461538461554E-2</v>
      </c>
      <c r="K514" s="134" t="str">
        <f t="shared" si="50"/>
        <v>3%</v>
      </c>
      <c r="L514" s="73"/>
      <c r="M514" s="99">
        <f t="shared" si="51"/>
        <v>3.7924151696606831E-2</v>
      </c>
      <c r="N514" s="73">
        <f>VLOOKUP(A514, 'Stock Register'!A:F, 6, FALSE)</f>
        <v>7</v>
      </c>
    </row>
    <row r="515" spans="1:14" s="75" customFormat="1" hidden="1" x14ac:dyDescent="0.25">
      <c r="A515" s="204" t="s">
        <v>806</v>
      </c>
      <c r="B515" s="71"/>
      <c r="C515" s="71"/>
      <c r="D515" s="72">
        <f>SUMIF('Purchase Register'!C:C, A515, 'Purchase Register'!G:G)</f>
        <v>7.666666666666667</v>
      </c>
      <c r="E515" s="191">
        <v>9</v>
      </c>
      <c r="F515" s="74">
        <f>SUMIF('Sales Register'!C:C, A515, 'Sales Register'!D:D)</f>
        <v>94</v>
      </c>
      <c r="G515" s="74">
        <f t="shared" si="52"/>
        <v>846</v>
      </c>
      <c r="H515" s="74">
        <f t="shared" si="53"/>
        <v>720.66666666666674</v>
      </c>
      <c r="I515" s="74">
        <f t="shared" si="54"/>
        <v>125.33333333333326</v>
      </c>
      <c r="J515" s="74">
        <f t="shared" si="55"/>
        <v>0.14814814814814806</v>
      </c>
      <c r="K515" s="134" t="str">
        <f t="shared" si="50"/>
        <v>17%</v>
      </c>
      <c r="L515" s="73"/>
      <c r="M515" s="99">
        <f t="shared" si="51"/>
        <v>0.17391304347826084</v>
      </c>
      <c r="N515" s="34">
        <f>VLOOKUP(A515, 'Stock Register'!A:F, 6, FALSE)</f>
        <v>-4</v>
      </c>
    </row>
    <row r="516" spans="1:14" s="75" customFormat="1" hidden="1" x14ac:dyDescent="0.25">
      <c r="A516" s="204" t="s">
        <v>807</v>
      </c>
      <c r="B516" s="71"/>
      <c r="C516" s="71"/>
      <c r="D516" s="72">
        <f>SUMIF('Purchase Register'!C:C, A516, 'Purchase Register'!G:G)</f>
        <v>58.003346346904628</v>
      </c>
      <c r="E516" s="191">
        <v>70</v>
      </c>
      <c r="F516" s="74">
        <f>SUMIF('Sales Register'!C:C, A516, 'Sales Register'!D:D)</f>
        <v>17.930999999999997</v>
      </c>
      <c r="G516" s="74">
        <f t="shared" si="52"/>
        <v>1255.1699999999998</v>
      </c>
      <c r="H516" s="74">
        <f t="shared" si="53"/>
        <v>1040.0580033463468</v>
      </c>
      <c r="I516" s="74">
        <f t="shared" si="54"/>
        <v>215.11199665365302</v>
      </c>
      <c r="J516" s="74">
        <f t="shared" si="55"/>
        <v>0.17138076647279096</v>
      </c>
      <c r="K516" s="134" t="str">
        <f t="shared" si="50"/>
        <v>20%</v>
      </c>
      <c r="L516" s="73"/>
      <c r="M516" s="99">
        <f t="shared" si="51"/>
        <v>0.2068269230769231</v>
      </c>
      <c r="N516" s="73">
        <f>VLOOKUP(A516, 'Stock Register'!A:F, 6, FALSE)</f>
        <v>-9.9999999999766942E-4</v>
      </c>
    </row>
    <row r="517" spans="1:14" s="75" customFormat="1" hidden="1" x14ac:dyDescent="0.25">
      <c r="A517" s="204" t="s">
        <v>808</v>
      </c>
      <c r="B517" s="71"/>
      <c r="C517" s="71"/>
      <c r="D517" s="72">
        <f>SUMIF('Purchase Register'!C:C, A517, 'Purchase Register'!G:G)</f>
        <v>55</v>
      </c>
      <c r="E517" s="191">
        <v>59</v>
      </c>
      <c r="F517" s="74">
        <f>SUMIF('Sales Register'!C:C, A517, 'Sales Register'!D:D)</f>
        <v>2</v>
      </c>
      <c r="G517" s="74">
        <f t="shared" si="52"/>
        <v>118</v>
      </c>
      <c r="H517" s="74">
        <f t="shared" si="53"/>
        <v>110</v>
      </c>
      <c r="I517" s="74">
        <f t="shared" si="54"/>
        <v>8</v>
      </c>
      <c r="J517" s="74">
        <f t="shared" si="55"/>
        <v>6.7796610169491525E-2</v>
      </c>
      <c r="K517" s="134" t="str">
        <f t="shared" si="50"/>
        <v>7%</v>
      </c>
      <c r="L517" s="73"/>
      <c r="M517" s="99">
        <f t="shared" si="51"/>
        <v>7.2727272727272724E-2</v>
      </c>
      <c r="N517" s="73">
        <f>VLOOKUP(A517, 'Stock Register'!A:F, 6, FALSE)</f>
        <v>4</v>
      </c>
    </row>
    <row r="518" spans="1:14" hidden="1" x14ac:dyDescent="0.25">
      <c r="A518" s="205" t="s">
        <v>809</v>
      </c>
      <c r="D518" s="29">
        <f>SUMIF('Purchase Register'!C:C, A518, 'Purchase Register'!G:G)</f>
        <v>120</v>
      </c>
      <c r="E518" s="190">
        <v>140</v>
      </c>
      <c r="F518" s="60">
        <f>SUMIF('Sales Register'!C:C, A518, 'Sales Register'!D:D)</f>
        <v>0</v>
      </c>
      <c r="G518" s="60">
        <f t="shared" si="52"/>
        <v>0</v>
      </c>
      <c r="H518" s="60">
        <f t="shared" si="53"/>
        <v>0</v>
      </c>
      <c r="I518" s="60">
        <f t="shared" si="54"/>
        <v>0</v>
      </c>
      <c r="J518" s="60">
        <f t="shared" si="55"/>
        <v>0</v>
      </c>
      <c r="K518" s="35" t="str">
        <f t="shared" si="50"/>
        <v>16%</v>
      </c>
      <c r="M518" s="30">
        <f t="shared" si="51"/>
        <v>0.16666666666666666</v>
      </c>
      <c r="N518" s="34">
        <f>VLOOKUP(A518, 'Stock Register'!A:F, 6, FALSE)</f>
        <v>2</v>
      </c>
    </row>
    <row r="519" spans="1:14" hidden="1" x14ac:dyDescent="0.25">
      <c r="A519" s="205" t="s">
        <v>810</v>
      </c>
      <c r="D519" s="29">
        <f>SUMIF('Purchase Register'!C:C, A519, 'Purchase Register'!G:G)</f>
        <v>55</v>
      </c>
      <c r="E519" s="190">
        <v>60</v>
      </c>
      <c r="F519" s="60">
        <f>SUMIF('Sales Register'!C:C, A519, 'Sales Register'!D:D)</f>
        <v>1.02</v>
      </c>
      <c r="G519" s="60">
        <f t="shared" si="52"/>
        <v>61.2</v>
      </c>
      <c r="H519" s="60">
        <f t="shared" si="53"/>
        <v>56.1</v>
      </c>
      <c r="I519" s="60">
        <f t="shared" si="54"/>
        <v>5.1000000000000014</v>
      </c>
      <c r="J519" s="60">
        <f t="shared" si="55"/>
        <v>8.3333333333333356E-2</v>
      </c>
      <c r="K519" s="35" t="str">
        <f t="shared" si="50"/>
        <v>9%</v>
      </c>
      <c r="M519" s="30">
        <f t="shared" si="51"/>
        <v>9.0909090909090912E-2</v>
      </c>
      <c r="N519" s="34">
        <f>VLOOKUP(A519, 'Stock Register'!A:F, 6, FALSE)</f>
        <v>0.98</v>
      </c>
    </row>
    <row r="520" spans="1:14" hidden="1" x14ac:dyDescent="0.25">
      <c r="A520" s="205" t="s">
        <v>811</v>
      </c>
      <c r="D520" s="29">
        <f>SUMIF('Purchase Register'!C:C, A520, 'Purchase Register'!G:G)</f>
        <v>140</v>
      </c>
      <c r="E520" s="190">
        <v>160</v>
      </c>
      <c r="F520" s="60">
        <f>SUMIF('Sales Register'!C:C, A520, 'Sales Register'!D:D)</f>
        <v>1.075</v>
      </c>
      <c r="G520" s="60">
        <f t="shared" si="52"/>
        <v>172</v>
      </c>
      <c r="H520" s="60">
        <f t="shared" si="53"/>
        <v>150.5</v>
      </c>
      <c r="I520" s="60">
        <f t="shared" si="54"/>
        <v>21.5</v>
      </c>
      <c r="J520" s="60">
        <f t="shared" si="55"/>
        <v>0.125</v>
      </c>
      <c r="K520" s="35" t="str">
        <f t="shared" si="50"/>
        <v>14%</v>
      </c>
      <c r="M520" s="30">
        <f t="shared" si="51"/>
        <v>0.14285714285714285</v>
      </c>
      <c r="N520" s="34">
        <f>VLOOKUP(A520, 'Stock Register'!A:F, 6, FALSE)</f>
        <v>-7.4999999999999956E-2</v>
      </c>
    </row>
    <row r="521" spans="1:14" hidden="1" x14ac:dyDescent="0.25">
      <c r="A521" s="205" t="s">
        <v>812</v>
      </c>
      <c r="D521" s="29">
        <f>SUMIF('Purchase Register'!C:C, A521, 'Purchase Register'!G:G)</f>
        <v>50</v>
      </c>
      <c r="E521" s="190">
        <v>62</v>
      </c>
      <c r="F521" s="60">
        <f>SUMIF('Sales Register'!C:C, A521, 'Sales Register'!D:D)</f>
        <v>1</v>
      </c>
      <c r="G521" s="60">
        <f t="shared" si="52"/>
        <v>62</v>
      </c>
      <c r="H521" s="60">
        <f t="shared" si="53"/>
        <v>50</v>
      </c>
      <c r="I521" s="60">
        <f t="shared" si="54"/>
        <v>12</v>
      </c>
      <c r="J521" s="60">
        <f t="shared" si="55"/>
        <v>0.19354838709677419</v>
      </c>
      <c r="K521" s="35" t="str">
        <f t="shared" si="50"/>
        <v>24%</v>
      </c>
      <c r="M521" s="30">
        <f t="shared" si="51"/>
        <v>0.24</v>
      </c>
      <c r="N521" s="34">
        <f>VLOOKUP(A521, 'Stock Register'!A:F, 6, FALSE)</f>
        <v>3</v>
      </c>
    </row>
    <row r="522" spans="1:14" s="75" customFormat="1" hidden="1" x14ac:dyDescent="0.25">
      <c r="A522" s="204" t="s">
        <v>813</v>
      </c>
      <c r="B522" s="71"/>
      <c r="C522" s="71"/>
      <c r="D522" s="72">
        <f>SUMIF('Purchase Register'!C:C, A522, 'Purchase Register'!G:G)</f>
        <v>27</v>
      </c>
      <c r="E522" s="191">
        <v>30</v>
      </c>
      <c r="F522" s="74">
        <f>SUMIF('Sales Register'!C:C, A522, 'Sales Register'!D:D)</f>
        <v>6</v>
      </c>
      <c r="G522" s="74">
        <f t="shared" si="52"/>
        <v>180</v>
      </c>
      <c r="H522" s="74">
        <f t="shared" si="53"/>
        <v>162</v>
      </c>
      <c r="I522" s="74">
        <f t="shared" si="54"/>
        <v>18</v>
      </c>
      <c r="J522" s="74">
        <f t="shared" si="55"/>
        <v>0.1</v>
      </c>
      <c r="K522" s="134" t="str">
        <f t="shared" si="50"/>
        <v>11%</v>
      </c>
      <c r="L522" s="73"/>
      <c r="M522" s="99">
        <f t="shared" si="51"/>
        <v>0.1111111111111111</v>
      </c>
      <c r="N522" s="34">
        <f>VLOOKUP(A522, 'Stock Register'!A:F, 6, FALSE)</f>
        <v>1</v>
      </c>
    </row>
    <row r="523" spans="1:14" s="75" customFormat="1" hidden="1" x14ac:dyDescent="0.25">
      <c r="A523" s="204" t="s">
        <v>824</v>
      </c>
      <c r="B523" s="71"/>
      <c r="C523" s="71"/>
      <c r="D523" s="72">
        <f>SUMIF('Purchase Register'!C:C, A523, 'Purchase Register'!G:G)</f>
        <v>464</v>
      </c>
      <c r="E523" s="191">
        <v>500</v>
      </c>
      <c r="F523" s="74">
        <f>SUMIF('Sales Register'!C:C, A523, 'Sales Register'!D:D)</f>
        <v>1</v>
      </c>
      <c r="G523" s="74">
        <f t="shared" si="52"/>
        <v>500</v>
      </c>
      <c r="H523" s="74">
        <f t="shared" si="53"/>
        <v>464</v>
      </c>
      <c r="I523" s="74">
        <f t="shared" si="54"/>
        <v>36</v>
      </c>
      <c r="J523" s="74">
        <f t="shared" si="55"/>
        <v>7.1999999999999995E-2</v>
      </c>
      <c r="K523" s="134" t="str">
        <f t="shared" si="50"/>
        <v>7%</v>
      </c>
      <c r="L523" s="73"/>
      <c r="M523" s="99">
        <f t="shared" si="51"/>
        <v>7.7586206896551727E-2</v>
      </c>
      <c r="N523" s="73">
        <f>VLOOKUP(A523, 'Stock Register'!A:F, 6, FALSE)</f>
        <v>0</v>
      </c>
    </row>
    <row r="524" spans="1:14" s="75" customFormat="1" ht="30" hidden="1" x14ac:dyDescent="0.25">
      <c r="A524" s="204" t="s">
        <v>823</v>
      </c>
      <c r="B524" s="71"/>
      <c r="C524" s="71"/>
      <c r="D524" s="72">
        <f>SUMIF('Purchase Register'!C:C, A524, 'Purchase Register'!G:G)</f>
        <v>190</v>
      </c>
      <c r="E524" s="191">
        <v>205</v>
      </c>
      <c r="F524" s="74">
        <f>SUMIF('Sales Register'!C:C, A524, 'Sales Register'!D:D)</f>
        <v>2</v>
      </c>
      <c r="G524" s="74">
        <f t="shared" si="52"/>
        <v>410</v>
      </c>
      <c r="H524" s="74">
        <f t="shared" si="53"/>
        <v>380</v>
      </c>
      <c r="I524" s="74">
        <f t="shared" si="54"/>
        <v>30</v>
      </c>
      <c r="J524" s="74">
        <f t="shared" si="55"/>
        <v>7.3170731707317069E-2</v>
      </c>
      <c r="K524" s="134" t="str">
        <f t="shared" si="50"/>
        <v>7%</v>
      </c>
      <c r="L524" s="73"/>
      <c r="M524" s="99">
        <f t="shared" si="51"/>
        <v>7.8947368421052627E-2</v>
      </c>
      <c r="N524" s="73">
        <f>VLOOKUP(A524, 'Stock Register'!A:F, 6, FALSE)</f>
        <v>0</v>
      </c>
    </row>
    <row r="525" spans="1:14" s="75" customFormat="1" hidden="1" x14ac:dyDescent="0.25">
      <c r="A525" s="204" t="s">
        <v>814</v>
      </c>
      <c r="B525" s="71"/>
      <c r="C525" s="71"/>
      <c r="D525" s="72">
        <f>SUMIF('Purchase Register'!C:C, A525, 'Purchase Register'!G:G)</f>
        <v>50</v>
      </c>
      <c r="E525" s="191">
        <v>60</v>
      </c>
      <c r="F525" s="74">
        <f>SUMIF('Sales Register'!C:C, A525, 'Sales Register'!D:D)</f>
        <v>4.2299999999999995</v>
      </c>
      <c r="G525" s="74">
        <f t="shared" si="52"/>
        <v>253.79999999999998</v>
      </c>
      <c r="H525" s="74">
        <f t="shared" si="53"/>
        <v>211.49999999999997</v>
      </c>
      <c r="I525" s="74">
        <f t="shared" si="54"/>
        <v>42.300000000000011</v>
      </c>
      <c r="J525" s="74">
        <f t="shared" si="55"/>
        <v>0.16666666666666671</v>
      </c>
      <c r="K525" s="134" t="str">
        <f t="shared" si="50"/>
        <v>20%</v>
      </c>
      <c r="L525" s="73"/>
      <c r="M525" s="99">
        <f t="shared" si="51"/>
        <v>0.2</v>
      </c>
      <c r="N525" s="73">
        <f>VLOOKUP(A525, 'Stock Register'!A:F, 6, FALSE)</f>
        <v>-1.2299999999999995</v>
      </c>
    </row>
    <row r="526" spans="1:14" hidden="1" x14ac:dyDescent="0.25">
      <c r="A526" s="205" t="s">
        <v>815</v>
      </c>
      <c r="D526" s="29">
        <f>SUMIF('Purchase Register'!C:C, A526, 'Purchase Register'!G:G)</f>
        <v>50</v>
      </c>
      <c r="E526" s="190">
        <v>58</v>
      </c>
      <c r="F526" s="60">
        <f>SUMIF('Sales Register'!C:C, A526, 'Sales Register'!D:D)</f>
        <v>1.4279999999999999</v>
      </c>
      <c r="G526" s="60">
        <f t="shared" si="52"/>
        <v>82.823999999999998</v>
      </c>
      <c r="H526" s="60">
        <f t="shared" si="53"/>
        <v>71.399999999999991</v>
      </c>
      <c r="I526" s="60">
        <f t="shared" si="54"/>
        <v>11.424000000000007</v>
      </c>
      <c r="J526" s="60">
        <f t="shared" si="55"/>
        <v>0.1379310344827587</v>
      </c>
      <c r="K526" s="35" t="str">
        <f t="shared" si="50"/>
        <v>16%</v>
      </c>
      <c r="M526" s="30">
        <f t="shared" si="51"/>
        <v>0.16</v>
      </c>
      <c r="N526" s="34">
        <f>VLOOKUP(A526, 'Stock Register'!A:F, 6, FALSE)</f>
        <v>1.5720000000000001</v>
      </c>
    </row>
    <row r="527" spans="1:14" hidden="1" x14ac:dyDescent="0.25">
      <c r="A527" s="205" t="s">
        <v>816</v>
      </c>
      <c r="D527" s="29">
        <f>SUMIF('Purchase Register'!C:C, A527, 'Purchase Register'!G:G)</f>
        <v>6.666666666666667</v>
      </c>
      <c r="E527" s="190">
        <v>10</v>
      </c>
      <c r="F527" s="60">
        <f>SUMIF('Sales Register'!C:C, A527, 'Sales Register'!D:D)</f>
        <v>12</v>
      </c>
      <c r="G527" s="60">
        <f t="shared" si="52"/>
        <v>120</v>
      </c>
      <c r="H527" s="60">
        <f t="shared" si="53"/>
        <v>80</v>
      </c>
      <c r="I527" s="60">
        <f t="shared" si="54"/>
        <v>40</v>
      </c>
      <c r="J527" s="60">
        <f t="shared" si="55"/>
        <v>0.33333333333333331</v>
      </c>
      <c r="K527" s="35" t="str">
        <f t="shared" si="50"/>
        <v>50%</v>
      </c>
      <c r="M527" s="30">
        <f t="shared" si="51"/>
        <v>0.49999999999999994</v>
      </c>
      <c r="N527" s="34">
        <f>VLOOKUP(A527, 'Stock Register'!A:F, 6, FALSE)</f>
        <v>0</v>
      </c>
    </row>
    <row r="528" spans="1:14" s="75" customFormat="1" hidden="1" x14ac:dyDescent="0.25">
      <c r="A528" s="204" t="s">
        <v>825</v>
      </c>
      <c r="B528" s="71"/>
      <c r="C528" s="71"/>
      <c r="D528" s="72">
        <f>SUMIF('Purchase Register'!C:C, A528, 'Purchase Register'!G:G)</f>
        <v>65</v>
      </c>
      <c r="E528" s="191">
        <v>70</v>
      </c>
      <c r="F528" s="74">
        <f>SUMIF('Sales Register'!C:C, A528, 'Sales Register'!D:D)</f>
        <v>6</v>
      </c>
      <c r="G528" s="74">
        <f t="shared" si="52"/>
        <v>420</v>
      </c>
      <c r="H528" s="74">
        <f t="shared" si="53"/>
        <v>390</v>
      </c>
      <c r="I528" s="74">
        <f t="shared" si="54"/>
        <v>30</v>
      </c>
      <c r="J528" s="74">
        <f t="shared" si="55"/>
        <v>7.1428571428571425E-2</v>
      </c>
      <c r="K528" s="134" t="str">
        <f t="shared" si="50"/>
        <v>7%</v>
      </c>
      <c r="L528" s="73"/>
      <c r="M528" s="99">
        <f t="shared" si="51"/>
        <v>7.6923076923076927E-2</v>
      </c>
      <c r="N528" s="73">
        <f>VLOOKUP(A528, 'Stock Register'!A:F, 6, FALSE)</f>
        <v>-1</v>
      </c>
    </row>
    <row r="529" spans="1:14" ht="30" hidden="1" x14ac:dyDescent="0.25">
      <c r="A529" s="205" t="s">
        <v>817</v>
      </c>
      <c r="D529" s="29">
        <f>SUMIF('Purchase Register'!C:C, A529, 'Purchase Register'!G:G)</f>
        <v>79</v>
      </c>
      <c r="E529" s="190">
        <v>85</v>
      </c>
      <c r="F529" s="60">
        <f>SUMIF('Sales Register'!C:C, A529, 'Sales Register'!D:D)</f>
        <v>0</v>
      </c>
      <c r="G529" s="60">
        <f t="shared" si="52"/>
        <v>0</v>
      </c>
      <c r="H529" s="60">
        <f t="shared" si="53"/>
        <v>0</v>
      </c>
      <c r="I529" s="60">
        <f t="shared" si="54"/>
        <v>0</v>
      </c>
      <c r="J529" s="60">
        <f t="shared" si="55"/>
        <v>0</v>
      </c>
      <c r="K529" s="35" t="str">
        <f t="shared" si="50"/>
        <v>7%</v>
      </c>
      <c r="M529" s="30">
        <f t="shared" si="51"/>
        <v>7.5949367088607597E-2</v>
      </c>
      <c r="N529" s="34">
        <f>VLOOKUP(A529, 'Stock Register'!A:F, 6, FALSE)</f>
        <v>4</v>
      </c>
    </row>
    <row r="530" spans="1:14" s="75" customFormat="1" ht="30" hidden="1" x14ac:dyDescent="0.25">
      <c r="A530" s="204" t="s">
        <v>826</v>
      </c>
      <c r="B530" s="71"/>
      <c r="C530" s="71"/>
      <c r="D530" s="72">
        <f>SUMIF('Purchase Register'!C:C, A530, 'Purchase Register'!G:G)</f>
        <v>0.875</v>
      </c>
      <c r="E530" s="191">
        <v>1</v>
      </c>
      <c r="F530" s="74">
        <f>SUMIF('Sales Register'!C:C, A530, 'Sales Register'!D:D)</f>
        <v>16</v>
      </c>
      <c r="G530" s="74">
        <f t="shared" si="52"/>
        <v>16</v>
      </c>
      <c r="H530" s="74">
        <f t="shared" si="53"/>
        <v>14</v>
      </c>
      <c r="I530" s="74">
        <f t="shared" si="54"/>
        <v>2</v>
      </c>
      <c r="J530" s="74">
        <f t="shared" si="55"/>
        <v>0.125</v>
      </c>
      <c r="K530" s="134" t="str">
        <f t="shared" si="50"/>
        <v>14%</v>
      </c>
      <c r="L530" s="73"/>
      <c r="M530" s="99">
        <f t="shared" si="51"/>
        <v>0.14285714285714285</v>
      </c>
      <c r="N530" s="73">
        <f>VLOOKUP(A530, 'Stock Register'!A:F, 6, FALSE)</f>
        <v>0</v>
      </c>
    </row>
    <row r="531" spans="1:14" ht="30" hidden="1" x14ac:dyDescent="0.25">
      <c r="A531" s="205" t="s">
        <v>818</v>
      </c>
      <c r="D531" s="29">
        <f>SUMIF('Purchase Register'!C:C, A531, 'Purchase Register'!G:G)</f>
        <v>0.875</v>
      </c>
      <c r="E531" s="190">
        <v>1</v>
      </c>
      <c r="F531" s="60">
        <f>SUMIF('Sales Register'!C:C, A531, 'Sales Register'!D:D)</f>
        <v>73</v>
      </c>
      <c r="G531" s="60">
        <f t="shared" si="52"/>
        <v>73</v>
      </c>
      <c r="H531" s="60">
        <f t="shared" si="53"/>
        <v>63.875</v>
      </c>
      <c r="I531" s="60">
        <f t="shared" si="54"/>
        <v>9.125</v>
      </c>
      <c r="J531" s="60">
        <f t="shared" si="55"/>
        <v>0.125</v>
      </c>
      <c r="K531" s="35" t="str">
        <f t="shared" si="50"/>
        <v>14%</v>
      </c>
      <c r="M531" s="30">
        <f t="shared" si="51"/>
        <v>0.14285714285714285</v>
      </c>
      <c r="N531" s="34">
        <f>VLOOKUP(A531, 'Stock Register'!A:F, 6, FALSE)</f>
        <v>-57</v>
      </c>
    </row>
    <row r="532" spans="1:14" ht="30" hidden="1" x14ac:dyDescent="0.25">
      <c r="A532" s="205" t="s">
        <v>827</v>
      </c>
      <c r="D532" s="29">
        <f>SUMIF('Purchase Register'!C:C, A532, 'Purchase Register'!G:G)</f>
        <v>0.875</v>
      </c>
      <c r="E532" s="190">
        <v>1</v>
      </c>
      <c r="F532" s="60">
        <f>SUMIF('Sales Register'!C:C, A532, 'Sales Register'!D:D)</f>
        <v>16</v>
      </c>
      <c r="G532" s="60">
        <f t="shared" si="52"/>
        <v>16</v>
      </c>
      <c r="H532" s="60">
        <f t="shared" si="53"/>
        <v>14</v>
      </c>
      <c r="I532" s="60">
        <f t="shared" si="54"/>
        <v>2</v>
      </c>
      <c r="J532" s="60">
        <f t="shared" si="55"/>
        <v>0.125</v>
      </c>
      <c r="K532" s="35" t="str">
        <f t="shared" si="50"/>
        <v>14%</v>
      </c>
      <c r="M532" s="30">
        <f t="shared" si="51"/>
        <v>0.14285714285714285</v>
      </c>
      <c r="N532" s="34">
        <f>VLOOKUP(A532, 'Stock Register'!A:F, 6, FALSE)</f>
        <v>0</v>
      </c>
    </row>
    <row r="533" spans="1:14" ht="30" hidden="1" x14ac:dyDescent="0.25">
      <c r="A533" s="205" t="s">
        <v>828</v>
      </c>
      <c r="D533" s="29">
        <f>SUMIF('Purchase Register'!C:C, A533, 'Purchase Register'!G:G)</f>
        <v>118</v>
      </c>
      <c r="E533" s="190">
        <v>130</v>
      </c>
      <c r="F533" s="60">
        <f>SUMIF('Sales Register'!C:C, A533, 'Sales Register'!D:D)</f>
        <v>1</v>
      </c>
      <c r="G533" s="60">
        <f t="shared" si="52"/>
        <v>130</v>
      </c>
      <c r="H533" s="60">
        <f t="shared" si="53"/>
        <v>118</v>
      </c>
      <c r="I533" s="60">
        <f t="shared" si="54"/>
        <v>12</v>
      </c>
      <c r="J533" s="60">
        <f t="shared" si="55"/>
        <v>9.2307692307692313E-2</v>
      </c>
      <c r="K533" s="35" t="str">
        <f t="shared" si="50"/>
        <v>10%</v>
      </c>
      <c r="M533" s="30">
        <f t="shared" si="51"/>
        <v>0.10169491525423729</v>
      </c>
      <c r="N533" s="34">
        <f>VLOOKUP(A533, 'Stock Register'!A:F, 6, FALSE)</f>
        <v>1</v>
      </c>
    </row>
    <row r="534" spans="1:14" s="75" customFormat="1" hidden="1" x14ac:dyDescent="0.25">
      <c r="A534" s="204" t="s">
        <v>819</v>
      </c>
      <c r="B534" s="71"/>
      <c r="C534" s="71"/>
      <c r="D534" s="72">
        <f>SUMIF('Purchase Register'!C:C, A534, 'Purchase Register'!G:G)</f>
        <v>38</v>
      </c>
      <c r="E534" s="191">
        <v>40</v>
      </c>
      <c r="F534" s="74">
        <f>SUMIF('Sales Register'!C:C, A534, 'Sales Register'!D:D)</f>
        <v>10</v>
      </c>
      <c r="G534" s="74">
        <f t="shared" si="52"/>
        <v>400</v>
      </c>
      <c r="H534" s="74">
        <f t="shared" si="53"/>
        <v>380</v>
      </c>
      <c r="I534" s="74">
        <f t="shared" si="54"/>
        <v>20</v>
      </c>
      <c r="J534" s="74">
        <f t="shared" si="55"/>
        <v>0.05</v>
      </c>
      <c r="K534" s="134" t="str">
        <f t="shared" si="50"/>
        <v>5%</v>
      </c>
      <c r="L534" s="73"/>
      <c r="M534" s="99">
        <f t="shared" si="51"/>
        <v>5.2631578947368418E-2</v>
      </c>
      <c r="N534" s="73">
        <f>VLOOKUP(A534, 'Stock Register'!A:F, 6, FALSE)</f>
        <v>0</v>
      </c>
    </row>
    <row r="535" spans="1:14" hidden="1" x14ac:dyDescent="0.25">
      <c r="A535" s="205" t="s">
        <v>829</v>
      </c>
      <c r="D535" s="29">
        <f>SUMIF('Purchase Register'!C:C, A535, 'Purchase Register'!G:G)</f>
        <v>190</v>
      </c>
      <c r="E535" s="190">
        <v>195</v>
      </c>
      <c r="F535" s="60">
        <f>SUMIF('Sales Register'!C:C, A535, 'Sales Register'!D:D)</f>
        <v>6</v>
      </c>
      <c r="G535" s="60">
        <f t="shared" si="52"/>
        <v>1170</v>
      </c>
      <c r="H535" s="60">
        <f t="shared" si="53"/>
        <v>1140</v>
      </c>
      <c r="I535" s="60">
        <f t="shared" si="54"/>
        <v>30</v>
      </c>
      <c r="J535" s="60">
        <f t="shared" si="55"/>
        <v>2.564102564102564E-2</v>
      </c>
      <c r="K535" s="35" t="str">
        <f t="shared" si="50"/>
        <v>2%</v>
      </c>
      <c r="M535" s="30">
        <f t="shared" si="51"/>
        <v>2.6315789473684209E-2</v>
      </c>
      <c r="N535" s="34">
        <f>VLOOKUP(A535, 'Stock Register'!A:F, 6, FALSE)</f>
        <v>0</v>
      </c>
    </row>
    <row r="536" spans="1:14" ht="30" hidden="1" x14ac:dyDescent="0.25">
      <c r="A536" s="205" t="s">
        <v>830</v>
      </c>
      <c r="D536" s="29">
        <f>SUMIF('Purchase Register'!C:C, A536, 'Purchase Register'!G:G)</f>
        <v>147</v>
      </c>
      <c r="E536" s="190">
        <v>158</v>
      </c>
      <c r="F536" s="60">
        <f>SUMIF('Sales Register'!C:C, A536, 'Sales Register'!D:D)</f>
        <v>0</v>
      </c>
      <c r="G536" s="60">
        <f t="shared" si="52"/>
        <v>0</v>
      </c>
      <c r="H536" s="60">
        <f t="shared" si="53"/>
        <v>0</v>
      </c>
      <c r="I536" s="60">
        <f t="shared" si="54"/>
        <v>0</v>
      </c>
      <c r="J536" s="60">
        <f t="shared" si="55"/>
        <v>0</v>
      </c>
      <c r="K536" s="35" t="str">
        <f t="shared" si="50"/>
        <v>7%</v>
      </c>
      <c r="M536" s="30">
        <f t="shared" si="51"/>
        <v>7.4829931972789115E-2</v>
      </c>
      <c r="N536" s="34">
        <f>VLOOKUP(A536, 'Stock Register'!A:F, 6, FALSE)</f>
        <v>3</v>
      </c>
    </row>
    <row r="537" spans="1:14" hidden="1" x14ac:dyDescent="0.25">
      <c r="A537" s="205" t="s">
        <v>820</v>
      </c>
      <c r="D537" s="29">
        <f>SUMIF('Purchase Register'!C:C, A537, 'Purchase Register'!G:G)</f>
        <v>49</v>
      </c>
      <c r="E537" s="190">
        <v>52</v>
      </c>
      <c r="F537" s="60">
        <f>SUMIF('Sales Register'!C:C, A537, 'Sales Register'!D:D)</f>
        <v>7</v>
      </c>
      <c r="G537" s="60">
        <f t="shared" si="52"/>
        <v>364</v>
      </c>
      <c r="H537" s="60">
        <f t="shared" si="53"/>
        <v>343</v>
      </c>
      <c r="I537" s="60">
        <f t="shared" si="54"/>
        <v>21</v>
      </c>
      <c r="J537" s="60">
        <f t="shared" si="55"/>
        <v>5.7692307692307696E-2</v>
      </c>
      <c r="K537" s="35" t="str">
        <f t="shared" si="50"/>
        <v>6%</v>
      </c>
      <c r="M537" s="30">
        <f t="shared" si="51"/>
        <v>6.1224489795918366E-2</v>
      </c>
      <c r="N537" s="34">
        <f>VLOOKUP(A537, 'Stock Register'!A:F, 6, FALSE)</f>
        <v>-1</v>
      </c>
    </row>
    <row r="538" spans="1:14" s="75" customFormat="1" hidden="1" x14ac:dyDescent="0.25">
      <c r="A538" s="204" t="s">
        <v>821</v>
      </c>
      <c r="B538" s="71"/>
      <c r="C538" s="71"/>
      <c r="D538" s="72">
        <f>SUMIF('Purchase Register'!C:C, A538, 'Purchase Register'!G:G)</f>
        <v>16</v>
      </c>
      <c r="E538" s="191">
        <v>20</v>
      </c>
      <c r="F538" s="74">
        <f>SUMIF('Sales Register'!C:C, A538, 'Sales Register'!D:D)</f>
        <v>6.1000000000000005</v>
      </c>
      <c r="G538" s="74">
        <f t="shared" si="52"/>
        <v>122.00000000000001</v>
      </c>
      <c r="H538" s="74">
        <f t="shared" si="53"/>
        <v>97.600000000000009</v>
      </c>
      <c r="I538" s="74">
        <f t="shared" si="54"/>
        <v>24.400000000000006</v>
      </c>
      <c r="J538" s="74">
        <f t="shared" si="55"/>
        <v>0.2</v>
      </c>
      <c r="K538" s="134" t="str">
        <f t="shared" si="50"/>
        <v>25%</v>
      </c>
      <c r="L538" s="73"/>
      <c r="M538" s="99">
        <f t="shared" si="51"/>
        <v>0.25</v>
      </c>
      <c r="N538" s="34">
        <f>VLOOKUP(A538, 'Stock Register'!A:F, 6, FALSE)</f>
        <v>3.8999999999999995</v>
      </c>
    </row>
    <row r="539" spans="1:14" s="75" customFormat="1" hidden="1" x14ac:dyDescent="0.25">
      <c r="A539" s="204" t="s">
        <v>822</v>
      </c>
      <c r="B539" s="71"/>
      <c r="C539" s="71"/>
      <c r="D539" s="72">
        <f>SUMIF('Purchase Register'!C:C, A539, 'Purchase Register'!G:G)</f>
        <v>28</v>
      </c>
      <c r="E539" s="191">
        <v>30</v>
      </c>
      <c r="F539" s="74">
        <f>SUMIF('Sales Register'!C:C, A539, 'Sales Register'!D:D)</f>
        <v>16.541</v>
      </c>
      <c r="G539" s="74">
        <f t="shared" si="52"/>
        <v>496.23</v>
      </c>
      <c r="H539" s="74">
        <f t="shared" si="53"/>
        <v>463.14800000000002</v>
      </c>
      <c r="I539" s="74">
        <f t="shared" si="54"/>
        <v>33.081999999999994</v>
      </c>
      <c r="J539" s="74">
        <f t="shared" si="55"/>
        <v>6.6666666666666652E-2</v>
      </c>
      <c r="K539" s="134" t="str">
        <f t="shared" si="50"/>
        <v>7%</v>
      </c>
      <c r="L539" s="73"/>
      <c r="M539" s="99">
        <f t="shared" si="51"/>
        <v>7.1428571428571425E-2</v>
      </c>
      <c r="N539" s="73">
        <f>VLOOKUP(A539, 'Stock Register'!A:F, 6, FALSE)</f>
        <v>-11.541</v>
      </c>
    </row>
    <row r="540" spans="1:14" s="75" customFormat="1" ht="30" hidden="1" x14ac:dyDescent="0.25">
      <c r="A540" s="204" t="s">
        <v>831</v>
      </c>
      <c r="B540" s="71"/>
      <c r="C540" s="71"/>
      <c r="D540" s="72">
        <f>SUMIF('Purchase Register'!C:C, A540, 'Purchase Register'!G:G)</f>
        <v>419</v>
      </c>
      <c r="E540" s="191">
        <v>485</v>
      </c>
      <c r="F540" s="74">
        <f>SUMIF('Sales Register'!C:C, A540, 'Sales Register'!D:D)</f>
        <v>1</v>
      </c>
      <c r="G540" s="74">
        <f t="shared" si="52"/>
        <v>485</v>
      </c>
      <c r="H540" s="74">
        <f t="shared" si="53"/>
        <v>419</v>
      </c>
      <c r="I540" s="74">
        <f t="shared" si="54"/>
        <v>66</v>
      </c>
      <c r="J540" s="74">
        <f t="shared" si="55"/>
        <v>0.13608247422680411</v>
      </c>
      <c r="K540" s="134" t="str">
        <f t="shared" si="50"/>
        <v>15%</v>
      </c>
      <c r="L540" s="73"/>
      <c r="M540" s="99">
        <f t="shared" si="51"/>
        <v>0.15751789976133651</v>
      </c>
      <c r="N540" s="73">
        <f>VLOOKUP(A540, 'Stock Register'!A:F, 6, FALSE)</f>
        <v>0</v>
      </c>
    </row>
    <row r="541" spans="1:14" ht="30" hidden="1" x14ac:dyDescent="0.25">
      <c r="A541" s="205" t="s">
        <v>832</v>
      </c>
      <c r="D541" s="29">
        <f>SUMIF('Purchase Register'!C:C, A541, 'Purchase Register'!G:G)</f>
        <v>145</v>
      </c>
      <c r="E541" s="190">
        <v>180</v>
      </c>
      <c r="F541" s="60">
        <f>SUMIF('Sales Register'!C:C, A541, 'Sales Register'!D:D)</f>
        <v>0</v>
      </c>
      <c r="G541" s="60">
        <f t="shared" si="52"/>
        <v>0</v>
      </c>
      <c r="H541" s="60">
        <f t="shared" si="53"/>
        <v>0</v>
      </c>
      <c r="I541" s="60">
        <f t="shared" si="54"/>
        <v>0</v>
      </c>
      <c r="J541" s="60">
        <f t="shared" si="55"/>
        <v>0</v>
      </c>
      <c r="K541" s="35" t="str">
        <f t="shared" si="50"/>
        <v>24%</v>
      </c>
      <c r="M541" s="30">
        <f t="shared" si="51"/>
        <v>0.2413793103448276</v>
      </c>
      <c r="N541" s="34">
        <f>VLOOKUP(A541, 'Stock Register'!A:F, 6, FALSE)</f>
        <v>1</v>
      </c>
    </row>
    <row r="542" spans="1:14" ht="30" hidden="1" x14ac:dyDescent="0.25">
      <c r="A542" s="205" t="s">
        <v>833</v>
      </c>
      <c r="D542" s="29">
        <f>SUMIF('Purchase Register'!C:C, A542, 'Purchase Register'!G:G)</f>
        <v>65</v>
      </c>
      <c r="E542" s="190">
        <v>80</v>
      </c>
      <c r="F542" s="60">
        <f>SUMIF('Sales Register'!C:C, A542, 'Sales Register'!D:D)</f>
        <v>5</v>
      </c>
      <c r="G542" s="60">
        <f t="shared" si="52"/>
        <v>400</v>
      </c>
      <c r="H542" s="60">
        <f t="shared" si="53"/>
        <v>325</v>
      </c>
      <c r="I542" s="60">
        <f t="shared" si="54"/>
        <v>75</v>
      </c>
      <c r="J542" s="60">
        <f t="shared" si="55"/>
        <v>0.1875</v>
      </c>
      <c r="K542" s="35" t="str">
        <f t="shared" si="50"/>
        <v>23%</v>
      </c>
      <c r="M542" s="30">
        <f t="shared" si="51"/>
        <v>0.23076923076923078</v>
      </c>
      <c r="N542" s="34">
        <f>VLOOKUP(A542, 'Stock Register'!A:F, 6, FALSE)</f>
        <v>25</v>
      </c>
    </row>
    <row r="543" spans="1:14" s="75" customFormat="1" hidden="1" x14ac:dyDescent="0.25">
      <c r="A543" s="204" t="s">
        <v>834</v>
      </c>
      <c r="B543" s="71"/>
      <c r="C543" s="71"/>
      <c r="D543" s="72">
        <f>SUMIF('Purchase Register'!C:C, A543, 'Purchase Register'!G:G)</f>
        <v>14.444444444444445</v>
      </c>
      <c r="E543" s="191">
        <v>20</v>
      </c>
      <c r="F543" s="74">
        <f>SUMIF('Sales Register'!C:C, A543, 'Sales Register'!D:D)</f>
        <v>18</v>
      </c>
      <c r="G543" s="74">
        <f t="shared" si="52"/>
        <v>360</v>
      </c>
      <c r="H543" s="74">
        <f t="shared" si="53"/>
        <v>260</v>
      </c>
      <c r="I543" s="74">
        <f t="shared" si="54"/>
        <v>100</v>
      </c>
      <c r="J543" s="74">
        <f t="shared" si="55"/>
        <v>0.27777777777777779</v>
      </c>
      <c r="K543" s="134" t="str">
        <f t="shared" si="50"/>
        <v>38%</v>
      </c>
      <c r="L543" s="73"/>
      <c r="M543" s="99">
        <f t="shared" si="51"/>
        <v>0.38461538461538458</v>
      </c>
      <c r="N543" s="73">
        <f>VLOOKUP(A543, 'Stock Register'!A:F, 6, FALSE)</f>
        <v>-9</v>
      </c>
    </row>
    <row r="544" spans="1:14" s="75" customFormat="1" hidden="1" x14ac:dyDescent="0.25">
      <c r="A544" s="204" t="s">
        <v>835</v>
      </c>
      <c r="B544" s="71"/>
      <c r="C544" s="71"/>
      <c r="D544" s="72">
        <f>SUMIF('Purchase Register'!C:C, A544, 'Purchase Register'!G:G)</f>
        <v>80</v>
      </c>
      <c r="E544" s="191">
        <v>100</v>
      </c>
      <c r="F544" s="74">
        <f>SUMIF('Sales Register'!C:C, A544, 'Sales Register'!D:D)</f>
        <v>1</v>
      </c>
      <c r="G544" s="74">
        <f t="shared" si="52"/>
        <v>100</v>
      </c>
      <c r="H544" s="74">
        <f t="shared" si="53"/>
        <v>80</v>
      </c>
      <c r="I544" s="74">
        <f t="shared" si="54"/>
        <v>20</v>
      </c>
      <c r="J544" s="74">
        <f t="shared" si="55"/>
        <v>0.2</v>
      </c>
      <c r="K544" s="134" t="str">
        <f t="shared" si="50"/>
        <v>25%</v>
      </c>
      <c r="L544" s="73"/>
      <c r="M544" s="99">
        <f t="shared" si="51"/>
        <v>0.25</v>
      </c>
      <c r="N544" s="73">
        <f>VLOOKUP(A544, 'Stock Register'!A:F, 6, FALSE)</f>
        <v>0</v>
      </c>
    </row>
    <row r="545" spans="1:14" hidden="1" x14ac:dyDescent="0.25">
      <c r="A545" s="205" t="s">
        <v>836</v>
      </c>
      <c r="D545" s="29">
        <f>SUMIF('Purchase Register'!C:C, A545, 'Purchase Register'!G:G)</f>
        <v>28</v>
      </c>
      <c r="E545" s="190">
        <v>30</v>
      </c>
      <c r="F545" s="60">
        <f>SUMIF('Sales Register'!C:C, A545, 'Sales Register'!D:D)</f>
        <v>2</v>
      </c>
      <c r="G545" s="60">
        <f t="shared" si="52"/>
        <v>60</v>
      </c>
      <c r="H545" s="60">
        <f t="shared" si="53"/>
        <v>56</v>
      </c>
      <c r="I545" s="60">
        <f t="shared" si="54"/>
        <v>4</v>
      </c>
      <c r="J545" s="60">
        <f t="shared" si="55"/>
        <v>6.6666666666666666E-2</v>
      </c>
      <c r="K545" s="35" t="str">
        <f t="shared" si="50"/>
        <v>7%</v>
      </c>
      <c r="M545" s="30">
        <f t="shared" si="51"/>
        <v>7.1428571428571425E-2</v>
      </c>
      <c r="N545" s="34">
        <f>VLOOKUP(A545, 'Stock Register'!A:F, 6, FALSE)</f>
        <v>1</v>
      </c>
    </row>
    <row r="546" spans="1:14" hidden="1" x14ac:dyDescent="0.25">
      <c r="A546" s="205" t="s">
        <v>837</v>
      </c>
      <c r="D546" s="29">
        <f>SUMIF('Purchase Register'!C:C, A546, 'Purchase Register'!G:G)</f>
        <v>57</v>
      </c>
      <c r="E546" s="190">
        <v>60</v>
      </c>
      <c r="F546" s="60">
        <f>SUMIF('Sales Register'!C:C, A546, 'Sales Register'!D:D)</f>
        <v>1</v>
      </c>
      <c r="G546" s="60">
        <f t="shared" si="52"/>
        <v>60</v>
      </c>
      <c r="H546" s="60">
        <f t="shared" si="53"/>
        <v>57</v>
      </c>
      <c r="I546" s="60">
        <f t="shared" si="54"/>
        <v>3</v>
      </c>
      <c r="J546" s="60">
        <f t="shared" si="55"/>
        <v>0.05</v>
      </c>
      <c r="K546" s="35" t="str">
        <f t="shared" si="50"/>
        <v>5%</v>
      </c>
      <c r="M546" s="30">
        <f t="shared" si="51"/>
        <v>5.2631578947368418E-2</v>
      </c>
      <c r="N546" s="34">
        <f>VLOOKUP(A546, 'Stock Register'!A:F, 6, FALSE)</f>
        <v>1</v>
      </c>
    </row>
    <row r="547" spans="1:14" s="75" customFormat="1" hidden="1" x14ac:dyDescent="0.25">
      <c r="A547" s="204" t="s">
        <v>838</v>
      </c>
      <c r="B547" s="71"/>
      <c r="C547" s="71"/>
      <c r="D547" s="72">
        <f>SUMIF('Purchase Register'!C:C, A547, 'Purchase Register'!G:G)</f>
        <v>7.666666666666667</v>
      </c>
      <c r="E547" s="191">
        <v>9</v>
      </c>
      <c r="F547" s="74">
        <f>SUMIF('Sales Register'!C:C, A547, 'Sales Register'!D:D)</f>
        <v>60</v>
      </c>
      <c r="G547" s="74">
        <f t="shared" si="52"/>
        <v>540</v>
      </c>
      <c r="H547" s="74">
        <f t="shared" si="53"/>
        <v>460</v>
      </c>
      <c r="I547" s="74">
        <f t="shared" si="54"/>
        <v>80</v>
      </c>
      <c r="J547" s="74">
        <f t="shared" si="55"/>
        <v>0.14814814814814814</v>
      </c>
      <c r="K547" s="134" t="str">
        <f t="shared" si="50"/>
        <v>17%</v>
      </c>
      <c r="L547" s="73"/>
      <c r="M547" s="99">
        <f t="shared" si="51"/>
        <v>0.17391304347826084</v>
      </c>
      <c r="N547" s="34">
        <f>VLOOKUP(A547, 'Stock Register'!A:F, 6, FALSE)</f>
        <v>0</v>
      </c>
    </row>
    <row r="548" spans="1:14" ht="30" hidden="1" x14ac:dyDescent="0.25">
      <c r="A548" s="205" t="s">
        <v>840</v>
      </c>
      <c r="D548" s="29">
        <f>SUMIF('Purchase Register'!C:C, A548, 'Purchase Register'!G:G)</f>
        <v>40</v>
      </c>
      <c r="E548" s="190">
        <v>50</v>
      </c>
      <c r="F548" s="60">
        <f>SUMIF('Sales Register'!C:C, A548, 'Sales Register'!D:D)</f>
        <v>6</v>
      </c>
      <c r="G548" s="60">
        <f t="shared" si="52"/>
        <v>300</v>
      </c>
      <c r="H548" s="60">
        <f t="shared" si="53"/>
        <v>240</v>
      </c>
      <c r="I548" s="60">
        <f t="shared" si="54"/>
        <v>60</v>
      </c>
      <c r="J548" s="60">
        <f t="shared" si="55"/>
        <v>0.2</v>
      </c>
      <c r="K548" s="35" t="str">
        <f t="shared" si="50"/>
        <v>25%</v>
      </c>
      <c r="M548" s="30">
        <f t="shared" si="51"/>
        <v>0.25</v>
      </c>
      <c r="N548" s="34">
        <f>VLOOKUP(A548, 'Stock Register'!A:F, 6, FALSE)</f>
        <v>0</v>
      </c>
    </row>
    <row r="549" spans="1:14" ht="30" hidden="1" x14ac:dyDescent="0.25">
      <c r="A549" s="205" t="s">
        <v>839</v>
      </c>
      <c r="D549" s="29">
        <f>SUMIF('Purchase Register'!C:C, A549, 'Purchase Register'!G:G)</f>
        <v>40</v>
      </c>
      <c r="E549" s="190">
        <v>50</v>
      </c>
      <c r="F549" s="60">
        <f>SUMIF('Sales Register'!C:C, A549, 'Sales Register'!D:D)</f>
        <v>2</v>
      </c>
      <c r="G549" s="60">
        <f t="shared" si="52"/>
        <v>100</v>
      </c>
      <c r="H549" s="60">
        <f t="shared" si="53"/>
        <v>80</v>
      </c>
      <c r="I549" s="60">
        <f t="shared" si="54"/>
        <v>20</v>
      </c>
      <c r="J549" s="60">
        <f t="shared" si="55"/>
        <v>0.2</v>
      </c>
      <c r="K549" s="35" t="str">
        <f t="shared" si="50"/>
        <v>25%</v>
      </c>
      <c r="M549" s="30">
        <f t="shared" si="51"/>
        <v>0.25</v>
      </c>
      <c r="N549" s="34">
        <f>VLOOKUP(A549, 'Stock Register'!A:F, 6, FALSE)</f>
        <v>4</v>
      </c>
    </row>
    <row r="550" spans="1:14" hidden="1" x14ac:dyDescent="0.25">
      <c r="A550" s="205" t="s">
        <v>842</v>
      </c>
      <c r="D550" s="29">
        <f>SUMIF('Purchase Register'!C:C, A550, 'Purchase Register'!G:G)</f>
        <v>50</v>
      </c>
      <c r="E550" s="190">
        <v>60</v>
      </c>
      <c r="F550" s="60">
        <f>SUMIF('Sales Register'!C:C, A550, 'Sales Register'!D:D)</f>
        <v>4</v>
      </c>
      <c r="G550" s="60">
        <f t="shared" si="52"/>
        <v>240</v>
      </c>
      <c r="H550" s="60">
        <f t="shared" si="53"/>
        <v>200</v>
      </c>
      <c r="I550" s="60">
        <f t="shared" si="54"/>
        <v>40</v>
      </c>
      <c r="J550" s="60">
        <f t="shared" si="55"/>
        <v>0.16666666666666666</v>
      </c>
      <c r="K550" s="35" t="str">
        <f t="shared" si="50"/>
        <v>20%</v>
      </c>
      <c r="M550" s="30">
        <f t="shared" si="51"/>
        <v>0.2</v>
      </c>
      <c r="N550" s="34">
        <f>VLOOKUP(A550, 'Stock Register'!A:F, 6, FALSE)</f>
        <v>0</v>
      </c>
    </row>
    <row r="551" spans="1:14" hidden="1" x14ac:dyDescent="0.25">
      <c r="A551" s="205" t="s">
        <v>841</v>
      </c>
      <c r="D551" s="29">
        <f>SUMIF('Purchase Register'!C:C, A551, 'Purchase Register'!G:G)</f>
        <v>100</v>
      </c>
      <c r="E551" s="190">
        <v>120</v>
      </c>
      <c r="F551" s="60">
        <f>SUMIF('Sales Register'!C:C, A551, 'Sales Register'!D:D)</f>
        <v>0.18</v>
      </c>
      <c r="G551" s="60">
        <f t="shared" si="52"/>
        <v>21.599999999999998</v>
      </c>
      <c r="H551" s="60">
        <f t="shared" si="53"/>
        <v>18</v>
      </c>
      <c r="I551" s="60">
        <f t="shared" si="54"/>
        <v>3.5999999999999979</v>
      </c>
      <c r="J551" s="60">
        <f t="shared" si="55"/>
        <v>0.16666666666666657</v>
      </c>
      <c r="K551" s="35" t="str">
        <f t="shared" si="50"/>
        <v>20%</v>
      </c>
      <c r="M551" s="30">
        <f t="shared" si="51"/>
        <v>0.2</v>
      </c>
      <c r="N551" s="34">
        <f>VLOOKUP(A551, 'Stock Register'!A:F, 6, FALSE)</f>
        <v>0.32</v>
      </c>
    </row>
    <row r="552" spans="1:14" hidden="1" x14ac:dyDescent="0.25">
      <c r="A552" s="205" t="s">
        <v>843</v>
      </c>
      <c r="D552" s="29">
        <f>SUMIF('Purchase Register'!C:C, A552, 'Purchase Register'!G:G)</f>
        <v>5.5555555555555554</v>
      </c>
      <c r="E552" s="190">
        <v>10</v>
      </c>
      <c r="F552" s="60">
        <f>SUMIF('Sales Register'!C:C, A552, 'Sales Register'!D:D)</f>
        <v>9</v>
      </c>
      <c r="G552" s="60">
        <f t="shared" si="52"/>
        <v>90</v>
      </c>
      <c r="H552" s="60">
        <f t="shared" si="53"/>
        <v>50</v>
      </c>
      <c r="I552" s="60">
        <f t="shared" si="54"/>
        <v>40</v>
      </c>
      <c r="J552" s="60">
        <f t="shared" si="55"/>
        <v>0.44444444444444442</v>
      </c>
      <c r="K552" s="35" t="str">
        <f t="shared" si="50"/>
        <v>80%</v>
      </c>
      <c r="M552" s="30">
        <f t="shared" si="51"/>
        <v>0.8</v>
      </c>
      <c r="N552" s="34">
        <f>VLOOKUP(A552, 'Stock Register'!A:F, 6, FALSE)</f>
        <v>27</v>
      </c>
    </row>
    <row r="553" spans="1:14" hidden="1" x14ac:dyDescent="0.25">
      <c r="A553" s="205" t="s">
        <v>844</v>
      </c>
      <c r="D553" s="29">
        <f>SUMIF('Purchase Register'!C:C, A553, 'Purchase Register'!G:G)</f>
        <v>170</v>
      </c>
      <c r="E553" s="190">
        <v>170</v>
      </c>
      <c r="F553" s="60">
        <f>SUMIF('Sales Register'!C:C, A553, 'Sales Register'!D:D)</f>
        <v>0</v>
      </c>
      <c r="G553" s="60">
        <f t="shared" si="52"/>
        <v>0</v>
      </c>
      <c r="H553" s="60">
        <f t="shared" si="53"/>
        <v>0</v>
      </c>
      <c r="I553" s="60">
        <f t="shared" si="54"/>
        <v>0</v>
      </c>
      <c r="J553" s="60">
        <f t="shared" si="55"/>
        <v>0</v>
      </c>
      <c r="K553" s="35" t="str">
        <f t="shared" si="50"/>
        <v>NO PROFIT</v>
      </c>
      <c r="M553" s="30">
        <f t="shared" si="51"/>
        <v>0</v>
      </c>
      <c r="N553" s="34">
        <f>VLOOKUP(A553, 'Stock Register'!A:F, 6, FALSE)</f>
        <v>2</v>
      </c>
    </row>
    <row r="554" spans="1:14" hidden="1" x14ac:dyDescent="0.25">
      <c r="A554" s="205" t="s">
        <v>845</v>
      </c>
      <c r="D554" s="29">
        <f>SUMIF('Purchase Register'!C:C, A554, 'Purchase Register'!G:G)</f>
        <v>320</v>
      </c>
      <c r="E554" s="190">
        <v>420</v>
      </c>
      <c r="F554" s="60">
        <f>SUMIF('Sales Register'!C:C, A554, 'Sales Register'!D:D)</f>
        <v>0.16000000000000003</v>
      </c>
      <c r="G554" s="60">
        <f t="shared" si="52"/>
        <v>67.200000000000017</v>
      </c>
      <c r="H554" s="60">
        <f t="shared" si="53"/>
        <v>51.20000000000001</v>
      </c>
      <c r="I554" s="60">
        <f t="shared" si="54"/>
        <v>16.000000000000007</v>
      </c>
      <c r="J554" s="60">
        <f t="shared" si="55"/>
        <v>0.23809523809523814</v>
      </c>
      <c r="K554" s="35" t="str">
        <f t="shared" si="50"/>
        <v>31%</v>
      </c>
      <c r="M554" s="30">
        <f t="shared" si="51"/>
        <v>0.3125</v>
      </c>
      <c r="N554" s="34">
        <f>VLOOKUP(A554, 'Stock Register'!A:F, 6, FALSE)</f>
        <v>0.33999999999999997</v>
      </c>
    </row>
    <row r="555" spans="1:14" ht="30" hidden="1" x14ac:dyDescent="0.25">
      <c r="A555" s="205" t="s">
        <v>846</v>
      </c>
      <c r="D555" s="29">
        <f>SUMIF('Purchase Register'!C:C, A555, 'Purchase Register'!G:G)</f>
        <v>9.1666666666666661</v>
      </c>
      <c r="E555" s="190">
        <v>10</v>
      </c>
      <c r="F555" s="60">
        <f>SUMIF('Sales Register'!C:C, A555, 'Sales Register'!D:D)</f>
        <v>5</v>
      </c>
      <c r="G555" s="60">
        <f t="shared" si="52"/>
        <v>50</v>
      </c>
      <c r="H555" s="60">
        <f t="shared" si="53"/>
        <v>45.833333333333329</v>
      </c>
      <c r="I555" s="60">
        <f t="shared" si="54"/>
        <v>4.1666666666666714</v>
      </c>
      <c r="J555" s="60">
        <f t="shared" si="55"/>
        <v>8.3333333333333426E-2</v>
      </c>
      <c r="K555" s="35" t="str">
        <f t="shared" si="50"/>
        <v>9%</v>
      </c>
      <c r="M555" s="30">
        <f t="shared" si="51"/>
        <v>9.0909090909090981E-2</v>
      </c>
      <c r="N555" s="34">
        <f>VLOOKUP(A555, 'Stock Register'!A:F, 6, FALSE)</f>
        <v>7</v>
      </c>
    </row>
    <row r="556" spans="1:14" hidden="1" x14ac:dyDescent="0.25">
      <c r="A556" s="205" t="s">
        <v>847</v>
      </c>
      <c r="D556" s="29">
        <f>SUMIF('Purchase Register'!C:C, A556, 'Purchase Register'!G:G)</f>
        <v>58.333333333333336</v>
      </c>
      <c r="E556" s="190">
        <v>75</v>
      </c>
      <c r="F556" s="60">
        <f>SUMIF('Sales Register'!C:C, A556, 'Sales Register'!D:D)</f>
        <v>3</v>
      </c>
      <c r="G556" s="60">
        <f t="shared" si="52"/>
        <v>225</v>
      </c>
      <c r="H556" s="60">
        <f t="shared" si="53"/>
        <v>175</v>
      </c>
      <c r="I556" s="60">
        <f t="shared" si="54"/>
        <v>50</v>
      </c>
      <c r="J556" s="60">
        <f t="shared" si="55"/>
        <v>0.22222222222222221</v>
      </c>
      <c r="K556" s="35" t="str">
        <f t="shared" si="50"/>
        <v>28%</v>
      </c>
      <c r="M556" s="30">
        <f t="shared" si="51"/>
        <v>0.28571428571428564</v>
      </c>
      <c r="N556" s="34">
        <f>VLOOKUP(A556, 'Stock Register'!A:F, 6, FALSE)</f>
        <v>3</v>
      </c>
    </row>
    <row r="557" spans="1:14" hidden="1" x14ac:dyDescent="0.25">
      <c r="A557" s="205" t="s">
        <v>848</v>
      </c>
      <c r="D557" s="29">
        <f>SUMIF('Purchase Register'!C:C, A557, 'Purchase Register'!G:G)</f>
        <v>4.583333333333333</v>
      </c>
      <c r="E557" s="190">
        <v>5</v>
      </c>
      <c r="F557" s="60">
        <f>SUMIF('Sales Register'!C:C, A557, 'Sales Register'!D:D)</f>
        <v>35</v>
      </c>
      <c r="G557" s="60">
        <f t="shared" si="52"/>
        <v>175</v>
      </c>
      <c r="H557" s="60">
        <f t="shared" si="53"/>
        <v>160.41666666666666</v>
      </c>
      <c r="I557" s="60">
        <f t="shared" si="54"/>
        <v>14.583333333333343</v>
      </c>
      <c r="J557" s="60">
        <f t="shared" si="55"/>
        <v>8.3333333333333384E-2</v>
      </c>
      <c r="K557" s="35" t="str">
        <f t="shared" si="50"/>
        <v>9%</v>
      </c>
      <c r="M557" s="30">
        <f t="shared" si="51"/>
        <v>9.0909090909090981E-2</v>
      </c>
      <c r="N557" s="34">
        <f>VLOOKUP(A557, 'Stock Register'!A:F, 6, FALSE)</f>
        <v>13</v>
      </c>
    </row>
    <row r="558" spans="1:14" s="75" customFormat="1" hidden="1" x14ac:dyDescent="0.25">
      <c r="A558" s="204" t="s">
        <v>849</v>
      </c>
      <c r="B558" s="71"/>
      <c r="C558" s="71"/>
      <c r="D558" s="72">
        <f>SUMIF('Purchase Register'!C:C, A558, 'Purchase Register'!G:G)</f>
        <v>28</v>
      </c>
      <c r="E558" s="191">
        <v>30</v>
      </c>
      <c r="F558" s="74">
        <f>SUMIF('Sales Register'!C:C, A558, 'Sales Register'!D:D)</f>
        <v>3</v>
      </c>
      <c r="G558" s="74">
        <f t="shared" si="52"/>
        <v>90</v>
      </c>
      <c r="H558" s="74">
        <f t="shared" si="53"/>
        <v>84</v>
      </c>
      <c r="I558" s="74">
        <f t="shared" si="54"/>
        <v>6</v>
      </c>
      <c r="J558" s="74">
        <f t="shared" si="55"/>
        <v>6.6666666666666666E-2</v>
      </c>
      <c r="K558" s="134" t="str">
        <f t="shared" si="50"/>
        <v>7%</v>
      </c>
      <c r="L558" s="73"/>
      <c r="M558" s="99">
        <f t="shared" si="51"/>
        <v>7.1428571428571425E-2</v>
      </c>
      <c r="N558" s="73">
        <f>VLOOKUP(A558, 'Stock Register'!A:F, 6, FALSE)</f>
        <v>0</v>
      </c>
    </row>
    <row r="559" spans="1:14" s="75" customFormat="1" hidden="1" x14ac:dyDescent="0.25">
      <c r="A559" s="204" t="s">
        <v>850</v>
      </c>
      <c r="B559" s="71"/>
      <c r="C559" s="71"/>
      <c r="D559" s="72">
        <f>SUMIF('Purchase Register'!C:C, A559, 'Purchase Register'!G:G)</f>
        <v>32</v>
      </c>
      <c r="E559" s="191">
        <v>35</v>
      </c>
      <c r="F559" s="74">
        <f>SUMIF('Sales Register'!C:C, A559, 'Sales Register'!D:D)</f>
        <v>10</v>
      </c>
      <c r="G559" s="74">
        <f t="shared" si="52"/>
        <v>350</v>
      </c>
      <c r="H559" s="74">
        <f t="shared" si="53"/>
        <v>320</v>
      </c>
      <c r="I559" s="74">
        <f t="shared" si="54"/>
        <v>30</v>
      </c>
      <c r="J559" s="74">
        <f t="shared" si="55"/>
        <v>8.5714285714285715E-2</v>
      </c>
      <c r="K559" s="134" t="str">
        <f t="shared" si="50"/>
        <v>9%</v>
      </c>
      <c r="L559" s="73"/>
      <c r="M559" s="99">
        <f t="shared" si="51"/>
        <v>9.375E-2</v>
      </c>
      <c r="N559" s="73">
        <f>VLOOKUP(A559, 'Stock Register'!A:F, 6, FALSE)</f>
        <v>-4</v>
      </c>
    </row>
    <row r="560" spans="1:14" hidden="1" x14ac:dyDescent="0.25">
      <c r="A560" s="205" t="s">
        <v>851</v>
      </c>
      <c r="D560" s="29">
        <f>SUMIF('Purchase Register'!C:C, A560, 'Purchase Register'!G:G)</f>
        <v>65</v>
      </c>
      <c r="E560" s="190">
        <v>70</v>
      </c>
      <c r="F560" s="60">
        <f>SUMIF('Sales Register'!C:C, A560, 'Sales Register'!D:D)</f>
        <v>3</v>
      </c>
      <c r="G560" s="60">
        <f t="shared" si="52"/>
        <v>210</v>
      </c>
      <c r="H560" s="60">
        <f t="shared" si="53"/>
        <v>195</v>
      </c>
      <c r="I560" s="60">
        <f t="shared" si="54"/>
        <v>15</v>
      </c>
      <c r="J560" s="60">
        <f t="shared" si="55"/>
        <v>7.1428571428571425E-2</v>
      </c>
      <c r="K560" s="35" t="str">
        <f t="shared" si="50"/>
        <v>7%</v>
      </c>
      <c r="M560" s="30">
        <f t="shared" si="51"/>
        <v>7.6923076923076927E-2</v>
      </c>
      <c r="N560" s="34">
        <f>VLOOKUP(A560, 'Stock Register'!A:F, 6, FALSE)</f>
        <v>0</v>
      </c>
    </row>
    <row r="561" spans="1:14" s="75" customFormat="1" ht="30" hidden="1" x14ac:dyDescent="0.25">
      <c r="A561" s="204" t="s">
        <v>852</v>
      </c>
      <c r="B561" s="71"/>
      <c r="C561" s="71"/>
      <c r="D561" s="72">
        <f>SUMIF('Purchase Register'!C:C, A561, 'Purchase Register'!G:G)</f>
        <v>97.5</v>
      </c>
      <c r="E561" s="191">
        <v>105</v>
      </c>
      <c r="F561" s="74">
        <f>SUMIF('Sales Register'!C:C, A561, 'Sales Register'!D:D)</f>
        <v>6</v>
      </c>
      <c r="G561" s="74">
        <f t="shared" si="52"/>
        <v>630</v>
      </c>
      <c r="H561" s="74">
        <f t="shared" si="53"/>
        <v>585</v>
      </c>
      <c r="I561" s="74">
        <f t="shared" si="54"/>
        <v>45</v>
      </c>
      <c r="J561" s="74">
        <f t="shared" si="55"/>
        <v>7.1428571428571425E-2</v>
      </c>
      <c r="K561" s="134" t="str">
        <f t="shared" si="50"/>
        <v>7%</v>
      </c>
      <c r="L561" s="73"/>
      <c r="M561" s="99">
        <f t="shared" si="51"/>
        <v>7.6923076923076927E-2</v>
      </c>
      <c r="N561" s="73">
        <f>VLOOKUP(A561, 'Stock Register'!A:F, 6, FALSE)</f>
        <v>0</v>
      </c>
    </row>
    <row r="562" spans="1:14" hidden="1" x14ac:dyDescent="0.25">
      <c r="A562" s="205" t="s">
        <v>853</v>
      </c>
      <c r="D562" s="29">
        <f>SUMIF('Purchase Register'!C:C, A562, 'Purchase Register'!G:G)</f>
        <v>66.666666666666671</v>
      </c>
      <c r="E562" s="190">
        <v>70</v>
      </c>
      <c r="F562" s="60">
        <f>SUMIF('Sales Register'!C:C, A562, 'Sales Register'!D:D)</f>
        <v>0</v>
      </c>
      <c r="G562" s="60">
        <f t="shared" si="52"/>
        <v>0</v>
      </c>
      <c r="H562" s="60">
        <f t="shared" si="53"/>
        <v>0</v>
      </c>
      <c r="I562" s="60">
        <f t="shared" si="54"/>
        <v>0</v>
      </c>
      <c r="J562" s="60">
        <f t="shared" si="55"/>
        <v>0</v>
      </c>
      <c r="K562" s="35" t="str">
        <f t="shared" si="50"/>
        <v>4%</v>
      </c>
      <c r="M562" s="30">
        <f t="shared" si="51"/>
        <v>4.9999999999999926E-2</v>
      </c>
      <c r="N562" s="34">
        <f>VLOOKUP(A562, 'Stock Register'!A:F, 6, FALSE)</f>
        <v>12</v>
      </c>
    </row>
    <row r="563" spans="1:14" ht="30" hidden="1" x14ac:dyDescent="0.25">
      <c r="A563" s="205" t="s">
        <v>854</v>
      </c>
      <c r="D563" s="29">
        <f>SUMIF('Purchase Register'!C:C, A563, 'Purchase Register'!G:G)</f>
        <v>37.5</v>
      </c>
      <c r="E563" s="190">
        <v>40</v>
      </c>
      <c r="F563" s="60">
        <f>SUMIF('Sales Register'!C:C, A563, 'Sales Register'!D:D)</f>
        <v>4</v>
      </c>
      <c r="G563" s="60">
        <f t="shared" si="52"/>
        <v>160</v>
      </c>
      <c r="H563" s="60">
        <f t="shared" si="53"/>
        <v>150</v>
      </c>
      <c r="I563" s="60">
        <f t="shared" si="54"/>
        <v>10</v>
      </c>
      <c r="J563" s="60">
        <f t="shared" si="55"/>
        <v>6.25E-2</v>
      </c>
      <c r="K563" s="35" t="str">
        <f t="shared" si="50"/>
        <v>6%</v>
      </c>
      <c r="M563" s="30">
        <f t="shared" si="51"/>
        <v>6.6666666666666666E-2</v>
      </c>
      <c r="N563" s="34">
        <f>VLOOKUP(A563, 'Stock Register'!A:F, 6, FALSE)</f>
        <v>0</v>
      </c>
    </row>
    <row r="564" spans="1:14" hidden="1" x14ac:dyDescent="0.25">
      <c r="A564" s="205" t="s">
        <v>855</v>
      </c>
      <c r="D564" s="29">
        <f>SUMIF('Purchase Register'!C:C, A564, 'Purchase Register'!G:G)</f>
        <v>9</v>
      </c>
      <c r="E564" s="190">
        <v>10</v>
      </c>
      <c r="F564" s="60">
        <f>SUMIF('Sales Register'!C:C, A564, 'Sales Register'!D:D)</f>
        <v>6</v>
      </c>
      <c r="G564" s="60">
        <f t="shared" si="52"/>
        <v>60</v>
      </c>
      <c r="H564" s="60">
        <f t="shared" si="53"/>
        <v>54</v>
      </c>
      <c r="I564" s="60">
        <f t="shared" si="54"/>
        <v>6</v>
      </c>
      <c r="J564" s="60">
        <f t="shared" si="55"/>
        <v>0.1</v>
      </c>
      <c r="K564" s="35" t="str">
        <f t="shared" si="50"/>
        <v>11%</v>
      </c>
      <c r="M564" s="30">
        <f t="shared" si="51"/>
        <v>0.1111111111111111</v>
      </c>
      <c r="N564" s="34">
        <f>VLOOKUP(A564, 'Stock Register'!A:F, 6, FALSE)</f>
        <v>6</v>
      </c>
    </row>
    <row r="565" spans="1:14" hidden="1" x14ac:dyDescent="0.25">
      <c r="A565" s="205" t="s">
        <v>856</v>
      </c>
      <c r="D565" s="29">
        <f>SUMIF('Purchase Register'!C:C, A565, 'Purchase Register'!G:G)</f>
        <v>9.1666666666666661</v>
      </c>
      <c r="E565" s="190">
        <v>10</v>
      </c>
      <c r="F565" s="60">
        <f>SUMIF('Sales Register'!C:C, A565, 'Sales Register'!D:D)</f>
        <v>14</v>
      </c>
      <c r="G565" s="60">
        <f t="shared" si="52"/>
        <v>140</v>
      </c>
      <c r="H565" s="60">
        <f t="shared" si="53"/>
        <v>128.33333333333331</v>
      </c>
      <c r="I565" s="60">
        <f t="shared" si="54"/>
        <v>11.666666666666686</v>
      </c>
      <c r="J565" s="60">
        <f t="shared" si="55"/>
        <v>8.3333333333333467E-2</v>
      </c>
      <c r="K565" s="35" t="str">
        <f t="shared" si="50"/>
        <v>9%</v>
      </c>
      <c r="M565" s="30">
        <f t="shared" si="51"/>
        <v>9.0909090909090981E-2</v>
      </c>
      <c r="N565" s="34">
        <f>VLOOKUP(A565, 'Stock Register'!A:F, 6, FALSE)</f>
        <v>-2</v>
      </c>
    </row>
    <row r="566" spans="1:14" hidden="1" x14ac:dyDescent="0.25">
      <c r="A566" s="205" t="s">
        <v>857</v>
      </c>
      <c r="D566" s="29">
        <f>SUMIF('Purchase Register'!C:C, A566, 'Purchase Register'!G:G)</f>
        <v>4.8</v>
      </c>
      <c r="E566" s="190">
        <v>5</v>
      </c>
      <c r="F566" s="60">
        <f>SUMIF('Sales Register'!C:C, A566, 'Sales Register'!D:D)</f>
        <v>8</v>
      </c>
      <c r="G566" s="60">
        <f t="shared" ref="G566:G629" si="56">E566*F566</f>
        <v>40</v>
      </c>
      <c r="H566" s="60">
        <f t="shared" si="53"/>
        <v>38.4</v>
      </c>
      <c r="I566" s="60">
        <f t="shared" si="54"/>
        <v>1.6000000000000014</v>
      </c>
      <c r="J566" s="60">
        <f t="shared" si="55"/>
        <v>4.0000000000000036E-2</v>
      </c>
      <c r="K566" s="35" t="str">
        <f t="shared" si="50"/>
        <v>4%</v>
      </c>
      <c r="M566" s="30">
        <f t="shared" si="51"/>
        <v>4.1666666666666706E-2</v>
      </c>
      <c r="N566" s="34">
        <f>VLOOKUP(A566, 'Stock Register'!A:F, 6, FALSE)</f>
        <v>22</v>
      </c>
    </row>
    <row r="567" spans="1:14" s="75" customFormat="1" ht="30" hidden="1" x14ac:dyDescent="0.25">
      <c r="A567" s="204" t="s">
        <v>858</v>
      </c>
      <c r="B567" s="71"/>
      <c r="C567" s="71"/>
      <c r="D567" s="72">
        <f>SUMIF('Purchase Register'!C:C, A567, 'Purchase Register'!G:G)</f>
        <v>9.1666666666666661</v>
      </c>
      <c r="E567" s="191">
        <v>10</v>
      </c>
      <c r="F567" s="74">
        <f>SUMIF('Sales Register'!C:C, A567, 'Sales Register'!D:D)</f>
        <v>12</v>
      </c>
      <c r="G567" s="74">
        <f t="shared" si="56"/>
        <v>120</v>
      </c>
      <c r="H567" s="74">
        <f t="shared" si="53"/>
        <v>110</v>
      </c>
      <c r="I567" s="74">
        <f t="shared" si="54"/>
        <v>10</v>
      </c>
      <c r="J567" s="74">
        <f t="shared" si="55"/>
        <v>8.3333333333333329E-2</v>
      </c>
      <c r="K567" s="134" t="str">
        <f t="shared" si="50"/>
        <v>9%</v>
      </c>
      <c r="L567" s="73"/>
      <c r="M567" s="99">
        <f t="shared" si="51"/>
        <v>9.0909090909090981E-2</v>
      </c>
      <c r="N567" s="73">
        <f>VLOOKUP(A567, 'Stock Register'!A:F, 6, FALSE)</f>
        <v>0</v>
      </c>
    </row>
    <row r="568" spans="1:14" s="75" customFormat="1" hidden="1" x14ac:dyDescent="0.25">
      <c r="A568" s="204" t="s">
        <v>859</v>
      </c>
      <c r="B568" s="71"/>
      <c r="C568" s="71"/>
      <c r="D568" s="72">
        <f>SUMIF('Purchase Register'!C:C, A568, 'Purchase Register'!G:G)</f>
        <v>9.1666666666666661</v>
      </c>
      <c r="E568" s="191">
        <v>10</v>
      </c>
      <c r="F568" s="74">
        <f>SUMIF('Sales Register'!C:C, A568, 'Sales Register'!D:D)</f>
        <v>15</v>
      </c>
      <c r="G568" s="74">
        <f t="shared" si="56"/>
        <v>150</v>
      </c>
      <c r="H568" s="74">
        <f t="shared" si="53"/>
        <v>137.5</v>
      </c>
      <c r="I568" s="74">
        <f t="shared" si="54"/>
        <v>12.5</v>
      </c>
      <c r="J568" s="74">
        <f t="shared" si="55"/>
        <v>8.3333333333333329E-2</v>
      </c>
      <c r="K568" s="134" t="str">
        <f t="shared" si="50"/>
        <v>9%</v>
      </c>
      <c r="L568" s="73"/>
      <c r="M568" s="99">
        <f t="shared" si="51"/>
        <v>9.0909090909090981E-2</v>
      </c>
      <c r="N568" s="73">
        <f>VLOOKUP(A568, 'Stock Register'!A:F, 6, FALSE)</f>
        <v>-3</v>
      </c>
    </row>
    <row r="569" spans="1:14" hidden="1" x14ac:dyDescent="0.25">
      <c r="A569" s="205" t="s">
        <v>860</v>
      </c>
      <c r="D569" s="29">
        <f>SUMIF('Purchase Register'!C:C, A569, 'Purchase Register'!G:G)</f>
        <v>4.5</v>
      </c>
      <c r="E569" s="190">
        <v>5</v>
      </c>
      <c r="F569" s="60">
        <f>SUMIF('Sales Register'!C:C, A569, 'Sales Register'!D:D)</f>
        <v>50</v>
      </c>
      <c r="G569" s="60">
        <f t="shared" si="56"/>
        <v>250</v>
      </c>
      <c r="H569" s="60">
        <f t="shared" si="53"/>
        <v>225</v>
      </c>
      <c r="I569" s="60">
        <f t="shared" si="54"/>
        <v>25</v>
      </c>
      <c r="J569" s="60">
        <f t="shared" si="55"/>
        <v>0.1</v>
      </c>
      <c r="K569" s="35" t="str">
        <f t="shared" si="50"/>
        <v>11%</v>
      </c>
      <c r="M569" s="30">
        <f t="shared" si="51"/>
        <v>0.1111111111111111</v>
      </c>
      <c r="N569" s="34">
        <f>VLOOKUP(A569, 'Stock Register'!A:F, 6, FALSE)</f>
        <v>10</v>
      </c>
    </row>
    <row r="570" spans="1:14" s="75" customFormat="1" hidden="1" x14ac:dyDescent="0.25">
      <c r="A570" s="204" t="s">
        <v>861</v>
      </c>
      <c r="B570" s="71"/>
      <c r="C570" s="71"/>
      <c r="D570" s="72">
        <f>SUMIF('Purchase Register'!C:C, A570, 'Purchase Register'!G:G)</f>
        <v>13</v>
      </c>
      <c r="E570" s="191">
        <v>20</v>
      </c>
      <c r="F570" s="74">
        <f>SUMIF('Sales Register'!C:C, A570, 'Sales Register'!D:D)</f>
        <v>9.5</v>
      </c>
      <c r="G570" s="74">
        <f t="shared" si="56"/>
        <v>190</v>
      </c>
      <c r="H570" s="74">
        <f t="shared" si="53"/>
        <v>123.5</v>
      </c>
      <c r="I570" s="74">
        <f t="shared" si="54"/>
        <v>66.5</v>
      </c>
      <c r="J570" s="74">
        <f t="shared" si="55"/>
        <v>0.35</v>
      </c>
      <c r="K570" s="134" t="str">
        <f t="shared" si="50"/>
        <v>53%</v>
      </c>
      <c r="L570" s="73"/>
      <c r="M570" s="99">
        <f t="shared" si="51"/>
        <v>0.53846153846153844</v>
      </c>
      <c r="N570" s="34">
        <f>VLOOKUP(A570, 'Stock Register'!A:F, 6, FALSE)</f>
        <v>0.5</v>
      </c>
    </row>
    <row r="571" spans="1:14" s="75" customFormat="1" hidden="1" x14ac:dyDescent="0.25">
      <c r="A571" s="204" t="s">
        <v>862</v>
      </c>
      <c r="B571" s="71"/>
      <c r="C571" s="71"/>
      <c r="D571" s="72">
        <f>SUMIF('Purchase Register'!C:C, A571, 'Purchase Register'!G:G)</f>
        <v>24</v>
      </c>
      <c r="E571" s="191">
        <v>30</v>
      </c>
      <c r="F571" s="74">
        <f>SUMIF('Sales Register'!C:C, A571, 'Sales Register'!D:D)</f>
        <v>0.45</v>
      </c>
      <c r="G571" s="74">
        <f t="shared" si="56"/>
        <v>13.5</v>
      </c>
      <c r="H571" s="74">
        <f t="shared" si="53"/>
        <v>10.8</v>
      </c>
      <c r="I571" s="74">
        <f t="shared" si="54"/>
        <v>2.6999999999999993</v>
      </c>
      <c r="J571" s="74">
        <f t="shared" si="55"/>
        <v>0.19999999999999996</v>
      </c>
      <c r="K571" s="134" t="str">
        <f t="shared" si="50"/>
        <v>25%</v>
      </c>
      <c r="L571" s="73"/>
      <c r="M571" s="99">
        <f t="shared" si="51"/>
        <v>0.25</v>
      </c>
      <c r="N571" s="73">
        <f>VLOOKUP(A571, 'Stock Register'!A:F, 6, FALSE)</f>
        <v>4.55</v>
      </c>
    </row>
    <row r="572" spans="1:14" ht="30" hidden="1" x14ac:dyDescent="0.25">
      <c r="A572" s="205" t="s">
        <v>863</v>
      </c>
      <c r="D572" s="29">
        <f>SUMIF('Purchase Register'!C:C, A572, 'Purchase Register'!G:G)</f>
        <v>37</v>
      </c>
      <c r="E572" s="190">
        <v>40</v>
      </c>
      <c r="F572" s="60">
        <f>SUMIF('Sales Register'!C:C, A572, 'Sales Register'!D:D)</f>
        <v>5</v>
      </c>
      <c r="G572" s="60">
        <f t="shared" si="56"/>
        <v>200</v>
      </c>
      <c r="H572" s="60">
        <f t="shared" si="53"/>
        <v>185</v>
      </c>
      <c r="I572" s="60">
        <f t="shared" si="54"/>
        <v>15</v>
      </c>
      <c r="J572" s="60">
        <f t="shared" si="55"/>
        <v>7.4999999999999997E-2</v>
      </c>
      <c r="K572" s="35" t="str">
        <f t="shared" si="50"/>
        <v>8%</v>
      </c>
      <c r="M572" s="30">
        <f t="shared" si="51"/>
        <v>8.1081081081081086E-2</v>
      </c>
      <c r="N572" s="34">
        <f>VLOOKUP(A572, 'Stock Register'!A:F, 6, FALSE)</f>
        <v>2</v>
      </c>
    </row>
    <row r="573" spans="1:14" s="75" customFormat="1" hidden="1" x14ac:dyDescent="0.25">
      <c r="A573" s="204" t="s">
        <v>864</v>
      </c>
      <c r="B573" s="71"/>
      <c r="C573" s="71"/>
      <c r="D573" s="72">
        <f>SUMIF('Purchase Register'!C:C, A573, 'Purchase Register'!G:G)</f>
        <v>18</v>
      </c>
      <c r="E573" s="191">
        <v>20</v>
      </c>
      <c r="F573" s="74">
        <f>SUMIF('Sales Register'!C:C, A573, 'Sales Register'!D:D)</f>
        <v>6</v>
      </c>
      <c r="G573" s="74">
        <f t="shared" si="56"/>
        <v>120</v>
      </c>
      <c r="H573" s="74">
        <f t="shared" si="53"/>
        <v>108</v>
      </c>
      <c r="I573" s="74">
        <f t="shared" si="54"/>
        <v>12</v>
      </c>
      <c r="J573" s="74">
        <f t="shared" si="55"/>
        <v>0.1</v>
      </c>
      <c r="K573" s="134" t="str">
        <f t="shared" si="50"/>
        <v>11%</v>
      </c>
      <c r="L573" s="73"/>
      <c r="M573" s="99">
        <f t="shared" si="51"/>
        <v>0.1111111111111111</v>
      </c>
      <c r="N573" s="73">
        <f>VLOOKUP(A573, 'Stock Register'!A:F, 6, FALSE)</f>
        <v>0</v>
      </c>
    </row>
    <row r="574" spans="1:14" s="75" customFormat="1" hidden="1" x14ac:dyDescent="0.25">
      <c r="A574" s="204" t="s">
        <v>865</v>
      </c>
      <c r="B574" s="71"/>
      <c r="C574" s="71"/>
      <c r="D574" s="72">
        <f>SUMIF('Purchase Register'!C:C, A574, 'Purchase Register'!G:G)</f>
        <v>49</v>
      </c>
      <c r="E574" s="191">
        <v>58</v>
      </c>
      <c r="F574" s="74">
        <f>SUMIF('Sales Register'!C:C, A574, 'Sales Register'!D:D)</f>
        <v>2.556</v>
      </c>
      <c r="G574" s="74">
        <f t="shared" si="56"/>
        <v>148.24799999999999</v>
      </c>
      <c r="H574" s="74">
        <f t="shared" si="53"/>
        <v>125.244</v>
      </c>
      <c r="I574" s="74">
        <f t="shared" si="54"/>
        <v>23.003999999999991</v>
      </c>
      <c r="J574" s="74">
        <f t="shared" si="55"/>
        <v>0.1551724137931034</v>
      </c>
      <c r="K574" s="134" t="str">
        <f t="shared" si="50"/>
        <v>18%</v>
      </c>
      <c r="L574" s="73"/>
      <c r="M574" s="99">
        <f t="shared" si="51"/>
        <v>0.18367346938775511</v>
      </c>
      <c r="N574" s="34">
        <f>VLOOKUP(A574, 'Stock Register'!A:F, 6, FALSE)</f>
        <v>-0.55600000000000005</v>
      </c>
    </row>
    <row r="575" spans="1:14" ht="30" hidden="1" x14ac:dyDescent="0.25">
      <c r="A575" s="205" t="s">
        <v>866</v>
      </c>
      <c r="D575" s="29">
        <f>SUMIF('Purchase Register'!C:C, A575, 'Purchase Register'!G:G)</f>
        <v>145</v>
      </c>
      <c r="E575" s="190">
        <v>160</v>
      </c>
      <c r="F575" s="60">
        <f>SUMIF('Sales Register'!C:C, A575, 'Sales Register'!D:D)</f>
        <v>1</v>
      </c>
      <c r="G575" s="60">
        <f t="shared" si="56"/>
        <v>160</v>
      </c>
      <c r="H575" s="60">
        <f t="shared" si="53"/>
        <v>145</v>
      </c>
      <c r="I575" s="60">
        <f t="shared" si="54"/>
        <v>15</v>
      </c>
      <c r="J575" s="60">
        <f t="shared" si="55"/>
        <v>9.375E-2</v>
      </c>
      <c r="K575" s="35" t="str">
        <f t="shared" si="50"/>
        <v>10%</v>
      </c>
      <c r="M575" s="30">
        <f t="shared" si="51"/>
        <v>0.10344827586206896</v>
      </c>
      <c r="N575" s="34">
        <f>VLOOKUP(A575, 'Stock Register'!A:F, 6, FALSE)</f>
        <v>0</v>
      </c>
    </row>
    <row r="576" spans="1:14" ht="30" hidden="1" x14ac:dyDescent="0.25">
      <c r="A576" s="205" t="s">
        <v>867</v>
      </c>
      <c r="D576" s="29">
        <f>SUMIF('Purchase Register'!C:C, A576, 'Purchase Register'!G:G)</f>
        <v>65.8</v>
      </c>
      <c r="E576" s="190">
        <v>80</v>
      </c>
      <c r="F576" s="60">
        <f>SUMIF('Sales Register'!C:C, A576, 'Sales Register'!D:D)</f>
        <v>0</v>
      </c>
      <c r="G576" s="60">
        <f t="shared" si="56"/>
        <v>0</v>
      </c>
      <c r="H576" s="60">
        <f t="shared" si="53"/>
        <v>0</v>
      </c>
      <c r="I576" s="60">
        <f t="shared" si="54"/>
        <v>0</v>
      </c>
      <c r="J576" s="60">
        <f t="shared" si="55"/>
        <v>0</v>
      </c>
      <c r="K576" s="35" t="str">
        <f t="shared" si="50"/>
        <v>21%</v>
      </c>
      <c r="M576" s="30">
        <f t="shared" si="51"/>
        <v>0.21580547112462012</v>
      </c>
      <c r="N576" s="34">
        <f>VLOOKUP(A576, 'Stock Register'!A:F, 6, FALSE)</f>
        <v>5</v>
      </c>
    </row>
    <row r="577" spans="1:14" s="75" customFormat="1" hidden="1" x14ac:dyDescent="0.25">
      <c r="A577" s="204" t="s">
        <v>868</v>
      </c>
      <c r="B577" s="71"/>
      <c r="C577" s="71"/>
      <c r="D577" s="72">
        <f>SUMIF('Purchase Register'!C:C, A577, 'Purchase Register'!G:G)</f>
        <v>14</v>
      </c>
      <c r="E577" s="191">
        <v>15</v>
      </c>
      <c r="F577" s="74">
        <f>SUMIF('Sales Register'!C:C, A577, 'Sales Register'!D:D)</f>
        <v>2</v>
      </c>
      <c r="G577" s="74">
        <f t="shared" si="56"/>
        <v>30</v>
      </c>
      <c r="H577" s="74">
        <f t="shared" si="53"/>
        <v>28</v>
      </c>
      <c r="I577" s="74">
        <f t="shared" si="54"/>
        <v>2</v>
      </c>
      <c r="J577" s="74">
        <f t="shared" si="55"/>
        <v>6.6666666666666666E-2</v>
      </c>
      <c r="K577" s="134" t="str">
        <f t="shared" si="50"/>
        <v>7%</v>
      </c>
      <c r="L577" s="73"/>
      <c r="M577" s="99">
        <f t="shared" si="51"/>
        <v>7.1428571428571425E-2</v>
      </c>
      <c r="N577" s="73">
        <f>VLOOKUP(A577, 'Stock Register'!A:F, 6, FALSE)</f>
        <v>0</v>
      </c>
    </row>
    <row r="578" spans="1:14" s="75" customFormat="1" hidden="1" x14ac:dyDescent="0.25">
      <c r="A578" s="204" t="s">
        <v>869</v>
      </c>
      <c r="B578" s="71"/>
      <c r="C578" s="71"/>
      <c r="D578" s="72">
        <f>SUMIF('Purchase Register'!C:C, A578, 'Purchase Register'!G:G)</f>
        <v>21</v>
      </c>
      <c r="E578" s="191">
        <v>25</v>
      </c>
      <c r="F578" s="74">
        <f>SUMIF('Sales Register'!C:C, A578, 'Sales Register'!D:D)</f>
        <v>2</v>
      </c>
      <c r="G578" s="74">
        <f t="shared" si="56"/>
        <v>50</v>
      </c>
      <c r="H578" s="74">
        <f t="shared" ref="H578:H641" si="57">D578*F578</f>
        <v>42</v>
      </c>
      <c r="I578" s="74">
        <f t="shared" ref="I578:I641" si="58">G578-H578</f>
        <v>8</v>
      </c>
      <c r="J578" s="74">
        <f t="shared" ref="J578:J641" si="59">IF(G578=0,0,I578/G578)</f>
        <v>0.16</v>
      </c>
      <c r="K578" s="134" t="str">
        <f t="shared" si="50"/>
        <v>19%</v>
      </c>
      <c r="L578" s="73"/>
      <c r="M578" s="99">
        <f t="shared" si="51"/>
        <v>0.19047619047619047</v>
      </c>
      <c r="N578" s="73">
        <f>VLOOKUP(A578, 'Stock Register'!A:F, 6, FALSE)</f>
        <v>0</v>
      </c>
    </row>
    <row r="579" spans="1:14" hidden="1" x14ac:dyDescent="0.25">
      <c r="A579" s="205" t="s">
        <v>870</v>
      </c>
      <c r="D579" s="29">
        <f>SUMIF('Purchase Register'!C:C, A579, 'Purchase Register'!G:G)</f>
        <v>28</v>
      </c>
      <c r="E579" s="190">
        <v>35</v>
      </c>
      <c r="F579" s="60">
        <f>SUMIF('Sales Register'!C:C, A579, 'Sales Register'!D:D)</f>
        <v>2</v>
      </c>
      <c r="G579" s="60">
        <f t="shared" si="56"/>
        <v>70</v>
      </c>
      <c r="H579" s="60">
        <f t="shared" si="57"/>
        <v>56</v>
      </c>
      <c r="I579" s="60">
        <f t="shared" si="58"/>
        <v>14</v>
      </c>
      <c r="J579" s="60">
        <f t="shared" si="59"/>
        <v>0.2</v>
      </c>
      <c r="K579" s="35" t="str">
        <f t="shared" si="50"/>
        <v>25%</v>
      </c>
      <c r="M579" s="30">
        <f t="shared" si="51"/>
        <v>0.25</v>
      </c>
      <c r="N579" s="34">
        <f>VLOOKUP(A579, 'Stock Register'!A:F, 6, FALSE)</f>
        <v>0</v>
      </c>
    </row>
    <row r="580" spans="1:14" ht="30" hidden="1" x14ac:dyDescent="0.25">
      <c r="A580" s="205" t="s">
        <v>871</v>
      </c>
      <c r="D580" s="29">
        <f>SUMIF('Purchase Register'!C:C, A580, 'Purchase Register'!G:G)</f>
        <v>24</v>
      </c>
      <c r="E580" s="190">
        <v>35</v>
      </c>
      <c r="F580" s="60">
        <f>SUMIF('Sales Register'!C:C, A580, 'Sales Register'!D:D)</f>
        <v>2</v>
      </c>
      <c r="G580" s="60">
        <f t="shared" si="56"/>
        <v>70</v>
      </c>
      <c r="H580" s="60">
        <f t="shared" si="57"/>
        <v>48</v>
      </c>
      <c r="I580" s="60">
        <f t="shared" si="58"/>
        <v>22</v>
      </c>
      <c r="J580" s="60">
        <f t="shared" si="59"/>
        <v>0.31428571428571428</v>
      </c>
      <c r="K580" s="35" t="str">
        <f t="shared" si="50"/>
        <v>45%</v>
      </c>
      <c r="M580" s="30">
        <f t="shared" si="51"/>
        <v>0.45833333333333331</v>
      </c>
      <c r="N580" s="34">
        <f>VLOOKUP(A580, 'Stock Register'!A:F, 6, FALSE)</f>
        <v>0</v>
      </c>
    </row>
    <row r="581" spans="1:14" hidden="1" x14ac:dyDescent="0.25">
      <c r="A581" s="205" t="s">
        <v>874</v>
      </c>
      <c r="D581" s="29">
        <f>SUMIF('Purchase Register'!C:C, A581, 'Purchase Register'!G:G)</f>
        <v>33</v>
      </c>
      <c r="E581" s="190">
        <v>35</v>
      </c>
      <c r="F581" s="60">
        <f>SUMIF('Sales Register'!C:C, A581, 'Sales Register'!D:D)</f>
        <v>5</v>
      </c>
      <c r="G581" s="60">
        <f t="shared" si="56"/>
        <v>175</v>
      </c>
      <c r="H581" s="60">
        <f t="shared" si="57"/>
        <v>165</v>
      </c>
      <c r="I581" s="60">
        <f t="shared" si="58"/>
        <v>10</v>
      </c>
      <c r="J581" s="60">
        <f t="shared" si="59"/>
        <v>5.7142857142857141E-2</v>
      </c>
      <c r="K581" s="35" t="str">
        <f t="shared" si="50"/>
        <v>6%</v>
      </c>
      <c r="M581" s="30">
        <f t="shared" si="51"/>
        <v>6.0606060606060608E-2</v>
      </c>
      <c r="N581" s="34">
        <f>VLOOKUP(A581, 'Stock Register'!A:F, 6, FALSE)</f>
        <v>-1</v>
      </c>
    </row>
    <row r="582" spans="1:14" ht="30" hidden="1" x14ac:dyDescent="0.25">
      <c r="A582" s="205" t="s">
        <v>873</v>
      </c>
      <c r="D582" s="29">
        <f>SUMIF('Purchase Register'!C:C, A582, 'Purchase Register'!G:G)</f>
        <v>19</v>
      </c>
      <c r="E582" s="190">
        <v>20</v>
      </c>
      <c r="F582" s="60">
        <f>SUMIF('Sales Register'!C:C, A582, 'Sales Register'!D:D)</f>
        <v>3</v>
      </c>
      <c r="G582" s="60">
        <f t="shared" si="56"/>
        <v>60</v>
      </c>
      <c r="H582" s="60">
        <f t="shared" si="57"/>
        <v>57</v>
      </c>
      <c r="I582" s="60">
        <f t="shared" si="58"/>
        <v>3</v>
      </c>
      <c r="J582" s="60">
        <f t="shared" si="59"/>
        <v>0.05</v>
      </c>
      <c r="K582" s="35" t="str">
        <f t="shared" si="50"/>
        <v>5%</v>
      </c>
      <c r="M582" s="30">
        <f t="shared" si="51"/>
        <v>5.2631578947368418E-2</v>
      </c>
      <c r="N582" s="34">
        <f>VLOOKUP(A582, 'Stock Register'!A:F, 6, FALSE)</f>
        <v>0</v>
      </c>
    </row>
    <row r="583" spans="1:14" ht="30" hidden="1" x14ac:dyDescent="0.25">
      <c r="A583" s="205" t="s">
        <v>872</v>
      </c>
      <c r="D583" s="29">
        <f>SUMIF('Purchase Register'!C:C, A583, 'Purchase Register'!G:G)</f>
        <v>17</v>
      </c>
      <c r="E583" s="190">
        <v>20</v>
      </c>
      <c r="F583" s="60">
        <f>SUMIF('Sales Register'!C:C, A583, 'Sales Register'!D:D)</f>
        <v>1</v>
      </c>
      <c r="G583" s="60">
        <f t="shared" si="56"/>
        <v>20</v>
      </c>
      <c r="H583" s="60">
        <f t="shared" si="57"/>
        <v>17</v>
      </c>
      <c r="I583" s="60">
        <f t="shared" si="58"/>
        <v>3</v>
      </c>
      <c r="J583" s="60">
        <f t="shared" si="59"/>
        <v>0.15</v>
      </c>
      <c r="K583" s="35" t="str">
        <f t="shared" si="50"/>
        <v>17%</v>
      </c>
      <c r="M583" s="30">
        <f t="shared" si="51"/>
        <v>0.17647058823529413</v>
      </c>
      <c r="N583" s="34">
        <f>VLOOKUP(A583, 'Stock Register'!A:F, 6, FALSE)</f>
        <v>1</v>
      </c>
    </row>
    <row r="584" spans="1:14" s="75" customFormat="1" ht="30" hidden="1" x14ac:dyDescent="0.25">
      <c r="A584" s="204" t="s">
        <v>875</v>
      </c>
      <c r="B584" s="71"/>
      <c r="C584" s="71"/>
      <c r="D584" s="72">
        <f>SUMIF('Purchase Register'!C:C, A584, 'Purchase Register'!G:G)</f>
        <v>17</v>
      </c>
      <c r="E584" s="191">
        <v>20</v>
      </c>
      <c r="F584" s="74">
        <f>SUMIF('Sales Register'!C:C, A584, 'Sales Register'!D:D)</f>
        <v>2</v>
      </c>
      <c r="G584" s="74">
        <f t="shared" si="56"/>
        <v>40</v>
      </c>
      <c r="H584" s="74">
        <f t="shared" si="57"/>
        <v>34</v>
      </c>
      <c r="I584" s="74">
        <f t="shared" si="58"/>
        <v>6</v>
      </c>
      <c r="J584" s="74">
        <f t="shared" si="59"/>
        <v>0.15</v>
      </c>
      <c r="K584" s="134" t="str">
        <f t="shared" si="50"/>
        <v>17%</v>
      </c>
      <c r="L584" s="73"/>
      <c r="M584" s="99">
        <f t="shared" si="51"/>
        <v>0.17647058823529413</v>
      </c>
      <c r="N584" s="73">
        <f>VLOOKUP(A584, 'Stock Register'!A:F, 6, FALSE)</f>
        <v>0</v>
      </c>
    </row>
    <row r="585" spans="1:14" s="75" customFormat="1" hidden="1" x14ac:dyDescent="0.25">
      <c r="A585" s="204" t="s">
        <v>876</v>
      </c>
      <c r="B585" s="71"/>
      <c r="C585" s="71"/>
      <c r="D585" s="72">
        <f>SUMIF('Purchase Register'!C:C, A585, 'Purchase Register'!G:G)</f>
        <v>14.444444444444445</v>
      </c>
      <c r="E585" s="191">
        <v>20</v>
      </c>
      <c r="F585" s="74">
        <f>SUMIF('Sales Register'!C:C, A585, 'Sales Register'!D:D)</f>
        <v>21</v>
      </c>
      <c r="G585" s="74">
        <f t="shared" si="56"/>
        <v>420</v>
      </c>
      <c r="H585" s="74">
        <f t="shared" si="57"/>
        <v>303.33333333333331</v>
      </c>
      <c r="I585" s="74">
        <f t="shared" si="58"/>
        <v>116.66666666666669</v>
      </c>
      <c r="J585" s="74">
        <f t="shared" si="59"/>
        <v>0.27777777777777785</v>
      </c>
      <c r="K585" s="134" t="str">
        <f t="shared" si="50"/>
        <v>38%</v>
      </c>
      <c r="L585" s="73"/>
      <c r="M585" s="99">
        <f t="shared" si="51"/>
        <v>0.38461538461538458</v>
      </c>
      <c r="N585" s="73">
        <f>VLOOKUP(A585, 'Stock Register'!A:F, 6, FALSE)</f>
        <v>-12</v>
      </c>
    </row>
    <row r="586" spans="1:14" ht="30" hidden="1" x14ac:dyDescent="0.25">
      <c r="A586" s="205" t="s">
        <v>945</v>
      </c>
      <c r="D586" s="29">
        <f>SUMIF('Purchase Register'!C:C, A586, 'Purchase Register'!G:G)</f>
        <v>700</v>
      </c>
      <c r="E586" s="190">
        <v>900</v>
      </c>
      <c r="F586" s="60">
        <f>SUMIF('Sales Register'!C:C, A586, 'Sales Register'!D:D)</f>
        <v>6.8000000000000005E-2</v>
      </c>
      <c r="G586" s="60">
        <f t="shared" si="56"/>
        <v>61.2</v>
      </c>
      <c r="H586" s="60">
        <f t="shared" si="57"/>
        <v>47.6</v>
      </c>
      <c r="I586" s="60">
        <f t="shared" si="58"/>
        <v>13.600000000000001</v>
      </c>
      <c r="J586" s="60">
        <f t="shared" si="59"/>
        <v>0.22222222222222224</v>
      </c>
      <c r="K586" s="35" t="str">
        <f t="shared" si="50"/>
        <v>28%</v>
      </c>
      <c r="M586" s="30">
        <f t="shared" si="51"/>
        <v>0.2857142857142857</v>
      </c>
      <c r="N586" s="34">
        <f>VLOOKUP(A586, 'Stock Register'!A:F, 6, FALSE)</f>
        <v>0.93199999999999994</v>
      </c>
    </row>
    <row r="587" spans="1:14" ht="27" hidden="1" customHeight="1" x14ac:dyDescent="0.25">
      <c r="A587" s="205" t="s">
        <v>886</v>
      </c>
      <c r="D587" s="29">
        <f>SUMIF('Purchase Register'!C:C, A587, 'Purchase Register'!G:G)</f>
        <v>9</v>
      </c>
      <c r="E587" s="190">
        <v>10</v>
      </c>
      <c r="F587" s="60">
        <f>SUMIF('Sales Register'!C:C, A587, 'Sales Register'!D:D)</f>
        <v>25</v>
      </c>
      <c r="G587" s="60">
        <f t="shared" si="56"/>
        <v>250</v>
      </c>
      <c r="H587" s="60">
        <f t="shared" si="57"/>
        <v>225</v>
      </c>
      <c r="I587" s="60">
        <f t="shared" si="58"/>
        <v>25</v>
      </c>
      <c r="J587" s="60">
        <f t="shared" si="59"/>
        <v>0.1</v>
      </c>
      <c r="K587" s="35" t="str">
        <f t="shared" si="50"/>
        <v>11%</v>
      </c>
      <c r="M587" s="30">
        <f t="shared" si="51"/>
        <v>0.1111111111111111</v>
      </c>
      <c r="N587" s="34">
        <f>VLOOKUP(A587, 'Stock Register'!A:F, 6, FALSE)</f>
        <v>5</v>
      </c>
    </row>
    <row r="588" spans="1:14" s="75" customFormat="1" hidden="1" x14ac:dyDescent="0.25">
      <c r="A588" s="204" t="s">
        <v>885</v>
      </c>
      <c r="B588" s="71"/>
      <c r="C588" s="71"/>
      <c r="D588" s="72">
        <f>SUMIF('Purchase Register'!C:C, A588, 'Purchase Register'!G:G)</f>
        <v>27</v>
      </c>
      <c r="E588" s="191">
        <v>30</v>
      </c>
      <c r="F588" s="74">
        <f>SUMIF('Sales Register'!C:C, A588, 'Sales Register'!D:D)</f>
        <v>6</v>
      </c>
      <c r="G588" s="74">
        <f t="shared" si="56"/>
        <v>180</v>
      </c>
      <c r="H588" s="74">
        <f t="shared" si="57"/>
        <v>162</v>
      </c>
      <c r="I588" s="74">
        <f t="shared" si="58"/>
        <v>18</v>
      </c>
      <c r="J588" s="74">
        <f t="shared" si="59"/>
        <v>0.1</v>
      </c>
      <c r="K588" s="134" t="str">
        <f t="shared" si="50"/>
        <v>11%</v>
      </c>
      <c r="L588" s="73"/>
      <c r="M588" s="99">
        <f t="shared" si="51"/>
        <v>0.1111111111111111</v>
      </c>
      <c r="N588" s="73">
        <f>VLOOKUP(A588, 'Stock Register'!A:F, 6, FALSE)</f>
        <v>0</v>
      </c>
    </row>
    <row r="589" spans="1:14" s="75" customFormat="1" hidden="1" x14ac:dyDescent="0.25">
      <c r="A589" s="204" t="s">
        <v>893</v>
      </c>
      <c r="B589" s="71"/>
      <c r="C589" s="71"/>
      <c r="D589" s="72">
        <f>SUMIF('Purchase Register'!C:C, A589, 'Purchase Register'!G:G)</f>
        <v>38</v>
      </c>
      <c r="E589" s="191">
        <v>40</v>
      </c>
      <c r="F589" s="74">
        <f>SUMIF('Sales Register'!C:C, A589, 'Sales Register'!D:D)</f>
        <v>10</v>
      </c>
      <c r="G589" s="74">
        <f t="shared" si="56"/>
        <v>400</v>
      </c>
      <c r="H589" s="74">
        <f t="shared" si="57"/>
        <v>380</v>
      </c>
      <c r="I589" s="74">
        <f t="shared" si="58"/>
        <v>20</v>
      </c>
      <c r="J589" s="74">
        <f t="shared" si="59"/>
        <v>0.05</v>
      </c>
      <c r="K589" s="134" t="str">
        <f t="shared" si="50"/>
        <v>5%</v>
      </c>
      <c r="L589" s="73"/>
      <c r="M589" s="99">
        <f t="shared" si="51"/>
        <v>5.2631578947368418E-2</v>
      </c>
      <c r="N589" s="73">
        <f>VLOOKUP(A589, 'Stock Register'!A:F, 6, FALSE)</f>
        <v>0</v>
      </c>
    </row>
    <row r="590" spans="1:14" hidden="1" x14ac:dyDescent="0.25">
      <c r="A590" s="205" t="s">
        <v>896</v>
      </c>
      <c r="D590" s="29">
        <f>SUMIF('Purchase Register'!C:C, A590, 'Purchase Register'!G:G)</f>
        <v>90</v>
      </c>
      <c r="E590" s="190">
        <v>110</v>
      </c>
      <c r="F590" s="60">
        <f>SUMIF('Sales Register'!C:C, A590, 'Sales Register'!D:D)</f>
        <v>1.03</v>
      </c>
      <c r="G590" s="60">
        <f t="shared" si="56"/>
        <v>113.3</v>
      </c>
      <c r="H590" s="60">
        <f t="shared" si="57"/>
        <v>92.7</v>
      </c>
      <c r="I590" s="60">
        <f t="shared" si="58"/>
        <v>20.599999999999994</v>
      </c>
      <c r="J590" s="60">
        <f t="shared" si="59"/>
        <v>0.18181818181818177</v>
      </c>
      <c r="K590" s="35" t="str">
        <f t="shared" si="50"/>
        <v>22%</v>
      </c>
      <c r="M590" s="30">
        <f t="shared" si="51"/>
        <v>0.22222222222222221</v>
      </c>
      <c r="N590" s="34">
        <f>VLOOKUP(A590, 'Stock Register'!A:F, 6, FALSE)</f>
        <v>-3.0000000000000027E-2</v>
      </c>
    </row>
    <row r="591" spans="1:14" hidden="1" x14ac:dyDescent="0.25">
      <c r="A591" s="205" t="s">
        <v>888</v>
      </c>
      <c r="D591" s="29">
        <f>SUMIF('Purchase Register'!C:C, A591, 'Purchase Register'!G:G)</f>
        <v>32</v>
      </c>
      <c r="E591" s="190">
        <v>35</v>
      </c>
      <c r="F591" s="60">
        <f>SUMIF('Sales Register'!C:C, A591, 'Sales Register'!D:D)</f>
        <v>10</v>
      </c>
      <c r="G591" s="60">
        <f t="shared" si="56"/>
        <v>350</v>
      </c>
      <c r="H591" s="60">
        <f t="shared" si="57"/>
        <v>320</v>
      </c>
      <c r="I591" s="60">
        <f t="shared" si="58"/>
        <v>30</v>
      </c>
      <c r="J591" s="60">
        <f t="shared" si="59"/>
        <v>8.5714285714285715E-2</v>
      </c>
      <c r="K591" s="35" t="str">
        <f t="shared" si="50"/>
        <v>9%</v>
      </c>
      <c r="M591" s="30">
        <f t="shared" si="51"/>
        <v>9.375E-2</v>
      </c>
      <c r="N591" s="34">
        <f>VLOOKUP(A591, 'Stock Register'!A:F, 6, FALSE)</f>
        <v>0</v>
      </c>
    </row>
    <row r="592" spans="1:14" hidden="1" x14ac:dyDescent="0.25">
      <c r="A592" s="205" t="s">
        <v>884</v>
      </c>
      <c r="D592" s="29">
        <f>SUMIF('Purchase Register'!C:C, A592, 'Purchase Register'!G:G)</f>
        <v>9</v>
      </c>
      <c r="E592" s="190">
        <v>10</v>
      </c>
      <c r="F592" s="60">
        <f>SUMIF('Sales Register'!C:C, A592, 'Sales Register'!D:D)</f>
        <v>2</v>
      </c>
      <c r="G592" s="60">
        <f t="shared" si="56"/>
        <v>20</v>
      </c>
      <c r="H592" s="60">
        <f t="shared" si="57"/>
        <v>18</v>
      </c>
      <c r="I592" s="60">
        <f t="shared" si="58"/>
        <v>2</v>
      </c>
      <c r="J592" s="60">
        <f t="shared" si="59"/>
        <v>0.1</v>
      </c>
      <c r="K592" s="35" t="str">
        <f t="shared" si="50"/>
        <v>11%</v>
      </c>
      <c r="M592" s="30">
        <f t="shared" si="51"/>
        <v>0.1111111111111111</v>
      </c>
      <c r="N592" s="34">
        <f>VLOOKUP(A592, 'Stock Register'!A:F, 6, FALSE)</f>
        <v>8</v>
      </c>
    </row>
    <row r="593" spans="1:14" ht="30" hidden="1" x14ac:dyDescent="0.25">
      <c r="A593" s="205" t="s">
        <v>890</v>
      </c>
      <c r="D593" s="29">
        <f>SUMIF('Purchase Register'!C:C, A593, 'Purchase Register'!G:G)</f>
        <v>0.44285714285714284</v>
      </c>
      <c r="E593" s="190">
        <v>1</v>
      </c>
      <c r="F593" s="60">
        <f>SUMIF('Sales Register'!C:C, A593, 'Sales Register'!D:D)</f>
        <v>350</v>
      </c>
      <c r="G593" s="60">
        <f t="shared" si="56"/>
        <v>350</v>
      </c>
      <c r="H593" s="60">
        <f t="shared" si="57"/>
        <v>155</v>
      </c>
      <c r="I593" s="60">
        <f t="shared" si="58"/>
        <v>195</v>
      </c>
      <c r="J593" s="60">
        <f t="shared" si="59"/>
        <v>0.55714285714285716</v>
      </c>
      <c r="K593" s="35" t="str">
        <f t="shared" si="50"/>
        <v>100% or More</v>
      </c>
      <c r="M593" s="30">
        <f t="shared" si="51"/>
        <v>1.2580645161290323</v>
      </c>
      <c r="N593" s="34">
        <f>VLOOKUP(A593, 'Stock Register'!A:F, 6, FALSE)</f>
        <v>0</v>
      </c>
    </row>
    <row r="594" spans="1:14" ht="30" hidden="1" x14ac:dyDescent="0.25">
      <c r="A594" s="205" t="s">
        <v>880</v>
      </c>
      <c r="D594" s="29">
        <f>SUMIF('Purchase Register'!C:C, A594, 'Purchase Register'!G:G)</f>
        <v>39</v>
      </c>
      <c r="E594" s="190">
        <v>45</v>
      </c>
      <c r="F594" s="60">
        <f>SUMIF('Sales Register'!C:C, A594, 'Sales Register'!D:D)</f>
        <v>3</v>
      </c>
      <c r="G594" s="60">
        <f t="shared" si="56"/>
        <v>135</v>
      </c>
      <c r="H594" s="60">
        <f t="shared" si="57"/>
        <v>117</v>
      </c>
      <c r="I594" s="60">
        <f t="shared" si="58"/>
        <v>18</v>
      </c>
      <c r="J594" s="60">
        <f t="shared" si="59"/>
        <v>0.13333333333333333</v>
      </c>
      <c r="K594" s="35" t="str">
        <f t="shared" si="50"/>
        <v>15%</v>
      </c>
      <c r="M594" s="30">
        <f t="shared" si="51"/>
        <v>0.15384615384615385</v>
      </c>
      <c r="N594" s="34">
        <f>VLOOKUP(A594, 'Stock Register'!A:F, 6, FALSE)</f>
        <v>7</v>
      </c>
    </row>
    <row r="595" spans="1:14" ht="30" hidden="1" x14ac:dyDescent="0.25">
      <c r="A595" s="205" t="s">
        <v>882</v>
      </c>
      <c r="D595" s="29">
        <f>SUMIF('Purchase Register'!C:C, A595, 'Purchase Register'!G:G)</f>
        <v>13.5</v>
      </c>
      <c r="E595" s="190">
        <v>15</v>
      </c>
      <c r="F595" s="60">
        <f>SUMIF('Sales Register'!C:C, A595, 'Sales Register'!D:D)</f>
        <v>1</v>
      </c>
      <c r="G595" s="60">
        <f t="shared" si="56"/>
        <v>15</v>
      </c>
      <c r="H595" s="60">
        <f t="shared" si="57"/>
        <v>13.5</v>
      </c>
      <c r="I595" s="60">
        <f t="shared" si="58"/>
        <v>1.5</v>
      </c>
      <c r="J595" s="60">
        <f t="shared" si="59"/>
        <v>0.1</v>
      </c>
      <c r="K595" s="35" t="str">
        <f t="shared" si="50"/>
        <v>11%</v>
      </c>
      <c r="M595" s="30">
        <f t="shared" si="51"/>
        <v>0.1111111111111111</v>
      </c>
      <c r="N595" s="34">
        <f>VLOOKUP(A595, 'Stock Register'!A:F, 6, FALSE)</f>
        <v>9</v>
      </c>
    </row>
    <row r="596" spans="1:14" ht="30" hidden="1" x14ac:dyDescent="0.25">
      <c r="A596" s="205" t="s">
        <v>883</v>
      </c>
      <c r="D596" s="29">
        <f>SUMIF('Purchase Register'!C:C, A596, 'Purchase Register'!G:G)</f>
        <v>13.5</v>
      </c>
      <c r="E596" s="190">
        <v>15</v>
      </c>
      <c r="F596" s="60">
        <f>SUMIF('Sales Register'!C:C, A596, 'Sales Register'!D:D)</f>
        <v>3</v>
      </c>
      <c r="G596" s="60">
        <f t="shared" si="56"/>
        <v>45</v>
      </c>
      <c r="H596" s="60">
        <f t="shared" si="57"/>
        <v>40.5</v>
      </c>
      <c r="I596" s="60">
        <f t="shared" si="58"/>
        <v>4.5</v>
      </c>
      <c r="J596" s="60">
        <f t="shared" si="59"/>
        <v>0.1</v>
      </c>
      <c r="K596" s="35" t="str">
        <f t="shared" si="50"/>
        <v>11%</v>
      </c>
      <c r="M596" s="30">
        <f t="shared" si="51"/>
        <v>0.1111111111111111</v>
      </c>
      <c r="N596" s="34">
        <f>VLOOKUP(A596, 'Stock Register'!A:F, 6, FALSE)</f>
        <v>7</v>
      </c>
    </row>
    <row r="597" spans="1:14" hidden="1" x14ac:dyDescent="0.25">
      <c r="A597" s="205" t="s">
        <v>878</v>
      </c>
      <c r="D597" s="29">
        <f>SUMIF('Purchase Register'!C:C, A597, 'Purchase Register'!G:G)</f>
        <v>75</v>
      </c>
      <c r="E597" s="190">
        <v>85</v>
      </c>
      <c r="F597" s="60">
        <f>SUMIF('Sales Register'!C:C, A597, 'Sales Register'!D:D)</f>
        <v>2</v>
      </c>
      <c r="G597" s="60">
        <f t="shared" si="56"/>
        <v>170</v>
      </c>
      <c r="H597" s="60">
        <f t="shared" si="57"/>
        <v>150</v>
      </c>
      <c r="I597" s="60">
        <f t="shared" si="58"/>
        <v>20</v>
      </c>
      <c r="J597" s="60">
        <f t="shared" si="59"/>
        <v>0.11764705882352941</v>
      </c>
      <c r="K597" s="35" t="str">
        <f t="shared" si="50"/>
        <v>13%</v>
      </c>
      <c r="M597" s="30">
        <f t="shared" si="51"/>
        <v>0.13333333333333333</v>
      </c>
      <c r="N597" s="34">
        <f>VLOOKUP(A597, 'Stock Register'!A:F, 6, FALSE)</f>
        <v>0</v>
      </c>
    </row>
    <row r="598" spans="1:14" ht="30" hidden="1" x14ac:dyDescent="0.25">
      <c r="A598" s="205" t="s">
        <v>891</v>
      </c>
      <c r="D598" s="29">
        <f>SUMIF('Purchase Register'!C:C, A598, 'Purchase Register'!G:G)</f>
        <v>0.88461538461538458</v>
      </c>
      <c r="E598" s="190">
        <v>1</v>
      </c>
      <c r="F598" s="60">
        <f>SUMIF('Sales Register'!C:C, A598, 'Sales Register'!D:D)</f>
        <v>106</v>
      </c>
      <c r="G598" s="60">
        <f t="shared" si="56"/>
        <v>106</v>
      </c>
      <c r="H598" s="60">
        <f t="shared" si="57"/>
        <v>93.769230769230759</v>
      </c>
      <c r="I598" s="60">
        <f t="shared" si="58"/>
        <v>12.230769230769241</v>
      </c>
      <c r="J598" s="60">
        <f t="shared" si="59"/>
        <v>0.11538461538461547</v>
      </c>
      <c r="K598" s="35" t="str">
        <f t="shared" si="50"/>
        <v>13%</v>
      </c>
      <c r="M598" s="30">
        <f t="shared" si="51"/>
        <v>0.1304347826086957</v>
      </c>
      <c r="N598" s="34">
        <f>VLOOKUP(A598, 'Stock Register'!A:F, 6, FALSE)</f>
        <v>24</v>
      </c>
    </row>
    <row r="599" spans="1:14" s="75" customFormat="1" hidden="1" x14ac:dyDescent="0.25">
      <c r="A599" s="204" t="s">
        <v>877</v>
      </c>
      <c r="B599" s="71"/>
      <c r="C599" s="71"/>
      <c r="D599" s="72">
        <f>SUMIF('Purchase Register'!C:C, A599, 'Purchase Register'!G:G)</f>
        <v>9.0576923076923084</v>
      </c>
      <c r="E599" s="191">
        <v>10</v>
      </c>
      <c r="F599" s="74">
        <f>SUMIF('Sales Register'!C:C, A599, 'Sales Register'!D:D)</f>
        <v>63</v>
      </c>
      <c r="G599" s="74">
        <f t="shared" si="56"/>
        <v>630</v>
      </c>
      <c r="H599" s="74">
        <f t="shared" si="57"/>
        <v>570.63461538461547</v>
      </c>
      <c r="I599" s="74">
        <f t="shared" si="58"/>
        <v>59.365384615384528</v>
      </c>
      <c r="J599" s="74">
        <f t="shared" si="59"/>
        <v>9.423076923076909E-2</v>
      </c>
      <c r="K599" s="134" t="str">
        <f t="shared" si="50"/>
        <v>10%</v>
      </c>
      <c r="L599" s="73"/>
      <c r="M599" s="99">
        <f t="shared" si="51"/>
        <v>0.10403397027600841</v>
      </c>
      <c r="N599" s="73">
        <f>VLOOKUP(A599, 'Stock Register'!A:F, 6, FALSE)</f>
        <v>93</v>
      </c>
    </row>
    <row r="600" spans="1:14" hidden="1" x14ac:dyDescent="0.25">
      <c r="A600" s="205" t="s">
        <v>887</v>
      </c>
      <c r="D600" s="29">
        <f>SUMIF('Purchase Register'!C:C, A600, 'Purchase Register'!G:G)</f>
        <v>52</v>
      </c>
      <c r="E600" s="190">
        <v>56</v>
      </c>
      <c r="F600" s="60">
        <f>SUMIF('Sales Register'!C:C, A600, 'Sales Register'!D:D)</f>
        <v>4</v>
      </c>
      <c r="G600" s="60">
        <f t="shared" si="56"/>
        <v>224</v>
      </c>
      <c r="H600" s="60">
        <f t="shared" si="57"/>
        <v>208</v>
      </c>
      <c r="I600" s="60">
        <f t="shared" si="58"/>
        <v>16</v>
      </c>
      <c r="J600" s="60">
        <f t="shared" si="59"/>
        <v>7.1428571428571425E-2</v>
      </c>
      <c r="K600" s="35" t="str">
        <f t="shared" si="50"/>
        <v>7%</v>
      </c>
      <c r="M600" s="30">
        <f t="shared" si="51"/>
        <v>7.6923076923076927E-2</v>
      </c>
      <c r="N600" s="34">
        <f>VLOOKUP(A600, 'Stock Register'!A:F, 6, FALSE)</f>
        <v>0</v>
      </c>
    </row>
    <row r="601" spans="1:14" ht="30" hidden="1" x14ac:dyDescent="0.25">
      <c r="A601" s="205" t="s">
        <v>892</v>
      </c>
      <c r="D601" s="29">
        <f>SUMIF('Purchase Register'!C:C, A601, 'Purchase Register'!G:G)</f>
        <v>9.0909090909090917</v>
      </c>
      <c r="E601" s="190">
        <v>10</v>
      </c>
      <c r="F601" s="60">
        <f>SUMIF('Sales Register'!C:C, A601, 'Sales Register'!D:D)</f>
        <v>22</v>
      </c>
      <c r="G601" s="60">
        <f t="shared" si="56"/>
        <v>220</v>
      </c>
      <c r="H601" s="60">
        <f t="shared" si="57"/>
        <v>200.00000000000003</v>
      </c>
      <c r="I601" s="60">
        <f t="shared" si="58"/>
        <v>19.999999999999972</v>
      </c>
      <c r="J601" s="60">
        <f t="shared" si="59"/>
        <v>9.0909090909090787E-2</v>
      </c>
      <c r="K601" s="35" t="str">
        <f t="shared" si="50"/>
        <v>9%</v>
      </c>
      <c r="M601" s="30">
        <f t="shared" si="51"/>
        <v>9.9999999999999908E-2</v>
      </c>
      <c r="N601" s="34">
        <f>VLOOKUP(A601, 'Stock Register'!A:F, 6, FALSE)</f>
        <v>0</v>
      </c>
    </row>
    <row r="602" spans="1:14" ht="30" hidden="1" x14ac:dyDescent="0.25">
      <c r="A602" s="205" t="s">
        <v>879</v>
      </c>
      <c r="D602" s="29">
        <f>SUMIF('Purchase Register'!C:C, A602, 'Purchase Register'!G:G)</f>
        <v>12.5</v>
      </c>
      <c r="E602" s="190">
        <v>15</v>
      </c>
      <c r="F602" s="60">
        <f>SUMIF('Sales Register'!C:C, A602, 'Sales Register'!D:D)</f>
        <v>1</v>
      </c>
      <c r="G602" s="60">
        <f t="shared" si="56"/>
        <v>15</v>
      </c>
      <c r="H602" s="60">
        <f t="shared" si="57"/>
        <v>12.5</v>
      </c>
      <c r="I602" s="60">
        <f t="shared" si="58"/>
        <v>2.5</v>
      </c>
      <c r="J602" s="60">
        <f t="shared" si="59"/>
        <v>0.16666666666666666</v>
      </c>
      <c r="K602" s="35" t="str">
        <f t="shared" si="50"/>
        <v>20%</v>
      </c>
      <c r="M602" s="30">
        <f t="shared" si="51"/>
        <v>0.2</v>
      </c>
      <c r="N602" s="34">
        <f>VLOOKUP(A602, 'Stock Register'!A:F, 6, FALSE)</f>
        <v>11</v>
      </c>
    </row>
    <row r="603" spans="1:14" s="75" customFormat="1" hidden="1" x14ac:dyDescent="0.25">
      <c r="A603" s="204" t="s">
        <v>889</v>
      </c>
      <c r="B603" s="71"/>
      <c r="C603" s="71"/>
      <c r="D603" s="72">
        <f>SUMIF('Purchase Register'!C:C, A603, 'Purchase Register'!G:G)</f>
        <v>28</v>
      </c>
      <c r="E603" s="191">
        <v>30</v>
      </c>
      <c r="F603" s="74">
        <f>SUMIF('Sales Register'!C:C, A603, 'Sales Register'!D:D)</f>
        <v>3</v>
      </c>
      <c r="G603" s="74">
        <f t="shared" si="56"/>
        <v>90</v>
      </c>
      <c r="H603" s="74">
        <f t="shared" si="57"/>
        <v>84</v>
      </c>
      <c r="I603" s="74">
        <f t="shared" si="58"/>
        <v>6</v>
      </c>
      <c r="J603" s="74">
        <f t="shared" si="59"/>
        <v>6.6666666666666666E-2</v>
      </c>
      <c r="K603" s="134" t="str">
        <f t="shared" si="50"/>
        <v>7%</v>
      </c>
      <c r="L603" s="73"/>
      <c r="M603" s="99">
        <f t="shared" si="51"/>
        <v>7.1428571428571425E-2</v>
      </c>
      <c r="N603" s="73">
        <f>VLOOKUP(A603, 'Stock Register'!A:F, 6, FALSE)</f>
        <v>0</v>
      </c>
    </row>
    <row r="604" spans="1:14" ht="30" hidden="1" x14ac:dyDescent="0.25">
      <c r="A604" s="205" t="s">
        <v>881</v>
      </c>
      <c r="D604" s="29">
        <f>SUMIF('Purchase Register'!C:C, A604, 'Purchase Register'!G:G)</f>
        <v>8.75</v>
      </c>
      <c r="E604" s="190">
        <v>10</v>
      </c>
      <c r="F604" s="60">
        <f>SUMIF('Sales Register'!C:C, A604, 'Sales Register'!D:D)</f>
        <v>2</v>
      </c>
      <c r="G604" s="60">
        <f t="shared" si="56"/>
        <v>20</v>
      </c>
      <c r="H604" s="60">
        <f t="shared" si="57"/>
        <v>17.5</v>
      </c>
      <c r="I604" s="60">
        <f t="shared" si="58"/>
        <v>2.5</v>
      </c>
      <c r="J604" s="60">
        <f t="shared" si="59"/>
        <v>0.125</v>
      </c>
      <c r="K604" s="35" t="str">
        <f t="shared" si="50"/>
        <v>14%</v>
      </c>
      <c r="M604" s="30">
        <f t="shared" si="51"/>
        <v>0.14285714285714285</v>
      </c>
      <c r="N604" s="34">
        <f>VLOOKUP(A604, 'Stock Register'!A:F, 6, FALSE)</f>
        <v>10</v>
      </c>
    </row>
    <row r="605" spans="1:14" hidden="1" x14ac:dyDescent="0.25">
      <c r="A605" s="205" t="s">
        <v>894</v>
      </c>
      <c r="D605" s="29">
        <f>SUMIF('Purchase Register'!C:C, A605, 'Purchase Register'!G:G)</f>
        <v>3200</v>
      </c>
      <c r="E605" s="190">
        <v>3500</v>
      </c>
      <c r="F605" s="60">
        <f>SUMIF('Sales Register'!C:C, A605, 'Sales Register'!D:D)</f>
        <v>1.2999999999999999E-2</v>
      </c>
      <c r="G605" s="60">
        <f t="shared" si="56"/>
        <v>45.5</v>
      </c>
      <c r="H605" s="60">
        <f t="shared" si="57"/>
        <v>41.6</v>
      </c>
      <c r="I605" s="60">
        <f t="shared" si="58"/>
        <v>3.8999999999999986</v>
      </c>
      <c r="J605" s="60">
        <f t="shared" si="59"/>
        <v>8.5714285714285687E-2</v>
      </c>
      <c r="K605" s="35" t="str">
        <f t="shared" si="50"/>
        <v>9%</v>
      </c>
      <c r="M605" s="30">
        <f t="shared" si="51"/>
        <v>9.375E-2</v>
      </c>
      <c r="N605" s="34">
        <f>VLOOKUP(A605, 'Stock Register'!A:F, 6, FALSE)</f>
        <v>0.187</v>
      </c>
    </row>
    <row r="606" spans="1:14" hidden="1" x14ac:dyDescent="0.25">
      <c r="A606" s="205" t="s">
        <v>895</v>
      </c>
      <c r="D606" s="29">
        <f>SUMIF('Purchase Register'!C:C, A606, 'Purchase Register'!G:G)</f>
        <v>800</v>
      </c>
      <c r="E606" s="190">
        <v>900</v>
      </c>
      <c r="F606" s="60">
        <f>SUMIF('Sales Register'!C:C, A606, 'Sales Register'!D:D)</f>
        <v>0</v>
      </c>
      <c r="G606" s="60">
        <f t="shared" si="56"/>
        <v>0</v>
      </c>
      <c r="H606" s="60">
        <f t="shared" si="57"/>
        <v>0</v>
      </c>
      <c r="I606" s="60">
        <f t="shared" si="58"/>
        <v>0</v>
      </c>
      <c r="J606" s="60">
        <f t="shared" si="59"/>
        <v>0</v>
      </c>
      <c r="K606" s="35" t="str">
        <f t="shared" si="50"/>
        <v>12%</v>
      </c>
      <c r="M606" s="30">
        <f t="shared" si="51"/>
        <v>0.125</v>
      </c>
      <c r="N606" s="34">
        <f>VLOOKUP(A606, 'Stock Register'!A:F, 6, FALSE)</f>
        <v>0.5</v>
      </c>
    </row>
    <row r="607" spans="1:14" ht="30" hidden="1" x14ac:dyDescent="0.25">
      <c r="A607" s="205" t="s">
        <v>897</v>
      </c>
      <c r="D607" s="29">
        <f>SUMIF('Purchase Register'!C:C, A607, 'Purchase Register'!G:G)</f>
        <v>0.859375</v>
      </c>
      <c r="E607" s="190">
        <v>1</v>
      </c>
      <c r="F607" s="60">
        <f>SUMIF('Sales Register'!C:C, A607, 'Sales Register'!D:D)</f>
        <v>88</v>
      </c>
      <c r="G607" s="60">
        <f t="shared" si="56"/>
        <v>88</v>
      </c>
      <c r="H607" s="60">
        <f t="shared" si="57"/>
        <v>75.625</v>
      </c>
      <c r="I607" s="60">
        <f t="shared" si="58"/>
        <v>12.375</v>
      </c>
      <c r="J607" s="60">
        <f t="shared" si="59"/>
        <v>0.140625</v>
      </c>
      <c r="K607" s="35" t="str">
        <f t="shared" si="50"/>
        <v>16%</v>
      </c>
      <c r="M607" s="30">
        <f t="shared" si="51"/>
        <v>0.16363636363636364</v>
      </c>
      <c r="N607" s="34">
        <f>VLOOKUP(A607, 'Stock Register'!A:F, 6, FALSE)</f>
        <v>-24</v>
      </c>
    </row>
    <row r="608" spans="1:14" hidden="1" x14ac:dyDescent="0.25">
      <c r="A608" s="205" t="s">
        <v>898</v>
      </c>
      <c r="D608" s="29">
        <f>SUMIF('Purchase Register'!C:C, A608, 'Purchase Register'!G:G)</f>
        <v>1.734375</v>
      </c>
      <c r="E608" s="190">
        <v>2</v>
      </c>
      <c r="F608" s="60">
        <f>SUMIF('Sales Register'!C:C, A608, 'Sales Register'!D:D)</f>
        <v>0</v>
      </c>
      <c r="G608" s="60">
        <f t="shared" si="56"/>
        <v>0</v>
      </c>
      <c r="H608" s="60">
        <f t="shared" si="57"/>
        <v>0</v>
      </c>
      <c r="I608" s="60">
        <f t="shared" si="58"/>
        <v>0</v>
      </c>
      <c r="J608" s="60">
        <f t="shared" si="59"/>
        <v>0</v>
      </c>
      <c r="K608" s="35" t="str">
        <f t="shared" si="50"/>
        <v>15%</v>
      </c>
      <c r="M608" s="30">
        <f t="shared" si="51"/>
        <v>0.15315315315315314</v>
      </c>
      <c r="N608" s="34">
        <f>VLOOKUP(A608, 'Stock Register'!A:F, 6, FALSE)</f>
        <v>192</v>
      </c>
    </row>
    <row r="609" spans="1:14" ht="26.45" hidden="1" customHeight="1" x14ac:dyDescent="0.25">
      <c r="A609" s="205" t="s">
        <v>899</v>
      </c>
      <c r="D609" s="29">
        <f>SUMIF('Purchase Register'!C:C, A609, 'Purchase Register'!G:G)</f>
        <v>1.5</v>
      </c>
      <c r="E609" s="190">
        <v>2</v>
      </c>
      <c r="F609" s="60">
        <f>SUMIF('Sales Register'!C:C, A609, 'Sales Register'!D:D)</f>
        <v>0</v>
      </c>
      <c r="G609" s="60">
        <f t="shared" si="56"/>
        <v>0</v>
      </c>
      <c r="H609" s="60">
        <f t="shared" si="57"/>
        <v>0</v>
      </c>
      <c r="I609" s="60">
        <f t="shared" si="58"/>
        <v>0</v>
      </c>
      <c r="J609" s="60">
        <f t="shared" si="59"/>
        <v>0</v>
      </c>
      <c r="K609" s="35" t="str">
        <f t="shared" si="50"/>
        <v>33%</v>
      </c>
      <c r="M609" s="30">
        <f t="shared" si="51"/>
        <v>0.33333333333333331</v>
      </c>
      <c r="N609" s="34">
        <f>VLOOKUP(A609, 'Stock Register'!A:F, 6, FALSE)</f>
        <v>36</v>
      </c>
    </row>
    <row r="610" spans="1:14" s="75" customFormat="1" hidden="1" x14ac:dyDescent="0.25">
      <c r="A610" s="204" t="s">
        <v>901</v>
      </c>
      <c r="B610" s="71"/>
      <c r="C610" s="71"/>
      <c r="D610" s="72">
        <f>SUMIF('Purchase Register'!C:C, A610, 'Purchase Register'!G:G)</f>
        <v>15</v>
      </c>
      <c r="E610" s="191">
        <v>20</v>
      </c>
      <c r="F610" s="74">
        <f>SUMIF('Sales Register'!C:C, A610, 'Sales Register'!D:D)</f>
        <v>5.3</v>
      </c>
      <c r="G610" s="74">
        <f t="shared" si="56"/>
        <v>106</v>
      </c>
      <c r="H610" s="74">
        <f t="shared" si="57"/>
        <v>79.5</v>
      </c>
      <c r="I610" s="74">
        <f t="shared" si="58"/>
        <v>26.5</v>
      </c>
      <c r="J610" s="74">
        <f t="shared" si="59"/>
        <v>0.25</v>
      </c>
      <c r="K610" s="134" t="str">
        <f t="shared" si="50"/>
        <v>33%</v>
      </c>
      <c r="L610" s="73"/>
      <c r="M610" s="99">
        <f t="shared" si="51"/>
        <v>0.33333333333333331</v>
      </c>
      <c r="N610" s="34">
        <f>VLOOKUP(A610, 'Stock Register'!A:F, 6, FALSE)</f>
        <v>-1.2999999999999998</v>
      </c>
    </row>
    <row r="611" spans="1:14" s="75" customFormat="1" hidden="1" x14ac:dyDescent="0.25">
      <c r="A611" s="204" t="s">
        <v>902</v>
      </c>
      <c r="B611" s="71"/>
      <c r="C611" s="71"/>
      <c r="D611" s="72">
        <f>SUMIF('Purchase Register'!C:C, A611, 'Purchase Register'!G:G)</f>
        <v>25</v>
      </c>
      <c r="E611" s="191">
        <v>30</v>
      </c>
      <c r="F611" s="74">
        <f>SUMIF('Sales Register'!C:C, A611, 'Sales Register'!D:D)</f>
        <v>0.23</v>
      </c>
      <c r="G611" s="74">
        <f t="shared" si="56"/>
        <v>6.9</v>
      </c>
      <c r="H611" s="74">
        <f t="shared" si="57"/>
        <v>5.75</v>
      </c>
      <c r="I611" s="74">
        <f t="shared" si="58"/>
        <v>1.1500000000000004</v>
      </c>
      <c r="J611" s="74">
        <f t="shared" si="59"/>
        <v>0.16666666666666671</v>
      </c>
      <c r="K611" s="134" t="str">
        <f t="shared" si="50"/>
        <v>20%</v>
      </c>
      <c r="L611" s="73"/>
      <c r="M611" s="99">
        <f t="shared" si="51"/>
        <v>0.2</v>
      </c>
      <c r="N611" s="73">
        <f>VLOOKUP(A611, 'Stock Register'!A:F, 6, FALSE)</f>
        <v>9.77</v>
      </c>
    </row>
    <row r="612" spans="1:14" s="75" customFormat="1" hidden="1" x14ac:dyDescent="0.25">
      <c r="A612" s="204" t="s">
        <v>903</v>
      </c>
      <c r="B612" s="71"/>
      <c r="C612" s="71"/>
      <c r="D612" s="72">
        <f>SUMIF('Purchase Register'!C:C, A612, 'Purchase Register'!G:G)</f>
        <v>140</v>
      </c>
      <c r="E612" s="191">
        <v>200</v>
      </c>
      <c r="F612" s="74">
        <f>SUMIF('Sales Register'!C:C, A612, 'Sales Register'!D:D)</f>
        <v>0.4</v>
      </c>
      <c r="G612" s="74">
        <f t="shared" si="56"/>
        <v>80</v>
      </c>
      <c r="H612" s="74">
        <f t="shared" si="57"/>
        <v>56</v>
      </c>
      <c r="I612" s="74">
        <f t="shared" si="58"/>
        <v>24</v>
      </c>
      <c r="J612" s="74">
        <f t="shared" si="59"/>
        <v>0.3</v>
      </c>
      <c r="K612" s="134" t="str">
        <f t="shared" si="50"/>
        <v>42%</v>
      </c>
      <c r="L612" s="73"/>
      <c r="M612" s="99">
        <f t="shared" si="51"/>
        <v>0.42857142857142855</v>
      </c>
      <c r="N612" s="73">
        <f>VLOOKUP(A612, 'Stock Register'!A:F, 6, FALSE)</f>
        <v>0.6</v>
      </c>
    </row>
    <row r="613" spans="1:14" s="75" customFormat="1" hidden="1" x14ac:dyDescent="0.25">
      <c r="A613" s="204" t="s">
        <v>904</v>
      </c>
      <c r="B613" s="71"/>
      <c r="C613" s="71"/>
      <c r="D613" s="72">
        <f>SUMIF('Purchase Register'!C:C, A613, 'Purchase Register'!G:G)</f>
        <v>130</v>
      </c>
      <c r="E613" s="191">
        <v>150</v>
      </c>
      <c r="F613" s="74">
        <f>SUMIF('Sales Register'!C:C, A613, 'Sales Register'!D:D)</f>
        <v>0.2</v>
      </c>
      <c r="G613" s="74">
        <f t="shared" si="56"/>
        <v>30</v>
      </c>
      <c r="H613" s="74">
        <f t="shared" si="57"/>
        <v>26</v>
      </c>
      <c r="I613" s="74">
        <f t="shared" si="58"/>
        <v>4</v>
      </c>
      <c r="J613" s="74">
        <f t="shared" si="59"/>
        <v>0.13333333333333333</v>
      </c>
      <c r="K613" s="134" t="str">
        <f t="shared" si="50"/>
        <v>15%</v>
      </c>
      <c r="L613" s="73"/>
      <c r="M613" s="99">
        <f t="shared" si="51"/>
        <v>0.15384615384615385</v>
      </c>
      <c r="N613" s="73">
        <f>VLOOKUP(A613, 'Stock Register'!A:F, 6, FALSE)</f>
        <v>0.8</v>
      </c>
    </row>
    <row r="614" spans="1:14" s="75" customFormat="1" hidden="1" x14ac:dyDescent="0.25">
      <c r="A614" s="204" t="s">
        <v>905</v>
      </c>
      <c r="B614" s="71"/>
      <c r="C614" s="71"/>
      <c r="D614" s="72">
        <f>SUMIF('Purchase Register'!C:C, A614, 'Purchase Register'!G:G)</f>
        <v>7.666666666666667</v>
      </c>
      <c r="E614" s="191">
        <v>9</v>
      </c>
      <c r="F614" s="74">
        <f>SUMIF('Sales Register'!C:C, A614, 'Sales Register'!D:D)</f>
        <v>60</v>
      </c>
      <c r="G614" s="74">
        <f t="shared" si="56"/>
        <v>540</v>
      </c>
      <c r="H614" s="74">
        <f t="shared" si="57"/>
        <v>460</v>
      </c>
      <c r="I614" s="74">
        <f t="shared" si="58"/>
        <v>80</v>
      </c>
      <c r="J614" s="74">
        <f t="shared" si="59"/>
        <v>0.14814814814814814</v>
      </c>
      <c r="K614" s="134" t="str">
        <f t="shared" si="50"/>
        <v>17%</v>
      </c>
      <c r="L614" s="73"/>
      <c r="M614" s="99">
        <f t="shared" si="51"/>
        <v>0.17391304347826084</v>
      </c>
      <c r="N614" s="34">
        <f>VLOOKUP(A614, 'Stock Register'!A:F, 6, FALSE)</f>
        <v>0</v>
      </c>
    </row>
    <row r="615" spans="1:14" hidden="1" x14ac:dyDescent="0.25">
      <c r="A615" s="205" t="s">
        <v>908</v>
      </c>
      <c r="D615" s="29">
        <f>SUMIF('Purchase Register'!C:C, A615, 'Purchase Register'!G:G)</f>
        <v>40</v>
      </c>
      <c r="E615" s="190">
        <v>50</v>
      </c>
      <c r="F615" s="60">
        <f>SUMIF('Sales Register'!C:C, A615, 'Sales Register'!D:D)</f>
        <v>2</v>
      </c>
      <c r="G615" s="60">
        <f t="shared" si="56"/>
        <v>100</v>
      </c>
      <c r="H615" s="60">
        <f t="shared" si="57"/>
        <v>80</v>
      </c>
      <c r="I615" s="60">
        <f t="shared" si="58"/>
        <v>20</v>
      </c>
      <c r="J615" s="60">
        <f t="shared" si="59"/>
        <v>0.2</v>
      </c>
      <c r="K615" s="35" t="str">
        <f t="shared" si="50"/>
        <v>25%</v>
      </c>
      <c r="M615" s="30">
        <f t="shared" si="51"/>
        <v>0.25</v>
      </c>
      <c r="N615" s="34">
        <f>VLOOKUP(A615, 'Stock Register'!A:F, 6, FALSE)</f>
        <v>4</v>
      </c>
    </row>
    <row r="616" spans="1:14" hidden="1" x14ac:dyDescent="0.25">
      <c r="A616" s="205" t="s">
        <v>909</v>
      </c>
      <c r="D616" s="29">
        <f>SUMIF('Purchase Register'!C:C, A616, 'Purchase Register'!G:G)</f>
        <v>28</v>
      </c>
      <c r="E616" s="190">
        <v>30</v>
      </c>
      <c r="F616" s="60">
        <f>SUMIF('Sales Register'!C:C, A616, 'Sales Register'!D:D)</f>
        <v>6</v>
      </c>
      <c r="G616" s="60">
        <f t="shared" si="56"/>
        <v>180</v>
      </c>
      <c r="H616" s="60">
        <f t="shared" si="57"/>
        <v>168</v>
      </c>
      <c r="I616" s="60">
        <f t="shared" si="58"/>
        <v>12</v>
      </c>
      <c r="J616" s="60">
        <f t="shared" si="59"/>
        <v>6.6666666666666666E-2</v>
      </c>
      <c r="K616" s="35" t="str">
        <f t="shared" si="50"/>
        <v>7%</v>
      </c>
      <c r="M616" s="30">
        <f t="shared" si="51"/>
        <v>7.1428571428571425E-2</v>
      </c>
      <c r="N616" s="34">
        <f>VLOOKUP(A616, 'Stock Register'!A:F, 6, FALSE)</f>
        <v>0</v>
      </c>
    </row>
    <row r="617" spans="1:14" hidden="1" x14ac:dyDescent="0.25">
      <c r="A617" s="205" t="s">
        <v>910</v>
      </c>
      <c r="D617" s="29">
        <f>SUMIF('Purchase Register'!C:C, A617, 'Purchase Register'!G:G)</f>
        <v>110</v>
      </c>
      <c r="E617" s="190">
        <v>150</v>
      </c>
      <c r="F617" s="60">
        <f>SUMIF('Sales Register'!C:C, A617, 'Sales Register'!D:D)</f>
        <v>0</v>
      </c>
      <c r="G617" s="60">
        <f t="shared" si="56"/>
        <v>0</v>
      </c>
      <c r="H617" s="60">
        <f t="shared" si="57"/>
        <v>0</v>
      </c>
      <c r="I617" s="60">
        <f t="shared" si="58"/>
        <v>0</v>
      </c>
      <c r="J617" s="60">
        <f t="shared" si="59"/>
        <v>0</v>
      </c>
      <c r="K617" s="35" t="str">
        <f t="shared" si="50"/>
        <v>36%</v>
      </c>
      <c r="M617" s="30">
        <f t="shared" si="51"/>
        <v>0.36363636363636365</v>
      </c>
      <c r="N617" s="34">
        <f>VLOOKUP(A617, 'Stock Register'!A:F, 6, FALSE)</f>
        <v>3</v>
      </c>
    </row>
    <row r="618" spans="1:14" s="75" customFormat="1" hidden="1" x14ac:dyDescent="0.25">
      <c r="A618" s="204" t="s">
        <v>911</v>
      </c>
      <c r="B618" s="71"/>
      <c r="C618" s="71"/>
      <c r="D618" s="72">
        <f>SUMIF('Purchase Register'!C:C, A618, 'Purchase Register'!G:G)</f>
        <v>7.666666666666667</v>
      </c>
      <c r="E618" s="191">
        <v>9</v>
      </c>
      <c r="F618" s="74">
        <f>SUMIF('Sales Register'!C:C, A618, 'Sales Register'!D:D)</f>
        <v>59</v>
      </c>
      <c r="G618" s="74">
        <f t="shared" si="56"/>
        <v>531</v>
      </c>
      <c r="H618" s="74">
        <f t="shared" si="57"/>
        <v>452.33333333333337</v>
      </c>
      <c r="I618" s="74">
        <f t="shared" si="58"/>
        <v>78.666666666666629</v>
      </c>
      <c r="J618" s="74">
        <f t="shared" si="59"/>
        <v>0.14814814814814808</v>
      </c>
      <c r="K618" s="134" t="str">
        <f t="shared" si="50"/>
        <v>17%</v>
      </c>
      <c r="L618" s="73"/>
      <c r="M618" s="99">
        <f t="shared" si="51"/>
        <v>0.17391304347826084</v>
      </c>
      <c r="N618" s="34">
        <f>VLOOKUP(A618, 'Stock Register'!A:F, 6, FALSE)</f>
        <v>1</v>
      </c>
    </row>
    <row r="619" spans="1:14" ht="30" x14ac:dyDescent="0.25">
      <c r="A619" s="205" t="s">
        <v>912</v>
      </c>
      <c r="D619" s="29">
        <f>SUMIF('Purchase Register'!C:C, A619, 'Purchase Register'!G:G)</f>
        <v>9.1666666666666661</v>
      </c>
      <c r="E619" s="190">
        <v>10</v>
      </c>
      <c r="F619" s="60">
        <f>SUMIF('Sales Register'!C:C, A619, 'Sales Register'!D:D)</f>
        <v>24</v>
      </c>
      <c r="G619" s="60">
        <f t="shared" si="56"/>
        <v>240</v>
      </c>
      <c r="H619" s="60">
        <f t="shared" si="57"/>
        <v>220</v>
      </c>
      <c r="I619" s="60">
        <f t="shared" si="58"/>
        <v>20</v>
      </c>
      <c r="J619" s="60">
        <f t="shared" si="59"/>
        <v>8.3333333333333329E-2</v>
      </c>
      <c r="K619" s="35" t="str">
        <f t="shared" si="50"/>
        <v>9%</v>
      </c>
      <c r="M619" s="30">
        <f t="shared" si="51"/>
        <v>9.0909090909090981E-2</v>
      </c>
      <c r="N619" s="34">
        <f>VLOOKUP(A619, 'Stock Register'!A:F, 6, FALSE)</f>
        <v>0</v>
      </c>
    </row>
    <row r="620" spans="1:14" s="75" customFormat="1" ht="30" hidden="1" x14ac:dyDescent="0.25">
      <c r="A620" s="204" t="s">
        <v>913</v>
      </c>
      <c r="B620" s="71"/>
      <c r="C620" s="71"/>
      <c r="D620" s="72">
        <f>SUMIF('Purchase Register'!C:C, A620, 'Purchase Register'!G:G)</f>
        <v>32.5</v>
      </c>
      <c r="E620" s="191">
        <v>35</v>
      </c>
      <c r="F620" s="74">
        <f>SUMIF('Sales Register'!C:C, A620, 'Sales Register'!D:D)</f>
        <v>5</v>
      </c>
      <c r="G620" s="74">
        <f t="shared" si="56"/>
        <v>175</v>
      </c>
      <c r="H620" s="74">
        <f t="shared" si="57"/>
        <v>162.5</v>
      </c>
      <c r="I620" s="74">
        <f t="shared" si="58"/>
        <v>12.5</v>
      </c>
      <c r="J620" s="74">
        <f t="shared" si="59"/>
        <v>7.1428571428571425E-2</v>
      </c>
      <c r="K620" s="134" t="str">
        <f t="shared" si="50"/>
        <v>7%</v>
      </c>
      <c r="L620" s="73"/>
      <c r="M620" s="99">
        <f t="shared" si="51"/>
        <v>7.6923076923076927E-2</v>
      </c>
      <c r="N620" s="73">
        <f>VLOOKUP(A620, 'Stock Register'!A:F, 6, FALSE)</f>
        <v>1</v>
      </c>
    </row>
    <row r="621" spans="1:14" s="75" customFormat="1" hidden="1" x14ac:dyDescent="0.25">
      <c r="A621" s="204" t="s">
        <v>914</v>
      </c>
      <c r="B621" s="71"/>
      <c r="C621" s="71"/>
      <c r="D621" s="72">
        <f>SUMIF('Purchase Register'!C:C, A621, 'Purchase Register'!G:G)</f>
        <v>28</v>
      </c>
      <c r="E621" s="191">
        <v>30</v>
      </c>
      <c r="F621" s="74">
        <f>SUMIF('Sales Register'!C:C, A621, 'Sales Register'!D:D)</f>
        <v>9</v>
      </c>
      <c r="G621" s="74">
        <f t="shared" si="56"/>
        <v>270</v>
      </c>
      <c r="H621" s="74">
        <f t="shared" si="57"/>
        <v>252</v>
      </c>
      <c r="I621" s="74">
        <f t="shared" si="58"/>
        <v>18</v>
      </c>
      <c r="J621" s="74">
        <f t="shared" si="59"/>
        <v>6.6666666666666666E-2</v>
      </c>
      <c r="K621" s="134" t="str">
        <f t="shared" si="50"/>
        <v>7%</v>
      </c>
      <c r="L621" s="73"/>
      <c r="M621" s="99">
        <f t="shared" si="51"/>
        <v>7.1428571428571425E-2</v>
      </c>
      <c r="N621" s="73">
        <f>VLOOKUP(A621, 'Stock Register'!A:F, 6, FALSE)</f>
        <v>-3</v>
      </c>
    </row>
    <row r="622" spans="1:14" hidden="1" x14ac:dyDescent="0.25">
      <c r="A622" s="205" t="s">
        <v>915</v>
      </c>
      <c r="D622" s="29">
        <f>SUMIF('Purchase Register'!C:C, A622, 'Purchase Register'!G:G)</f>
        <v>9.2857142857142865</v>
      </c>
      <c r="E622" s="190">
        <v>10</v>
      </c>
      <c r="F622" s="60">
        <f>SUMIF('Sales Register'!C:C, A622, 'Sales Register'!D:D)</f>
        <v>54</v>
      </c>
      <c r="G622" s="60">
        <f t="shared" si="56"/>
        <v>540</v>
      </c>
      <c r="H622" s="60">
        <f t="shared" si="57"/>
        <v>501.42857142857144</v>
      </c>
      <c r="I622" s="60">
        <f t="shared" si="58"/>
        <v>38.571428571428555</v>
      </c>
      <c r="J622" s="60">
        <f t="shared" si="59"/>
        <v>7.1428571428571397E-2</v>
      </c>
      <c r="K622" s="35" t="str">
        <f t="shared" si="50"/>
        <v>7%</v>
      </c>
      <c r="M622" s="30">
        <f t="shared" si="51"/>
        <v>7.692307692307683E-2</v>
      </c>
      <c r="N622" s="34">
        <f>VLOOKUP(A622, 'Stock Register'!A:F, 6, FALSE)</f>
        <v>2</v>
      </c>
    </row>
    <row r="623" spans="1:14" hidden="1" x14ac:dyDescent="0.25">
      <c r="A623" s="205" t="s">
        <v>916</v>
      </c>
      <c r="D623" s="29">
        <f>SUMIF('Purchase Register'!C:C, A623, 'Purchase Register'!G:G)</f>
        <v>9</v>
      </c>
      <c r="E623" s="190">
        <v>10</v>
      </c>
      <c r="F623" s="60">
        <f>SUMIF('Sales Register'!C:C, A623, 'Sales Register'!D:D)</f>
        <v>9</v>
      </c>
      <c r="G623" s="60">
        <f t="shared" si="56"/>
        <v>90</v>
      </c>
      <c r="H623" s="60">
        <f t="shared" si="57"/>
        <v>81</v>
      </c>
      <c r="I623" s="60">
        <f t="shared" si="58"/>
        <v>9</v>
      </c>
      <c r="J623" s="60">
        <f t="shared" si="59"/>
        <v>0.1</v>
      </c>
      <c r="K623" s="35" t="str">
        <f t="shared" si="50"/>
        <v>11%</v>
      </c>
      <c r="M623" s="30">
        <f t="shared" si="51"/>
        <v>0.1111111111111111</v>
      </c>
      <c r="N623" s="34">
        <f>VLOOKUP(A623, 'Stock Register'!A:F, 6, FALSE)</f>
        <v>15</v>
      </c>
    </row>
    <row r="624" spans="1:14" hidden="1" x14ac:dyDescent="0.25">
      <c r="A624" s="205" t="s">
        <v>917</v>
      </c>
      <c r="D624" s="29">
        <f>SUMIF('Purchase Register'!C:C, A624, 'Purchase Register'!G:G)</f>
        <v>65</v>
      </c>
      <c r="E624" s="190">
        <v>70</v>
      </c>
      <c r="F624" s="60">
        <f>SUMIF('Sales Register'!C:C, A624, 'Sales Register'!D:D)</f>
        <v>7</v>
      </c>
      <c r="G624" s="60">
        <f t="shared" si="56"/>
        <v>490</v>
      </c>
      <c r="H624" s="60">
        <f t="shared" si="57"/>
        <v>455</v>
      </c>
      <c r="I624" s="60">
        <f t="shared" si="58"/>
        <v>35</v>
      </c>
      <c r="J624" s="60">
        <f t="shared" si="59"/>
        <v>7.1428571428571425E-2</v>
      </c>
      <c r="K624" s="35" t="str">
        <f t="shared" si="50"/>
        <v>7%</v>
      </c>
      <c r="M624" s="30">
        <f t="shared" si="51"/>
        <v>7.6923076923076927E-2</v>
      </c>
      <c r="N624" s="34">
        <f>VLOOKUP(A624, 'Stock Register'!A:F, 6, FALSE)</f>
        <v>-1</v>
      </c>
    </row>
    <row r="625" spans="1:14" hidden="1" x14ac:dyDescent="0.25">
      <c r="A625" s="205" t="s">
        <v>918</v>
      </c>
      <c r="D625" s="29">
        <f>SUMIF('Purchase Register'!C:C, A625, 'Purchase Register'!G:G)</f>
        <v>55</v>
      </c>
      <c r="E625" s="190">
        <v>60</v>
      </c>
      <c r="F625" s="60">
        <f>SUMIF('Sales Register'!C:C, A625, 'Sales Register'!D:D)</f>
        <v>1</v>
      </c>
      <c r="G625" s="60">
        <f t="shared" si="56"/>
        <v>60</v>
      </c>
      <c r="H625" s="60">
        <f t="shared" si="57"/>
        <v>55</v>
      </c>
      <c r="I625" s="60">
        <f t="shared" si="58"/>
        <v>5</v>
      </c>
      <c r="J625" s="60">
        <f t="shared" si="59"/>
        <v>8.3333333333333329E-2</v>
      </c>
      <c r="K625" s="35" t="str">
        <f t="shared" si="50"/>
        <v>9%</v>
      </c>
      <c r="M625" s="30">
        <f t="shared" si="51"/>
        <v>9.0909090909090912E-2</v>
      </c>
      <c r="N625" s="34">
        <f>VLOOKUP(A625, 'Stock Register'!A:F, 6, FALSE)</f>
        <v>5</v>
      </c>
    </row>
    <row r="626" spans="1:14" hidden="1" x14ac:dyDescent="0.25">
      <c r="A626" s="205" t="s">
        <v>919</v>
      </c>
      <c r="D626" s="29">
        <f>SUMIF('Purchase Register'!C:C, A626, 'Purchase Register'!G:G)</f>
        <v>12.5</v>
      </c>
      <c r="E626" s="190">
        <v>14</v>
      </c>
      <c r="F626" s="60">
        <f>SUMIF('Sales Register'!C:C, A626, 'Sales Register'!D:D)</f>
        <v>0</v>
      </c>
      <c r="G626" s="60">
        <f t="shared" si="56"/>
        <v>0</v>
      </c>
      <c r="H626" s="60">
        <f t="shared" si="57"/>
        <v>0</v>
      </c>
      <c r="I626" s="60">
        <f t="shared" si="58"/>
        <v>0</v>
      </c>
      <c r="J626" s="60">
        <f t="shared" si="59"/>
        <v>0</v>
      </c>
      <c r="K626" s="35" t="str">
        <f t="shared" si="50"/>
        <v>12%</v>
      </c>
      <c r="M626" s="30">
        <f t="shared" si="51"/>
        <v>0.12</v>
      </c>
      <c r="N626" s="34">
        <f>VLOOKUP(A626, 'Stock Register'!A:F, 6, FALSE)</f>
        <v>30</v>
      </c>
    </row>
    <row r="627" spans="1:14" ht="30" hidden="1" x14ac:dyDescent="0.25">
      <c r="A627" s="205" t="s">
        <v>920</v>
      </c>
      <c r="D627" s="29">
        <f>SUMIF('Purchase Register'!C:C, A627, 'Purchase Register'!G:G)</f>
        <v>47</v>
      </c>
      <c r="E627" s="190">
        <v>60</v>
      </c>
      <c r="F627" s="60">
        <f>SUMIF('Sales Register'!C:C, A627, 'Sales Register'!D:D)</f>
        <v>3</v>
      </c>
      <c r="G627" s="60">
        <f t="shared" si="56"/>
        <v>180</v>
      </c>
      <c r="H627" s="60">
        <f t="shared" si="57"/>
        <v>141</v>
      </c>
      <c r="I627" s="60">
        <f t="shared" si="58"/>
        <v>39</v>
      </c>
      <c r="J627" s="60">
        <f t="shared" si="59"/>
        <v>0.21666666666666667</v>
      </c>
      <c r="K627" s="35" t="str">
        <f t="shared" si="50"/>
        <v>27%</v>
      </c>
      <c r="M627" s="30">
        <f t="shared" si="51"/>
        <v>0.27659574468085107</v>
      </c>
      <c r="N627" s="34">
        <f>VLOOKUP(A627, 'Stock Register'!A:F, 6, FALSE)</f>
        <v>1</v>
      </c>
    </row>
    <row r="628" spans="1:14" hidden="1" x14ac:dyDescent="0.25">
      <c r="A628" s="205">
        <v>3</v>
      </c>
      <c r="D628" s="29">
        <f>SUMIF('Purchase Register'!C:C, A628, 'Purchase Register'!G:G)</f>
        <v>0</v>
      </c>
      <c r="E628" s="190">
        <v>10</v>
      </c>
      <c r="F628" s="60">
        <f>SUMIF('Sales Register'!C:C, A628, 'Sales Register'!D:D)</f>
        <v>0</v>
      </c>
      <c r="G628" s="60">
        <f t="shared" si="56"/>
        <v>0</v>
      </c>
      <c r="H628" s="60">
        <f t="shared" si="57"/>
        <v>0</v>
      </c>
      <c r="I628" s="60">
        <f t="shared" si="58"/>
        <v>0</v>
      </c>
      <c r="J628" s="60">
        <f t="shared" si="59"/>
        <v>0</v>
      </c>
      <c r="K628" s="35" t="e">
        <f t="shared" si="50"/>
        <v>#DIV/0!</v>
      </c>
      <c r="M628" s="30">
        <f t="shared" si="51"/>
        <v>0</v>
      </c>
      <c r="N628" s="34" t="e">
        <f>VLOOKUP(A628, 'Stock Register'!A:F, 6, FALSE)</f>
        <v>#N/A</v>
      </c>
    </row>
    <row r="629" spans="1:14" s="75" customFormat="1" hidden="1" x14ac:dyDescent="0.25">
      <c r="A629" s="204" t="s">
        <v>922</v>
      </c>
      <c r="B629" s="71"/>
      <c r="C629" s="71"/>
      <c r="D629" s="72">
        <f>SUMIF('Purchase Register'!C:C, A629, 'Purchase Register'!G:G)</f>
        <v>54</v>
      </c>
      <c r="E629" s="191">
        <v>59</v>
      </c>
      <c r="F629" s="74">
        <f>SUMIF('Sales Register'!C:C, A629, 'Sales Register'!D:D)</f>
        <v>5</v>
      </c>
      <c r="G629" s="74">
        <f t="shared" si="56"/>
        <v>295</v>
      </c>
      <c r="H629" s="74">
        <f t="shared" si="57"/>
        <v>270</v>
      </c>
      <c r="I629" s="74">
        <f t="shared" si="58"/>
        <v>25</v>
      </c>
      <c r="J629" s="74">
        <f t="shared" si="59"/>
        <v>8.4745762711864403E-2</v>
      </c>
      <c r="K629" s="134" t="str">
        <f t="shared" si="50"/>
        <v>9%</v>
      </c>
      <c r="L629" s="73"/>
      <c r="M629" s="99">
        <f t="shared" si="51"/>
        <v>9.2592592592592587E-2</v>
      </c>
      <c r="N629" s="73">
        <f>VLOOKUP(A629, 'Stock Register'!A:F, 6, FALSE)</f>
        <v>0</v>
      </c>
    </row>
    <row r="630" spans="1:14" s="75" customFormat="1" hidden="1" x14ac:dyDescent="0.25">
      <c r="A630" s="204" t="s">
        <v>923</v>
      </c>
      <c r="B630" s="71"/>
      <c r="C630" s="71"/>
      <c r="D630" s="72">
        <f>SUMIF('Purchase Register'!C:C, A630, 'Purchase Register'!G:G)</f>
        <v>26</v>
      </c>
      <c r="E630" s="191">
        <v>30</v>
      </c>
      <c r="F630" s="74">
        <f>SUMIF('Sales Register'!C:C, A630, 'Sales Register'!D:D)</f>
        <v>5</v>
      </c>
      <c r="G630" s="74">
        <f t="shared" ref="G630:G693" si="60">E630*F630</f>
        <v>150</v>
      </c>
      <c r="H630" s="74">
        <f t="shared" si="57"/>
        <v>130</v>
      </c>
      <c r="I630" s="74">
        <f t="shared" si="58"/>
        <v>20</v>
      </c>
      <c r="J630" s="74">
        <f t="shared" si="59"/>
        <v>0.13333333333333333</v>
      </c>
      <c r="K630" s="134" t="str">
        <f t="shared" si="50"/>
        <v>15%</v>
      </c>
      <c r="L630" s="73"/>
      <c r="M630" s="99">
        <f t="shared" si="51"/>
        <v>0.15384615384615385</v>
      </c>
      <c r="N630" s="73">
        <f>VLOOKUP(A630, 'Stock Register'!A:F, 6, FALSE)</f>
        <v>0</v>
      </c>
    </row>
    <row r="631" spans="1:14" ht="30" hidden="1" x14ac:dyDescent="0.25">
      <c r="A631" s="205" t="s">
        <v>924</v>
      </c>
      <c r="D631" s="29">
        <f>SUMIF('Purchase Register'!C:C, A631, 'Purchase Register'!G:G)</f>
        <v>40</v>
      </c>
      <c r="E631" s="190">
        <v>60</v>
      </c>
      <c r="F631" s="60">
        <f>SUMIF('Sales Register'!C:C, A631, 'Sales Register'!D:D)</f>
        <v>1</v>
      </c>
      <c r="G631" s="60">
        <f t="shared" si="60"/>
        <v>60</v>
      </c>
      <c r="H631" s="60">
        <f t="shared" si="57"/>
        <v>40</v>
      </c>
      <c r="I631" s="60">
        <f t="shared" si="58"/>
        <v>20</v>
      </c>
      <c r="J631" s="60">
        <f t="shared" si="59"/>
        <v>0.33333333333333331</v>
      </c>
      <c r="K631" s="35" t="str">
        <f t="shared" si="50"/>
        <v>50%</v>
      </c>
      <c r="M631" s="30">
        <f t="shared" si="51"/>
        <v>0.5</v>
      </c>
      <c r="N631" s="34">
        <f>VLOOKUP(A631, 'Stock Register'!A:F, 6, FALSE)</f>
        <v>1</v>
      </c>
    </row>
    <row r="632" spans="1:14" hidden="1" x14ac:dyDescent="0.25">
      <c r="A632" s="205" t="s">
        <v>925</v>
      </c>
      <c r="D632" s="29">
        <f>SUMIF('Purchase Register'!C:C, A632, 'Purchase Register'!G:G)</f>
        <v>14</v>
      </c>
      <c r="E632" s="190">
        <v>15</v>
      </c>
      <c r="F632" s="60">
        <f>SUMIF('Sales Register'!C:C, A632, 'Sales Register'!D:D)</f>
        <v>4</v>
      </c>
      <c r="G632" s="60">
        <f t="shared" si="60"/>
        <v>60</v>
      </c>
      <c r="H632" s="60">
        <f t="shared" si="57"/>
        <v>56</v>
      </c>
      <c r="I632" s="60">
        <f t="shared" si="58"/>
        <v>4</v>
      </c>
      <c r="J632" s="60">
        <f t="shared" si="59"/>
        <v>6.6666666666666666E-2</v>
      </c>
      <c r="K632" s="35" t="str">
        <f t="shared" si="50"/>
        <v>7%</v>
      </c>
      <c r="M632" s="30">
        <f t="shared" si="51"/>
        <v>7.1428571428571425E-2</v>
      </c>
      <c r="N632" s="34">
        <f>VLOOKUP(A632, 'Stock Register'!A:F, 6, FALSE)</f>
        <v>1</v>
      </c>
    </row>
    <row r="633" spans="1:14" hidden="1" x14ac:dyDescent="0.25">
      <c r="A633" s="205" t="s">
        <v>926</v>
      </c>
      <c r="D633" s="29">
        <f>SUMIF('Purchase Register'!C:C, A633, 'Purchase Register'!G:G)</f>
        <v>21</v>
      </c>
      <c r="E633" s="190">
        <v>25</v>
      </c>
      <c r="F633" s="60">
        <f>SUMIF('Sales Register'!C:C, A633, 'Sales Register'!D:D)</f>
        <v>3</v>
      </c>
      <c r="G633" s="60">
        <f t="shared" si="60"/>
        <v>75</v>
      </c>
      <c r="H633" s="60">
        <f t="shared" si="57"/>
        <v>63</v>
      </c>
      <c r="I633" s="60">
        <f t="shared" si="58"/>
        <v>12</v>
      </c>
      <c r="J633" s="60">
        <f t="shared" si="59"/>
        <v>0.16</v>
      </c>
      <c r="K633" s="35" t="str">
        <f t="shared" si="50"/>
        <v>19%</v>
      </c>
      <c r="M633" s="30">
        <f t="shared" si="51"/>
        <v>0.19047619047619047</v>
      </c>
      <c r="N633" s="34">
        <f>VLOOKUP(A633, 'Stock Register'!A:F, 6, FALSE)</f>
        <v>0</v>
      </c>
    </row>
    <row r="634" spans="1:14" s="75" customFormat="1" hidden="1" x14ac:dyDescent="0.25">
      <c r="A634" s="204" t="s">
        <v>927</v>
      </c>
      <c r="B634" s="71"/>
      <c r="C634" s="71"/>
      <c r="D634" s="72">
        <f>SUMIF('Purchase Register'!C:C, A634, 'Purchase Register'!G:G)</f>
        <v>18</v>
      </c>
      <c r="E634" s="191">
        <v>20</v>
      </c>
      <c r="F634" s="74">
        <f>SUMIF('Sales Register'!C:C, A634, 'Sales Register'!D:D)</f>
        <v>4</v>
      </c>
      <c r="G634" s="74">
        <f t="shared" si="60"/>
        <v>80</v>
      </c>
      <c r="H634" s="74">
        <f t="shared" si="57"/>
        <v>72</v>
      </c>
      <c r="I634" s="74">
        <f t="shared" si="58"/>
        <v>8</v>
      </c>
      <c r="J634" s="74">
        <f t="shared" si="59"/>
        <v>0.1</v>
      </c>
      <c r="K634" s="134" t="str">
        <f t="shared" si="50"/>
        <v>11%</v>
      </c>
      <c r="L634" s="73"/>
      <c r="M634" s="99">
        <f t="shared" si="51"/>
        <v>0.1111111111111111</v>
      </c>
      <c r="N634" s="73">
        <f>VLOOKUP(A634, 'Stock Register'!A:F, 6, FALSE)</f>
        <v>0</v>
      </c>
    </row>
    <row r="635" spans="1:14" s="75" customFormat="1" ht="30" hidden="1" x14ac:dyDescent="0.25">
      <c r="A635" s="204" t="s">
        <v>928</v>
      </c>
      <c r="B635" s="71"/>
      <c r="C635" s="71"/>
      <c r="D635" s="72">
        <f>SUMIF('Purchase Register'!C:C, A635, 'Purchase Register'!G:G)</f>
        <v>19</v>
      </c>
      <c r="E635" s="191">
        <v>20</v>
      </c>
      <c r="F635" s="74">
        <f>SUMIF('Sales Register'!C:C, A635, 'Sales Register'!D:D)</f>
        <v>3</v>
      </c>
      <c r="G635" s="74">
        <f t="shared" si="60"/>
        <v>60</v>
      </c>
      <c r="H635" s="74">
        <f t="shared" si="57"/>
        <v>57</v>
      </c>
      <c r="I635" s="74">
        <f t="shared" si="58"/>
        <v>3</v>
      </c>
      <c r="J635" s="74">
        <f t="shared" si="59"/>
        <v>0.05</v>
      </c>
      <c r="K635" s="134" t="str">
        <f t="shared" si="50"/>
        <v>5%</v>
      </c>
      <c r="L635" s="73"/>
      <c r="M635" s="99">
        <f t="shared" si="51"/>
        <v>5.2631578947368418E-2</v>
      </c>
      <c r="N635" s="73">
        <f>VLOOKUP(A635, 'Stock Register'!A:F, 6, FALSE)</f>
        <v>0</v>
      </c>
    </row>
    <row r="636" spans="1:14" s="75" customFormat="1" hidden="1" x14ac:dyDescent="0.25">
      <c r="A636" s="204" t="s">
        <v>929</v>
      </c>
      <c r="B636" s="71"/>
      <c r="C636" s="71"/>
      <c r="D636" s="72">
        <f>SUMIF('Purchase Register'!C:C, A636, 'Purchase Register'!G:G)</f>
        <v>18</v>
      </c>
      <c r="E636" s="191">
        <v>20</v>
      </c>
      <c r="F636" s="74">
        <f>SUMIF('Sales Register'!C:C, A636, 'Sales Register'!D:D)</f>
        <v>7</v>
      </c>
      <c r="G636" s="74">
        <f t="shared" si="60"/>
        <v>140</v>
      </c>
      <c r="H636" s="74">
        <f t="shared" si="57"/>
        <v>126</v>
      </c>
      <c r="I636" s="74">
        <f t="shared" si="58"/>
        <v>14</v>
      </c>
      <c r="J636" s="74">
        <f t="shared" si="59"/>
        <v>0.1</v>
      </c>
      <c r="K636" s="134" t="str">
        <f t="shared" si="50"/>
        <v>11%</v>
      </c>
      <c r="L636" s="73"/>
      <c r="M636" s="99">
        <f t="shared" si="51"/>
        <v>0.1111111111111111</v>
      </c>
      <c r="N636" s="73">
        <f>VLOOKUP(A636, 'Stock Register'!A:F, 6, FALSE)</f>
        <v>0</v>
      </c>
    </row>
    <row r="637" spans="1:14" hidden="1" x14ac:dyDescent="0.25">
      <c r="A637" s="205" t="s">
        <v>930</v>
      </c>
      <c r="D637" s="29">
        <f>SUMIF('Purchase Register'!C:C, A637, 'Purchase Register'!G:G)</f>
        <v>56</v>
      </c>
      <c r="E637" s="190">
        <v>58</v>
      </c>
      <c r="F637" s="60">
        <f>SUMIF('Sales Register'!C:C, A637, 'Sales Register'!D:D)</f>
        <v>4</v>
      </c>
      <c r="G637" s="60">
        <f t="shared" si="60"/>
        <v>232</v>
      </c>
      <c r="H637" s="60">
        <f t="shared" si="57"/>
        <v>224</v>
      </c>
      <c r="I637" s="60">
        <f t="shared" si="58"/>
        <v>8</v>
      </c>
      <c r="J637" s="60">
        <f t="shared" si="59"/>
        <v>3.4482758620689655E-2</v>
      </c>
      <c r="K637" s="35" t="str">
        <f t="shared" si="50"/>
        <v>3%</v>
      </c>
      <c r="M637" s="30">
        <f t="shared" si="51"/>
        <v>3.5714285714285712E-2</v>
      </c>
      <c r="N637" s="34">
        <f>VLOOKUP(A637, 'Stock Register'!A:F, 6, FALSE)</f>
        <v>-2</v>
      </c>
    </row>
    <row r="638" spans="1:14" ht="30" hidden="1" x14ac:dyDescent="0.25">
      <c r="A638" s="205" t="s">
        <v>931</v>
      </c>
      <c r="D638" s="29">
        <f>SUMIF('Purchase Register'!C:C, A638, 'Purchase Register'!G:G)</f>
        <v>17</v>
      </c>
      <c r="E638" s="190">
        <v>20</v>
      </c>
      <c r="F638" s="60">
        <f>SUMIF('Sales Register'!C:C, A638, 'Sales Register'!D:D)</f>
        <v>3</v>
      </c>
      <c r="G638" s="60">
        <f t="shared" si="60"/>
        <v>60</v>
      </c>
      <c r="H638" s="60">
        <f t="shared" si="57"/>
        <v>51</v>
      </c>
      <c r="I638" s="60">
        <f t="shared" si="58"/>
        <v>9</v>
      </c>
      <c r="J638" s="60">
        <f t="shared" si="59"/>
        <v>0.15</v>
      </c>
      <c r="K638" s="35" t="str">
        <f t="shared" si="50"/>
        <v>17%</v>
      </c>
      <c r="M638" s="30">
        <f t="shared" si="51"/>
        <v>0.17647058823529413</v>
      </c>
      <c r="N638" s="34">
        <f>VLOOKUP(A638, 'Stock Register'!A:F, 6, FALSE)</f>
        <v>1</v>
      </c>
    </row>
    <row r="639" spans="1:14" ht="30" hidden="1" x14ac:dyDescent="0.25">
      <c r="A639" s="205" t="s">
        <v>935</v>
      </c>
      <c r="D639" s="29">
        <f>SUMIF('Purchase Register'!C:C, A639, 'Purchase Register'!G:G)</f>
        <v>28</v>
      </c>
      <c r="E639" s="190">
        <v>30</v>
      </c>
      <c r="F639" s="60">
        <f>SUMIF('Sales Register'!C:C, A639, 'Sales Register'!D:D)</f>
        <v>2</v>
      </c>
      <c r="G639" s="60">
        <f t="shared" si="60"/>
        <v>60</v>
      </c>
      <c r="H639" s="60">
        <f t="shared" si="57"/>
        <v>56</v>
      </c>
      <c r="I639" s="60">
        <f t="shared" si="58"/>
        <v>4</v>
      </c>
      <c r="J639" s="60">
        <f t="shared" si="59"/>
        <v>6.6666666666666666E-2</v>
      </c>
      <c r="K639" s="35" t="str">
        <f t="shared" si="50"/>
        <v>7%</v>
      </c>
      <c r="M639" s="30">
        <f t="shared" si="51"/>
        <v>7.1428571428571425E-2</v>
      </c>
      <c r="N639" s="34">
        <f>VLOOKUP(A639, 'Stock Register'!A:F, 6, FALSE)</f>
        <v>0</v>
      </c>
    </row>
    <row r="640" spans="1:14" ht="30" hidden="1" x14ac:dyDescent="0.25">
      <c r="A640" s="205" t="s">
        <v>934</v>
      </c>
      <c r="D640" s="29">
        <f>SUMIF('Purchase Register'!C:C, A640, 'Purchase Register'!G:G)</f>
        <v>40</v>
      </c>
      <c r="E640" s="190">
        <v>60</v>
      </c>
      <c r="F640" s="60">
        <f>SUMIF('Sales Register'!C:C, A640, 'Sales Register'!D:D)</f>
        <v>0</v>
      </c>
      <c r="G640" s="60">
        <f t="shared" si="60"/>
        <v>0</v>
      </c>
      <c r="H640" s="60">
        <f t="shared" si="57"/>
        <v>0</v>
      </c>
      <c r="I640" s="60">
        <f t="shared" si="58"/>
        <v>0</v>
      </c>
      <c r="J640" s="60">
        <f t="shared" si="59"/>
        <v>0</v>
      </c>
      <c r="K640" s="35" t="str">
        <f t="shared" si="50"/>
        <v>50%</v>
      </c>
      <c r="M640" s="30">
        <f t="shared" si="51"/>
        <v>0.5</v>
      </c>
      <c r="N640" s="34">
        <f>VLOOKUP(A640, 'Stock Register'!A:F, 6, FALSE)</f>
        <v>2</v>
      </c>
    </row>
    <row r="641" spans="1:14" s="75" customFormat="1" ht="30" hidden="1" x14ac:dyDescent="0.25">
      <c r="A641" s="204" t="s">
        <v>933</v>
      </c>
      <c r="B641" s="71"/>
      <c r="C641" s="71"/>
      <c r="D641" s="72">
        <f>SUMIF('Purchase Register'!C:C, A641, 'Purchase Register'!G:G)</f>
        <v>20</v>
      </c>
      <c r="E641" s="191">
        <v>35</v>
      </c>
      <c r="F641" s="74">
        <f>SUMIF('Sales Register'!C:C, A641, 'Sales Register'!D:D)</f>
        <v>2</v>
      </c>
      <c r="G641" s="74">
        <f t="shared" si="60"/>
        <v>70</v>
      </c>
      <c r="H641" s="74">
        <f t="shared" si="57"/>
        <v>40</v>
      </c>
      <c r="I641" s="74">
        <f t="shared" si="58"/>
        <v>30</v>
      </c>
      <c r="J641" s="74">
        <f t="shared" si="59"/>
        <v>0.42857142857142855</v>
      </c>
      <c r="K641" s="134" t="str">
        <f t="shared" si="50"/>
        <v>75%</v>
      </c>
      <c r="L641" s="73"/>
      <c r="M641" s="99">
        <f t="shared" si="51"/>
        <v>0.75</v>
      </c>
      <c r="N641" s="73">
        <f>VLOOKUP(A641, 'Stock Register'!A:F, 6, FALSE)</f>
        <v>0</v>
      </c>
    </row>
    <row r="642" spans="1:14" s="75" customFormat="1" ht="30" hidden="1" x14ac:dyDescent="0.25">
      <c r="A642" s="204" t="s">
        <v>936</v>
      </c>
      <c r="B642" s="71"/>
      <c r="C642" s="71"/>
      <c r="D642" s="72">
        <f>SUMIF('Purchase Register'!C:C, A642, 'Purchase Register'!G:G)</f>
        <v>19</v>
      </c>
      <c r="E642" s="191">
        <v>20</v>
      </c>
      <c r="F642" s="74">
        <f>SUMIF('Sales Register'!C:C, A642, 'Sales Register'!D:D)</f>
        <v>1</v>
      </c>
      <c r="G642" s="74">
        <f t="shared" si="60"/>
        <v>20</v>
      </c>
      <c r="H642" s="74">
        <f t="shared" ref="H642:H705" si="61">D642*F642</f>
        <v>19</v>
      </c>
      <c r="I642" s="74">
        <f t="shared" ref="I642:I705" si="62">G642-H642</f>
        <v>1</v>
      </c>
      <c r="J642" s="74">
        <f t="shared" ref="J642:J705" si="63">IF(G642=0,0,I642/G642)</f>
        <v>0.05</v>
      </c>
      <c r="K642" s="134" t="str">
        <f t="shared" si="50"/>
        <v>5%</v>
      </c>
      <c r="L642" s="73"/>
      <c r="M642" s="99">
        <f t="shared" si="51"/>
        <v>5.2631578947368418E-2</v>
      </c>
      <c r="N642" s="73">
        <f>VLOOKUP(A642, 'Stock Register'!A:F, 6, FALSE)</f>
        <v>0</v>
      </c>
    </row>
    <row r="643" spans="1:14" s="75" customFormat="1" ht="30" hidden="1" x14ac:dyDescent="0.25">
      <c r="A643" s="204" t="s">
        <v>932</v>
      </c>
      <c r="B643" s="71"/>
      <c r="C643" s="71"/>
      <c r="D643" s="72">
        <f>SUMIF('Purchase Register'!C:C, A643, 'Purchase Register'!G:G)</f>
        <v>19</v>
      </c>
      <c r="E643" s="191">
        <v>20</v>
      </c>
      <c r="F643" s="74">
        <f>SUMIF('Sales Register'!C:C, A643, 'Sales Register'!D:D)</f>
        <v>1</v>
      </c>
      <c r="G643" s="74">
        <f t="shared" si="60"/>
        <v>20</v>
      </c>
      <c r="H643" s="74">
        <f t="shared" si="61"/>
        <v>19</v>
      </c>
      <c r="I643" s="74">
        <f t="shared" si="62"/>
        <v>1</v>
      </c>
      <c r="J643" s="74">
        <f t="shared" si="63"/>
        <v>0.05</v>
      </c>
      <c r="K643" s="134" t="str">
        <f t="shared" si="50"/>
        <v>5%</v>
      </c>
      <c r="L643" s="73"/>
      <c r="M643" s="99">
        <f t="shared" si="51"/>
        <v>5.2631578947368418E-2</v>
      </c>
      <c r="N643" s="73">
        <f>VLOOKUP(A643, 'Stock Register'!A:F, 6, FALSE)</f>
        <v>0</v>
      </c>
    </row>
    <row r="644" spans="1:14" ht="45" hidden="1" x14ac:dyDescent="0.25">
      <c r="A644" s="205" t="s">
        <v>937</v>
      </c>
      <c r="D644" s="29">
        <f>SUMIF('Purchase Register'!C:C, A644, 'Purchase Register'!G:G)</f>
        <v>52</v>
      </c>
      <c r="E644" s="190">
        <v>55</v>
      </c>
      <c r="F644" s="60">
        <f>SUMIF('Sales Register'!C:C, A644, 'Sales Register'!D:D)</f>
        <v>0</v>
      </c>
      <c r="G644" s="60">
        <f t="shared" si="60"/>
        <v>0</v>
      </c>
      <c r="H644" s="60">
        <f t="shared" si="61"/>
        <v>0</v>
      </c>
      <c r="I644" s="60">
        <f t="shared" si="62"/>
        <v>0</v>
      </c>
      <c r="J644" s="60">
        <f t="shared" si="63"/>
        <v>0</v>
      </c>
      <c r="K644" s="35" t="str">
        <f t="shared" si="50"/>
        <v>5%</v>
      </c>
      <c r="M644" s="30">
        <f t="shared" si="51"/>
        <v>5.7692307692307696E-2</v>
      </c>
      <c r="N644" s="34">
        <f>VLOOKUP(A644, 'Stock Register'!A:F, 6, FALSE)</f>
        <v>1</v>
      </c>
    </row>
    <row r="645" spans="1:14" s="75" customFormat="1" ht="30" hidden="1" x14ac:dyDescent="0.25">
      <c r="A645" s="204" t="s">
        <v>938</v>
      </c>
      <c r="B645" s="71"/>
      <c r="C645" s="71"/>
      <c r="D645" s="72">
        <f>SUMIF('Purchase Register'!C:C, A645, 'Purchase Register'!G:G)</f>
        <v>18</v>
      </c>
      <c r="E645" s="191">
        <v>20</v>
      </c>
      <c r="F645" s="74">
        <f>SUMIF('Sales Register'!C:C, A645, 'Sales Register'!D:D)</f>
        <v>3</v>
      </c>
      <c r="G645" s="74">
        <f t="shared" si="60"/>
        <v>60</v>
      </c>
      <c r="H645" s="74">
        <f t="shared" si="61"/>
        <v>54</v>
      </c>
      <c r="I645" s="74">
        <f t="shared" si="62"/>
        <v>6</v>
      </c>
      <c r="J645" s="74">
        <f t="shared" si="63"/>
        <v>0.1</v>
      </c>
      <c r="K645" s="134" t="str">
        <f t="shared" si="50"/>
        <v>11%</v>
      </c>
      <c r="L645" s="73"/>
      <c r="M645" s="99">
        <f t="shared" si="51"/>
        <v>0.1111111111111111</v>
      </c>
      <c r="N645" s="73">
        <f>VLOOKUP(A645, 'Stock Register'!A:F, 6, FALSE)</f>
        <v>0</v>
      </c>
    </row>
    <row r="646" spans="1:14" ht="30" hidden="1" x14ac:dyDescent="0.25">
      <c r="A646" s="205" t="s">
        <v>939</v>
      </c>
      <c r="D646" s="29">
        <f>SUMIF('Purchase Register'!C:C, A646, 'Purchase Register'!G:G)</f>
        <v>24</v>
      </c>
      <c r="E646" s="190">
        <v>30</v>
      </c>
      <c r="F646" s="60">
        <f>SUMIF('Sales Register'!C:C, A646, 'Sales Register'!D:D)</f>
        <v>3</v>
      </c>
      <c r="G646" s="60">
        <f t="shared" si="60"/>
        <v>90</v>
      </c>
      <c r="H646" s="60">
        <f t="shared" si="61"/>
        <v>72</v>
      </c>
      <c r="I646" s="60">
        <f t="shared" si="62"/>
        <v>18</v>
      </c>
      <c r="J646" s="60">
        <f t="shared" si="63"/>
        <v>0.2</v>
      </c>
      <c r="K646" s="35" t="str">
        <f t="shared" si="50"/>
        <v>25%</v>
      </c>
      <c r="M646" s="30">
        <f t="shared" si="51"/>
        <v>0.25</v>
      </c>
      <c r="N646" s="34">
        <f>VLOOKUP(A646, 'Stock Register'!A:F, 6, FALSE)</f>
        <v>0</v>
      </c>
    </row>
    <row r="647" spans="1:14" ht="30" hidden="1" x14ac:dyDescent="0.25">
      <c r="A647" s="205" t="s">
        <v>940</v>
      </c>
      <c r="D647" s="29">
        <f>SUMIF('Purchase Register'!C:C, A647, 'Purchase Register'!G:G)</f>
        <v>38</v>
      </c>
      <c r="E647" s="190">
        <v>40</v>
      </c>
      <c r="F647" s="60">
        <f>SUMIF('Sales Register'!C:C, A647, 'Sales Register'!D:D)</f>
        <v>3</v>
      </c>
      <c r="G647" s="60">
        <f t="shared" si="60"/>
        <v>120</v>
      </c>
      <c r="H647" s="60">
        <f t="shared" si="61"/>
        <v>114</v>
      </c>
      <c r="I647" s="60">
        <f t="shared" si="62"/>
        <v>6</v>
      </c>
      <c r="J647" s="60">
        <f t="shared" si="63"/>
        <v>0.05</v>
      </c>
      <c r="K647" s="35" t="str">
        <f t="shared" si="50"/>
        <v>5%</v>
      </c>
      <c r="M647" s="30">
        <f t="shared" si="51"/>
        <v>5.2631578947368418E-2</v>
      </c>
      <c r="N647" s="34">
        <f>VLOOKUP(A647, 'Stock Register'!A:F, 6, FALSE)</f>
        <v>0</v>
      </c>
    </row>
    <row r="648" spans="1:14" ht="30" hidden="1" x14ac:dyDescent="0.25">
      <c r="A648" s="205" t="s">
        <v>941</v>
      </c>
      <c r="D648" s="29">
        <f>SUMIF('Purchase Register'!C:C, A648, 'Purchase Register'!G:G)</f>
        <v>38</v>
      </c>
      <c r="E648" s="190">
        <v>60</v>
      </c>
      <c r="F648" s="60">
        <f>SUMIF('Sales Register'!C:C, A648, 'Sales Register'!D:D)</f>
        <v>2</v>
      </c>
      <c r="G648" s="60">
        <f t="shared" si="60"/>
        <v>120</v>
      </c>
      <c r="H648" s="60">
        <f t="shared" si="61"/>
        <v>76</v>
      </c>
      <c r="I648" s="60">
        <f t="shared" si="62"/>
        <v>44</v>
      </c>
      <c r="J648" s="60">
        <f t="shared" si="63"/>
        <v>0.36666666666666664</v>
      </c>
      <c r="K648" s="35" t="str">
        <f t="shared" si="50"/>
        <v>57%</v>
      </c>
      <c r="M648" s="30">
        <f t="shared" si="51"/>
        <v>0.57894736842105265</v>
      </c>
      <c r="N648" s="34">
        <f>VLOOKUP(A648, 'Stock Register'!A:F, 6, FALSE)</f>
        <v>1</v>
      </c>
    </row>
    <row r="649" spans="1:14" s="75" customFormat="1" hidden="1" x14ac:dyDescent="0.25">
      <c r="A649" s="204" t="s">
        <v>942</v>
      </c>
      <c r="B649" s="71"/>
      <c r="C649" s="71"/>
      <c r="D649" s="72">
        <f>SUMIF('Purchase Register'!C:C, A649, 'Purchase Register'!G:G)</f>
        <v>26</v>
      </c>
      <c r="E649" s="191">
        <v>35</v>
      </c>
      <c r="F649" s="74">
        <f>SUMIF('Sales Register'!C:C, A649, 'Sales Register'!D:D)</f>
        <v>6</v>
      </c>
      <c r="G649" s="74">
        <f t="shared" si="60"/>
        <v>210</v>
      </c>
      <c r="H649" s="74">
        <f t="shared" si="61"/>
        <v>156</v>
      </c>
      <c r="I649" s="74">
        <f t="shared" si="62"/>
        <v>54</v>
      </c>
      <c r="J649" s="74">
        <f t="shared" si="63"/>
        <v>0.25714285714285712</v>
      </c>
      <c r="K649" s="134" t="str">
        <f t="shared" si="50"/>
        <v>34%</v>
      </c>
      <c r="L649" s="73"/>
      <c r="M649" s="99">
        <f t="shared" si="51"/>
        <v>0.34615384615384615</v>
      </c>
      <c r="N649" s="73">
        <f>VLOOKUP(A649, 'Stock Register'!A:F, 6, FALSE)</f>
        <v>0</v>
      </c>
    </row>
    <row r="650" spans="1:14" s="75" customFormat="1" ht="30" hidden="1" x14ac:dyDescent="0.25">
      <c r="A650" s="204" t="s">
        <v>943</v>
      </c>
      <c r="B650" s="71"/>
      <c r="C650" s="71"/>
      <c r="D650" s="72">
        <f>SUMIF('Purchase Register'!C:C, A650, 'Purchase Register'!G:G)</f>
        <v>28</v>
      </c>
      <c r="E650" s="191">
        <v>35</v>
      </c>
      <c r="F650" s="74">
        <f>SUMIF('Sales Register'!C:C, A650, 'Sales Register'!D:D)</f>
        <v>2</v>
      </c>
      <c r="G650" s="74">
        <f t="shared" si="60"/>
        <v>70</v>
      </c>
      <c r="H650" s="74">
        <f t="shared" si="61"/>
        <v>56</v>
      </c>
      <c r="I650" s="74">
        <f t="shared" si="62"/>
        <v>14</v>
      </c>
      <c r="J650" s="74">
        <f t="shared" si="63"/>
        <v>0.2</v>
      </c>
      <c r="K650" s="134" t="str">
        <f t="shared" si="50"/>
        <v>25%</v>
      </c>
      <c r="L650" s="73"/>
      <c r="M650" s="99">
        <f t="shared" si="51"/>
        <v>0.25</v>
      </c>
      <c r="N650" s="73">
        <f>VLOOKUP(A650, 'Stock Register'!A:F, 6, FALSE)</f>
        <v>0</v>
      </c>
    </row>
    <row r="651" spans="1:14" hidden="1" x14ac:dyDescent="0.25">
      <c r="D651" s="29">
        <f>SUMIF('Purchase Register'!C:C, A651, 'Purchase Register'!G:G)</f>
        <v>0</v>
      </c>
      <c r="E651" s="190">
        <v>40</v>
      </c>
      <c r="F651" s="60">
        <f>SUMIF('Sales Register'!C:C, A651, 'Sales Register'!D:D)</f>
        <v>0</v>
      </c>
      <c r="G651" s="60">
        <f t="shared" si="60"/>
        <v>0</v>
      </c>
      <c r="H651" s="60">
        <f t="shared" si="61"/>
        <v>0</v>
      </c>
      <c r="I651" s="60">
        <f t="shared" si="62"/>
        <v>0</v>
      </c>
      <c r="J651" s="60">
        <f t="shared" si="63"/>
        <v>0</v>
      </c>
      <c r="K651" s="35" t="e">
        <f t="shared" si="50"/>
        <v>#DIV/0!</v>
      </c>
      <c r="M651" s="30">
        <f t="shared" si="51"/>
        <v>0</v>
      </c>
      <c r="N651" s="34" t="e">
        <f>VLOOKUP(A651, 'Stock Register'!A:F, 6, FALSE)</f>
        <v>#N/A</v>
      </c>
    </row>
    <row r="652" spans="1:14" hidden="1" x14ac:dyDescent="0.25">
      <c r="A652" s="205" t="s">
        <v>947</v>
      </c>
      <c r="D652" s="29">
        <f>SUMIF('Purchase Register'!C:C, A652, 'Purchase Register'!G:G)</f>
        <v>17.666666666666668</v>
      </c>
      <c r="E652" s="190">
        <v>20</v>
      </c>
      <c r="F652" s="60">
        <f>SUMIF('Sales Register'!C:C, A652, 'Sales Register'!D:D)</f>
        <v>22</v>
      </c>
      <c r="G652" s="60">
        <f t="shared" si="60"/>
        <v>440</v>
      </c>
      <c r="H652" s="60">
        <f t="shared" si="61"/>
        <v>388.66666666666669</v>
      </c>
      <c r="I652" s="60">
        <f t="shared" si="62"/>
        <v>51.333333333333314</v>
      </c>
      <c r="J652" s="60">
        <f t="shared" si="63"/>
        <v>0.11666666666666663</v>
      </c>
      <c r="K652" s="35" t="str">
        <f t="shared" si="50"/>
        <v>13%</v>
      </c>
      <c r="M652" s="30">
        <f t="shared" si="51"/>
        <v>0.13207547169811312</v>
      </c>
      <c r="N652" s="34">
        <f>VLOOKUP(A652, 'Stock Register'!A:F, 6, FALSE)</f>
        <v>8</v>
      </c>
    </row>
    <row r="653" spans="1:14" hidden="1" x14ac:dyDescent="0.25">
      <c r="A653" s="205" t="s">
        <v>948</v>
      </c>
      <c r="D653" s="29">
        <f>SUMIF('Purchase Register'!C:C, A653, 'Purchase Register'!G:G)</f>
        <v>199</v>
      </c>
      <c r="E653" s="190">
        <v>205</v>
      </c>
      <c r="F653" s="60">
        <f>SUMIF('Sales Register'!C:C, A653, 'Sales Register'!D:D)</f>
        <v>18</v>
      </c>
      <c r="G653" s="60">
        <f t="shared" si="60"/>
        <v>3690</v>
      </c>
      <c r="H653" s="60">
        <f t="shared" si="61"/>
        <v>3582</v>
      </c>
      <c r="I653" s="60">
        <f t="shared" si="62"/>
        <v>108</v>
      </c>
      <c r="J653" s="60">
        <f t="shared" si="63"/>
        <v>2.9268292682926831E-2</v>
      </c>
      <c r="K653" s="35" t="str">
        <f t="shared" si="50"/>
        <v>3%</v>
      </c>
      <c r="M653" s="30">
        <f t="shared" si="51"/>
        <v>3.015075376884422E-2</v>
      </c>
      <c r="N653" s="34">
        <f>VLOOKUP(A653, 'Stock Register'!A:F, 6, FALSE)</f>
        <v>2</v>
      </c>
    </row>
    <row r="654" spans="1:14" hidden="1" x14ac:dyDescent="0.25">
      <c r="A654" s="205" t="s">
        <v>949</v>
      </c>
      <c r="D654" s="29">
        <f>SUMIF('Purchase Register'!C:C, A654, 'Purchase Register'!G:G)</f>
        <v>0.8529411764705882</v>
      </c>
      <c r="E654" s="190">
        <v>1</v>
      </c>
      <c r="F654" s="60">
        <f>SUMIF('Sales Register'!C:C, A654, 'Sales Register'!D:D)</f>
        <v>39</v>
      </c>
      <c r="G654" s="60">
        <f t="shared" si="60"/>
        <v>39</v>
      </c>
      <c r="H654" s="60">
        <f t="shared" si="61"/>
        <v>33.264705882352942</v>
      </c>
      <c r="I654" s="60">
        <f t="shared" si="62"/>
        <v>5.735294117647058</v>
      </c>
      <c r="J654" s="60">
        <f t="shared" si="63"/>
        <v>0.14705882352941174</v>
      </c>
      <c r="K654" s="35" t="str">
        <f t="shared" si="50"/>
        <v>17%</v>
      </c>
      <c r="M654" s="30">
        <f t="shared" si="51"/>
        <v>0.17241379310344832</v>
      </c>
      <c r="N654" s="34">
        <f>VLOOKUP(A654, 'Stock Register'!A:F, 6, FALSE)</f>
        <v>131</v>
      </c>
    </row>
    <row r="655" spans="1:14" hidden="1" x14ac:dyDescent="0.25">
      <c r="A655" s="205" t="s">
        <v>950</v>
      </c>
      <c r="D655" s="29">
        <f>SUMIF('Purchase Register'!C:C, A655, 'Purchase Register'!G:G)</f>
        <v>0.8529411764705882</v>
      </c>
      <c r="E655" s="190">
        <v>1</v>
      </c>
      <c r="F655" s="60">
        <f>SUMIF('Sales Register'!C:C, A655, 'Sales Register'!D:D)</f>
        <v>194</v>
      </c>
      <c r="G655" s="60">
        <f t="shared" si="60"/>
        <v>194</v>
      </c>
      <c r="H655" s="60">
        <f t="shared" si="61"/>
        <v>165.47058823529412</v>
      </c>
      <c r="I655" s="60">
        <f t="shared" si="62"/>
        <v>28.529411764705884</v>
      </c>
      <c r="J655" s="60">
        <f t="shared" si="63"/>
        <v>0.14705882352941177</v>
      </c>
      <c r="K655" s="35" t="str">
        <f t="shared" si="50"/>
        <v>17%</v>
      </c>
      <c r="M655" s="30">
        <f t="shared" si="51"/>
        <v>0.17241379310344832</v>
      </c>
      <c r="N655" s="34">
        <f>VLOOKUP(A655, 'Stock Register'!A:F, 6, FALSE)</f>
        <v>-24</v>
      </c>
    </row>
    <row r="656" spans="1:14" hidden="1" x14ac:dyDescent="0.25">
      <c r="A656" s="205" t="s">
        <v>951</v>
      </c>
      <c r="D656" s="29">
        <f>SUMIF('Purchase Register'!C:C, A656, 'Purchase Register'!G:G)</f>
        <v>0.8529411764705882</v>
      </c>
      <c r="E656" s="190">
        <v>1</v>
      </c>
      <c r="F656" s="60">
        <f>SUMIF('Sales Register'!C:C, A656, 'Sales Register'!D:D)</f>
        <v>106</v>
      </c>
      <c r="G656" s="60">
        <f t="shared" si="60"/>
        <v>106</v>
      </c>
      <c r="H656" s="60">
        <f t="shared" si="61"/>
        <v>90.411764705882348</v>
      </c>
      <c r="I656" s="60">
        <f t="shared" si="62"/>
        <v>15.588235294117652</v>
      </c>
      <c r="J656" s="60">
        <f t="shared" si="63"/>
        <v>0.14705882352941183</v>
      </c>
      <c r="K656" s="35" t="str">
        <f t="shared" si="50"/>
        <v>17%</v>
      </c>
      <c r="M656" s="30">
        <f t="shared" si="51"/>
        <v>0.17241379310344832</v>
      </c>
      <c r="N656" s="34">
        <f>VLOOKUP(A656, 'Stock Register'!A:F, 6, FALSE)</f>
        <v>64</v>
      </c>
    </row>
    <row r="657" spans="1:14" ht="30" hidden="1" x14ac:dyDescent="0.25">
      <c r="A657" s="205" t="s">
        <v>952</v>
      </c>
      <c r="D657" s="29">
        <f>SUMIF('Purchase Register'!C:C, A657, 'Purchase Register'!G:G)</f>
        <v>0.44285714285714284</v>
      </c>
      <c r="E657" s="190">
        <v>1</v>
      </c>
      <c r="F657" s="60">
        <f>SUMIF('Sales Register'!C:C, A657, 'Sales Register'!D:D)</f>
        <v>0</v>
      </c>
      <c r="G657" s="60">
        <f t="shared" si="60"/>
        <v>0</v>
      </c>
      <c r="H657" s="60">
        <f t="shared" si="61"/>
        <v>0</v>
      </c>
      <c r="I657" s="60">
        <f t="shared" si="62"/>
        <v>0</v>
      </c>
      <c r="J657" s="60">
        <f t="shared" si="63"/>
        <v>0</v>
      </c>
      <c r="K657" s="35" t="str">
        <f t="shared" si="50"/>
        <v>100% or More</v>
      </c>
      <c r="M657" s="30">
        <f t="shared" si="51"/>
        <v>1.2580645161290323</v>
      </c>
      <c r="N657" s="34">
        <f>VLOOKUP(A657, 'Stock Register'!A:F, 6, FALSE)</f>
        <v>350</v>
      </c>
    </row>
    <row r="658" spans="1:14" ht="30" x14ac:dyDescent="0.25">
      <c r="A658" s="205" t="s">
        <v>953</v>
      </c>
      <c r="D658" s="29">
        <f>SUMIF('Purchase Register'!C:C, A658, 'Purchase Register'!G:G)</f>
        <v>9.1666666666666661</v>
      </c>
      <c r="E658" s="190">
        <v>10</v>
      </c>
      <c r="F658" s="60">
        <f>SUMIF('Sales Register'!C:C, A658, 'Sales Register'!D:D)</f>
        <v>12</v>
      </c>
      <c r="G658" s="60">
        <f t="shared" si="60"/>
        <v>120</v>
      </c>
      <c r="H658" s="60">
        <f t="shared" si="61"/>
        <v>110</v>
      </c>
      <c r="I658" s="60">
        <f t="shared" si="62"/>
        <v>10</v>
      </c>
      <c r="J658" s="60">
        <f t="shared" si="63"/>
        <v>8.3333333333333329E-2</v>
      </c>
      <c r="K658" s="35" t="str">
        <f t="shared" si="50"/>
        <v>9%</v>
      </c>
      <c r="M658" s="30">
        <f t="shared" si="51"/>
        <v>9.0909090909090981E-2</v>
      </c>
      <c r="N658" s="34">
        <f>VLOOKUP(A658, 'Stock Register'!A:F, 6, FALSE)</f>
        <v>0</v>
      </c>
    </row>
    <row r="659" spans="1:14" hidden="1" x14ac:dyDescent="0.25">
      <c r="A659" s="205" t="s">
        <v>1201</v>
      </c>
      <c r="D659" s="29">
        <f>SUMIF('Purchase Register'!C:C, A659, 'Purchase Register'!G:G)</f>
        <v>80</v>
      </c>
      <c r="E659" s="190">
        <v>100</v>
      </c>
      <c r="F659" s="60">
        <f>SUMIF('Sales Register'!C:C, A659, 'Sales Register'!D:D)</f>
        <v>1</v>
      </c>
      <c r="G659" s="60">
        <f t="shared" si="60"/>
        <v>100</v>
      </c>
      <c r="H659" s="60">
        <f t="shared" si="61"/>
        <v>80</v>
      </c>
      <c r="I659" s="60">
        <f t="shared" si="62"/>
        <v>20</v>
      </c>
      <c r="J659" s="60">
        <f t="shared" si="63"/>
        <v>0.2</v>
      </c>
      <c r="K659" s="35" t="str">
        <f t="shared" si="50"/>
        <v>25%</v>
      </c>
      <c r="M659" s="30">
        <f t="shared" si="51"/>
        <v>0.25</v>
      </c>
      <c r="N659" s="34">
        <f>VLOOKUP(A659, 'Stock Register'!A:F, 6, FALSE)</f>
        <v>1</v>
      </c>
    </row>
    <row r="660" spans="1:14" s="75" customFormat="1" hidden="1" x14ac:dyDescent="0.25">
      <c r="A660" s="204" t="s">
        <v>651</v>
      </c>
      <c r="B660" s="71"/>
      <c r="C660" s="71"/>
      <c r="D660" s="72">
        <v>7.66</v>
      </c>
      <c r="E660" s="191">
        <v>9</v>
      </c>
      <c r="F660" s="74">
        <f>SUMIF('Sales Register'!C:C, A660, 'Sales Register'!D:D)</f>
        <v>70</v>
      </c>
      <c r="G660" s="74">
        <f t="shared" si="60"/>
        <v>630</v>
      </c>
      <c r="H660" s="74">
        <f t="shared" si="61"/>
        <v>536.20000000000005</v>
      </c>
      <c r="I660" s="74">
        <f t="shared" si="62"/>
        <v>93.799999999999955</v>
      </c>
      <c r="J660" s="74">
        <f t="shared" si="63"/>
        <v>0.14888888888888882</v>
      </c>
      <c r="K660" s="134" t="str">
        <f t="shared" si="50"/>
        <v>17%</v>
      </c>
      <c r="L660" s="73"/>
      <c r="M660" s="99">
        <f t="shared" si="51"/>
        <v>0.17493472584856395</v>
      </c>
      <c r="N660" s="73">
        <f>VLOOKUP(A660, 'Stock Register'!A:F, 6, FALSE)</f>
        <v>-40</v>
      </c>
    </row>
    <row r="661" spans="1:14" ht="30" hidden="1" x14ac:dyDescent="0.25">
      <c r="A661" s="205" t="s">
        <v>954</v>
      </c>
      <c r="D661" s="29">
        <f>SUMIF('Purchase Register'!C:C, A661, 'Purchase Register'!G:G)</f>
        <v>32.5</v>
      </c>
      <c r="E661" s="190">
        <v>35</v>
      </c>
      <c r="F661" s="60">
        <f>SUMIF('Sales Register'!C:C, A661, 'Sales Register'!D:D)</f>
        <v>5</v>
      </c>
      <c r="G661" s="60">
        <f t="shared" si="60"/>
        <v>175</v>
      </c>
      <c r="H661" s="60">
        <f t="shared" si="61"/>
        <v>162.5</v>
      </c>
      <c r="I661" s="60">
        <f t="shared" si="62"/>
        <v>12.5</v>
      </c>
      <c r="J661" s="60">
        <f t="shared" si="63"/>
        <v>7.1428571428571425E-2</v>
      </c>
      <c r="K661" s="35" t="str">
        <f t="shared" si="50"/>
        <v>7%</v>
      </c>
      <c r="M661" s="30">
        <f>IF(D661=0, 0, (E661-D661)/D661)</f>
        <v>7.6923076923076927E-2</v>
      </c>
      <c r="N661" s="34">
        <f>VLOOKUP(A661, 'Stock Register'!A:F, 6, FALSE)</f>
        <v>1</v>
      </c>
    </row>
    <row r="662" spans="1:14" hidden="1" x14ac:dyDescent="0.25">
      <c r="A662" s="205" t="s">
        <v>955</v>
      </c>
      <c r="D662" s="29">
        <f>SUMIF('Purchase Register'!C:C, A662, 'Purchase Register'!G:G)</f>
        <v>54</v>
      </c>
      <c r="E662" s="190">
        <v>58</v>
      </c>
      <c r="F662" s="60">
        <f>SUMIF('Sales Register'!C:C, A662, 'Sales Register'!D:D)</f>
        <v>1</v>
      </c>
      <c r="G662" s="60">
        <f t="shared" si="60"/>
        <v>58</v>
      </c>
      <c r="H662" s="60">
        <f t="shared" si="61"/>
        <v>54</v>
      </c>
      <c r="I662" s="60">
        <f t="shared" si="62"/>
        <v>4</v>
      </c>
      <c r="J662" s="60">
        <f t="shared" si="63"/>
        <v>6.8965517241379309E-2</v>
      </c>
      <c r="K662" s="35" t="str">
        <f t="shared" ref="K662:K903" si="64">IF(E662&lt;=D662, "NO PROFIT", IF((E662-D662)/D662 &gt;= 1, "100% or More", TEXT(_xlfn.FLOOR.MATH((E662-D662)/D662, 0.01), "0%")))</f>
        <v>7%</v>
      </c>
      <c r="M662" s="30">
        <f t="shared" si="51"/>
        <v>7.407407407407407E-2</v>
      </c>
      <c r="N662" s="34">
        <f>VLOOKUP(A662, 'Stock Register'!A:F, 6, FALSE)</f>
        <v>2</v>
      </c>
    </row>
    <row r="663" spans="1:14" hidden="1" x14ac:dyDescent="0.25">
      <c r="A663" s="205" t="s">
        <v>956</v>
      </c>
      <c r="D663" s="29">
        <f>SUMIF('Purchase Register'!C:C, A663, 'Purchase Register'!G:G)</f>
        <v>9.1666666666666661</v>
      </c>
      <c r="E663" s="190">
        <v>10</v>
      </c>
      <c r="F663" s="60">
        <f>SUMIF('Sales Register'!C:C, A663, 'Sales Register'!D:D)</f>
        <v>9</v>
      </c>
      <c r="G663" s="60">
        <f t="shared" si="60"/>
        <v>90</v>
      </c>
      <c r="H663" s="60">
        <f t="shared" si="61"/>
        <v>82.5</v>
      </c>
      <c r="I663" s="60">
        <f t="shared" si="62"/>
        <v>7.5</v>
      </c>
      <c r="J663" s="60">
        <f t="shared" si="63"/>
        <v>8.3333333333333329E-2</v>
      </c>
      <c r="K663" s="35" t="str">
        <f t="shared" si="64"/>
        <v>9%</v>
      </c>
      <c r="M663" s="30">
        <f t="shared" ref="M663:M903" si="65">IF(D663=0, 0, (E663-D663)/D663)</f>
        <v>9.0909090909090981E-2</v>
      </c>
      <c r="N663" s="34">
        <f>VLOOKUP(A663, 'Stock Register'!A:F, 6, FALSE)</f>
        <v>3</v>
      </c>
    </row>
    <row r="664" spans="1:14" hidden="1" x14ac:dyDescent="0.25">
      <c r="A664" s="205" t="s">
        <v>957</v>
      </c>
      <c r="D664" s="29">
        <f>SUMIF('Purchase Register'!C:C, A664, 'Purchase Register'!G:G)</f>
        <v>9.1666666666666661</v>
      </c>
      <c r="E664" s="190">
        <v>10</v>
      </c>
      <c r="F664" s="60">
        <f>SUMIF('Sales Register'!C:C, A664, 'Sales Register'!D:D)</f>
        <v>6</v>
      </c>
      <c r="G664" s="60">
        <f t="shared" si="60"/>
        <v>60</v>
      </c>
      <c r="H664" s="60">
        <f t="shared" si="61"/>
        <v>55</v>
      </c>
      <c r="I664" s="60">
        <f t="shared" si="62"/>
        <v>5</v>
      </c>
      <c r="J664" s="60">
        <f t="shared" si="63"/>
        <v>8.3333333333333329E-2</v>
      </c>
      <c r="K664" s="35" t="str">
        <f t="shared" si="64"/>
        <v>9%</v>
      </c>
      <c r="M664" s="30">
        <f t="shared" si="65"/>
        <v>9.0909090909090981E-2</v>
      </c>
      <c r="N664" s="34">
        <f>VLOOKUP(A664, 'Stock Register'!A:F, 6, FALSE)</f>
        <v>0</v>
      </c>
    </row>
    <row r="665" spans="1:14" hidden="1" x14ac:dyDescent="0.25">
      <c r="A665" s="205" t="s">
        <v>958</v>
      </c>
      <c r="D665" s="29">
        <f>SUMIF('Purchase Register'!C:C, A665, 'Purchase Register'!G:G)</f>
        <v>9.1666666666666661</v>
      </c>
      <c r="E665" s="190">
        <v>10</v>
      </c>
      <c r="F665" s="60">
        <f>SUMIF('Sales Register'!C:C, A665, 'Sales Register'!D:D)</f>
        <v>4</v>
      </c>
      <c r="G665" s="60">
        <f t="shared" si="60"/>
        <v>40</v>
      </c>
      <c r="H665" s="60">
        <f t="shared" si="61"/>
        <v>36.666666666666664</v>
      </c>
      <c r="I665" s="60">
        <f t="shared" si="62"/>
        <v>3.3333333333333357</v>
      </c>
      <c r="J665" s="60">
        <f t="shared" si="63"/>
        <v>8.3333333333333398E-2</v>
      </c>
      <c r="K665" s="35" t="str">
        <f t="shared" si="64"/>
        <v>9%</v>
      </c>
      <c r="M665" s="30">
        <f t="shared" si="65"/>
        <v>9.0909090909090981E-2</v>
      </c>
      <c r="N665" s="34">
        <f>VLOOKUP(A665, 'Stock Register'!A:F, 6, FALSE)</f>
        <v>2</v>
      </c>
    </row>
    <row r="666" spans="1:14" ht="30" hidden="1" x14ac:dyDescent="0.25">
      <c r="A666" s="205" t="s">
        <v>977</v>
      </c>
      <c r="D666" s="29">
        <f>SUMIF('Purchase Register'!C:C, A666, 'Purchase Register'!G:G)</f>
        <v>9.1666666666666661</v>
      </c>
      <c r="E666" s="190">
        <v>10</v>
      </c>
      <c r="F666" s="60">
        <f>SUMIF('Sales Register'!C:C, A666, 'Sales Register'!D:D)</f>
        <v>11</v>
      </c>
      <c r="G666" s="60">
        <f t="shared" si="60"/>
        <v>110</v>
      </c>
      <c r="H666" s="60">
        <f t="shared" si="61"/>
        <v>100.83333333333333</v>
      </c>
      <c r="I666" s="60">
        <f t="shared" si="62"/>
        <v>9.1666666666666714</v>
      </c>
      <c r="J666" s="60">
        <f t="shared" si="63"/>
        <v>8.333333333333337E-2</v>
      </c>
      <c r="K666" s="35" t="str">
        <f t="shared" si="64"/>
        <v>9%</v>
      </c>
      <c r="M666" s="30">
        <f t="shared" si="65"/>
        <v>9.0909090909090981E-2</v>
      </c>
      <c r="N666" s="34">
        <f>VLOOKUP(A666, 'Stock Register'!A:F, 6, FALSE)</f>
        <v>1</v>
      </c>
    </row>
    <row r="667" spans="1:14" ht="30" hidden="1" x14ac:dyDescent="0.25">
      <c r="A667" s="205" t="s">
        <v>959</v>
      </c>
      <c r="D667" s="29">
        <f>SUMIF('Purchase Register'!C:C, A667, 'Purchase Register'!G:G)</f>
        <v>20</v>
      </c>
      <c r="E667" s="190">
        <v>40</v>
      </c>
      <c r="F667" s="60">
        <f>SUMIF('Sales Register'!C:C, A667, 'Sales Register'!D:D)</f>
        <v>3</v>
      </c>
      <c r="G667" s="60">
        <f t="shared" si="60"/>
        <v>120</v>
      </c>
      <c r="H667" s="60">
        <f t="shared" si="61"/>
        <v>60</v>
      </c>
      <c r="I667" s="60">
        <f t="shared" si="62"/>
        <v>60</v>
      </c>
      <c r="J667" s="60">
        <f t="shared" si="63"/>
        <v>0.5</v>
      </c>
      <c r="K667" s="35" t="str">
        <f t="shared" si="64"/>
        <v>100% or More</v>
      </c>
      <c r="M667" s="30">
        <f t="shared" si="65"/>
        <v>1</v>
      </c>
      <c r="N667" s="34">
        <f>VLOOKUP(A667, 'Stock Register'!A:F, 6, FALSE)</f>
        <v>0</v>
      </c>
    </row>
    <row r="668" spans="1:14" hidden="1" x14ac:dyDescent="0.25">
      <c r="A668" s="205" t="s">
        <v>960</v>
      </c>
      <c r="D668" s="29">
        <f>SUMIF('Purchase Register'!C:C, A668, 'Purchase Register'!G:G)</f>
        <v>4.5</v>
      </c>
      <c r="E668" s="190">
        <v>5</v>
      </c>
      <c r="F668" s="60">
        <f>SUMIF('Sales Register'!C:C, A668, 'Sales Register'!D:D)</f>
        <v>47</v>
      </c>
      <c r="G668" s="60">
        <f t="shared" si="60"/>
        <v>235</v>
      </c>
      <c r="H668" s="60">
        <f t="shared" si="61"/>
        <v>211.5</v>
      </c>
      <c r="I668" s="60">
        <f t="shared" si="62"/>
        <v>23.5</v>
      </c>
      <c r="J668" s="60">
        <f t="shared" si="63"/>
        <v>0.1</v>
      </c>
      <c r="K668" s="35" t="str">
        <f t="shared" si="64"/>
        <v>11%</v>
      </c>
      <c r="M668" s="30">
        <f t="shared" si="65"/>
        <v>0.1111111111111111</v>
      </c>
      <c r="N668" s="34">
        <f>VLOOKUP(A668, 'Stock Register'!A:F, 6, FALSE)</f>
        <v>61</v>
      </c>
    </row>
    <row r="669" spans="1:14" s="75" customFormat="1" ht="30" hidden="1" x14ac:dyDescent="0.25">
      <c r="A669" s="204" t="s">
        <v>961</v>
      </c>
      <c r="B669" s="71"/>
      <c r="C669" s="71"/>
      <c r="D669" s="72">
        <f>SUMIF('Purchase Register'!C:C, A669, 'Purchase Register'!G:G)</f>
        <v>9</v>
      </c>
      <c r="E669" s="191">
        <v>10</v>
      </c>
      <c r="F669" s="74">
        <f>SUMIF('Sales Register'!C:C, A669, 'Sales Register'!D:D)</f>
        <v>10</v>
      </c>
      <c r="G669" s="74">
        <f t="shared" si="60"/>
        <v>100</v>
      </c>
      <c r="H669" s="74">
        <f t="shared" si="61"/>
        <v>90</v>
      </c>
      <c r="I669" s="74">
        <f t="shared" si="62"/>
        <v>10</v>
      </c>
      <c r="J669" s="74">
        <f t="shared" si="63"/>
        <v>0.1</v>
      </c>
      <c r="K669" s="134" t="str">
        <f t="shared" si="64"/>
        <v>11%</v>
      </c>
      <c r="L669" s="73"/>
      <c r="M669" s="99">
        <f t="shared" si="65"/>
        <v>0.1111111111111111</v>
      </c>
      <c r="N669" s="73">
        <f>VLOOKUP(A669, 'Stock Register'!A:F, 6, FALSE)</f>
        <v>0</v>
      </c>
    </row>
    <row r="670" spans="1:14" ht="30" hidden="1" x14ac:dyDescent="0.25">
      <c r="A670" s="205" t="s">
        <v>962</v>
      </c>
      <c r="D670" s="29">
        <f>SUMIF('Purchase Register'!C:C, A670, 'Purchase Register'!G:G)</f>
        <v>4.5</v>
      </c>
      <c r="E670" s="190">
        <v>5</v>
      </c>
      <c r="F670" s="60">
        <f>SUMIF('Sales Register'!C:C, A670, 'Sales Register'!D:D)</f>
        <v>12</v>
      </c>
      <c r="G670" s="60">
        <f t="shared" si="60"/>
        <v>60</v>
      </c>
      <c r="H670" s="60">
        <f t="shared" si="61"/>
        <v>54</v>
      </c>
      <c r="I670" s="60">
        <f t="shared" si="62"/>
        <v>6</v>
      </c>
      <c r="J670" s="60">
        <f t="shared" si="63"/>
        <v>0.1</v>
      </c>
      <c r="K670" s="35" t="str">
        <f t="shared" si="64"/>
        <v>11%</v>
      </c>
      <c r="M670" s="30">
        <f t="shared" si="65"/>
        <v>0.1111111111111111</v>
      </c>
      <c r="N670" s="34">
        <f>VLOOKUP(A670, 'Stock Register'!A:F, 6, FALSE)</f>
        <v>0</v>
      </c>
    </row>
    <row r="671" spans="1:14" ht="30" hidden="1" x14ac:dyDescent="0.25">
      <c r="A671" s="205" t="s">
        <v>963</v>
      </c>
      <c r="D671" s="29">
        <f>SUMIF('Purchase Register'!C:C, A671, 'Purchase Register'!G:G)</f>
        <v>4.5</v>
      </c>
      <c r="E671" s="190">
        <v>5</v>
      </c>
      <c r="F671" s="60">
        <f>SUMIF('Sales Register'!C:C, A671, 'Sales Register'!D:D)</f>
        <v>10</v>
      </c>
      <c r="G671" s="60">
        <f t="shared" si="60"/>
        <v>50</v>
      </c>
      <c r="H671" s="60">
        <f t="shared" si="61"/>
        <v>45</v>
      </c>
      <c r="I671" s="60">
        <f t="shared" si="62"/>
        <v>5</v>
      </c>
      <c r="J671" s="60">
        <f t="shared" si="63"/>
        <v>0.1</v>
      </c>
      <c r="K671" s="35" t="str">
        <f t="shared" si="64"/>
        <v>11%</v>
      </c>
      <c r="M671" s="30">
        <f t="shared" si="65"/>
        <v>0.1111111111111111</v>
      </c>
      <c r="N671" s="34">
        <f>VLOOKUP(A671, 'Stock Register'!A:F, 6, FALSE)</f>
        <v>0</v>
      </c>
    </row>
    <row r="672" spans="1:14" ht="30" hidden="1" x14ac:dyDescent="0.25">
      <c r="A672" s="205" t="s">
        <v>964</v>
      </c>
      <c r="D672" s="29">
        <f>SUMIF('Purchase Register'!C:C, A672, 'Purchase Register'!G:G)</f>
        <v>8.75</v>
      </c>
      <c r="E672" s="190">
        <v>10</v>
      </c>
      <c r="F672" s="60">
        <f>SUMIF('Sales Register'!C:C, A672, 'Sales Register'!D:D)</f>
        <v>24</v>
      </c>
      <c r="G672" s="60">
        <f t="shared" si="60"/>
        <v>240</v>
      </c>
      <c r="H672" s="60">
        <f t="shared" si="61"/>
        <v>210</v>
      </c>
      <c r="I672" s="60">
        <f t="shared" si="62"/>
        <v>30</v>
      </c>
      <c r="J672" s="60">
        <f t="shared" si="63"/>
        <v>0.125</v>
      </c>
      <c r="K672" s="35" t="str">
        <f t="shared" si="64"/>
        <v>14%</v>
      </c>
      <c r="M672" s="30">
        <f t="shared" si="65"/>
        <v>0.14285714285714285</v>
      </c>
      <c r="N672" s="34">
        <f>VLOOKUP(A672, 'Stock Register'!A:F, 6, FALSE)</f>
        <v>0</v>
      </c>
    </row>
    <row r="673" spans="1:14" hidden="1" x14ac:dyDescent="0.25">
      <c r="A673" s="205" t="s">
        <v>965</v>
      </c>
      <c r="D673" s="29">
        <f>SUMIF('Purchase Register'!C:C, A673, 'Purchase Register'!G:G)</f>
        <v>45</v>
      </c>
      <c r="E673" s="190">
        <v>55</v>
      </c>
      <c r="F673" s="60">
        <f>SUMIF('Sales Register'!C:C, A673, 'Sales Register'!D:D)</f>
        <v>0</v>
      </c>
      <c r="G673" s="60">
        <f t="shared" si="60"/>
        <v>0</v>
      </c>
      <c r="H673" s="60">
        <f t="shared" si="61"/>
        <v>0</v>
      </c>
      <c r="I673" s="60">
        <f t="shared" si="62"/>
        <v>0</v>
      </c>
      <c r="J673" s="60">
        <f t="shared" si="63"/>
        <v>0</v>
      </c>
      <c r="K673" s="35" t="str">
        <f t="shared" si="64"/>
        <v>22%</v>
      </c>
      <c r="M673" s="30">
        <f t="shared" si="65"/>
        <v>0.22222222222222221</v>
      </c>
      <c r="N673" s="34">
        <f>VLOOKUP(A673, 'Stock Register'!A:F, 6, FALSE)</f>
        <v>3</v>
      </c>
    </row>
    <row r="674" spans="1:14" hidden="1" x14ac:dyDescent="0.25">
      <c r="A674" s="205" t="s">
        <v>966</v>
      </c>
      <c r="D674" s="29">
        <f>SUMIF('Purchase Register'!C:C, A674, 'Purchase Register'!G:G)</f>
        <v>0.9</v>
      </c>
      <c r="E674" s="190">
        <v>1</v>
      </c>
      <c r="F674" s="60">
        <f>SUMIF('Sales Register'!C:C, A674, 'Sales Register'!D:D)</f>
        <v>63</v>
      </c>
      <c r="G674" s="60">
        <f t="shared" si="60"/>
        <v>63</v>
      </c>
      <c r="H674" s="60">
        <f t="shared" si="61"/>
        <v>56.7</v>
      </c>
      <c r="I674" s="60">
        <f t="shared" si="62"/>
        <v>6.2999999999999972</v>
      </c>
      <c r="J674" s="60">
        <f t="shared" si="63"/>
        <v>9.999999999999995E-2</v>
      </c>
      <c r="K674" s="35" t="str">
        <f t="shared" si="64"/>
        <v>11%</v>
      </c>
      <c r="M674" s="30">
        <f t="shared" si="65"/>
        <v>0.11111111111111108</v>
      </c>
      <c r="N674" s="34">
        <f>VLOOKUP(A674, 'Stock Register'!A:F, 6, FALSE)</f>
        <v>37</v>
      </c>
    </row>
    <row r="675" spans="1:14" ht="30" hidden="1" x14ac:dyDescent="0.25">
      <c r="A675" s="205" t="s">
        <v>967</v>
      </c>
      <c r="D675" s="29">
        <f>SUMIF('Purchase Register'!C:C, A675, 'Purchase Register'!G:G)</f>
        <v>105</v>
      </c>
      <c r="E675" s="190">
        <v>115</v>
      </c>
      <c r="F675" s="60">
        <f>SUMIF('Sales Register'!C:C, A675, 'Sales Register'!D:D)</f>
        <v>4</v>
      </c>
      <c r="G675" s="60">
        <f t="shared" si="60"/>
        <v>460</v>
      </c>
      <c r="H675" s="60">
        <f t="shared" si="61"/>
        <v>420</v>
      </c>
      <c r="I675" s="60">
        <f t="shared" si="62"/>
        <v>40</v>
      </c>
      <c r="J675" s="60">
        <f t="shared" si="63"/>
        <v>8.6956521739130432E-2</v>
      </c>
      <c r="K675" s="35" t="str">
        <f t="shared" si="64"/>
        <v>9%</v>
      </c>
      <c r="M675" s="30">
        <f t="shared" si="65"/>
        <v>9.5238095238095233E-2</v>
      </c>
      <c r="N675" s="34">
        <f>VLOOKUP(A675, 'Stock Register'!A:F, 6, FALSE)</f>
        <v>2</v>
      </c>
    </row>
    <row r="676" spans="1:14" s="75" customFormat="1" hidden="1" x14ac:dyDescent="0.25">
      <c r="A676" s="204" t="s">
        <v>968</v>
      </c>
      <c r="B676" s="71"/>
      <c r="C676" s="71"/>
      <c r="D676" s="72">
        <f>SUMIF('Purchase Register'!C:C, A676, 'Purchase Register'!G:G)</f>
        <v>50</v>
      </c>
      <c r="E676" s="191">
        <v>58</v>
      </c>
      <c r="F676" s="74">
        <f>SUMIF('Sales Register'!C:C, A676, 'Sales Register'!D:D)</f>
        <v>6.4559999999999995</v>
      </c>
      <c r="G676" s="74">
        <f t="shared" si="60"/>
        <v>374.44799999999998</v>
      </c>
      <c r="H676" s="74">
        <f t="shared" si="61"/>
        <v>322.79999999999995</v>
      </c>
      <c r="I676" s="74">
        <f t="shared" si="62"/>
        <v>51.648000000000025</v>
      </c>
      <c r="J676" s="74">
        <f t="shared" si="63"/>
        <v>0.1379310344827587</v>
      </c>
      <c r="K676" s="134" t="str">
        <f t="shared" si="64"/>
        <v>16%</v>
      </c>
      <c r="L676" s="73"/>
      <c r="M676" s="99">
        <f t="shared" si="65"/>
        <v>0.16</v>
      </c>
      <c r="N676" s="73">
        <f>VLOOKUP(A676, 'Stock Register'!A:F, 6, FALSE)</f>
        <v>-0.45599999999999952</v>
      </c>
    </row>
    <row r="677" spans="1:14" hidden="1" x14ac:dyDescent="0.25">
      <c r="A677" s="205" t="s">
        <v>969</v>
      </c>
      <c r="D677" s="29">
        <f>SUMIF('Purchase Register'!C:C, A677, 'Purchase Register'!G:G)</f>
        <v>140</v>
      </c>
      <c r="E677" s="190">
        <v>160</v>
      </c>
      <c r="F677" s="60">
        <f>SUMIF('Sales Register'!C:C, A677, 'Sales Register'!D:D)</f>
        <v>1.087</v>
      </c>
      <c r="G677" s="60">
        <f t="shared" si="60"/>
        <v>173.92</v>
      </c>
      <c r="H677" s="60">
        <f t="shared" si="61"/>
        <v>152.18</v>
      </c>
      <c r="I677" s="60">
        <f t="shared" si="62"/>
        <v>21.739999999999981</v>
      </c>
      <c r="J677" s="60">
        <f t="shared" si="63"/>
        <v>0.1249999999999999</v>
      </c>
      <c r="K677" s="35" t="str">
        <f t="shared" si="64"/>
        <v>14%</v>
      </c>
      <c r="M677" s="30">
        <f t="shared" si="65"/>
        <v>0.14285714285714285</v>
      </c>
      <c r="N677" s="34">
        <f>VLOOKUP(A677, 'Stock Register'!A:F, 6, FALSE)</f>
        <v>0.91300000000000003</v>
      </c>
    </row>
    <row r="678" spans="1:14" s="75" customFormat="1" hidden="1" x14ac:dyDescent="0.25">
      <c r="B678" s="71"/>
      <c r="C678" s="71"/>
      <c r="D678" s="72">
        <f>SUMIF('Purchase Register'!C:C, 'Sales Register'!C6689, 'Purchase Register'!G:G)</f>
        <v>8.75</v>
      </c>
      <c r="E678" s="191">
        <v>10</v>
      </c>
      <c r="F678" s="74">
        <f>SUMIF('Sales Register'!C:C, 'Sales Register'!C6689, 'Sales Register'!D:D)</f>
        <v>59</v>
      </c>
      <c r="G678" s="74">
        <f t="shared" si="60"/>
        <v>590</v>
      </c>
      <c r="H678" s="74">
        <f t="shared" si="61"/>
        <v>516.25</v>
      </c>
      <c r="I678" s="74">
        <f t="shared" si="62"/>
        <v>73.75</v>
      </c>
      <c r="J678" s="74">
        <f t="shared" si="63"/>
        <v>0.125</v>
      </c>
      <c r="K678" s="134" t="str">
        <f t="shared" si="64"/>
        <v>14%</v>
      </c>
      <c r="L678" s="73"/>
      <c r="M678" s="99">
        <f t="shared" si="65"/>
        <v>0.14285714285714285</v>
      </c>
      <c r="N678" s="73">
        <f>VLOOKUP('Sales Register'!C6689, 'Stock Register'!A:F, 6, FALSE)</f>
        <v>-47</v>
      </c>
    </row>
    <row r="679" spans="1:14" ht="30" hidden="1" x14ac:dyDescent="0.25">
      <c r="A679" s="205" t="s">
        <v>971</v>
      </c>
      <c r="D679" s="29">
        <f>SUMIF('Purchase Register'!C:C, A679, 'Purchase Register'!G:G)</f>
        <v>8.5</v>
      </c>
      <c r="E679" s="190">
        <v>10</v>
      </c>
      <c r="F679" s="60">
        <f>SUMIF('Sales Register'!C:C, A679, 'Sales Register'!D:D)</f>
        <v>14</v>
      </c>
      <c r="G679" s="60">
        <f t="shared" si="60"/>
        <v>140</v>
      </c>
      <c r="H679" s="60">
        <f t="shared" si="61"/>
        <v>119</v>
      </c>
      <c r="I679" s="60">
        <f t="shared" si="62"/>
        <v>21</v>
      </c>
      <c r="J679" s="60">
        <f t="shared" si="63"/>
        <v>0.15</v>
      </c>
      <c r="K679" s="35" t="str">
        <f t="shared" si="64"/>
        <v>17%</v>
      </c>
      <c r="M679" s="30">
        <f t="shared" si="65"/>
        <v>0.17647058823529413</v>
      </c>
      <c r="N679" s="34">
        <f>VLOOKUP(A679, 'Stock Register'!A:F, 6, FALSE)</f>
        <v>-4</v>
      </c>
    </row>
    <row r="680" spans="1:14" hidden="1" x14ac:dyDescent="0.25">
      <c r="A680" s="205" t="s">
        <v>972</v>
      </c>
      <c r="D680" s="29">
        <f>SUMIF('Purchase Register'!C:C, A680, 'Purchase Register'!G:G)</f>
        <v>35</v>
      </c>
      <c r="E680" s="190">
        <v>45</v>
      </c>
      <c r="F680" s="60">
        <f>SUMIF('Sales Register'!C:C, A680, 'Sales Register'!D:D)</f>
        <v>1</v>
      </c>
      <c r="G680" s="60">
        <f t="shared" si="60"/>
        <v>45</v>
      </c>
      <c r="H680" s="60">
        <f t="shared" si="61"/>
        <v>35</v>
      </c>
      <c r="I680" s="60">
        <f t="shared" si="62"/>
        <v>10</v>
      </c>
      <c r="J680" s="60">
        <f t="shared" si="63"/>
        <v>0.22222222222222221</v>
      </c>
      <c r="K680" s="35" t="str">
        <f t="shared" si="64"/>
        <v>28%</v>
      </c>
      <c r="M680" s="30">
        <f t="shared" si="65"/>
        <v>0.2857142857142857</v>
      </c>
      <c r="N680" s="34">
        <f>VLOOKUP(A680, 'Stock Register'!A:F, 6, FALSE)</f>
        <v>5</v>
      </c>
    </row>
    <row r="681" spans="1:14" ht="30" hidden="1" x14ac:dyDescent="0.25">
      <c r="A681" s="205" t="s">
        <v>973</v>
      </c>
      <c r="D681" s="29">
        <f>SUMIF('Purchase Register'!C:C, A681, 'Purchase Register'!G:G)</f>
        <v>18.8</v>
      </c>
      <c r="E681" s="190">
        <v>25</v>
      </c>
      <c r="F681" s="60">
        <f>SUMIF('Sales Register'!C:C, A681, 'Sales Register'!D:D)</f>
        <v>1</v>
      </c>
      <c r="G681" s="60">
        <f t="shared" si="60"/>
        <v>25</v>
      </c>
      <c r="H681" s="60">
        <f t="shared" si="61"/>
        <v>18.8</v>
      </c>
      <c r="I681" s="60">
        <f t="shared" si="62"/>
        <v>6.1999999999999993</v>
      </c>
      <c r="J681" s="60">
        <f t="shared" si="63"/>
        <v>0.24799999999999997</v>
      </c>
      <c r="K681" s="35" t="str">
        <f t="shared" si="64"/>
        <v>32%</v>
      </c>
      <c r="M681" s="30">
        <f t="shared" si="65"/>
        <v>0.32978723404255317</v>
      </c>
      <c r="N681" s="34">
        <f>VLOOKUP(A681, 'Stock Register'!A:F, 6, FALSE)</f>
        <v>24</v>
      </c>
    </row>
    <row r="682" spans="1:14" ht="30" hidden="1" x14ac:dyDescent="0.25">
      <c r="A682" s="205" t="s">
        <v>974</v>
      </c>
      <c r="D682" s="29">
        <f>SUMIF('Purchase Register'!C:C, A682, 'Purchase Register'!G:G)</f>
        <v>52</v>
      </c>
      <c r="E682" s="190">
        <v>65</v>
      </c>
      <c r="F682" s="60">
        <f>SUMIF('Sales Register'!C:C, A682, 'Sales Register'!D:D)</f>
        <v>3</v>
      </c>
      <c r="G682" s="60">
        <f t="shared" si="60"/>
        <v>195</v>
      </c>
      <c r="H682" s="60">
        <f t="shared" si="61"/>
        <v>156</v>
      </c>
      <c r="I682" s="60">
        <f t="shared" si="62"/>
        <v>39</v>
      </c>
      <c r="J682" s="60">
        <f t="shared" si="63"/>
        <v>0.2</v>
      </c>
      <c r="K682" s="35" t="str">
        <f t="shared" si="64"/>
        <v>25%</v>
      </c>
      <c r="M682" s="30">
        <f t="shared" si="65"/>
        <v>0.25</v>
      </c>
      <c r="N682" s="34">
        <f>VLOOKUP(A682, 'Stock Register'!A:F, 6, FALSE)</f>
        <v>7</v>
      </c>
    </row>
    <row r="683" spans="1:14" ht="30" hidden="1" x14ac:dyDescent="0.25">
      <c r="A683" s="205" t="s">
        <v>975</v>
      </c>
      <c r="D683" s="29">
        <f>SUMIF('Purchase Register'!C:C, A683, 'Purchase Register'!G:G)</f>
        <v>67.5</v>
      </c>
      <c r="E683" s="190">
        <v>80</v>
      </c>
      <c r="F683" s="60">
        <f>SUMIF('Sales Register'!C:C, A683, 'Sales Register'!D:D)</f>
        <v>3</v>
      </c>
      <c r="G683" s="60">
        <f t="shared" si="60"/>
        <v>240</v>
      </c>
      <c r="H683" s="60">
        <f t="shared" si="61"/>
        <v>202.5</v>
      </c>
      <c r="I683" s="60">
        <f t="shared" si="62"/>
        <v>37.5</v>
      </c>
      <c r="J683" s="60">
        <f t="shared" si="63"/>
        <v>0.15625</v>
      </c>
      <c r="K683" s="35" t="str">
        <f t="shared" si="64"/>
        <v>18%</v>
      </c>
      <c r="M683" s="30">
        <f t="shared" si="65"/>
        <v>0.18518518518518517</v>
      </c>
      <c r="N683" s="34">
        <f>VLOOKUP(A683, 'Stock Register'!A:F, 6, FALSE)</f>
        <v>1</v>
      </c>
    </row>
    <row r="684" spans="1:14" ht="30" hidden="1" x14ac:dyDescent="0.25">
      <c r="A684" s="205" t="s">
        <v>976</v>
      </c>
      <c r="D684" s="29">
        <f>SUMIF('Purchase Register'!C:C, A684, 'Purchase Register'!G:G)</f>
        <v>27</v>
      </c>
      <c r="E684" s="190">
        <v>35</v>
      </c>
      <c r="F684" s="60">
        <f>SUMIF('Sales Register'!C:C, A684, 'Sales Register'!D:D)</f>
        <v>0</v>
      </c>
      <c r="G684" s="60">
        <f t="shared" si="60"/>
        <v>0</v>
      </c>
      <c r="H684" s="60">
        <f t="shared" si="61"/>
        <v>0</v>
      </c>
      <c r="I684" s="60">
        <f t="shared" si="62"/>
        <v>0</v>
      </c>
      <c r="J684" s="60">
        <f t="shared" si="63"/>
        <v>0</v>
      </c>
      <c r="K684" s="35" t="str">
        <f t="shared" si="64"/>
        <v>29%</v>
      </c>
      <c r="M684" s="30">
        <f t="shared" si="65"/>
        <v>0.29629629629629628</v>
      </c>
      <c r="N684" s="34">
        <f>VLOOKUP(A684, 'Stock Register'!A:F, 6, FALSE)</f>
        <v>10</v>
      </c>
    </row>
    <row r="685" spans="1:14" s="75" customFormat="1" hidden="1" x14ac:dyDescent="0.25">
      <c r="A685" s="204" t="s">
        <v>989</v>
      </c>
      <c r="B685" s="71"/>
      <c r="C685" s="71"/>
      <c r="D685" s="72">
        <f>SUMIF('Purchase Register'!C:C, A685, 'Purchase Register'!G:G)</f>
        <v>5.9375</v>
      </c>
      <c r="E685" s="191">
        <v>6.5</v>
      </c>
      <c r="F685" s="74">
        <f>SUMIF('Sales Register'!C:C, A685, 'Sales Register'!D:D)</f>
        <v>32</v>
      </c>
      <c r="G685" s="74">
        <f t="shared" si="60"/>
        <v>208</v>
      </c>
      <c r="H685" s="74">
        <f t="shared" si="61"/>
        <v>190</v>
      </c>
      <c r="I685" s="74">
        <f t="shared" si="62"/>
        <v>18</v>
      </c>
      <c r="J685" s="74">
        <f t="shared" si="63"/>
        <v>8.6538461538461536E-2</v>
      </c>
      <c r="K685" s="134" t="str">
        <f t="shared" si="64"/>
        <v>9%</v>
      </c>
      <c r="L685" s="73"/>
      <c r="M685" s="99">
        <f t="shared" si="65"/>
        <v>9.4736842105263161E-2</v>
      </c>
      <c r="N685" s="73">
        <f>VLOOKUP(A685, 'Stock Register'!A:F, 6, FALSE)</f>
        <v>0</v>
      </c>
    </row>
    <row r="686" spans="1:14" hidden="1" x14ac:dyDescent="0.25">
      <c r="A686" s="205" t="s">
        <v>990</v>
      </c>
      <c r="D686" s="29">
        <f>SUMIF('Purchase Register'!C:C, A686, 'Purchase Register'!G:G)</f>
        <v>140</v>
      </c>
      <c r="E686" s="190">
        <v>150</v>
      </c>
      <c r="F686" s="60">
        <f>SUMIF('Sales Register'!C:C, A686, 'Sales Register'!D:D)</f>
        <v>1</v>
      </c>
      <c r="G686" s="60">
        <f t="shared" si="60"/>
        <v>150</v>
      </c>
      <c r="H686" s="60">
        <f t="shared" si="61"/>
        <v>140</v>
      </c>
      <c r="I686" s="60">
        <f t="shared" si="62"/>
        <v>10</v>
      </c>
      <c r="J686" s="60">
        <f t="shared" si="63"/>
        <v>6.6666666666666666E-2</v>
      </c>
      <c r="K686" s="35" t="str">
        <f t="shared" si="64"/>
        <v>7%</v>
      </c>
      <c r="M686" s="30">
        <f t="shared" si="65"/>
        <v>7.1428571428571425E-2</v>
      </c>
      <c r="N686" s="34">
        <f>VLOOKUP(A686, 'Stock Register'!A:F, 6, FALSE)</f>
        <v>1</v>
      </c>
    </row>
    <row r="687" spans="1:14" hidden="1" x14ac:dyDescent="0.25">
      <c r="A687" s="205" t="s">
        <v>991</v>
      </c>
      <c r="D687" s="29">
        <f>SUMIF('Purchase Register'!C:C, A687, 'Purchase Register'!G:G)</f>
        <v>4.5999999999999996</v>
      </c>
      <c r="E687" s="190">
        <v>5</v>
      </c>
      <c r="F687" s="60">
        <f>SUMIF('Sales Register'!C:C, A687, 'Sales Register'!D:D)</f>
        <v>0</v>
      </c>
      <c r="G687" s="60">
        <f t="shared" si="60"/>
        <v>0</v>
      </c>
      <c r="H687" s="60">
        <f t="shared" si="61"/>
        <v>0</v>
      </c>
      <c r="I687" s="60">
        <f t="shared" si="62"/>
        <v>0</v>
      </c>
      <c r="J687" s="60">
        <f t="shared" si="63"/>
        <v>0</v>
      </c>
      <c r="K687" s="35" t="str">
        <f t="shared" si="64"/>
        <v>8%</v>
      </c>
      <c r="M687" s="30">
        <f t="shared" si="65"/>
        <v>8.6956521739130516E-2</v>
      </c>
      <c r="N687" s="34">
        <f>VLOOKUP(A687, 'Stock Register'!A:F, 6, FALSE)</f>
        <v>10</v>
      </c>
    </row>
    <row r="688" spans="1:14" hidden="1" x14ac:dyDescent="0.25">
      <c r="A688" s="205" t="s">
        <v>992</v>
      </c>
      <c r="D688" s="29">
        <f>SUMIF('Purchase Register'!C:C, A688, 'Purchase Register'!G:G)</f>
        <v>59</v>
      </c>
      <c r="E688" s="190">
        <v>80</v>
      </c>
      <c r="F688" s="60">
        <f>SUMIF('Sales Register'!C:C, A688, 'Sales Register'!D:D)</f>
        <v>0</v>
      </c>
      <c r="G688" s="60">
        <f t="shared" si="60"/>
        <v>0</v>
      </c>
      <c r="H688" s="60">
        <f t="shared" si="61"/>
        <v>0</v>
      </c>
      <c r="I688" s="60">
        <f t="shared" si="62"/>
        <v>0</v>
      </c>
      <c r="J688" s="60">
        <f t="shared" si="63"/>
        <v>0</v>
      </c>
      <c r="K688" s="35" t="str">
        <f t="shared" si="64"/>
        <v>35%</v>
      </c>
      <c r="M688" s="30">
        <f t="shared" si="65"/>
        <v>0.3559322033898305</v>
      </c>
      <c r="N688" s="34">
        <f>VLOOKUP(A688, 'Stock Register'!A:F, 6, FALSE)</f>
        <v>1</v>
      </c>
    </row>
    <row r="689" spans="1:14" s="75" customFormat="1" hidden="1" x14ac:dyDescent="0.25">
      <c r="A689" s="204" t="s">
        <v>993</v>
      </c>
      <c r="B689" s="71"/>
      <c r="C689" s="71"/>
      <c r="D689" s="72">
        <f>SUMIF('Purchase Register'!C:C, A689, 'Purchase Register'!G:G)</f>
        <v>8</v>
      </c>
      <c r="E689" s="191">
        <v>8.3000000000000007</v>
      </c>
      <c r="F689" s="74">
        <f>SUMIF('Sales Register'!C:C, A689, 'Sales Register'!D:D)</f>
        <v>30</v>
      </c>
      <c r="G689" s="74">
        <f t="shared" si="60"/>
        <v>249.00000000000003</v>
      </c>
      <c r="H689" s="74">
        <f t="shared" si="61"/>
        <v>240</v>
      </c>
      <c r="I689" s="74">
        <f t="shared" si="62"/>
        <v>9.0000000000000284</v>
      </c>
      <c r="J689" s="74">
        <f t="shared" si="63"/>
        <v>3.6144578313253121E-2</v>
      </c>
      <c r="K689" s="134" t="str">
        <f t="shared" si="64"/>
        <v>3%</v>
      </c>
      <c r="L689" s="73"/>
      <c r="M689" s="99">
        <f t="shared" si="65"/>
        <v>3.7500000000000089E-2</v>
      </c>
      <c r="N689" s="73">
        <f>VLOOKUP(A689, 'Stock Register'!A:F, 6, FALSE)</f>
        <v>0</v>
      </c>
    </row>
    <row r="690" spans="1:14" s="75" customFormat="1" hidden="1" x14ac:dyDescent="0.25">
      <c r="A690" s="204" t="s">
        <v>994</v>
      </c>
      <c r="B690" s="71"/>
      <c r="C690" s="71"/>
      <c r="D690" s="72">
        <f>SUMIF('Purchase Register'!C:C, A690, 'Purchase Register'!G:G)</f>
        <v>8.3333333333333339</v>
      </c>
      <c r="E690" s="191">
        <v>9</v>
      </c>
      <c r="F690" s="74">
        <f>SUMIF('Sales Register'!C:C, A690, 'Sales Register'!D:D)</f>
        <v>60</v>
      </c>
      <c r="G690" s="74">
        <f t="shared" si="60"/>
        <v>540</v>
      </c>
      <c r="H690" s="74">
        <f t="shared" si="61"/>
        <v>500.00000000000006</v>
      </c>
      <c r="I690" s="74">
        <f t="shared" si="62"/>
        <v>39.999999999999943</v>
      </c>
      <c r="J690" s="74">
        <f t="shared" si="63"/>
        <v>7.4074074074073973E-2</v>
      </c>
      <c r="K690" s="134" t="str">
        <f t="shared" si="64"/>
        <v>7%</v>
      </c>
      <c r="L690" s="73"/>
      <c r="M690" s="99">
        <f t="shared" si="65"/>
        <v>7.9999999999999918E-2</v>
      </c>
      <c r="N690" s="73">
        <f>VLOOKUP(A690, 'Stock Register'!A:F, 6, FALSE)</f>
        <v>0</v>
      </c>
    </row>
    <row r="691" spans="1:14" s="75" customFormat="1" hidden="1" x14ac:dyDescent="0.25">
      <c r="A691" s="204" t="s">
        <v>995</v>
      </c>
      <c r="B691" s="71"/>
      <c r="C691" s="71"/>
      <c r="D691" s="72">
        <f>SUMIF('Purchase Register'!C:C, A691, 'Purchase Register'!G:G)</f>
        <v>53.846153846153847</v>
      </c>
      <c r="E691" s="191">
        <v>55</v>
      </c>
      <c r="F691" s="74">
        <f>SUMIF('Sales Register'!C:C, A691, 'Sales Register'!D:D)</f>
        <v>26</v>
      </c>
      <c r="G691" s="74">
        <f t="shared" si="60"/>
        <v>1430</v>
      </c>
      <c r="H691" s="74">
        <f t="shared" si="61"/>
        <v>1400</v>
      </c>
      <c r="I691" s="74">
        <f t="shared" si="62"/>
        <v>30</v>
      </c>
      <c r="J691" s="74">
        <f t="shared" si="63"/>
        <v>2.097902097902098E-2</v>
      </c>
      <c r="K691" s="134" t="str">
        <f t="shared" si="64"/>
        <v>2%</v>
      </c>
      <c r="L691" s="73"/>
      <c r="M691" s="99">
        <f t="shared" si="65"/>
        <v>2.1428571428571418E-2</v>
      </c>
      <c r="N691" s="73">
        <f>VLOOKUP(A691, 'Stock Register'!A:F, 6, FALSE)</f>
        <v>0</v>
      </c>
    </row>
    <row r="692" spans="1:14" s="75" customFormat="1" hidden="1" x14ac:dyDescent="0.25">
      <c r="A692" s="204" t="s">
        <v>996</v>
      </c>
      <c r="B692" s="71"/>
      <c r="C692" s="71"/>
      <c r="D692" s="72">
        <f>SUMIF('Purchase Register'!C:C, A692, 'Purchase Register'!G:G)</f>
        <v>23</v>
      </c>
      <c r="E692" s="191">
        <v>30</v>
      </c>
      <c r="F692" s="74">
        <f>SUMIF('Sales Register'!C:C, A692, 'Sales Register'!D:D)</f>
        <v>2</v>
      </c>
      <c r="G692" s="74">
        <f t="shared" si="60"/>
        <v>60</v>
      </c>
      <c r="H692" s="74">
        <f t="shared" si="61"/>
        <v>46</v>
      </c>
      <c r="I692" s="74">
        <f t="shared" si="62"/>
        <v>14</v>
      </c>
      <c r="J692" s="74">
        <f t="shared" si="63"/>
        <v>0.23333333333333334</v>
      </c>
      <c r="K692" s="134" t="str">
        <f t="shared" si="64"/>
        <v>30%</v>
      </c>
      <c r="L692" s="73"/>
      <c r="M692" s="99">
        <f t="shared" si="65"/>
        <v>0.30434782608695654</v>
      </c>
      <c r="N692" s="73">
        <f>VLOOKUP(A692, 'Stock Register'!A:F, 6, FALSE)</f>
        <v>0</v>
      </c>
    </row>
    <row r="693" spans="1:14" ht="30" hidden="1" x14ac:dyDescent="0.25">
      <c r="A693" s="205" t="s">
        <v>997</v>
      </c>
      <c r="D693" s="29">
        <f>SUMIF('Purchase Register'!C:C, A693, 'Purchase Register'!G:G)</f>
        <v>19</v>
      </c>
      <c r="E693" s="190">
        <v>20</v>
      </c>
      <c r="F693" s="60">
        <f>SUMIF('Sales Register'!C:C, A693, 'Sales Register'!D:D)</f>
        <v>3</v>
      </c>
      <c r="G693" s="60">
        <f t="shared" si="60"/>
        <v>60</v>
      </c>
      <c r="H693" s="60">
        <f t="shared" si="61"/>
        <v>57</v>
      </c>
      <c r="I693" s="60">
        <f t="shared" si="62"/>
        <v>3</v>
      </c>
      <c r="J693" s="60">
        <f t="shared" si="63"/>
        <v>0.05</v>
      </c>
      <c r="K693" s="35" t="str">
        <f t="shared" si="64"/>
        <v>5%</v>
      </c>
      <c r="M693" s="30">
        <f t="shared" si="65"/>
        <v>5.2631578947368418E-2</v>
      </c>
      <c r="N693" s="34">
        <f>VLOOKUP(A693, 'Stock Register'!A:F, 6, FALSE)</f>
        <v>0</v>
      </c>
    </row>
    <row r="694" spans="1:14" s="75" customFormat="1" ht="30" hidden="1" x14ac:dyDescent="0.25">
      <c r="A694" s="204" t="s">
        <v>998</v>
      </c>
      <c r="B694" s="71"/>
      <c r="C694" s="71"/>
      <c r="D694" s="72">
        <f>SUMIF('Purchase Register'!C:C, A694, 'Purchase Register'!G:G)</f>
        <v>19</v>
      </c>
      <c r="E694" s="191">
        <v>20</v>
      </c>
      <c r="F694" s="74">
        <f>SUMIF('Sales Register'!C:C, A694, 'Sales Register'!D:D)</f>
        <v>7</v>
      </c>
      <c r="G694" s="74">
        <f t="shared" ref="G694:G757" si="66">E694*F694</f>
        <v>140</v>
      </c>
      <c r="H694" s="74">
        <f t="shared" si="61"/>
        <v>133</v>
      </c>
      <c r="I694" s="74">
        <f t="shared" si="62"/>
        <v>7</v>
      </c>
      <c r="J694" s="74">
        <f t="shared" si="63"/>
        <v>0.05</v>
      </c>
      <c r="K694" s="134" t="str">
        <f t="shared" si="64"/>
        <v>5%</v>
      </c>
      <c r="L694" s="73"/>
      <c r="M694" s="99">
        <f t="shared" si="65"/>
        <v>5.2631578947368418E-2</v>
      </c>
      <c r="N694" s="73">
        <f>VLOOKUP(A694, 'Stock Register'!A:F, 6, FALSE)</f>
        <v>0</v>
      </c>
    </row>
    <row r="695" spans="1:14" ht="30" hidden="1" x14ac:dyDescent="0.25">
      <c r="A695" s="205" t="s">
        <v>999</v>
      </c>
      <c r="D695" s="29">
        <f>SUMIF('Purchase Register'!C:C, A695, 'Purchase Register'!G:G)</f>
        <v>19</v>
      </c>
      <c r="E695" s="190">
        <v>20</v>
      </c>
      <c r="F695" s="60">
        <f>SUMIF('Sales Register'!C:C, A695, 'Sales Register'!D:D)</f>
        <v>5</v>
      </c>
      <c r="G695" s="60">
        <f t="shared" si="66"/>
        <v>100</v>
      </c>
      <c r="H695" s="60">
        <f t="shared" si="61"/>
        <v>95</v>
      </c>
      <c r="I695" s="60">
        <f t="shared" si="62"/>
        <v>5</v>
      </c>
      <c r="J695" s="60">
        <f t="shared" si="63"/>
        <v>0.05</v>
      </c>
      <c r="K695" s="35" t="str">
        <f t="shared" si="64"/>
        <v>5%</v>
      </c>
      <c r="M695" s="30">
        <f t="shared" si="65"/>
        <v>5.2631578947368418E-2</v>
      </c>
      <c r="N695" s="34">
        <f>VLOOKUP(A695, 'Stock Register'!A:F, 6, FALSE)</f>
        <v>-1</v>
      </c>
    </row>
    <row r="696" spans="1:14" s="75" customFormat="1" ht="30" hidden="1" x14ac:dyDescent="0.25">
      <c r="A696" s="204" t="s">
        <v>1000</v>
      </c>
      <c r="B696" s="71"/>
      <c r="C696" s="71"/>
      <c r="D696" s="72">
        <f>SUMIF('Purchase Register'!C:C, A696, 'Purchase Register'!G:G)</f>
        <v>419</v>
      </c>
      <c r="E696" s="191">
        <v>485</v>
      </c>
      <c r="F696" s="74">
        <f>SUMIF('Sales Register'!C:C, A696, 'Sales Register'!D:D)</f>
        <v>1</v>
      </c>
      <c r="G696" s="74">
        <f t="shared" si="66"/>
        <v>485</v>
      </c>
      <c r="H696" s="74">
        <f t="shared" si="61"/>
        <v>419</v>
      </c>
      <c r="I696" s="74">
        <f t="shared" si="62"/>
        <v>66</v>
      </c>
      <c r="J696" s="74">
        <f t="shared" si="63"/>
        <v>0.13608247422680411</v>
      </c>
      <c r="K696" s="134" t="str">
        <f t="shared" si="64"/>
        <v>15%</v>
      </c>
      <c r="L696" s="73"/>
      <c r="M696" s="99">
        <f t="shared" si="65"/>
        <v>0.15751789976133651</v>
      </c>
      <c r="N696" s="73">
        <f>VLOOKUP(A696, 'Stock Register'!A:F, 6, FALSE)</f>
        <v>0</v>
      </c>
    </row>
    <row r="697" spans="1:14" s="75" customFormat="1" ht="30" hidden="1" x14ac:dyDescent="0.25">
      <c r="A697" s="204" t="s">
        <v>1001</v>
      </c>
      <c r="B697" s="71"/>
      <c r="C697" s="71"/>
      <c r="D697" s="72">
        <f>SUMIF('Purchase Register'!C:C, A697, 'Purchase Register'!G:G)</f>
        <v>414</v>
      </c>
      <c r="E697" s="191">
        <v>480</v>
      </c>
      <c r="F697" s="74">
        <f>SUMIF('Sales Register'!C:C, A697, 'Sales Register'!D:D)</f>
        <v>1</v>
      </c>
      <c r="G697" s="74">
        <f t="shared" si="66"/>
        <v>480</v>
      </c>
      <c r="H697" s="74">
        <f t="shared" si="61"/>
        <v>414</v>
      </c>
      <c r="I697" s="74">
        <f t="shared" si="62"/>
        <v>66</v>
      </c>
      <c r="J697" s="74">
        <f t="shared" si="63"/>
        <v>0.13750000000000001</v>
      </c>
      <c r="K697" s="134" t="str">
        <f t="shared" si="64"/>
        <v>15%</v>
      </c>
      <c r="L697" s="73"/>
      <c r="M697" s="99">
        <f t="shared" si="65"/>
        <v>0.15942028985507245</v>
      </c>
      <c r="N697" s="73">
        <f>VLOOKUP(A697, 'Stock Register'!A:F, 6, FALSE)</f>
        <v>0</v>
      </c>
    </row>
    <row r="698" spans="1:14" hidden="1" x14ac:dyDescent="0.25">
      <c r="A698" s="205" t="s">
        <v>1002</v>
      </c>
      <c r="D698" s="29">
        <f>SUMIF('Purchase Register'!C:C, A698, 'Purchase Register'!G:G)</f>
        <v>15</v>
      </c>
      <c r="E698" s="190">
        <v>30</v>
      </c>
      <c r="F698" s="60">
        <f>SUMIF('Sales Register'!C:C, A698, 'Sales Register'!D:D)</f>
        <v>1</v>
      </c>
      <c r="G698" s="60">
        <f t="shared" si="66"/>
        <v>30</v>
      </c>
      <c r="H698" s="60">
        <f t="shared" si="61"/>
        <v>15</v>
      </c>
      <c r="I698" s="60">
        <f t="shared" si="62"/>
        <v>15</v>
      </c>
      <c r="J698" s="60">
        <f t="shared" si="63"/>
        <v>0.5</v>
      </c>
      <c r="K698" s="35" t="str">
        <f t="shared" si="64"/>
        <v>100% or More</v>
      </c>
      <c r="M698" s="30">
        <f t="shared" si="65"/>
        <v>1</v>
      </c>
      <c r="N698" s="34">
        <f>VLOOKUP(A698, 'Stock Register'!A:F, 6, FALSE)</f>
        <v>1</v>
      </c>
    </row>
    <row r="699" spans="1:14" ht="30" hidden="1" x14ac:dyDescent="0.25">
      <c r="A699" s="205" t="s">
        <v>1003</v>
      </c>
      <c r="D699" s="29">
        <f>SUMIF('Purchase Register'!C:C, A699, 'Purchase Register'!G:G)</f>
        <v>28</v>
      </c>
      <c r="E699" s="190">
        <v>30</v>
      </c>
      <c r="F699" s="60">
        <f>SUMIF('Sales Register'!C:C, A699, 'Sales Register'!D:D)</f>
        <v>2</v>
      </c>
      <c r="G699" s="60">
        <f t="shared" si="66"/>
        <v>60</v>
      </c>
      <c r="H699" s="60">
        <f t="shared" si="61"/>
        <v>56</v>
      </c>
      <c r="I699" s="60">
        <f t="shared" si="62"/>
        <v>4</v>
      </c>
      <c r="J699" s="60">
        <f t="shared" si="63"/>
        <v>6.6666666666666666E-2</v>
      </c>
      <c r="K699" s="35" t="str">
        <f t="shared" si="64"/>
        <v>7%</v>
      </c>
      <c r="M699" s="30">
        <f t="shared" si="65"/>
        <v>7.1428571428571425E-2</v>
      </c>
      <c r="N699" s="34">
        <f>VLOOKUP(A699, 'Stock Register'!A:F, 6, FALSE)</f>
        <v>0</v>
      </c>
    </row>
    <row r="700" spans="1:14" s="75" customFormat="1" ht="30" hidden="1" x14ac:dyDescent="0.25">
      <c r="A700" s="204" t="s">
        <v>1004</v>
      </c>
      <c r="B700" s="71"/>
      <c r="C700" s="71"/>
      <c r="D700" s="72">
        <f>SUMIF('Purchase Register'!C:C, A700, 'Purchase Register'!G:G)</f>
        <v>25</v>
      </c>
      <c r="E700" s="191">
        <v>30</v>
      </c>
      <c r="F700" s="74">
        <f>SUMIF('Sales Register'!C:C, A700, 'Sales Register'!D:D)</f>
        <v>1</v>
      </c>
      <c r="G700" s="74">
        <f t="shared" si="66"/>
        <v>30</v>
      </c>
      <c r="H700" s="74">
        <f t="shared" si="61"/>
        <v>25</v>
      </c>
      <c r="I700" s="74">
        <f t="shared" si="62"/>
        <v>5</v>
      </c>
      <c r="J700" s="74">
        <f t="shared" si="63"/>
        <v>0.16666666666666666</v>
      </c>
      <c r="K700" s="134" t="str">
        <f t="shared" si="64"/>
        <v>20%</v>
      </c>
      <c r="L700" s="73"/>
      <c r="M700" s="99">
        <f t="shared" si="65"/>
        <v>0.2</v>
      </c>
      <c r="N700" s="73">
        <f>VLOOKUP(A700, 'Stock Register'!A:F, 6, FALSE)</f>
        <v>0</v>
      </c>
    </row>
    <row r="701" spans="1:14" ht="30" hidden="1" x14ac:dyDescent="0.25">
      <c r="A701" s="205" t="s">
        <v>1005</v>
      </c>
      <c r="D701" s="29">
        <f>SUMIF('Purchase Register'!C:C, A701, 'Purchase Register'!G:G)</f>
        <v>28</v>
      </c>
      <c r="E701" s="190">
        <v>30</v>
      </c>
      <c r="F701" s="60">
        <f>SUMIF('Sales Register'!C:C, A701, 'Sales Register'!D:D)</f>
        <v>1</v>
      </c>
      <c r="G701" s="60">
        <f t="shared" si="66"/>
        <v>30</v>
      </c>
      <c r="H701" s="60">
        <f t="shared" si="61"/>
        <v>28</v>
      </c>
      <c r="I701" s="60">
        <f t="shared" si="62"/>
        <v>2</v>
      </c>
      <c r="J701" s="60">
        <f t="shared" si="63"/>
        <v>6.6666666666666666E-2</v>
      </c>
      <c r="K701" s="35" t="str">
        <f t="shared" si="64"/>
        <v>7%</v>
      </c>
      <c r="M701" s="30">
        <f t="shared" si="65"/>
        <v>7.1428571428571425E-2</v>
      </c>
      <c r="N701" s="34">
        <f>VLOOKUP(A701, 'Stock Register'!A:F, 6, FALSE)</f>
        <v>0</v>
      </c>
    </row>
    <row r="702" spans="1:14" ht="30" hidden="1" x14ac:dyDescent="0.25">
      <c r="A702" s="205" t="s">
        <v>1006</v>
      </c>
      <c r="D702" s="29">
        <f>SUMIF('Purchase Register'!C:C, A702, 'Purchase Register'!G:G)</f>
        <v>23.333333333333332</v>
      </c>
      <c r="E702" s="190">
        <v>35</v>
      </c>
      <c r="F702" s="60">
        <f>SUMIF('Sales Register'!C:C, A702, 'Sales Register'!D:D)</f>
        <v>1</v>
      </c>
      <c r="G702" s="60">
        <f t="shared" si="66"/>
        <v>35</v>
      </c>
      <c r="H702" s="60">
        <f t="shared" si="61"/>
        <v>23.333333333333332</v>
      </c>
      <c r="I702" s="60">
        <f t="shared" si="62"/>
        <v>11.666666666666668</v>
      </c>
      <c r="J702" s="60">
        <f t="shared" si="63"/>
        <v>0.33333333333333337</v>
      </c>
      <c r="K702" s="35" t="str">
        <f t="shared" si="64"/>
        <v>50%</v>
      </c>
      <c r="M702" s="30">
        <f t="shared" si="65"/>
        <v>0.50000000000000011</v>
      </c>
      <c r="N702" s="34">
        <f>VLOOKUP(A702, 'Stock Register'!A:F, 6, FALSE)</f>
        <v>5</v>
      </c>
    </row>
    <row r="703" spans="1:14" hidden="1" x14ac:dyDescent="0.25">
      <c r="A703" s="205" t="s">
        <v>1007</v>
      </c>
      <c r="D703" s="29">
        <f>SUMIF('Purchase Register'!C:C, A703, 'Purchase Register'!G:G)</f>
        <v>33</v>
      </c>
      <c r="E703" s="190">
        <v>35</v>
      </c>
      <c r="F703" s="60">
        <f>SUMIF('Sales Register'!C:C, A703, 'Sales Register'!D:D)</f>
        <v>9</v>
      </c>
      <c r="G703" s="60">
        <f t="shared" si="66"/>
        <v>315</v>
      </c>
      <c r="H703" s="60">
        <f t="shared" si="61"/>
        <v>297</v>
      </c>
      <c r="I703" s="60">
        <f t="shared" si="62"/>
        <v>18</v>
      </c>
      <c r="J703" s="60">
        <f t="shared" si="63"/>
        <v>5.7142857142857141E-2</v>
      </c>
      <c r="K703" s="35" t="str">
        <f t="shared" si="64"/>
        <v>6%</v>
      </c>
      <c r="M703" s="30">
        <f t="shared" si="65"/>
        <v>6.0606060606060608E-2</v>
      </c>
      <c r="N703" s="34">
        <f>VLOOKUP(A703, 'Stock Register'!A:F, 6, FALSE)</f>
        <v>-3</v>
      </c>
    </row>
    <row r="704" spans="1:14" s="75" customFormat="1" ht="30" hidden="1" x14ac:dyDescent="0.25">
      <c r="A704" s="204" t="s">
        <v>1008</v>
      </c>
      <c r="B704" s="71"/>
      <c r="C704" s="71"/>
      <c r="D704" s="72">
        <f>SUMIF('Purchase Register'!C:C, A704, 'Purchase Register'!G:G)</f>
        <v>37.708333333333336</v>
      </c>
      <c r="E704" s="191">
        <v>39</v>
      </c>
      <c r="F704" s="74">
        <f>SUMIF('Sales Register'!C:C, A704, 'Sales Register'!D:D)</f>
        <v>24</v>
      </c>
      <c r="G704" s="74">
        <f t="shared" si="66"/>
        <v>936</v>
      </c>
      <c r="H704" s="74">
        <f t="shared" si="61"/>
        <v>905</v>
      </c>
      <c r="I704" s="74">
        <f t="shared" si="62"/>
        <v>31</v>
      </c>
      <c r="J704" s="74">
        <f t="shared" si="63"/>
        <v>3.311965811965812E-2</v>
      </c>
      <c r="K704" s="134" t="str">
        <f t="shared" si="64"/>
        <v>3%</v>
      </c>
      <c r="L704" s="73"/>
      <c r="M704" s="99">
        <f t="shared" si="65"/>
        <v>3.4254143646408775E-2</v>
      </c>
      <c r="N704" s="73">
        <f>VLOOKUP(A704, 'Stock Register'!A:F, 6, FALSE)</f>
        <v>0</v>
      </c>
    </row>
    <row r="705" spans="1:14" s="75" customFormat="1" hidden="1" x14ac:dyDescent="0.25">
      <c r="A705" s="204" t="s">
        <v>1013</v>
      </c>
      <c r="B705" s="71"/>
      <c r="C705" s="71"/>
      <c r="D705" s="72">
        <f>SUMIF('Purchase Register'!C:C, A705, 'Purchase Register'!G:G)</f>
        <v>584</v>
      </c>
      <c r="E705" s="191">
        <v>600</v>
      </c>
      <c r="F705" s="74">
        <f>SUMIF('Sales Register'!C:C, A705, 'Sales Register'!D:D)</f>
        <v>1</v>
      </c>
      <c r="G705" s="74">
        <f t="shared" si="66"/>
        <v>600</v>
      </c>
      <c r="H705" s="74">
        <f t="shared" si="61"/>
        <v>584</v>
      </c>
      <c r="I705" s="74">
        <f t="shared" si="62"/>
        <v>16</v>
      </c>
      <c r="J705" s="74">
        <f t="shared" si="63"/>
        <v>2.6666666666666668E-2</v>
      </c>
      <c r="K705" s="134" t="str">
        <f t="shared" si="64"/>
        <v>2%</v>
      </c>
      <c r="L705" s="73"/>
      <c r="M705" s="99">
        <f t="shared" si="65"/>
        <v>2.7397260273972601E-2</v>
      </c>
      <c r="N705" s="73">
        <f>VLOOKUP(A705, 'Stock Register'!A:F, 6, FALSE)</f>
        <v>0</v>
      </c>
    </row>
    <row r="706" spans="1:14" ht="30" hidden="1" x14ac:dyDescent="0.25">
      <c r="A706" s="205" t="s">
        <v>1017</v>
      </c>
      <c r="D706" s="29">
        <f>SUMIF('Purchase Register'!C:C, A706, 'Purchase Register'!G:G)</f>
        <v>19</v>
      </c>
      <c r="E706" s="190">
        <v>20</v>
      </c>
      <c r="F706" s="60">
        <f>SUMIF('Sales Register'!C:C, A706, 'Sales Register'!D:D)</f>
        <v>0</v>
      </c>
      <c r="G706" s="60">
        <f t="shared" si="66"/>
        <v>0</v>
      </c>
      <c r="H706" s="60">
        <f t="shared" ref="H706:H769" si="67">D706*F706</f>
        <v>0</v>
      </c>
      <c r="I706" s="60">
        <f t="shared" ref="I706:I769" si="68">G706-H706</f>
        <v>0</v>
      </c>
      <c r="J706" s="60">
        <f t="shared" ref="J706:J769" si="69">IF(G706=0,0,I706/G706)</f>
        <v>0</v>
      </c>
      <c r="K706" s="35" t="str">
        <f t="shared" si="64"/>
        <v>5%</v>
      </c>
      <c r="M706" s="30">
        <f t="shared" si="65"/>
        <v>5.2631578947368418E-2</v>
      </c>
      <c r="N706" s="34">
        <f>VLOOKUP(A706, 'Stock Register'!A:F, 6, FALSE)</f>
        <v>3</v>
      </c>
    </row>
    <row r="707" spans="1:14" hidden="1" x14ac:dyDescent="0.25">
      <c r="A707" s="205" t="s">
        <v>1016</v>
      </c>
      <c r="D707" s="29">
        <f>SUMIF('Purchase Register'!C:C, A707, 'Purchase Register'!G:G)</f>
        <v>143</v>
      </c>
      <c r="E707" s="190">
        <v>160</v>
      </c>
      <c r="F707" s="60">
        <f>SUMIF('Sales Register'!C:C, A707, 'Sales Register'!D:D)</f>
        <v>1</v>
      </c>
      <c r="G707" s="60">
        <f t="shared" si="66"/>
        <v>160</v>
      </c>
      <c r="H707" s="60">
        <f t="shared" si="67"/>
        <v>143</v>
      </c>
      <c r="I707" s="60">
        <f t="shared" si="68"/>
        <v>17</v>
      </c>
      <c r="J707" s="60">
        <f t="shared" si="69"/>
        <v>0.10625</v>
      </c>
      <c r="K707" s="35" t="str">
        <f t="shared" si="64"/>
        <v>11%</v>
      </c>
      <c r="M707" s="30">
        <f t="shared" si="65"/>
        <v>0.11888111888111888</v>
      </c>
      <c r="N707" s="34">
        <f>VLOOKUP(A707, 'Stock Register'!A:F, 6, FALSE)</f>
        <v>0</v>
      </c>
    </row>
    <row r="708" spans="1:14" s="75" customFormat="1" hidden="1" x14ac:dyDescent="0.25">
      <c r="A708" s="204" t="s">
        <v>1024</v>
      </c>
      <c r="B708" s="71"/>
      <c r="C708" s="71"/>
      <c r="D708" s="72">
        <f>SUMIF('Purchase Register'!C:C, A708, 'Purchase Register'!G:G)</f>
        <v>18</v>
      </c>
      <c r="E708" s="191">
        <v>20</v>
      </c>
      <c r="F708" s="74">
        <f>SUMIF('Sales Register'!C:C, A708, 'Sales Register'!D:D)</f>
        <v>10</v>
      </c>
      <c r="G708" s="74">
        <f t="shared" si="66"/>
        <v>200</v>
      </c>
      <c r="H708" s="74">
        <f t="shared" si="67"/>
        <v>180</v>
      </c>
      <c r="I708" s="74">
        <f t="shared" si="68"/>
        <v>20</v>
      </c>
      <c r="J708" s="74">
        <f t="shared" si="69"/>
        <v>0.1</v>
      </c>
      <c r="K708" s="134" t="str">
        <f t="shared" si="64"/>
        <v>11%</v>
      </c>
      <c r="L708" s="73"/>
      <c r="M708" s="99">
        <f t="shared" si="65"/>
        <v>0.1111111111111111</v>
      </c>
      <c r="N708" s="73">
        <f>VLOOKUP(A708, 'Stock Register'!A:F, 6, FALSE)</f>
        <v>0</v>
      </c>
    </row>
    <row r="709" spans="1:14" s="75" customFormat="1" hidden="1" x14ac:dyDescent="0.25">
      <c r="A709" s="204" t="s">
        <v>1025</v>
      </c>
      <c r="B709" s="71"/>
      <c r="C709" s="71"/>
      <c r="D709" s="72">
        <f>SUMIF('Purchase Register'!C:C, A709, 'Purchase Register'!G:G)</f>
        <v>34</v>
      </c>
      <c r="E709" s="191">
        <v>40</v>
      </c>
      <c r="F709" s="74">
        <f>SUMIF('Sales Register'!C:C, A709, 'Sales Register'!D:D)</f>
        <v>5.5</v>
      </c>
      <c r="G709" s="74">
        <f t="shared" si="66"/>
        <v>220</v>
      </c>
      <c r="H709" s="74">
        <f t="shared" si="67"/>
        <v>187</v>
      </c>
      <c r="I709" s="74">
        <f t="shared" si="68"/>
        <v>33</v>
      </c>
      <c r="J709" s="74">
        <f t="shared" si="69"/>
        <v>0.15</v>
      </c>
      <c r="K709" s="134" t="str">
        <f t="shared" si="64"/>
        <v>17%</v>
      </c>
      <c r="L709" s="73"/>
      <c r="M709" s="99">
        <f t="shared" si="65"/>
        <v>0.17647058823529413</v>
      </c>
      <c r="N709" s="73">
        <f>VLOOKUP(A709, 'Stock Register'!A:F, 6, FALSE)</f>
        <v>-0.5</v>
      </c>
    </row>
    <row r="710" spans="1:14" hidden="1" x14ac:dyDescent="0.25">
      <c r="A710" s="205" t="s">
        <v>1026</v>
      </c>
      <c r="D710" s="29">
        <f>SUMIF('Purchase Register'!C:C, A710, 'Purchase Register'!G:G)</f>
        <v>160</v>
      </c>
      <c r="E710" s="190">
        <v>200</v>
      </c>
      <c r="F710" s="60">
        <f>SUMIF('Sales Register'!C:C, A710, 'Sales Register'!D:D)</f>
        <v>0.91000000000000014</v>
      </c>
      <c r="G710" s="60">
        <f t="shared" si="66"/>
        <v>182.00000000000003</v>
      </c>
      <c r="H710" s="60">
        <f t="shared" si="67"/>
        <v>145.60000000000002</v>
      </c>
      <c r="I710" s="60">
        <f t="shared" si="68"/>
        <v>36.400000000000006</v>
      </c>
      <c r="J710" s="60">
        <f t="shared" si="69"/>
        <v>0.2</v>
      </c>
      <c r="K710" s="35" t="str">
        <f t="shared" si="64"/>
        <v>25%</v>
      </c>
      <c r="M710" s="30">
        <f t="shared" si="65"/>
        <v>0.25</v>
      </c>
      <c r="N710" s="34">
        <f>VLOOKUP(A710, 'Stock Register'!A:F, 6, FALSE)</f>
        <v>8.9999999999999858E-2</v>
      </c>
    </row>
    <row r="711" spans="1:14" hidden="1" x14ac:dyDescent="0.25">
      <c r="A711" s="205" t="s">
        <v>1027</v>
      </c>
      <c r="D711" s="29">
        <f>SUMIF('Purchase Register'!C:C, A711, 'Purchase Register'!G:G)</f>
        <v>140</v>
      </c>
      <c r="E711" s="190">
        <v>180</v>
      </c>
      <c r="F711" s="60">
        <f>SUMIF('Sales Register'!C:C, A711, 'Sales Register'!D:D)</f>
        <v>0.53</v>
      </c>
      <c r="G711" s="60">
        <f t="shared" si="66"/>
        <v>95.4</v>
      </c>
      <c r="H711" s="60">
        <f t="shared" si="67"/>
        <v>74.2</v>
      </c>
      <c r="I711" s="60">
        <f t="shared" si="68"/>
        <v>21.200000000000003</v>
      </c>
      <c r="J711" s="60">
        <f t="shared" si="69"/>
        <v>0.22222222222222224</v>
      </c>
      <c r="K711" s="35" t="str">
        <f t="shared" si="64"/>
        <v>28%</v>
      </c>
      <c r="M711" s="30">
        <f t="shared" si="65"/>
        <v>0.2857142857142857</v>
      </c>
      <c r="N711" s="34">
        <f>VLOOKUP(A711, 'Stock Register'!A:F, 6, FALSE)</f>
        <v>0.47</v>
      </c>
    </row>
    <row r="712" spans="1:14" ht="30" hidden="1" x14ac:dyDescent="0.25">
      <c r="A712" s="205" t="s">
        <v>1039</v>
      </c>
      <c r="D712" s="29">
        <f>SUMIF('Purchase Register'!C:C, A712, 'Purchase Register'!G:G)</f>
        <v>55</v>
      </c>
      <c r="E712" s="190">
        <v>70</v>
      </c>
      <c r="F712" s="60">
        <f>SUMIF('Sales Register'!C:C, A712, 'Sales Register'!D:D)</f>
        <v>4</v>
      </c>
      <c r="G712" s="60">
        <f t="shared" si="66"/>
        <v>280</v>
      </c>
      <c r="H712" s="60">
        <f t="shared" si="67"/>
        <v>220</v>
      </c>
      <c r="I712" s="60">
        <f t="shared" si="68"/>
        <v>60</v>
      </c>
      <c r="J712" s="60">
        <f t="shared" si="69"/>
        <v>0.21428571428571427</v>
      </c>
      <c r="K712" s="35" t="str">
        <f t="shared" si="64"/>
        <v>27%</v>
      </c>
      <c r="M712" s="30">
        <f t="shared" si="65"/>
        <v>0.27272727272727271</v>
      </c>
      <c r="N712" s="34">
        <f>VLOOKUP(A712, 'Stock Register'!A:F, 6, FALSE)</f>
        <v>-1</v>
      </c>
    </row>
    <row r="713" spans="1:14" ht="30" hidden="1" x14ac:dyDescent="0.25">
      <c r="A713" s="205" t="s">
        <v>1041</v>
      </c>
      <c r="D713" s="29">
        <f>SUMIF('Purchase Register'!C:C, A713, 'Purchase Register'!G:G)</f>
        <v>76</v>
      </c>
      <c r="E713" s="190">
        <v>80</v>
      </c>
      <c r="F713" s="60">
        <f>SUMIF('Sales Register'!C:C, A713, 'Sales Register'!D:D)</f>
        <v>2</v>
      </c>
      <c r="G713" s="60">
        <f t="shared" si="66"/>
        <v>160</v>
      </c>
      <c r="H713" s="60">
        <f t="shared" si="67"/>
        <v>152</v>
      </c>
      <c r="I713" s="60">
        <f t="shared" si="68"/>
        <v>8</v>
      </c>
      <c r="J713" s="60">
        <f t="shared" si="69"/>
        <v>0.05</v>
      </c>
      <c r="K713" s="35" t="str">
        <f t="shared" si="64"/>
        <v>5%</v>
      </c>
      <c r="M713" s="30">
        <f t="shared" si="65"/>
        <v>5.2631578947368418E-2</v>
      </c>
      <c r="N713" s="34">
        <f>VLOOKUP(A713, 'Stock Register'!A:F, 6, FALSE)</f>
        <v>0</v>
      </c>
    </row>
    <row r="714" spans="1:14" s="75" customFormat="1" hidden="1" x14ac:dyDescent="0.25">
      <c r="A714" s="204" t="s">
        <v>1042</v>
      </c>
      <c r="B714" s="71"/>
      <c r="C714" s="71"/>
      <c r="D714" s="72">
        <f>SUMIF('Purchase Register'!C:C, A714, 'Purchase Register'!G:G)</f>
        <v>50</v>
      </c>
      <c r="E714" s="191">
        <v>58</v>
      </c>
      <c r="F714" s="74">
        <f>SUMIF('Sales Register'!C:C, A714, 'Sales Register'!D:D)</f>
        <v>1</v>
      </c>
      <c r="G714" s="74">
        <f t="shared" si="66"/>
        <v>58</v>
      </c>
      <c r="H714" s="74">
        <f t="shared" si="67"/>
        <v>50</v>
      </c>
      <c r="I714" s="74">
        <f t="shared" si="68"/>
        <v>8</v>
      </c>
      <c r="J714" s="74">
        <f t="shared" si="69"/>
        <v>0.13793103448275862</v>
      </c>
      <c r="K714" s="134" t="str">
        <f t="shared" si="64"/>
        <v>16%</v>
      </c>
      <c r="L714" s="73"/>
      <c r="M714" s="99">
        <f t="shared" si="65"/>
        <v>0.16</v>
      </c>
      <c r="N714" s="73">
        <f>VLOOKUP(A714, 'Stock Register'!A:F, 6, FALSE)</f>
        <v>0</v>
      </c>
    </row>
    <row r="715" spans="1:14" hidden="1" x14ac:dyDescent="0.25">
      <c r="A715" s="205" t="s">
        <v>1043</v>
      </c>
      <c r="D715" s="29">
        <f>SUMIF('Purchase Register'!C:C, A715, 'Purchase Register'!G:G)</f>
        <v>89</v>
      </c>
      <c r="E715" s="190">
        <v>135</v>
      </c>
      <c r="F715" s="60">
        <f>SUMIF('Sales Register'!C:C, A715, 'Sales Register'!D:D)</f>
        <v>0.875</v>
      </c>
      <c r="G715" s="60">
        <f t="shared" si="66"/>
        <v>118.125</v>
      </c>
      <c r="H715" s="60">
        <f t="shared" si="67"/>
        <v>77.875</v>
      </c>
      <c r="I715" s="60">
        <f t="shared" si="68"/>
        <v>40.25</v>
      </c>
      <c r="J715" s="60">
        <f t="shared" si="69"/>
        <v>0.34074074074074073</v>
      </c>
      <c r="K715" s="35" t="str">
        <f t="shared" si="64"/>
        <v>51%</v>
      </c>
      <c r="M715" s="30">
        <f t="shared" si="65"/>
        <v>0.5168539325842697</v>
      </c>
      <c r="N715" s="34">
        <f>VLOOKUP(A715, 'Stock Register'!A:F, 6, FALSE)</f>
        <v>0.125</v>
      </c>
    </row>
    <row r="716" spans="1:14" s="75" customFormat="1" hidden="1" x14ac:dyDescent="0.25">
      <c r="A716" s="204" t="s">
        <v>1047</v>
      </c>
      <c r="B716" s="71"/>
      <c r="C716" s="71"/>
      <c r="D716" s="72">
        <f>SUMIF('Purchase Register'!C:C, A716, 'Purchase Register'!G:G)</f>
        <v>50</v>
      </c>
      <c r="E716" s="191">
        <v>60</v>
      </c>
      <c r="F716" s="74">
        <f>SUMIF('Sales Register'!C:C, A716, 'Sales Register'!D:D)</f>
        <v>4</v>
      </c>
      <c r="G716" s="74">
        <f t="shared" si="66"/>
        <v>240</v>
      </c>
      <c r="H716" s="74">
        <f t="shared" si="67"/>
        <v>200</v>
      </c>
      <c r="I716" s="74">
        <f t="shared" si="68"/>
        <v>40</v>
      </c>
      <c r="J716" s="74">
        <f t="shared" si="69"/>
        <v>0.16666666666666666</v>
      </c>
      <c r="K716" s="134" t="str">
        <f t="shared" si="64"/>
        <v>20%</v>
      </c>
      <c r="L716" s="73"/>
      <c r="M716" s="99">
        <f t="shared" si="65"/>
        <v>0.2</v>
      </c>
      <c r="N716" s="73">
        <f>VLOOKUP(A716, 'Stock Register'!A:F, 6, FALSE)</f>
        <v>0</v>
      </c>
    </row>
    <row r="717" spans="1:14" s="75" customFormat="1" hidden="1" x14ac:dyDescent="0.25">
      <c r="A717" s="204" t="s">
        <v>1048</v>
      </c>
      <c r="B717" s="71"/>
      <c r="C717" s="71"/>
      <c r="D717" s="72">
        <f>SUMIF('Purchase Register'!C:C, A717, 'Purchase Register'!G:G)</f>
        <v>16.666666666666668</v>
      </c>
      <c r="E717" s="191">
        <v>20</v>
      </c>
      <c r="F717" s="74">
        <f>SUMIF('Sales Register'!C:C, A717, 'Sales Register'!D:D)</f>
        <v>6</v>
      </c>
      <c r="G717" s="74">
        <f t="shared" si="66"/>
        <v>120</v>
      </c>
      <c r="H717" s="74">
        <f t="shared" si="67"/>
        <v>100</v>
      </c>
      <c r="I717" s="74">
        <f t="shared" si="68"/>
        <v>20</v>
      </c>
      <c r="J717" s="74">
        <f t="shared" si="69"/>
        <v>0.16666666666666666</v>
      </c>
      <c r="K717" s="134" t="str">
        <f t="shared" si="64"/>
        <v>20%</v>
      </c>
      <c r="L717" s="73"/>
      <c r="M717" s="99">
        <f t="shared" si="65"/>
        <v>0.19999999999999993</v>
      </c>
      <c r="N717" s="73">
        <f>VLOOKUP(A717, 'Stock Register'!A:F, 6, FALSE)</f>
        <v>0</v>
      </c>
    </row>
    <row r="718" spans="1:14" hidden="1" x14ac:dyDescent="0.25">
      <c r="A718" s="205" t="s">
        <v>1049</v>
      </c>
      <c r="D718" s="29">
        <f>SUMIF('Purchase Register'!C:C, A718, 'Purchase Register'!G:G)</f>
        <v>25</v>
      </c>
      <c r="E718" s="190">
        <v>30</v>
      </c>
      <c r="F718" s="60">
        <f>SUMIF('Sales Register'!C:C, A718, 'Sales Register'!D:D)</f>
        <v>3</v>
      </c>
      <c r="G718" s="60">
        <f t="shared" si="66"/>
        <v>90</v>
      </c>
      <c r="H718" s="60">
        <f t="shared" si="67"/>
        <v>75</v>
      </c>
      <c r="I718" s="60">
        <f t="shared" si="68"/>
        <v>15</v>
      </c>
      <c r="J718" s="60">
        <f t="shared" si="69"/>
        <v>0.16666666666666666</v>
      </c>
      <c r="K718" s="35" t="str">
        <f t="shared" si="64"/>
        <v>20%</v>
      </c>
      <c r="M718" s="30">
        <f t="shared" si="65"/>
        <v>0.2</v>
      </c>
      <c r="N718" s="34">
        <f>VLOOKUP(A718, 'Stock Register'!A:F, 6, FALSE)</f>
        <v>1</v>
      </c>
    </row>
    <row r="719" spans="1:14" s="75" customFormat="1" hidden="1" x14ac:dyDescent="0.25">
      <c r="A719" s="204" t="s">
        <v>1050</v>
      </c>
      <c r="B719" s="71"/>
      <c r="C719" s="71"/>
      <c r="D719" s="72">
        <f>SUMIF('Purchase Register'!C:C, A719, 'Purchase Register'!G:G)</f>
        <v>8.6666666666666661</v>
      </c>
      <c r="E719" s="191">
        <v>9</v>
      </c>
      <c r="F719" s="74">
        <f>SUMIF('Sales Register'!C:C, A719, 'Sales Register'!D:D)</f>
        <v>60</v>
      </c>
      <c r="G719" s="74">
        <f t="shared" si="66"/>
        <v>540</v>
      </c>
      <c r="H719" s="74">
        <f t="shared" si="67"/>
        <v>520</v>
      </c>
      <c r="I719" s="74">
        <f t="shared" si="68"/>
        <v>20</v>
      </c>
      <c r="J719" s="74">
        <f t="shared" si="69"/>
        <v>3.7037037037037035E-2</v>
      </c>
      <c r="K719" s="134" t="str">
        <f t="shared" si="64"/>
        <v>3%</v>
      </c>
      <c r="L719" s="73"/>
      <c r="M719" s="99">
        <f t="shared" si="65"/>
        <v>3.8461538461538533E-2</v>
      </c>
      <c r="N719" s="73">
        <f>VLOOKUP(A719, 'Stock Register'!A:F, 6, FALSE)</f>
        <v>0</v>
      </c>
    </row>
    <row r="720" spans="1:14" ht="30" hidden="1" x14ac:dyDescent="0.25">
      <c r="A720" s="205" t="s">
        <v>1051</v>
      </c>
      <c r="D720" s="29">
        <f>SUMIF('Purchase Register'!C:C, A720, 'Purchase Register'!G:G)</f>
        <v>18</v>
      </c>
      <c r="E720" s="190">
        <v>20</v>
      </c>
      <c r="F720" s="60">
        <f>SUMIF('Sales Register'!C:C, A720, 'Sales Register'!D:D)</f>
        <v>3</v>
      </c>
      <c r="G720" s="60">
        <f t="shared" si="66"/>
        <v>60</v>
      </c>
      <c r="H720" s="60">
        <f t="shared" si="67"/>
        <v>54</v>
      </c>
      <c r="I720" s="60">
        <f t="shared" si="68"/>
        <v>6</v>
      </c>
      <c r="J720" s="60">
        <f t="shared" si="69"/>
        <v>0.1</v>
      </c>
      <c r="K720" s="35" t="str">
        <f t="shared" si="64"/>
        <v>11%</v>
      </c>
      <c r="M720" s="30">
        <f t="shared" si="65"/>
        <v>0.1111111111111111</v>
      </c>
      <c r="N720" s="34">
        <f>VLOOKUP(A720, 'Stock Register'!A:F, 6, FALSE)</f>
        <v>0</v>
      </c>
    </row>
    <row r="721" spans="1:14" hidden="1" x14ac:dyDescent="0.25">
      <c r="A721" s="205" t="s">
        <v>1052</v>
      </c>
      <c r="D721" s="29">
        <f>SUMIF('Purchase Register'!C:C, A721, 'Purchase Register'!G:G)</f>
        <v>9.1666666666666661</v>
      </c>
      <c r="E721" s="190">
        <v>10</v>
      </c>
      <c r="F721" s="60">
        <f>SUMIF('Sales Register'!C:C, A721, 'Sales Register'!D:D)</f>
        <v>9</v>
      </c>
      <c r="G721" s="60">
        <f t="shared" si="66"/>
        <v>90</v>
      </c>
      <c r="H721" s="60">
        <f t="shared" si="67"/>
        <v>82.5</v>
      </c>
      <c r="I721" s="60">
        <f t="shared" si="68"/>
        <v>7.5</v>
      </c>
      <c r="J721" s="60">
        <f t="shared" si="69"/>
        <v>8.3333333333333329E-2</v>
      </c>
      <c r="K721" s="35" t="str">
        <f t="shared" si="64"/>
        <v>9%</v>
      </c>
      <c r="M721" s="30">
        <f t="shared" si="65"/>
        <v>9.0909090909090981E-2</v>
      </c>
      <c r="N721" s="34">
        <f>VLOOKUP(A721, 'Stock Register'!A:F, 6, FALSE)</f>
        <v>3</v>
      </c>
    </row>
    <row r="722" spans="1:14" hidden="1" x14ac:dyDescent="0.25">
      <c r="D722" s="29">
        <f>SUMIF('Purchase Register'!C:C, 'Sales Register'!C4443, 'Purchase Register'!G:G)</f>
        <v>9.0576923076923084</v>
      </c>
      <c r="E722" s="190">
        <v>10</v>
      </c>
      <c r="F722" s="60">
        <f>SUMIF('Sales Register'!C:C, 'Sales Register'!C4443, 'Sales Register'!D:D)</f>
        <v>63</v>
      </c>
      <c r="G722" s="60">
        <f t="shared" si="66"/>
        <v>630</v>
      </c>
      <c r="H722" s="60">
        <f t="shared" si="67"/>
        <v>570.63461538461547</v>
      </c>
      <c r="I722" s="60">
        <f t="shared" si="68"/>
        <v>59.365384615384528</v>
      </c>
      <c r="J722" s="60">
        <f t="shared" si="69"/>
        <v>9.423076923076909E-2</v>
      </c>
      <c r="K722" s="35" t="str">
        <f t="shared" si="64"/>
        <v>10%</v>
      </c>
      <c r="M722" s="30">
        <f t="shared" si="65"/>
        <v>0.10403397027600841</v>
      </c>
      <c r="N722" s="34">
        <f>VLOOKUP('Sales Register'!C4443, 'Stock Register'!A:F, 6, FALSE)</f>
        <v>93</v>
      </c>
    </row>
    <row r="723" spans="1:14" s="75" customFormat="1" ht="30" hidden="1" x14ac:dyDescent="0.25">
      <c r="A723" s="204" t="s">
        <v>1054</v>
      </c>
      <c r="B723" s="71"/>
      <c r="C723" s="71"/>
      <c r="D723" s="72">
        <f>SUMIF('Purchase Register'!C:C, A723, 'Purchase Register'!G:G)</f>
        <v>9</v>
      </c>
      <c r="E723" s="191">
        <v>10</v>
      </c>
      <c r="F723" s="74">
        <f>SUMIF('Sales Register'!C:C, A723, 'Sales Register'!D:D)</f>
        <v>20</v>
      </c>
      <c r="G723" s="74">
        <f t="shared" si="66"/>
        <v>200</v>
      </c>
      <c r="H723" s="74">
        <f t="shared" si="67"/>
        <v>180</v>
      </c>
      <c r="I723" s="74">
        <f t="shared" si="68"/>
        <v>20</v>
      </c>
      <c r="J723" s="74">
        <f t="shared" si="69"/>
        <v>0.1</v>
      </c>
      <c r="K723" s="134" t="str">
        <f t="shared" si="64"/>
        <v>11%</v>
      </c>
      <c r="L723" s="73"/>
      <c r="M723" s="99">
        <f t="shared" si="65"/>
        <v>0.1111111111111111</v>
      </c>
      <c r="N723" s="73">
        <f>VLOOKUP(A723, 'Stock Register'!A:F, 6, FALSE)</f>
        <v>-10</v>
      </c>
    </row>
    <row r="724" spans="1:14" ht="30" hidden="1" x14ac:dyDescent="0.25">
      <c r="A724" s="205" t="s">
        <v>1055</v>
      </c>
      <c r="D724" s="29">
        <f>SUMIF('Purchase Register'!C:C, A724, 'Purchase Register'!G:G)</f>
        <v>1.71875</v>
      </c>
      <c r="E724" s="190">
        <v>2</v>
      </c>
      <c r="F724" s="60">
        <f>SUMIF('Sales Register'!C:C, A724, 'Sales Register'!D:D)</f>
        <v>18</v>
      </c>
      <c r="G724" s="60">
        <f t="shared" si="66"/>
        <v>36</v>
      </c>
      <c r="H724" s="60">
        <f t="shared" si="67"/>
        <v>30.9375</v>
      </c>
      <c r="I724" s="60">
        <f t="shared" si="68"/>
        <v>5.0625</v>
      </c>
      <c r="J724" s="60">
        <f t="shared" si="69"/>
        <v>0.140625</v>
      </c>
      <c r="K724" s="35" t="str">
        <f t="shared" si="64"/>
        <v>16%</v>
      </c>
      <c r="M724" s="30">
        <f t="shared" si="65"/>
        <v>0.16363636363636364</v>
      </c>
      <c r="N724" s="34">
        <f>VLOOKUP(A724, 'Stock Register'!A:F, 6, FALSE)</f>
        <v>46</v>
      </c>
    </row>
    <row r="725" spans="1:14" hidden="1" x14ac:dyDescent="0.25">
      <c r="A725" s="205" t="s">
        <v>1056</v>
      </c>
      <c r="D725" s="29">
        <f>SUMIF('Purchase Register'!C:C, A725, 'Purchase Register'!G:G)</f>
        <v>9.1666666666666661</v>
      </c>
      <c r="E725" s="190">
        <v>10</v>
      </c>
      <c r="F725" s="60">
        <f>SUMIF('Sales Register'!C:C, A725, 'Sales Register'!D:D)</f>
        <v>2</v>
      </c>
      <c r="G725" s="60">
        <f t="shared" si="66"/>
        <v>20</v>
      </c>
      <c r="H725" s="60">
        <f t="shared" si="67"/>
        <v>18.333333333333332</v>
      </c>
      <c r="I725" s="60">
        <f t="shared" si="68"/>
        <v>1.6666666666666679</v>
      </c>
      <c r="J725" s="60">
        <f t="shared" si="69"/>
        <v>8.3333333333333398E-2</v>
      </c>
      <c r="K725" s="35" t="str">
        <f t="shared" si="64"/>
        <v>9%</v>
      </c>
      <c r="M725" s="30">
        <f t="shared" si="65"/>
        <v>9.0909090909090981E-2</v>
      </c>
      <c r="N725" s="34">
        <f>VLOOKUP(A725, 'Stock Register'!A:F, 6, FALSE)</f>
        <v>4</v>
      </c>
    </row>
    <row r="726" spans="1:14" ht="30" hidden="1" x14ac:dyDescent="0.25">
      <c r="A726" s="205" t="s">
        <v>1057</v>
      </c>
      <c r="D726" s="29">
        <f>SUMIF('Purchase Register'!C:C, A726, 'Purchase Register'!G:G)</f>
        <v>4.5</v>
      </c>
      <c r="E726" s="190">
        <v>5</v>
      </c>
      <c r="F726" s="60">
        <f>SUMIF('Sales Register'!C:C, A726, 'Sales Register'!D:D)</f>
        <v>4</v>
      </c>
      <c r="G726" s="60">
        <f t="shared" si="66"/>
        <v>20</v>
      </c>
      <c r="H726" s="60">
        <f t="shared" si="67"/>
        <v>18</v>
      </c>
      <c r="I726" s="60">
        <f t="shared" si="68"/>
        <v>2</v>
      </c>
      <c r="J726" s="60">
        <f t="shared" si="69"/>
        <v>0.1</v>
      </c>
      <c r="K726" s="35" t="str">
        <f t="shared" si="64"/>
        <v>11%</v>
      </c>
      <c r="M726" s="30">
        <f t="shared" si="65"/>
        <v>0.1111111111111111</v>
      </c>
      <c r="N726" s="34">
        <f>VLOOKUP(A726, 'Stock Register'!A:F, 6, FALSE)</f>
        <v>6</v>
      </c>
    </row>
    <row r="727" spans="1:14" ht="30" hidden="1" x14ac:dyDescent="0.25">
      <c r="A727" s="205" t="s">
        <v>1058</v>
      </c>
      <c r="D727" s="29">
        <f>SUMIF('Purchase Register'!C:C, A727, 'Purchase Register'!G:G)</f>
        <v>4.5</v>
      </c>
      <c r="E727" s="190">
        <v>5</v>
      </c>
      <c r="F727" s="60">
        <f>SUMIF('Sales Register'!C:C, A727, 'Sales Register'!D:D)</f>
        <v>8</v>
      </c>
      <c r="G727" s="60">
        <f t="shared" si="66"/>
        <v>40</v>
      </c>
      <c r="H727" s="60">
        <f t="shared" si="67"/>
        <v>36</v>
      </c>
      <c r="I727" s="60">
        <f t="shared" si="68"/>
        <v>4</v>
      </c>
      <c r="J727" s="60">
        <f t="shared" si="69"/>
        <v>0.1</v>
      </c>
      <c r="K727" s="35" t="str">
        <f t="shared" si="64"/>
        <v>11%</v>
      </c>
      <c r="M727" s="30">
        <f t="shared" si="65"/>
        <v>0.1111111111111111</v>
      </c>
      <c r="N727" s="34">
        <f>VLOOKUP(A727, 'Stock Register'!A:F, 6, FALSE)</f>
        <v>4</v>
      </c>
    </row>
    <row r="728" spans="1:14" s="75" customFormat="1" hidden="1" x14ac:dyDescent="0.25">
      <c r="A728" s="204" t="s">
        <v>1059</v>
      </c>
      <c r="B728" s="71"/>
      <c r="C728" s="71"/>
      <c r="D728" s="72">
        <f>SUMIF('Purchase Register'!C:C, A728, 'Purchase Register'!G:G)</f>
        <v>9</v>
      </c>
      <c r="E728" s="191">
        <v>10</v>
      </c>
      <c r="F728" s="74">
        <f>SUMIF('Sales Register'!C:C, A728, 'Sales Register'!D:D)</f>
        <v>11</v>
      </c>
      <c r="G728" s="74">
        <f t="shared" si="66"/>
        <v>110</v>
      </c>
      <c r="H728" s="74">
        <f t="shared" si="67"/>
        <v>99</v>
      </c>
      <c r="I728" s="74">
        <f t="shared" si="68"/>
        <v>11</v>
      </c>
      <c r="J728" s="74">
        <f t="shared" si="69"/>
        <v>0.1</v>
      </c>
      <c r="K728" s="134" t="str">
        <f t="shared" si="64"/>
        <v>11%</v>
      </c>
      <c r="L728" s="73"/>
      <c r="M728" s="99">
        <f t="shared" si="65"/>
        <v>0.1111111111111111</v>
      </c>
      <c r="N728" s="73">
        <f>VLOOKUP(A728, 'Stock Register'!A:F, 6, FALSE)</f>
        <v>-5</v>
      </c>
    </row>
    <row r="729" spans="1:14" ht="30" hidden="1" x14ac:dyDescent="0.25">
      <c r="A729" s="205" t="s">
        <v>1060</v>
      </c>
      <c r="D729" s="29">
        <f>SUMIF('Purchase Register'!C:C, A729, 'Purchase Register'!G:G)</f>
        <v>18</v>
      </c>
      <c r="E729" s="190">
        <v>20</v>
      </c>
      <c r="F729" s="60">
        <f>SUMIF('Sales Register'!C:C, A729, 'Sales Register'!D:D)</f>
        <v>1</v>
      </c>
      <c r="G729" s="60">
        <f t="shared" si="66"/>
        <v>20</v>
      </c>
      <c r="H729" s="60">
        <f t="shared" si="67"/>
        <v>18</v>
      </c>
      <c r="I729" s="60">
        <f t="shared" si="68"/>
        <v>2</v>
      </c>
      <c r="J729" s="60">
        <f t="shared" si="69"/>
        <v>0.1</v>
      </c>
      <c r="K729" s="35" t="str">
        <f t="shared" si="64"/>
        <v>11%</v>
      </c>
      <c r="M729" s="30">
        <f t="shared" si="65"/>
        <v>0.1111111111111111</v>
      </c>
      <c r="N729" s="34">
        <f>VLOOKUP(A729, 'Stock Register'!A:F, 6, FALSE)</f>
        <v>2</v>
      </c>
    </row>
    <row r="730" spans="1:14" hidden="1" x14ac:dyDescent="0.25">
      <c r="A730" s="205" t="s">
        <v>1061</v>
      </c>
      <c r="D730" s="29">
        <f>SUMIF('Purchase Register'!C:C, A730, 'Purchase Register'!G:G)</f>
        <v>28</v>
      </c>
      <c r="E730" s="190">
        <v>30</v>
      </c>
      <c r="F730" s="60">
        <f>SUMIF('Sales Register'!C:C, A730, 'Sales Register'!D:D)</f>
        <v>1</v>
      </c>
      <c r="G730" s="60">
        <f t="shared" si="66"/>
        <v>30</v>
      </c>
      <c r="H730" s="60">
        <f t="shared" si="67"/>
        <v>28</v>
      </c>
      <c r="I730" s="60">
        <f t="shared" si="68"/>
        <v>2</v>
      </c>
      <c r="J730" s="60">
        <f t="shared" si="69"/>
        <v>6.6666666666666666E-2</v>
      </c>
      <c r="K730" s="35" t="str">
        <f t="shared" si="64"/>
        <v>7%</v>
      </c>
      <c r="M730" s="30">
        <f t="shared" si="65"/>
        <v>7.1428571428571425E-2</v>
      </c>
      <c r="N730" s="34">
        <f>VLOOKUP(A730, 'Stock Register'!A:F, 6, FALSE)</f>
        <v>2</v>
      </c>
    </row>
    <row r="731" spans="1:14" hidden="1" x14ac:dyDescent="0.25">
      <c r="A731" s="205" t="s">
        <v>1062</v>
      </c>
      <c r="D731" s="29">
        <f>SUMIF('Purchase Register'!C:C, A731, 'Purchase Register'!G:G)</f>
        <v>9.1666666666666661</v>
      </c>
      <c r="E731" s="190">
        <v>10</v>
      </c>
      <c r="F731" s="60">
        <f>SUMIF('Sales Register'!C:C, A731, 'Sales Register'!D:D)</f>
        <v>10</v>
      </c>
      <c r="G731" s="60">
        <f t="shared" si="66"/>
        <v>100</v>
      </c>
      <c r="H731" s="60">
        <f t="shared" si="67"/>
        <v>91.666666666666657</v>
      </c>
      <c r="I731" s="60">
        <f t="shared" si="68"/>
        <v>8.3333333333333428</v>
      </c>
      <c r="J731" s="60">
        <f t="shared" si="69"/>
        <v>8.3333333333333426E-2</v>
      </c>
      <c r="K731" s="35" t="str">
        <f t="shared" si="64"/>
        <v>9%</v>
      </c>
      <c r="M731" s="30">
        <f t="shared" si="65"/>
        <v>9.0909090909090981E-2</v>
      </c>
      <c r="N731" s="34">
        <f>VLOOKUP(A731, 'Stock Register'!A:F, 6, FALSE)</f>
        <v>2</v>
      </c>
    </row>
    <row r="732" spans="1:14" s="75" customFormat="1" hidden="1" x14ac:dyDescent="0.25">
      <c r="A732" s="204" t="s">
        <v>1063</v>
      </c>
      <c r="B732" s="71"/>
      <c r="C732" s="71"/>
      <c r="D732" s="72">
        <f>SUMIF('Purchase Register'!C:C, A732, 'Purchase Register'!G:G)</f>
        <v>9.1666666666666661</v>
      </c>
      <c r="E732" s="191">
        <v>10</v>
      </c>
      <c r="F732" s="74">
        <f>SUMIF('Sales Register'!C:C, A732, 'Sales Register'!D:D)</f>
        <v>11</v>
      </c>
      <c r="G732" s="74">
        <f t="shared" si="66"/>
        <v>110</v>
      </c>
      <c r="H732" s="74">
        <f t="shared" si="67"/>
        <v>100.83333333333333</v>
      </c>
      <c r="I732" s="74">
        <f t="shared" si="68"/>
        <v>9.1666666666666714</v>
      </c>
      <c r="J732" s="74">
        <f t="shared" si="69"/>
        <v>8.333333333333337E-2</v>
      </c>
      <c r="K732" s="134" t="str">
        <f t="shared" si="64"/>
        <v>9%</v>
      </c>
      <c r="L732" s="73"/>
      <c r="M732" s="99">
        <f t="shared" si="65"/>
        <v>9.0909090909090981E-2</v>
      </c>
      <c r="N732" s="73">
        <f>VLOOKUP(A732, 'Stock Register'!A:F, 6, FALSE)</f>
        <v>1</v>
      </c>
    </row>
    <row r="733" spans="1:14" ht="30" hidden="1" x14ac:dyDescent="0.25">
      <c r="A733" s="205" t="s">
        <v>1064</v>
      </c>
      <c r="D733" s="29">
        <f>SUMIF('Purchase Register'!C:C, A733, 'Purchase Register'!G:G)</f>
        <v>43</v>
      </c>
      <c r="E733" s="190">
        <v>45</v>
      </c>
      <c r="F733" s="60">
        <f>SUMIF('Sales Register'!C:C, A733, 'Sales Register'!D:D)</f>
        <v>2</v>
      </c>
      <c r="G733" s="60">
        <f t="shared" si="66"/>
        <v>90</v>
      </c>
      <c r="H733" s="60">
        <f t="shared" si="67"/>
        <v>86</v>
      </c>
      <c r="I733" s="60">
        <f t="shared" si="68"/>
        <v>4</v>
      </c>
      <c r="J733" s="60">
        <f t="shared" si="69"/>
        <v>4.4444444444444446E-2</v>
      </c>
      <c r="K733" s="35" t="str">
        <f t="shared" si="64"/>
        <v>4%</v>
      </c>
      <c r="M733" s="30">
        <f t="shared" si="65"/>
        <v>4.6511627906976744E-2</v>
      </c>
      <c r="N733" s="34">
        <f>VLOOKUP(A733, 'Stock Register'!A:F, 6, FALSE)</f>
        <v>-1</v>
      </c>
    </row>
    <row r="734" spans="1:14" ht="30" hidden="1" x14ac:dyDescent="0.25">
      <c r="A734" s="205" t="s">
        <v>1065</v>
      </c>
      <c r="D734" s="29">
        <f>SUMIF('Purchase Register'!C:C, A734, 'Purchase Register'!G:G)</f>
        <v>32.5</v>
      </c>
      <c r="E734" s="190">
        <v>35</v>
      </c>
      <c r="F734" s="60">
        <f>SUMIF('Sales Register'!C:C, A734, 'Sales Register'!D:D)</f>
        <v>2</v>
      </c>
      <c r="G734" s="60">
        <f t="shared" si="66"/>
        <v>70</v>
      </c>
      <c r="H734" s="60">
        <f t="shared" si="67"/>
        <v>65</v>
      </c>
      <c r="I734" s="60">
        <f t="shared" si="68"/>
        <v>5</v>
      </c>
      <c r="J734" s="60">
        <f t="shared" si="69"/>
        <v>7.1428571428571425E-2</v>
      </c>
      <c r="K734" s="35" t="str">
        <f t="shared" si="64"/>
        <v>7%</v>
      </c>
      <c r="M734" s="30">
        <f t="shared" si="65"/>
        <v>7.6923076923076927E-2</v>
      </c>
      <c r="N734" s="34">
        <f>VLOOKUP(A734, 'Stock Register'!A:F, 6, FALSE)</f>
        <v>0</v>
      </c>
    </row>
    <row r="735" spans="1:14" ht="30" hidden="1" x14ac:dyDescent="0.25">
      <c r="A735" s="205" t="s">
        <v>1066</v>
      </c>
      <c r="D735" s="29">
        <f>SUMIF('Purchase Register'!C:C, A735, 'Purchase Register'!G:G)</f>
        <v>37.666666666666664</v>
      </c>
      <c r="E735" s="190">
        <v>40</v>
      </c>
      <c r="F735" s="60">
        <f>SUMIF('Sales Register'!C:C, A735, 'Sales Register'!D:D)</f>
        <v>3</v>
      </c>
      <c r="G735" s="60">
        <f t="shared" si="66"/>
        <v>120</v>
      </c>
      <c r="H735" s="60">
        <f t="shared" si="67"/>
        <v>113</v>
      </c>
      <c r="I735" s="60">
        <f t="shared" si="68"/>
        <v>7</v>
      </c>
      <c r="J735" s="60">
        <f t="shared" si="69"/>
        <v>5.8333333333333334E-2</v>
      </c>
      <c r="K735" s="35" t="str">
        <f t="shared" si="64"/>
        <v>6%</v>
      </c>
      <c r="M735" s="30">
        <f t="shared" si="65"/>
        <v>6.1946902654867325E-2</v>
      </c>
      <c r="N735" s="34">
        <f>VLOOKUP(A735, 'Stock Register'!A:F, 6, FALSE)</f>
        <v>0</v>
      </c>
    </row>
    <row r="736" spans="1:14" hidden="1" x14ac:dyDescent="0.25">
      <c r="A736" s="205" t="s">
        <v>1067</v>
      </c>
      <c r="D736" s="29">
        <f>SUMIF('Purchase Register'!C:C, A736, 'Purchase Register'!G:G)</f>
        <v>9.1666666666666661</v>
      </c>
      <c r="E736" s="190">
        <v>10</v>
      </c>
      <c r="F736" s="60">
        <f>SUMIF('Sales Register'!C:C, A736, 'Sales Register'!D:D)</f>
        <v>12</v>
      </c>
      <c r="G736" s="60">
        <f t="shared" si="66"/>
        <v>120</v>
      </c>
      <c r="H736" s="60">
        <f t="shared" si="67"/>
        <v>110</v>
      </c>
      <c r="I736" s="60">
        <f t="shared" si="68"/>
        <v>10</v>
      </c>
      <c r="J736" s="60">
        <f t="shared" si="69"/>
        <v>8.3333333333333329E-2</v>
      </c>
      <c r="K736" s="35" t="str">
        <f t="shared" si="64"/>
        <v>9%</v>
      </c>
      <c r="M736" s="30">
        <f t="shared" si="65"/>
        <v>9.0909090909090981E-2</v>
      </c>
      <c r="N736" s="34">
        <f>VLOOKUP(A736, 'Stock Register'!A:F, 6, FALSE)</f>
        <v>0</v>
      </c>
    </row>
    <row r="737" spans="1:14" s="75" customFormat="1" hidden="1" x14ac:dyDescent="0.25">
      <c r="A737" s="204" t="s">
        <v>1070</v>
      </c>
      <c r="B737" s="71"/>
      <c r="C737" s="71"/>
      <c r="D737" s="72">
        <f>SUMIF('Purchase Register'!C:C, A737, 'Purchase Register'!G:G)</f>
        <v>18</v>
      </c>
      <c r="E737" s="191">
        <v>20</v>
      </c>
      <c r="F737" s="74">
        <f>SUMIF('Sales Register'!C:C, A737, 'Sales Register'!D:D)</f>
        <v>8.0500000000000007</v>
      </c>
      <c r="G737" s="74">
        <f t="shared" si="66"/>
        <v>161</v>
      </c>
      <c r="H737" s="74">
        <f t="shared" si="67"/>
        <v>144.9</v>
      </c>
      <c r="I737" s="74">
        <f t="shared" si="68"/>
        <v>16.099999999999994</v>
      </c>
      <c r="J737" s="74">
        <f t="shared" si="69"/>
        <v>9.9999999999999964E-2</v>
      </c>
      <c r="K737" s="134" t="str">
        <f t="shared" si="64"/>
        <v>11%</v>
      </c>
      <c r="L737" s="73"/>
      <c r="M737" s="99">
        <f t="shared" si="65"/>
        <v>0.1111111111111111</v>
      </c>
      <c r="N737" s="73">
        <f>VLOOKUP(A737, 'Stock Register'!A:F, 6, FALSE)</f>
        <v>1.9499999999999993</v>
      </c>
    </row>
    <row r="738" spans="1:14" s="75" customFormat="1" hidden="1" x14ac:dyDescent="0.25">
      <c r="A738" s="204" t="s">
        <v>1071</v>
      </c>
      <c r="B738" s="71"/>
      <c r="C738" s="71"/>
      <c r="D738" s="72">
        <f>SUMIF('Purchase Register'!C:C, A738, 'Purchase Register'!G:G)</f>
        <v>40</v>
      </c>
      <c r="E738" s="191">
        <v>50</v>
      </c>
      <c r="F738" s="74">
        <f>SUMIF('Sales Register'!C:C, A738, 'Sales Register'!D:D)</f>
        <v>3.9</v>
      </c>
      <c r="G738" s="74">
        <f t="shared" si="66"/>
        <v>195</v>
      </c>
      <c r="H738" s="74">
        <f t="shared" si="67"/>
        <v>156</v>
      </c>
      <c r="I738" s="74">
        <f t="shared" si="68"/>
        <v>39</v>
      </c>
      <c r="J738" s="74">
        <f t="shared" si="69"/>
        <v>0.2</v>
      </c>
      <c r="K738" s="134" t="str">
        <f t="shared" si="64"/>
        <v>25%</v>
      </c>
      <c r="L738" s="73"/>
      <c r="M738" s="99">
        <f t="shared" si="65"/>
        <v>0.25</v>
      </c>
      <c r="N738" s="73">
        <f>VLOOKUP(A738, 'Stock Register'!A:F, 6, FALSE)</f>
        <v>1.1000000000000001</v>
      </c>
    </row>
    <row r="739" spans="1:14" hidden="1" x14ac:dyDescent="0.25">
      <c r="A739" s="205" t="s">
        <v>1072</v>
      </c>
      <c r="D739" s="29">
        <f>SUMIF('Purchase Register'!C:C, A739, 'Purchase Register'!G:G)</f>
        <v>25</v>
      </c>
      <c r="E739" s="190">
        <v>40</v>
      </c>
      <c r="F739" s="60">
        <f>SUMIF('Sales Register'!C:C, A739, 'Sales Register'!D:D)</f>
        <v>5.9</v>
      </c>
      <c r="G739" s="60">
        <f t="shared" si="66"/>
        <v>236</v>
      </c>
      <c r="H739" s="60">
        <f t="shared" si="67"/>
        <v>147.5</v>
      </c>
      <c r="I739" s="60">
        <f t="shared" si="68"/>
        <v>88.5</v>
      </c>
      <c r="J739" s="60">
        <f t="shared" si="69"/>
        <v>0.375</v>
      </c>
      <c r="K739" s="35" t="str">
        <f t="shared" si="64"/>
        <v>60%</v>
      </c>
      <c r="M739" s="30">
        <f t="shared" si="65"/>
        <v>0.6</v>
      </c>
      <c r="N739" s="34">
        <f>VLOOKUP(A739, 'Stock Register'!A:F, 6, FALSE)</f>
        <v>-0.90000000000000036</v>
      </c>
    </row>
    <row r="740" spans="1:14" hidden="1" x14ac:dyDescent="0.25">
      <c r="A740" s="205" t="s">
        <v>1073</v>
      </c>
      <c r="D740" s="29">
        <f>SUMIF('Purchase Register'!C:C, A740, 'Purchase Register'!G:G)</f>
        <v>4.166666666666667</v>
      </c>
      <c r="E740" s="190">
        <v>5</v>
      </c>
      <c r="F740" s="60">
        <f>SUMIF('Sales Register'!C:C, A740, 'Sales Register'!D:D)</f>
        <v>3</v>
      </c>
      <c r="G740" s="60">
        <f t="shared" si="66"/>
        <v>15</v>
      </c>
      <c r="H740" s="60">
        <f t="shared" si="67"/>
        <v>12.5</v>
      </c>
      <c r="I740" s="60">
        <f t="shared" si="68"/>
        <v>2.5</v>
      </c>
      <c r="J740" s="60">
        <f t="shared" si="69"/>
        <v>0.16666666666666666</v>
      </c>
      <c r="K740" s="35" t="str">
        <f t="shared" si="64"/>
        <v>20%</v>
      </c>
      <c r="M740" s="30">
        <f t="shared" si="65"/>
        <v>0.19999999999999993</v>
      </c>
      <c r="N740" s="34">
        <f>VLOOKUP(A740, 'Stock Register'!A:F, 6, FALSE)</f>
        <v>9</v>
      </c>
    </row>
    <row r="741" spans="1:14" hidden="1" x14ac:dyDescent="0.25">
      <c r="A741" s="205" t="s">
        <v>1074</v>
      </c>
      <c r="D741" s="29">
        <f>SUMIF('Purchase Register'!C:C, A741, 'Purchase Register'!G:G)</f>
        <v>9.1666666666666661</v>
      </c>
      <c r="E741" s="190">
        <v>10</v>
      </c>
      <c r="F741" s="60">
        <f>SUMIF('Sales Register'!C:C, A741, 'Sales Register'!D:D)</f>
        <v>6</v>
      </c>
      <c r="G741" s="60">
        <f t="shared" si="66"/>
        <v>60</v>
      </c>
      <c r="H741" s="60">
        <f t="shared" si="67"/>
        <v>55</v>
      </c>
      <c r="I741" s="60">
        <f t="shared" si="68"/>
        <v>5</v>
      </c>
      <c r="J741" s="60">
        <f t="shared" si="69"/>
        <v>8.3333333333333329E-2</v>
      </c>
      <c r="K741" s="35" t="str">
        <f t="shared" si="64"/>
        <v>9%</v>
      </c>
      <c r="M741" s="30">
        <f t="shared" si="65"/>
        <v>9.0909090909090981E-2</v>
      </c>
      <c r="N741" s="34">
        <f>VLOOKUP(A741, 'Stock Register'!A:F, 6, FALSE)</f>
        <v>0</v>
      </c>
    </row>
    <row r="742" spans="1:14" s="75" customFormat="1" hidden="1" x14ac:dyDescent="0.25">
      <c r="B742" s="71"/>
      <c r="C742" s="71"/>
      <c r="D742" s="72">
        <f>SUMIF('Purchase Register'!C:C, 'Sales Register'!C6816, 'Purchase Register'!G:G)</f>
        <v>13.888888888888889</v>
      </c>
      <c r="E742" s="191">
        <v>20</v>
      </c>
      <c r="F742" s="74">
        <f>SUMIF('Sales Register'!C:C, 'Sales Register'!C6816, 'Sales Register'!D:D)</f>
        <v>29</v>
      </c>
      <c r="G742" s="74">
        <f t="shared" si="66"/>
        <v>580</v>
      </c>
      <c r="H742" s="74">
        <f t="shared" si="67"/>
        <v>402.77777777777777</v>
      </c>
      <c r="I742" s="74">
        <f t="shared" si="68"/>
        <v>177.22222222222223</v>
      </c>
      <c r="J742" s="74">
        <f t="shared" si="69"/>
        <v>0.30555555555555558</v>
      </c>
      <c r="K742" s="134" t="str">
        <f t="shared" si="64"/>
        <v>44%</v>
      </c>
      <c r="L742" s="73"/>
      <c r="M742" s="99">
        <f t="shared" si="65"/>
        <v>0.43999999999999995</v>
      </c>
      <c r="N742" s="73">
        <f>VLOOKUP('Sales Register'!C6816, 'Stock Register'!A:F, 6, FALSE)</f>
        <v>-11</v>
      </c>
    </row>
    <row r="743" spans="1:14" hidden="1" x14ac:dyDescent="0.25">
      <c r="A743" s="205" t="s">
        <v>1076</v>
      </c>
      <c r="D743" s="29">
        <f>SUMIF('Purchase Register'!C:C, A743, 'Purchase Register'!G:G)</f>
        <v>53.846153846153847</v>
      </c>
      <c r="E743" s="190">
        <v>58</v>
      </c>
      <c r="F743" s="60">
        <f>SUMIF('Sales Register'!C:C, A743, 'Sales Register'!D:D)</f>
        <v>52</v>
      </c>
      <c r="G743" s="60">
        <f t="shared" si="66"/>
        <v>3016</v>
      </c>
      <c r="H743" s="60">
        <f t="shared" si="67"/>
        <v>2800</v>
      </c>
      <c r="I743" s="60">
        <f t="shared" si="68"/>
        <v>216</v>
      </c>
      <c r="J743" s="60">
        <f t="shared" si="69"/>
        <v>7.161803713527852E-2</v>
      </c>
      <c r="K743" s="35" t="str">
        <f t="shared" si="64"/>
        <v>7%</v>
      </c>
      <c r="M743" s="30">
        <f t="shared" si="65"/>
        <v>7.7142857142857138E-2</v>
      </c>
      <c r="N743" s="34">
        <f>VLOOKUP(A743, 'Stock Register'!A:F, 6, FALSE)</f>
        <v>0</v>
      </c>
    </row>
    <row r="744" spans="1:14" s="75" customFormat="1" hidden="1" x14ac:dyDescent="0.25">
      <c r="A744" s="204" t="s">
        <v>1088</v>
      </c>
      <c r="B744" s="71"/>
      <c r="C744" s="71"/>
      <c r="D744" s="72">
        <f>SUMIF('Purchase Register'!C:C, A744, 'Purchase Register'!G:G)</f>
        <v>8.3333333333333339</v>
      </c>
      <c r="E744" s="191">
        <v>9</v>
      </c>
      <c r="F744" s="74">
        <f>SUMIF('Sales Register'!C:C, A744, 'Sales Register'!D:D)</f>
        <v>88</v>
      </c>
      <c r="G744" s="74">
        <f t="shared" si="66"/>
        <v>792</v>
      </c>
      <c r="H744" s="74">
        <f t="shared" si="67"/>
        <v>733.33333333333337</v>
      </c>
      <c r="I744" s="74">
        <f t="shared" si="68"/>
        <v>58.666666666666629</v>
      </c>
      <c r="J744" s="74">
        <f t="shared" si="69"/>
        <v>7.4074074074074028E-2</v>
      </c>
      <c r="K744" s="134" t="str">
        <f t="shared" si="64"/>
        <v>7%</v>
      </c>
      <c r="L744" s="73"/>
      <c r="M744" s="99">
        <f t="shared" si="65"/>
        <v>7.9999999999999918E-2</v>
      </c>
      <c r="N744" s="73">
        <f>VLOOKUP(A744, 'Stock Register'!A:F, 6, FALSE)</f>
        <v>2</v>
      </c>
    </row>
    <row r="745" spans="1:14" s="75" customFormat="1" hidden="1" x14ac:dyDescent="0.25">
      <c r="A745" s="204" t="s">
        <v>1089</v>
      </c>
      <c r="B745" s="71"/>
      <c r="C745" s="71"/>
      <c r="D745" s="72">
        <f>SUMIF('Purchase Register'!C:C, A745, 'Purchase Register'!G:G)</f>
        <v>58</v>
      </c>
      <c r="E745" s="191">
        <v>70</v>
      </c>
      <c r="F745" s="74">
        <f>SUMIF('Sales Register'!C:C, A745, 'Sales Register'!D:D)</f>
        <v>9.1889999999999983</v>
      </c>
      <c r="G745" s="74">
        <f t="shared" si="66"/>
        <v>643.2299999999999</v>
      </c>
      <c r="H745" s="74">
        <f t="shared" si="67"/>
        <v>532.96199999999988</v>
      </c>
      <c r="I745" s="74">
        <f t="shared" si="68"/>
        <v>110.26800000000003</v>
      </c>
      <c r="J745" s="74">
        <f t="shared" si="69"/>
        <v>0.17142857142857149</v>
      </c>
      <c r="K745" s="134" t="str">
        <f t="shared" si="64"/>
        <v>20%</v>
      </c>
      <c r="L745" s="73"/>
      <c r="M745" s="99">
        <f t="shared" si="65"/>
        <v>0.20689655172413793</v>
      </c>
      <c r="N745" s="73">
        <f>VLOOKUP(A745, 'Stock Register'!A:F, 6, FALSE)</f>
        <v>0.81100000000000172</v>
      </c>
    </row>
    <row r="746" spans="1:14" hidden="1" x14ac:dyDescent="0.25">
      <c r="A746" s="205" t="s">
        <v>1090</v>
      </c>
      <c r="D746" s="29">
        <f>SUMIF('Purchase Register'!C:C, A746, 'Purchase Register'!G:G)</f>
        <v>9.0740740740740744</v>
      </c>
      <c r="E746" s="190">
        <v>10</v>
      </c>
      <c r="F746" s="60">
        <f>SUMIF('Sales Register'!C:C, A746, 'Sales Register'!D:D)</f>
        <v>108</v>
      </c>
      <c r="G746" s="60">
        <f t="shared" si="66"/>
        <v>1080</v>
      </c>
      <c r="H746" s="60">
        <f t="shared" si="67"/>
        <v>980</v>
      </c>
      <c r="I746" s="60">
        <f t="shared" si="68"/>
        <v>100</v>
      </c>
      <c r="J746" s="60">
        <f t="shared" si="69"/>
        <v>9.2592592592592587E-2</v>
      </c>
      <c r="K746" s="35" t="str">
        <f t="shared" si="64"/>
        <v>10%</v>
      </c>
      <c r="M746" s="30">
        <f t="shared" si="65"/>
        <v>0.10204081632653057</v>
      </c>
      <c r="N746" s="34">
        <f>VLOOKUP(A746, 'Stock Register'!A:F, 6, FALSE)</f>
        <v>0</v>
      </c>
    </row>
    <row r="747" spans="1:14" s="75" customFormat="1" ht="30" hidden="1" x14ac:dyDescent="0.25">
      <c r="A747" s="204" t="s">
        <v>1091</v>
      </c>
      <c r="B747" s="71"/>
      <c r="C747" s="71"/>
      <c r="D747" s="72">
        <f>SUMIF('Purchase Register'!C:C, A747, 'Purchase Register'!G:G)</f>
        <v>37.5</v>
      </c>
      <c r="E747" s="191">
        <v>40</v>
      </c>
      <c r="F747" s="74">
        <f>SUMIF('Sales Register'!C:C, A747, 'Sales Register'!D:D)</f>
        <v>52</v>
      </c>
      <c r="G747" s="74">
        <f t="shared" si="66"/>
        <v>2080</v>
      </c>
      <c r="H747" s="74">
        <f t="shared" si="67"/>
        <v>1950</v>
      </c>
      <c r="I747" s="74">
        <f t="shared" si="68"/>
        <v>130</v>
      </c>
      <c r="J747" s="74">
        <f t="shared" si="69"/>
        <v>6.25E-2</v>
      </c>
      <c r="K747" s="134" t="str">
        <f t="shared" si="64"/>
        <v>6%</v>
      </c>
      <c r="L747" s="73"/>
      <c r="M747" s="99">
        <f t="shared" si="65"/>
        <v>6.6666666666666666E-2</v>
      </c>
      <c r="N747" s="73">
        <f>VLOOKUP(A747, 'Stock Register'!A:F, 6, FALSE)</f>
        <v>-4</v>
      </c>
    </row>
    <row r="748" spans="1:14" ht="30" hidden="1" x14ac:dyDescent="0.25">
      <c r="A748" s="205" t="s">
        <v>1101</v>
      </c>
      <c r="D748" s="29">
        <f>SUMIF('Purchase Register'!C:C, A748, 'Purchase Register'!G:G)</f>
        <v>135</v>
      </c>
      <c r="E748" s="190">
        <v>185</v>
      </c>
      <c r="F748" s="60">
        <f>SUMIF('Sales Register'!C:C, A748, 'Sales Register'!D:D)</f>
        <v>0</v>
      </c>
      <c r="G748" s="60">
        <f t="shared" si="66"/>
        <v>0</v>
      </c>
      <c r="H748" s="60">
        <f t="shared" si="67"/>
        <v>0</v>
      </c>
      <c r="I748" s="60">
        <f t="shared" si="68"/>
        <v>0</v>
      </c>
      <c r="J748" s="60">
        <f t="shared" si="69"/>
        <v>0</v>
      </c>
      <c r="K748" s="35" t="str">
        <f t="shared" si="64"/>
        <v>37%</v>
      </c>
      <c r="M748" s="30">
        <f t="shared" si="65"/>
        <v>0.37037037037037035</v>
      </c>
      <c r="N748" s="34">
        <f>VLOOKUP(A748, 'Stock Register'!A:F, 6, FALSE)</f>
        <v>1</v>
      </c>
    </row>
    <row r="749" spans="1:14" ht="30" hidden="1" x14ac:dyDescent="0.25">
      <c r="A749" s="205" t="s">
        <v>1102</v>
      </c>
      <c r="D749" s="29">
        <f>SUMIF('Purchase Register'!C:C, A749, 'Purchase Register'!G:G)</f>
        <v>180</v>
      </c>
      <c r="E749" s="190">
        <v>230</v>
      </c>
      <c r="F749" s="60">
        <f>SUMIF('Sales Register'!C:C, A749, 'Sales Register'!D:D)</f>
        <v>2</v>
      </c>
      <c r="G749" s="60">
        <f t="shared" si="66"/>
        <v>460</v>
      </c>
      <c r="H749" s="60">
        <f t="shared" si="67"/>
        <v>360</v>
      </c>
      <c r="I749" s="60">
        <f t="shared" si="68"/>
        <v>100</v>
      </c>
      <c r="J749" s="60">
        <f t="shared" si="69"/>
        <v>0.21739130434782608</v>
      </c>
      <c r="K749" s="35" t="str">
        <f t="shared" si="64"/>
        <v>27%</v>
      </c>
      <c r="M749" s="30">
        <f t="shared" si="65"/>
        <v>0.27777777777777779</v>
      </c>
      <c r="N749" s="34">
        <f>VLOOKUP(A749, 'Stock Register'!A:F, 6, FALSE)</f>
        <v>0</v>
      </c>
    </row>
    <row r="750" spans="1:14" ht="30" hidden="1" x14ac:dyDescent="0.25">
      <c r="A750" s="205" t="s">
        <v>1103</v>
      </c>
      <c r="D750" s="29">
        <f>SUMIF('Purchase Register'!C:C, A750, 'Purchase Register'!G:G)</f>
        <v>135</v>
      </c>
      <c r="E750" s="190">
        <v>185</v>
      </c>
      <c r="F750" s="60">
        <f>SUMIF('Sales Register'!C:C, A750, 'Sales Register'!D:D)</f>
        <v>2</v>
      </c>
      <c r="G750" s="60">
        <f t="shared" si="66"/>
        <v>370</v>
      </c>
      <c r="H750" s="60">
        <f t="shared" si="67"/>
        <v>270</v>
      </c>
      <c r="I750" s="60">
        <f t="shared" si="68"/>
        <v>100</v>
      </c>
      <c r="J750" s="60">
        <f t="shared" si="69"/>
        <v>0.27027027027027029</v>
      </c>
      <c r="K750" s="35" t="str">
        <f t="shared" si="64"/>
        <v>37%</v>
      </c>
      <c r="M750" s="30">
        <f t="shared" si="65"/>
        <v>0.37037037037037035</v>
      </c>
      <c r="N750" s="34">
        <f>VLOOKUP(A750, 'Stock Register'!A:F, 6, FALSE)</f>
        <v>0</v>
      </c>
    </row>
    <row r="751" spans="1:14" ht="30" hidden="1" x14ac:dyDescent="0.25">
      <c r="A751" s="205" t="s">
        <v>1104</v>
      </c>
      <c r="D751" s="29">
        <f>SUMIF('Purchase Register'!C:C, A751, 'Purchase Register'!G:G)</f>
        <v>30</v>
      </c>
      <c r="E751" s="190">
        <v>40</v>
      </c>
      <c r="F751" s="60">
        <f>SUMIF('Sales Register'!C:C, A751, 'Sales Register'!D:D)</f>
        <v>1</v>
      </c>
      <c r="G751" s="60">
        <f t="shared" si="66"/>
        <v>40</v>
      </c>
      <c r="H751" s="60">
        <f t="shared" si="67"/>
        <v>30</v>
      </c>
      <c r="I751" s="60">
        <f t="shared" si="68"/>
        <v>10</v>
      </c>
      <c r="J751" s="60">
        <f t="shared" si="69"/>
        <v>0.25</v>
      </c>
      <c r="K751" s="35" t="str">
        <f t="shared" si="64"/>
        <v>33%</v>
      </c>
      <c r="M751" s="30">
        <f t="shared" si="65"/>
        <v>0.33333333333333331</v>
      </c>
      <c r="N751" s="34">
        <f>VLOOKUP(A751, 'Stock Register'!A:F, 6, FALSE)</f>
        <v>1</v>
      </c>
    </row>
    <row r="752" spans="1:14" ht="30" hidden="1" x14ac:dyDescent="0.25">
      <c r="A752" s="205" t="s">
        <v>1105</v>
      </c>
      <c r="D752" s="29">
        <f>SUMIF('Purchase Register'!C:C, A752, 'Purchase Register'!G:G)</f>
        <v>17</v>
      </c>
      <c r="E752" s="190">
        <v>20</v>
      </c>
      <c r="F752" s="60">
        <f>SUMIF('Sales Register'!C:C, A752, 'Sales Register'!D:D)</f>
        <v>3</v>
      </c>
      <c r="G752" s="60">
        <f t="shared" si="66"/>
        <v>60</v>
      </c>
      <c r="H752" s="60">
        <f t="shared" si="67"/>
        <v>51</v>
      </c>
      <c r="I752" s="60">
        <f t="shared" si="68"/>
        <v>9</v>
      </c>
      <c r="J752" s="60">
        <f t="shared" si="69"/>
        <v>0.15</v>
      </c>
      <c r="K752" s="35" t="str">
        <f t="shared" si="64"/>
        <v>17%</v>
      </c>
      <c r="M752" s="30">
        <f t="shared" si="65"/>
        <v>0.17647058823529413</v>
      </c>
      <c r="N752" s="34">
        <f>VLOOKUP(A752, 'Stock Register'!A:F, 6, FALSE)</f>
        <v>7</v>
      </c>
    </row>
    <row r="753" spans="1:14" ht="30" hidden="1" x14ac:dyDescent="0.25">
      <c r="A753" s="205" t="s">
        <v>1106</v>
      </c>
      <c r="D753" s="29">
        <f>SUMIF('Purchase Register'!C:C, A753, 'Purchase Register'!G:G)</f>
        <v>18</v>
      </c>
      <c r="E753" s="190">
        <v>20</v>
      </c>
      <c r="F753" s="60">
        <f>SUMIF('Sales Register'!C:C, A753, 'Sales Register'!D:D)</f>
        <v>4</v>
      </c>
      <c r="G753" s="60">
        <f t="shared" si="66"/>
        <v>80</v>
      </c>
      <c r="H753" s="60">
        <f t="shared" si="67"/>
        <v>72</v>
      </c>
      <c r="I753" s="60">
        <f t="shared" si="68"/>
        <v>8</v>
      </c>
      <c r="J753" s="60">
        <f t="shared" si="69"/>
        <v>0.1</v>
      </c>
      <c r="K753" s="35" t="str">
        <f t="shared" si="64"/>
        <v>11%</v>
      </c>
      <c r="M753" s="30">
        <f t="shared" si="65"/>
        <v>0.1111111111111111</v>
      </c>
      <c r="N753" s="34">
        <f>VLOOKUP(A753, 'Stock Register'!A:F, 6, FALSE)</f>
        <v>6</v>
      </c>
    </row>
    <row r="754" spans="1:14" hidden="1" x14ac:dyDescent="0.25">
      <c r="A754" s="205" t="s">
        <v>1107</v>
      </c>
      <c r="D754" s="29">
        <f>SUMIF('Purchase Register'!C:C, A754, 'Purchase Register'!G:G)</f>
        <v>8</v>
      </c>
      <c r="E754" s="190">
        <v>10</v>
      </c>
      <c r="F754" s="60">
        <f>SUMIF('Sales Register'!C:C, A754, 'Sales Register'!D:D)</f>
        <v>3</v>
      </c>
      <c r="G754" s="60">
        <f t="shared" si="66"/>
        <v>30</v>
      </c>
      <c r="H754" s="60">
        <f t="shared" si="67"/>
        <v>24</v>
      </c>
      <c r="I754" s="60">
        <f t="shared" si="68"/>
        <v>6</v>
      </c>
      <c r="J754" s="60">
        <f t="shared" si="69"/>
        <v>0.2</v>
      </c>
      <c r="K754" s="35" t="str">
        <f t="shared" si="64"/>
        <v>25%</v>
      </c>
      <c r="M754" s="30">
        <f t="shared" si="65"/>
        <v>0.25</v>
      </c>
      <c r="N754" s="34">
        <f>VLOOKUP(A754, 'Stock Register'!A:F, 6, FALSE)</f>
        <v>7</v>
      </c>
    </row>
    <row r="755" spans="1:14" hidden="1" x14ac:dyDescent="0.25">
      <c r="A755" s="205" t="s">
        <v>1108</v>
      </c>
      <c r="D755" s="29">
        <f>SUMIF('Purchase Register'!C:C, A755, 'Purchase Register'!G:G)</f>
        <v>17</v>
      </c>
      <c r="E755" s="190">
        <v>20</v>
      </c>
      <c r="F755" s="60">
        <f>SUMIF('Sales Register'!C:C, A755, 'Sales Register'!D:D)</f>
        <v>5</v>
      </c>
      <c r="G755" s="60">
        <f t="shared" si="66"/>
        <v>100</v>
      </c>
      <c r="H755" s="60">
        <f t="shared" si="67"/>
        <v>85</v>
      </c>
      <c r="I755" s="60">
        <f t="shared" si="68"/>
        <v>15</v>
      </c>
      <c r="J755" s="60">
        <f t="shared" si="69"/>
        <v>0.15</v>
      </c>
      <c r="K755" s="35" t="str">
        <f t="shared" si="64"/>
        <v>17%</v>
      </c>
      <c r="M755" s="30">
        <f t="shared" si="65"/>
        <v>0.17647058823529413</v>
      </c>
      <c r="N755" s="34">
        <f>VLOOKUP(A755, 'Stock Register'!A:F, 6, FALSE)</f>
        <v>5</v>
      </c>
    </row>
    <row r="756" spans="1:14" ht="30" hidden="1" x14ac:dyDescent="0.25">
      <c r="A756" s="205" t="s">
        <v>1109</v>
      </c>
      <c r="D756" s="29">
        <f>SUMIF('Purchase Register'!C:C, A756, 'Purchase Register'!G:G)</f>
        <v>17.5</v>
      </c>
      <c r="E756" s="190">
        <v>20</v>
      </c>
      <c r="F756" s="60">
        <f>SUMIF('Sales Register'!C:C, A756, 'Sales Register'!D:D)</f>
        <v>13</v>
      </c>
      <c r="G756" s="60">
        <f t="shared" si="66"/>
        <v>260</v>
      </c>
      <c r="H756" s="60">
        <f t="shared" si="67"/>
        <v>227.5</v>
      </c>
      <c r="I756" s="60">
        <f t="shared" si="68"/>
        <v>32.5</v>
      </c>
      <c r="J756" s="60">
        <f t="shared" si="69"/>
        <v>0.125</v>
      </c>
      <c r="K756" s="35" t="str">
        <f t="shared" si="64"/>
        <v>14%</v>
      </c>
      <c r="M756" s="30">
        <f t="shared" si="65"/>
        <v>0.14285714285714285</v>
      </c>
      <c r="N756" s="34">
        <f>VLOOKUP(A756, 'Stock Register'!A:F, 6, FALSE)</f>
        <v>7</v>
      </c>
    </row>
    <row r="757" spans="1:14" ht="30" hidden="1" x14ac:dyDescent="0.25">
      <c r="A757" s="205" t="s">
        <v>1110</v>
      </c>
      <c r="D757" s="29">
        <f>SUMIF('Purchase Register'!C:C, A757, 'Purchase Register'!G:G)</f>
        <v>240</v>
      </c>
      <c r="E757" s="190">
        <v>350</v>
      </c>
      <c r="F757" s="60">
        <f>SUMIF('Sales Register'!C:C, A757, 'Sales Register'!D:D)</f>
        <v>1</v>
      </c>
      <c r="G757" s="60">
        <f t="shared" si="66"/>
        <v>350</v>
      </c>
      <c r="H757" s="60">
        <f t="shared" si="67"/>
        <v>240</v>
      </c>
      <c r="I757" s="60">
        <f t="shared" si="68"/>
        <v>110</v>
      </c>
      <c r="J757" s="60">
        <f t="shared" si="69"/>
        <v>0.31428571428571428</v>
      </c>
      <c r="K757" s="35" t="str">
        <f t="shared" si="64"/>
        <v>45%</v>
      </c>
      <c r="M757" s="30">
        <f t="shared" si="65"/>
        <v>0.45833333333333331</v>
      </c>
      <c r="N757" s="34">
        <f>VLOOKUP(A757, 'Stock Register'!A:F, 6, FALSE)</f>
        <v>1</v>
      </c>
    </row>
    <row r="758" spans="1:14" ht="30" hidden="1" x14ac:dyDescent="0.25">
      <c r="A758" s="205" t="s">
        <v>1111</v>
      </c>
      <c r="D758" s="29">
        <f>SUMIF('Purchase Register'!C:C, A758, 'Purchase Register'!G:G)</f>
        <v>299</v>
      </c>
      <c r="E758" s="190">
        <v>400</v>
      </c>
      <c r="F758" s="60">
        <f>SUMIF('Sales Register'!C:C, A758, 'Sales Register'!D:D)</f>
        <v>1</v>
      </c>
      <c r="G758" s="60">
        <f t="shared" ref="G758:G821" si="70">E758*F758</f>
        <v>400</v>
      </c>
      <c r="H758" s="60">
        <f t="shared" si="67"/>
        <v>299</v>
      </c>
      <c r="I758" s="60">
        <f t="shared" si="68"/>
        <v>101</v>
      </c>
      <c r="J758" s="60">
        <f t="shared" si="69"/>
        <v>0.2525</v>
      </c>
      <c r="K758" s="35" t="str">
        <f t="shared" si="64"/>
        <v>33%</v>
      </c>
      <c r="M758" s="30">
        <f t="shared" si="65"/>
        <v>0.33779264214046822</v>
      </c>
      <c r="N758" s="34">
        <f>VLOOKUP(A758, 'Stock Register'!A:F, 6, FALSE)</f>
        <v>1</v>
      </c>
    </row>
    <row r="759" spans="1:14" hidden="1" x14ac:dyDescent="0.25">
      <c r="A759" s="205" t="s">
        <v>1112</v>
      </c>
      <c r="D759" s="29">
        <f>SUMIF('Purchase Register'!C:C, A759, 'Purchase Register'!G:G)</f>
        <v>250</v>
      </c>
      <c r="E759" s="190">
        <v>400</v>
      </c>
      <c r="F759" s="60">
        <f>SUMIF('Sales Register'!C:C, A759, 'Sales Register'!D:D)</f>
        <v>0</v>
      </c>
      <c r="G759" s="60">
        <f t="shared" si="70"/>
        <v>0</v>
      </c>
      <c r="H759" s="60">
        <f t="shared" si="67"/>
        <v>0</v>
      </c>
      <c r="I759" s="60">
        <f t="shared" si="68"/>
        <v>0</v>
      </c>
      <c r="J759" s="60">
        <f t="shared" si="69"/>
        <v>0</v>
      </c>
      <c r="K759" s="35" t="str">
        <f t="shared" si="64"/>
        <v>60%</v>
      </c>
      <c r="M759" s="30">
        <f t="shared" si="65"/>
        <v>0.6</v>
      </c>
      <c r="N759" s="34">
        <f>VLOOKUP(A759, 'Stock Register'!A:F, 6, FALSE)</f>
        <v>2</v>
      </c>
    </row>
    <row r="760" spans="1:14" ht="30" hidden="1" x14ac:dyDescent="0.25">
      <c r="A760" s="205" t="s">
        <v>1092</v>
      </c>
      <c r="D760" s="29">
        <f>SUMIF('Purchase Register'!C:C, A760, 'Purchase Register'!G:G)</f>
        <v>19</v>
      </c>
      <c r="E760" s="190">
        <v>20</v>
      </c>
      <c r="F760" s="60">
        <f>SUMIF('Sales Register'!C:C, A760, 'Sales Register'!D:D)</f>
        <v>5</v>
      </c>
      <c r="G760" s="60">
        <f t="shared" si="70"/>
        <v>100</v>
      </c>
      <c r="H760" s="60">
        <f t="shared" si="67"/>
        <v>95</v>
      </c>
      <c r="I760" s="60">
        <f t="shared" si="68"/>
        <v>5</v>
      </c>
      <c r="J760" s="60">
        <f t="shared" si="69"/>
        <v>0.05</v>
      </c>
      <c r="K760" s="35" t="str">
        <f t="shared" si="64"/>
        <v>5%</v>
      </c>
      <c r="M760" s="30">
        <f t="shared" si="65"/>
        <v>5.2631578947368418E-2</v>
      </c>
      <c r="N760" s="34">
        <f>VLOOKUP(A760, 'Stock Register'!A:F, 6, FALSE)</f>
        <v>-1</v>
      </c>
    </row>
    <row r="761" spans="1:14" ht="30" hidden="1" x14ac:dyDescent="0.25">
      <c r="A761" s="205" t="s">
        <v>1093</v>
      </c>
      <c r="D761" s="29">
        <f>SUMIF('Purchase Register'!C:C, A761, 'Purchase Register'!G:G)</f>
        <v>49</v>
      </c>
      <c r="E761" s="190">
        <v>70</v>
      </c>
      <c r="F761" s="60">
        <f>SUMIF('Sales Register'!C:C, A761, 'Sales Register'!D:D)</f>
        <v>1</v>
      </c>
      <c r="G761" s="60">
        <f t="shared" si="70"/>
        <v>70</v>
      </c>
      <c r="H761" s="60">
        <f t="shared" si="67"/>
        <v>49</v>
      </c>
      <c r="I761" s="60">
        <f t="shared" si="68"/>
        <v>21</v>
      </c>
      <c r="J761" s="60">
        <f t="shared" si="69"/>
        <v>0.3</v>
      </c>
      <c r="K761" s="35" t="str">
        <f t="shared" si="64"/>
        <v>42%</v>
      </c>
      <c r="M761" s="30">
        <f t="shared" si="65"/>
        <v>0.42857142857142855</v>
      </c>
      <c r="N761" s="34">
        <f>VLOOKUP(A761, 'Stock Register'!A:F, 6, FALSE)</f>
        <v>1</v>
      </c>
    </row>
    <row r="762" spans="1:14" ht="30" hidden="1" x14ac:dyDescent="0.25">
      <c r="A762" s="205" t="s">
        <v>1094</v>
      </c>
      <c r="D762" s="29">
        <f>SUMIF('Purchase Register'!C:C, A762, 'Purchase Register'!G:G)</f>
        <v>66</v>
      </c>
      <c r="E762" s="190">
        <v>70</v>
      </c>
      <c r="F762" s="60">
        <f>SUMIF('Sales Register'!C:C, A762, 'Sales Register'!D:D)</f>
        <v>0</v>
      </c>
      <c r="G762" s="60">
        <f t="shared" si="70"/>
        <v>0</v>
      </c>
      <c r="H762" s="60">
        <f t="shared" si="67"/>
        <v>0</v>
      </c>
      <c r="I762" s="60">
        <f t="shared" si="68"/>
        <v>0</v>
      </c>
      <c r="J762" s="60">
        <f t="shared" si="69"/>
        <v>0</v>
      </c>
      <c r="K762" s="35" t="str">
        <f t="shared" si="64"/>
        <v>6%</v>
      </c>
      <c r="M762" s="30">
        <f t="shared" si="65"/>
        <v>6.0606060606060608E-2</v>
      </c>
      <c r="N762" s="34">
        <f>VLOOKUP(A762, 'Stock Register'!A:F, 6, FALSE)</f>
        <v>2</v>
      </c>
    </row>
    <row r="763" spans="1:14" hidden="1" x14ac:dyDescent="0.25">
      <c r="A763" s="205" t="s">
        <v>1095</v>
      </c>
      <c r="D763" s="29">
        <f>SUMIF('Purchase Register'!C:C, A763, 'Purchase Register'!G:G)</f>
        <v>49</v>
      </c>
      <c r="E763" s="190">
        <v>70</v>
      </c>
      <c r="F763" s="60">
        <f>SUMIF('Sales Register'!C:C, A763, 'Sales Register'!D:D)</f>
        <v>1</v>
      </c>
      <c r="G763" s="60">
        <f t="shared" si="70"/>
        <v>70</v>
      </c>
      <c r="H763" s="60">
        <f t="shared" si="67"/>
        <v>49</v>
      </c>
      <c r="I763" s="60">
        <f t="shared" si="68"/>
        <v>21</v>
      </c>
      <c r="J763" s="60">
        <f t="shared" si="69"/>
        <v>0.3</v>
      </c>
      <c r="K763" s="35" t="str">
        <f t="shared" si="64"/>
        <v>42%</v>
      </c>
      <c r="M763" s="30">
        <f t="shared" si="65"/>
        <v>0.42857142857142855</v>
      </c>
      <c r="N763" s="34">
        <f>VLOOKUP(A763, 'Stock Register'!A:F, 6, FALSE)</f>
        <v>1</v>
      </c>
    </row>
    <row r="764" spans="1:14" ht="30" hidden="1" x14ac:dyDescent="0.25">
      <c r="A764" s="205" t="s">
        <v>1096</v>
      </c>
      <c r="D764" s="29">
        <f>SUMIF('Purchase Register'!C:C, A764, 'Purchase Register'!G:G)</f>
        <v>66</v>
      </c>
      <c r="E764" s="190">
        <v>70</v>
      </c>
      <c r="F764" s="60">
        <f>SUMIF('Sales Register'!C:C, A764, 'Sales Register'!D:D)</f>
        <v>0</v>
      </c>
      <c r="G764" s="60">
        <f t="shared" si="70"/>
        <v>0</v>
      </c>
      <c r="H764" s="60">
        <f t="shared" si="67"/>
        <v>0</v>
      </c>
      <c r="I764" s="60">
        <f t="shared" si="68"/>
        <v>0</v>
      </c>
      <c r="J764" s="60">
        <f t="shared" si="69"/>
        <v>0</v>
      </c>
      <c r="K764" s="35" t="str">
        <f t="shared" si="64"/>
        <v>6%</v>
      </c>
      <c r="M764" s="30">
        <f t="shared" si="65"/>
        <v>6.0606060606060608E-2</v>
      </c>
      <c r="N764" s="34">
        <f>VLOOKUP(A764, 'Stock Register'!A:F, 6, FALSE)</f>
        <v>2</v>
      </c>
    </row>
    <row r="765" spans="1:14" s="75" customFormat="1" ht="30" hidden="1" x14ac:dyDescent="0.25">
      <c r="A765" s="204" t="s">
        <v>1113</v>
      </c>
      <c r="B765" s="71"/>
      <c r="C765" s="71"/>
      <c r="D765" s="72">
        <f>SUMIF('Purchase Register'!C:C, A765, 'Purchase Register'!G:G)</f>
        <v>419</v>
      </c>
      <c r="E765" s="191">
        <v>485</v>
      </c>
      <c r="F765" s="74">
        <f>SUMIF('Sales Register'!C:C, A765, 'Sales Register'!D:D)</f>
        <v>1</v>
      </c>
      <c r="G765" s="74">
        <f t="shared" si="70"/>
        <v>485</v>
      </c>
      <c r="H765" s="74">
        <f t="shared" si="67"/>
        <v>419</v>
      </c>
      <c r="I765" s="74">
        <f t="shared" si="68"/>
        <v>66</v>
      </c>
      <c r="J765" s="74">
        <f t="shared" si="69"/>
        <v>0.13608247422680411</v>
      </c>
      <c r="K765" s="134" t="str">
        <f t="shared" si="64"/>
        <v>15%</v>
      </c>
      <c r="L765" s="73"/>
      <c r="M765" s="99">
        <f t="shared" si="65"/>
        <v>0.15751789976133651</v>
      </c>
      <c r="N765" s="73">
        <f>VLOOKUP(A765, 'Stock Register'!A:F, 6, FALSE)</f>
        <v>0</v>
      </c>
    </row>
    <row r="766" spans="1:14" ht="30" hidden="1" x14ac:dyDescent="0.25">
      <c r="A766" s="205" t="s">
        <v>1114</v>
      </c>
      <c r="D766" s="29">
        <f>SUMIF('Purchase Register'!C:C, A766, 'Purchase Register'!G:G)</f>
        <v>50</v>
      </c>
      <c r="E766" s="190">
        <v>60</v>
      </c>
      <c r="F766" s="60">
        <f>SUMIF('Sales Register'!C:C, A766, 'Sales Register'!D:D)</f>
        <v>5</v>
      </c>
      <c r="G766" s="60">
        <f t="shared" si="70"/>
        <v>300</v>
      </c>
      <c r="H766" s="60">
        <f t="shared" si="67"/>
        <v>250</v>
      </c>
      <c r="I766" s="60">
        <f t="shared" si="68"/>
        <v>50</v>
      </c>
      <c r="J766" s="60">
        <f t="shared" si="69"/>
        <v>0.16666666666666666</v>
      </c>
      <c r="K766" s="35" t="str">
        <f t="shared" si="64"/>
        <v>20%</v>
      </c>
      <c r="M766" s="30">
        <f t="shared" si="65"/>
        <v>0.2</v>
      </c>
      <c r="N766" s="34">
        <f>VLOOKUP(A766, 'Stock Register'!A:F, 6, FALSE)</f>
        <v>-2</v>
      </c>
    </row>
    <row r="767" spans="1:14" ht="30" hidden="1" x14ac:dyDescent="0.25">
      <c r="A767" s="205" t="s">
        <v>1115</v>
      </c>
      <c r="D767" s="29">
        <f>SUMIF('Purchase Register'!C:C, A767, 'Purchase Register'!G:G)</f>
        <v>105</v>
      </c>
      <c r="E767" s="190">
        <v>120</v>
      </c>
      <c r="F767" s="60">
        <f>SUMIF('Sales Register'!C:C, A767, 'Sales Register'!D:D)</f>
        <v>2</v>
      </c>
      <c r="G767" s="60">
        <f t="shared" si="70"/>
        <v>240</v>
      </c>
      <c r="H767" s="60">
        <f t="shared" si="67"/>
        <v>210</v>
      </c>
      <c r="I767" s="60">
        <f t="shared" si="68"/>
        <v>30</v>
      </c>
      <c r="J767" s="60">
        <f t="shared" si="69"/>
        <v>0.125</v>
      </c>
      <c r="K767" s="35" t="str">
        <f t="shared" si="64"/>
        <v>14%</v>
      </c>
      <c r="M767" s="30">
        <f t="shared" si="65"/>
        <v>0.14285714285714285</v>
      </c>
      <c r="N767" s="34">
        <f>VLOOKUP(A767, 'Stock Register'!A:F, 6, FALSE)</f>
        <v>1</v>
      </c>
    </row>
    <row r="768" spans="1:14" ht="30" hidden="1" x14ac:dyDescent="0.25">
      <c r="A768" s="205" t="s">
        <v>1100</v>
      </c>
      <c r="D768" s="29">
        <f>SUMIF('Purchase Register'!C:C, A768, 'Purchase Register'!G:G)</f>
        <v>165</v>
      </c>
      <c r="E768" s="190">
        <v>200</v>
      </c>
      <c r="F768" s="60">
        <f>SUMIF('Sales Register'!C:C, A768, 'Sales Register'!D:D)</f>
        <v>2</v>
      </c>
      <c r="G768" s="60">
        <f t="shared" si="70"/>
        <v>400</v>
      </c>
      <c r="H768" s="60">
        <f t="shared" si="67"/>
        <v>330</v>
      </c>
      <c r="I768" s="60">
        <f t="shared" si="68"/>
        <v>70</v>
      </c>
      <c r="J768" s="60">
        <f t="shared" si="69"/>
        <v>0.17499999999999999</v>
      </c>
      <c r="K768" s="35" t="str">
        <f t="shared" si="64"/>
        <v>21%</v>
      </c>
      <c r="M768" s="30">
        <f t="shared" si="65"/>
        <v>0.21212121212121213</v>
      </c>
      <c r="N768" s="34">
        <f>VLOOKUP(A768, 'Stock Register'!A:F, 6, FALSE)</f>
        <v>0</v>
      </c>
    </row>
    <row r="769" spans="1:14" ht="30" hidden="1" x14ac:dyDescent="0.25">
      <c r="A769" s="205" t="s">
        <v>1099</v>
      </c>
      <c r="D769" s="29">
        <f>SUMIF('Purchase Register'!C:C, A769, 'Purchase Register'!G:G)</f>
        <v>35</v>
      </c>
      <c r="E769" s="190">
        <v>40</v>
      </c>
      <c r="F769" s="60">
        <f>SUMIF('Sales Register'!C:C, A769, 'Sales Register'!D:D)</f>
        <v>0</v>
      </c>
      <c r="G769" s="60">
        <f t="shared" si="70"/>
        <v>0</v>
      </c>
      <c r="H769" s="60">
        <f t="shared" si="67"/>
        <v>0</v>
      </c>
      <c r="I769" s="60">
        <f t="shared" si="68"/>
        <v>0</v>
      </c>
      <c r="J769" s="60">
        <f t="shared" si="69"/>
        <v>0</v>
      </c>
      <c r="K769" s="35" t="str">
        <f t="shared" si="64"/>
        <v>14%</v>
      </c>
      <c r="M769" s="30">
        <f t="shared" si="65"/>
        <v>0.14285714285714285</v>
      </c>
      <c r="N769" s="34">
        <f>VLOOKUP(A769, 'Stock Register'!A:F, 6, FALSE)</f>
        <v>10</v>
      </c>
    </row>
    <row r="770" spans="1:14" ht="30" hidden="1" x14ac:dyDescent="0.25">
      <c r="A770" s="205" t="s">
        <v>1098</v>
      </c>
      <c r="D770" s="29">
        <f>SUMIF('Purchase Register'!C:C, A770, 'Purchase Register'!G:G)</f>
        <v>15</v>
      </c>
      <c r="E770" s="190">
        <v>20</v>
      </c>
      <c r="F770" s="60">
        <f>SUMIF('Sales Register'!C:C, A770, 'Sales Register'!D:D)</f>
        <v>2</v>
      </c>
      <c r="G770" s="60">
        <f t="shared" si="70"/>
        <v>40</v>
      </c>
      <c r="H770" s="60">
        <f t="shared" ref="H770:H833" si="71">D770*F770</f>
        <v>30</v>
      </c>
      <c r="I770" s="60">
        <f t="shared" ref="I770:I833" si="72">G770-H770</f>
        <v>10</v>
      </c>
      <c r="J770" s="60">
        <f t="shared" ref="J770:J833" si="73">IF(G770=0,0,I770/G770)</f>
        <v>0.25</v>
      </c>
      <c r="K770" s="35" t="str">
        <f t="shared" si="64"/>
        <v>33%</v>
      </c>
      <c r="M770" s="30">
        <f t="shared" si="65"/>
        <v>0.33333333333333331</v>
      </c>
      <c r="N770" s="34">
        <f>VLOOKUP(A770, 'Stock Register'!A:F, 6, FALSE)</f>
        <v>8</v>
      </c>
    </row>
    <row r="771" spans="1:14" hidden="1" x14ac:dyDescent="0.25">
      <c r="A771" s="205" t="s">
        <v>1097</v>
      </c>
      <c r="D771" s="29">
        <f>SUMIF('Purchase Register'!C:C, A771, 'Purchase Register'!G:G)</f>
        <v>1</v>
      </c>
      <c r="E771" s="190">
        <v>2</v>
      </c>
      <c r="F771" s="60">
        <f>SUMIF('Sales Register'!C:C, A771, 'Sales Register'!D:D)</f>
        <v>7</v>
      </c>
      <c r="G771" s="60">
        <f t="shared" si="70"/>
        <v>14</v>
      </c>
      <c r="H771" s="60">
        <f t="shared" si="71"/>
        <v>7</v>
      </c>
      <c r="I771" s="60">
        <f t="shared" si="72"/>
        <v>7</v>
      </c>
      <c r="J771" s="60">
        <f t="shared" si="73"/>
        <v>0.5</v>
      </c>
      <c r="K771" s="35" t="str">
        <f t="shared" si="64"/>
        <v>100% or More</v>
      </c>
      <c r="M771" s="30">
        <f t="shared" si="65"/>
        <v>1</v>
      </c>
      <c r="N771" s="34">
        <f>VLOOKUP(A771, 'Stock Register'!A:F, 6, FALSE)</f>
        <v>243</v>
      </c>
    </row>
    <row r="772" spans="1:14" hidden="1" x14ac:dyDescent="0.25">
      <c r="A772" s="205" t="s">
        <v>1116</v>
      </c>
      <c r="D772" s="29">
        <f>SUMIF('Purchase Register'!C:C, A772, 'Purchase Register'!G:G)</f>
        <v>9.1666666666666661</v>
      </c>
      <c r="E772" s="190">
        <v>10</v>
      </c>
      <c r="F772" s="60">
        <f>SUMIF('Sales Register'!C:C, A772, 'Sales Register'!D:D)</f>
        <v>8</v>
      </c>
      <c r="G772" s="60">
        <f t="shared" si="70"/>
        <v>80</v>
      </c>
      <c r="H772" s="60">
        <f t="shared" si="71"/>
        <v>73.333333333333329</v>
      </c>
      <c r="I772" s="60">
        <f t="shared" si="72"/>
        <v>6.6666666666666714</v>
      </c>
      <c r="J772" s="60">
        <f t="shared" si="73"/>
        <v>8.3333333333333398E-2</v>
      </c>
      <c r="K772" s="35" t="str">
        <f t="shared" si="64"/>
        <v>9%</v>
      </c>
      <c r="M772" s="30">
        <f t="shared" si="65"/>
        <v>9.0909090909090981E-2</v>
      </c>
      <c r="N772" s="34">
        <f>VLOOKUP(A772, 'Stock Register'!A:F, 6, FALSE)</f>
        <v>4</v>
      </c>
    </row>
    <row r="773" spans="1:14" hidden="1" x14ac:dyDescent="0.25">
      <c r="A773" s="205" t="s">
        <v>1117</v>
      </c>
      <c r="D773" s="29">
        <f>SUMIF('Purchase Register'!C:C, A773, 'Purchase Register'!G:G)</f>
        <v>260</v>
      </c>
      <c r="E773" s="190">
        <v>300</v>
      </c>
      <c r="F773" s="60">
        <f>SUMIF('Sales Register'!C:C, A773, 'Sales Register'!D:D)</f>
        <v>0.34</v>
      </c>
      <c r="G773" s="60">
        <f t="shared" si="70"/>
        <v>102.00000000000001</v>
      </c>
      <c r="H773" s="60">
        <f t="shared" si="71"/>
        <v>88.4</v>
      </c>
      <c r="I773" s="60">
        <f t="shared" si="72"/>
        <v>13.600000000000009</v>
      </c>
      <c r="J773" s="60">
        <f t="shared" si="73"/>
        <v>0.13333333333333339</v>
      </c>
      <c r="K773" s="35" t="str">
        <f t="shared" si="64"/>
        <v>15%</v>
      </c>
      <c r="M773" s="30">
        <f t="shared" si="65"/>
        <v>0.15384615384615385</v>
      </c>
      <c r="N773" s="34">
        <f>VLOOKUP(A773, 'Stock Register'!A:F, 6, FALSE)</f>
        <v>0.65999999999999992</v>
      </c>
    </row>
    <row r="774" spans="1:14" ht="30" hidden="1" x14ac:dyDescent="0.25">
      <c r="A774" s="205" t="s">
        <v>1118</v>
      </c>
      <c r="D774" s="29">
        <f>SUMIF('Purchase Register'!C:C, A774, 'Purchase Register'!G:G)</f>
        <v>75</v>
      </c>
      <c r="E774" s="190">
        <v>85</v>
      </c>
      <c r="F774" s="60">
        <f>SUMIF('Sales Register'!C:C, A774, 'Sales Register'!D:D)</f>
        <v>3</v>
      </c>
      <c r="G774" s="60">
        <f t="shared" si="70"/>
        <v>255</v>
      </c>
      <c r="H774" s="60">
        <f t="shared" si="71"/>
        <v>225</v>
      </c>
      <c r="I774" s="60">
        <f t="shared" si="72"/>
        <v>30</v>
      </c>
      <c r="J774" s="60">
        <f t="shared" si="73"/>
        <v>0.11764705882352941</v>
      </c>
      <c r="K774" s="35" t="str">
        <f t="shared" si="64"/>
        <v>13%</v>
      </c>
      <c r="M774" s="30">
        <f t="shared" si="65"/>
        <v>0.13333333333333333</v>
      </c>
      <c r="N774" s="34">
        <f>VLOOKUP(A774, 'Stock Register'!A:F, 6, FALSE)</f>
        <v>0</v>
      </c>
    </row>
    <row r="775" spans="1:14" hidden="1" x14ac:dyDescent="0.25">
      <c r="A775" s="205" t="s">
        <v>1119</v>
      </c>
      <c r="D775" s="29">
        <f>SUMIF('Purchase Register'!C:C, A775, 'Purchase Register'!G:G)</f>
        <v>520</v>
      </c>
      <c r="E775" s="190">
        <v>600</v>
      </c>
      <c r="F775" s="60">
        <f>SUMIF('Sales Register'!C:C, A775, 'Sales Register'!D:D)</f>
        <v>0.11600000000000001</v>
      </c>
      <c r="G775" s="60">
        <f t="shared" si="70"/>
        <v>69.600000000000009</v>
      </c>
      <c r="H775" s="60">
        <f t="shared" si="71"/>
        <v>60.32</v>
      </c>
      <c r="I775" s="60">
        <f t="shared" si="72"/>
        <v>9.2800000000000082</v>
      </c>
      <c r="J775" s="60">
        <f t="shared" si="73"/>
        <v>0.13333333333333344</v>
      </c>
      <c r="K775" s="35" t="str">
        <f t="shared" si="64"/>
        <v>15%</v>
      </c>
      <c r="M775" s="30">
        <f t="shared" si="65"/>
        <v>0.15384615384615385</v>
      </c>
      <c r="N775" s="34">
        <f>VLOOKUP(A775, 'Stock Register'!A:F, 6, FALSE)</f>
        <v>0.88400000000000001</v>
      </c>
    </row>
    <row r="776" spans="1:14" ht="30" hidden="1" x14ac:dyDescent="0.25">
      <c r="A776" s="205" t="s">
        <v>1120</v>
      </c>
      <c r="D776" s="29">
        <f>SUMIF('Purchase Register'!C:C, A776, 'Purchase Register'!G:G)</f>
        <v>45.833333333333336</v>
      </c>
      <c r="E776" s="190">
        <v>55</v>
      </c>
      <c r="F776" s="60">
        <f>SUMIF('Sales Register'!C:C, A776, 'Sales Register'!D:D)</f>
        <v>7</v>
      </c>
      <c r="G776" s="60">
        <f t="shared" si="70"/>
        <v>385</v>
      </c>
      <c r="H776" s="60">
        <f t="shared" si="71"/>
        <v>320.83333333333337</v>
      </c>
      <c r="I776" s="60">
        <f t="shared" si="72"/>
        <v>64.166666666666629</v>
      </c>
      <c r="J776" s="60">
        <f t="shared" si="73"/>
        <v>0.16666666666666657</v>
      </c>
      <c r="K776" s="35" t="str">
        <f t="shared" si="64"/>
        <v>20%</v>
      </c>
      <c r="M776" s="30">
        <f t="shared" si="65"/>
        <v>0.19999999999999993</v>
      </c>
      <c r="N776" s="34">
        <f>VLOOKUP(A776, 'Stock Register'!A:F, 6, FALSE)</f>
        <v>-1</v>
      </c>
    </row>
    <row r="777" spans="1:14" ht="30" hidden="1" x14ac:dyDescent="0.25">
      <c r="A777" s="205" t="s">
        <v>1121</v>
      </c>
      <c r="D777" s="29">
        <f>SUMIF('Purchase Register'!C:C, A777, 'Purchase Register'!G:G)</f>
        <v>190</v>
      </c>
      <c r="E777" s="190">
        <v>205</v>
      </c>
      <c r="F777" s="60">
        <f>SUMIF('Sales Register'!C:C, A777, 'Sales Register'!D:D)</f>
        <v>1</v>
      </c>
      <c r="G777" s="60">
        <f t="shared" si="70"/>
        <v>205</v>
      </c>
      <c r="H777" s="60">
        <f t="shared" si="71"/>
        <v>190</v>
      </c>
      <c r="I777" s="60">
        <f t="shared" si="72"/>
        <v>15</v>
      </c>
      <c r="J777" s="60">
        <f t="shared" si="73"/>
        <v>7.3170731707317069E-2</v>
      </c>
      <c r="K777" s="35" t="str">
        <f t="shared" si="64"/>
        <v>7%</v>
      </c>
      <c r="M777" s="30">
        <f t="shared" si="65"/>
        <v>7.8947368421052627E-2</v>
      </c>
      <c r="N777" s="34">
        <f>VLOOKUP(A777, 'Stock Register'!A:F, 6, FALSE)</f>
        <v>2</v>
      </c>
    </row>
    <row r="778" spans="1:14" hidden="1" x14ac:dyDescent="0.25">
      <c r="A778" s="205" t="s">
        <v>1123</v>
      </c>
      <c r="D778" s="29">
        <f>SUMIF('Purchase Register'!C:C, A778, 'Purchase Register'!G:G)</f>
        <v>25</v>
      </c>
      <c r="E778" s="190">
        <v>30</v>
      </c>
      <c r="F778" s="60">
        <f>SUMIF('Sales Register'!C:C, A778, 'Sales Register'!D:D)</f>
        <v>2</v>
      </c>
      <c r="G778" s="60">
        <f t="shared" si="70"/>
        <v>60</v>
      </c>
      <c r="H778" s="60">
        <f t="shared" si="71"/>
        <v>50</v>
      </c>
      <c r="I778" s="60">
        <f t="shared" si="72"/>
        <v>10</v>
      </c>
      <c r="J778" s="60">
        <f t="shared" si="73"/>
        <v>0.16666666666666666</v>
      </c>
      <c r="K778" s="35" t="str">
        <f t="shared" si="64"/>
        <v>20%</v>
      </c>
      <c r="M778" s="30">
        <f t="shared" si="65"/>
        <v>0.2</v>
      </c>
      <c r="N778" s="34">
        <f>VLOOKUP(A778, 'Stock Register'!A:F, 6, FALSE)</f>
        <v>0</v>
      </c>
    </row>
    <row r="779" spans="1:14" ht="30" hidden="1" x14ac:dyDescent="0.25">
      <c r="A779" s="205" t="s">
        <v>1122</v>
      </c>
      <c r="D779" s="29">
        <f>SUMIF('Purchase Register'!C:C, A779, 'Purchase Register'!G:G)</f>
        <v>85</v>
      </c>
      <c r="E779" s="190">
        <v>90</v>
      </c>
      <c r="F779" s="60">
        <f>SUMIF('Sales Register'!C:C, A779, 'Sales Register'!D:D)</f>
        <v>5</v>
      </c>
      <c r="G779" s="60">
        <f t="shared" si="70"/>
        <v>450</v>
      </c>
      <c r="H779" s="60">
        <f t="shared" si="71"/>
        <v>425</v>
      </c>
      <c r="I779" s="60">
        <f t="shared" si="72"/>
        <v>25</v>
      </c>
      <c r="J779" s="60">
        <f t="shared" si="73"/>
        <v>5.5555555555555552E-2</v>
      </c>
      <c r="K779" s="35" t="str">
        <f t="shared" si="64"/>
        <v>5%</v>
      </c>
      <c r="M779" s="30">
        <f t="shared" si="65"/>
        <v>5.8823529411764705E-2</v>
      </c>
      <c r="N779" s="34">
        <f>VLOOKUP(A779, 'Stock Register'!A:F, 6, FALSE)</f>
        <v>-2</v>
      </c>
    </row>
    <row r="780" spans="1:14" ht="30" hidden="1" x14ac:dyDescent="0.25">
      <c r="A780" s="205" t="s">
        <v>1150</v>
      </c>
      <c r="D780" s="29">
        <f>SUMIF('Purchase Register'!C:C, A780, 'Purchase Register'!G:G)</f>
        <v>100</v>
      </c>
      <c r="E780" s="190">
        <v>120</v>
      </c>
      <c r="F780" s="60">
        <f>SUMIF('Sales Register'!C:C, A780, 'Sales Register'!D:D)</f>
        <v>0.87500000000000011</v>
      </c>
      <c r="G780" s="60">
        <f t="shared" si="70"/>
        <v>105.00000000000001</v>
      </c>
      <c r="H780" s="60">
        <f t="shared" si="71"/>
        <v>87.500000000000014</v>
      </c>
      <c r="I780" s="60">
        <f t="shared" si="72"/>
        <v>17.5</v>
      </c>
      <c r="J780" s="60">
        <f t="shared" si="73"/>
        <v>0.16666666666666666</v>
      </c>
      <c r="K780" s="35" t="str">
        <f t="shared" si="64"/>
        <v>20%</v>
      </c>
      <c r="M780" s="30">
        <f t="shared" si="65"/>
        <v>0.2</v>
      </c>
      <c r="N780" s="34">
        <f>VLOOKUP(A780, 'Stock Register'!A:F, 6, FALSE)</f>
        <v>0.12499999999999989</v>
      </c>
    </row>
    <row r="781" spans="1:14" hidden="1" x14ac:dyDescent="0.25">
      <c r="A781" s="205" t="s">
        <v>1124</v>
      </c>
      <c r="D781" s="29">
        <f>SUMIF('Purchase Register'!C:C, A781, 'Purchase Register'!G:G)</f>
        <v>9.8181818181818183</v>
      </c>
      <c r="E781" s="190">
        <v>10</v>
      </c>
      <c r="F781" s="60">
        <f>SUMIF('Sales Register'!C:C, A781, 'Sales Register'!D:D)</f>
        <v>13</v>
      </c>
      <c r="G781" s="60">
        <f t="shared" si="70"/>
        <v>130</v>
      </c>
      <c r="H781" s="60">
        <f t="shared" si="71"/>
        <v>127.63636363636364</v>
      </c>
      <c r="I781" s="60">
        <f t="shared" si="72"/>
        <v>2.3636363636363598</v>
      </c>
      <c r="J781" s="60">
        <f t="shared" si="73"/>
        <v>1.8181818181818153E-2</v>
      </c>
      <c r="K781" s="35" t="str">
        <f t="shared" si="64"/>
        <v>1%</v>
      </c>
      <c r="M781" s="30">
        <f t="shared" si="65"/>
        <v>1.85185185185185E-2</v>
      </c>
      <c r="N781" s="34">
        <f>VLOOKUP(A781, 'Stock Register'!A:F, 6, FALSE)</f>
        <v>-2</v>
      </c>
    </row>
    <row r="782" spans="1:14" ht="30" hidden="1" x14ac:dyDescent="0.25">
      <c r="A782" s="205" t="s">
        <v>1125</v>
      </c>
      <c r="D782" s="29">
        <f>SUMIF('Purchase Register'!C:C, A782, 'Purchase Register'!G:G)</f>
        <v>40</v>
      </c>
      <c r="E782" s="190">
        <v>50</v>
      </c>
      <c r="F782" s="60">
        <f>SUMIF('Sales Register'!C:C, A782, 'Sales Register'!D:D)</f>
        <v>4</v>
      </c>
      <c r="G782" s="60">
        <f t="shared" si="70"/>
        <v>200</v>
      </c>
      <c r="H782" s="60">
        <f t="shared" si="71"/>
        <v>160</v>
      </c>
      <c r="I782" s="60">
        <f t="shared" si="72"/>
        <v>40</v>
      </c>
      <c r="J782" s="60">
        <f t="shared" si="73"/>
        <v>0.2</v>
      </c>
      <c r="K782" s="35" t="str">
        <f t="shared" si="64"/>
        <v>25%</v>
      </c>
      <c r="M782" s="30">
        <f t="shared" si="65"/>
        <v>0.25</v>
      </c>
      <c r="N782" s="34">
        <f>VLOOKUP(A782, 'Stock Register'!A:F, 6, FALSE)</f>
        <v>8</v>
      </c>
    </row>
    <row r="783" spans="1:14" hidden="1" x14ac:dyDescent="0.25">
      <c r="A783" s="205" t="s">
        <v>1126</v>
      </c>
      <c r="D783" s="29">
        <f>SUMIF('Purchase Register'!C:C, A783, 'Purchase Register'!G:G)</f>
        <v>8.3333333333333339</v>
      </c>
      <c r="E783" s="190">
        <v>10</v>
      </c>
      <c r="F783" s="60">
        <f>SUMIF('Sales Register'!C:C, A783, 'Sales Register'!D:D)</f>
        <v>9</v>
      </c>
      <c r="G783" s="60">
        <f t="shared" si="70"/>
        <v>90</v>
      </c>
      <c r="H783" s="60">
        <f t="shared" si="71"/>
        <v>75</v>
      </c>
      <c r="I783" s="60">
        <f t="shared" si="72"/>
        <v>15</v>
      </c>
      <c r="J783" s="60">
        <f t="shared" si="73"/>
        <v>0.16666666666666666</v>
      </c>
      <c r="K783" s="35" t="str">
        <f t="shared" si="64"/>
        <v>20%</v>
      </c>
      <c r="M783" s="30">
        <f t="shared" si="65"/>
        <v>0.19999999999999993</v>
      </c>
      <c r="N783" s="34">
        <f>VLOOKUP(A783, 'Stock Register'!A:F, 6, FALSE)</f>
        <v>3</v>
      </c>
    </row>
    <row r="784" spans="1:14" hidden="1" x14ac:dyDescent="0.25">
      <c r="A784" s="205" t="s">
        <v>1127</v>
      </c>
      <c r="D784" s="29">
        <f>SUMIF('Purchase Register'!C:C, A784, 'Purchase Register'!G:G)</f>
        <v>9</v>
      </c>
      <c r="E784" s="190">
        <v>10</v>
      </c>
      <c r="F784" s="60">
        <f>SUMIF('Sales Register'!C:C, A784, 'Sales Register'!D:D)</f>
        <v>22</v>
      </c>
      <c r="G784" s="60">
        <f t="shared" si="70"/>
        <v>220</v>
      </c>
      <c r="H784" s="60">
        <f t="shared" si="71"/>
        <v>198</v>
      </c>
      <c r="I784" s="60">
        <f t="shared" si="72"/>
        <v>22</v>
      </c>
      <c r="J784" s="60">
        <f t="shared" si="73"/>
        <v>0.1</v>
      </c>
      <c r="K784" s="35" t="str">
        <f t="shared" si="64"/>
        <v>11%</v>
      </c>
      <c r="M784" s="30">
        <f t="shared" si="65"/>
        <v>0.1111111111111111</v>
      </c>
      <c r="N784" s="34">
        <f>VLOOKUP(A784, 'Stock Register'!A:F, 6, FALSE)</f>
        <v>23</v>
      </c>
    </row>
    <row r="785" spans="1:14" hidden="1" x14ac:dyDescent="0.25">
      <c r="A785" s="205" t="s">
        <v>1128</v>
      </c>
      <c r="D785" s="29">
        <f>SUMIF('Purchase Register'!C:C, A785, 'Purchase Register'!G:G)</f>
        <v>27</v>
      </c>
      <c r="E785" s="190">
        <v>35</v>
      </c>
      <c r="F785" s="60">
        <f>SUMIF('Sales Register'!C:C, A785, 'Sales Register'!D:D)</f>
        <v>1</v>
      </c>
      <c r="G785" s="60">
        <f t="shared" si="70"/>
        <v>35</v>
      </c>
      <c r="H785" s="60">
        <f t="shared" si="71"/>
        <v>27</v>
      </c>
      <c r="I785" s="60">
        <f t="shared" si="72"/>
        <v>8</v>
      </c>
      <c r="J785" s="60">
        <f t="shared" si="73"/>
        <v>0.22857142857142856</v>
      </c>
      <c r="K785" s="35" t="str">
        <f t="shared" si="64"/>
        <v>29%</v>
      </c>
      <c r="M785" s="30">
        <f t="shared" si="65"/>
        <v>0.29629629629629628</v>
      </c>
      <c r="N785" s="34">
        <f>VLOOKUP(A785, 'Stock Register'!A:F, 6, FALSE)</f>
        <v>9</v>
      </c>
    </row>
    <row r="786" spans="1:14" ht="30" hidden="1" x14ac:dyDescent="0.25">
      <c r="A786" s="205" t="s">
        <v>1129</v>
      </c>
      <c r="D786" s="29">
        <f>SUMIF('Purchase Register'!C:C, A786, 'Purchase Register'!G:G)</f>
        <v>20</v>
      </c>
      <c r="E786" s="190">
        <v>40</v>
      </c>
      <c r="F786" s="60">
        <f>SUMIF('Sales Register'!C:C, A786, 'Sales Register'!D:D)</f>
        <v>6</v>
      </c>
      <c r="G786" s="60">
        <f t="shared" si="70"/>
        <v>240</v>
      </c>
      <c r="H786" s="60">
        <f t="shared" si="71"/>
        <v>120</v>
      </c>
      <c r="I786" s="60">
        <f t="shared" si="72"/>
        <v>120</v>
      </c>
      <c r="J786" s="60">
        <f t="shared" si="73"/>
        <v>0.5</v>
      </c>
      <c r="K786" s="35" t="str">
        <f t="shared" si="64"/>
        <v>100% or More</v>
      </c>
      <c r="M786" s="30">
        <f t="shared" si="65"/>
        <v>1</v>
      </c>
      <c r="N786" s="34">
        <f>VLOOKUP(A786, 'Stock Register'!A:F, 6, FALSE)</f>
        <v>0</v>
      </c>
    </row>
    <row r="787" spans="1:14" ht="30" hidden="1" x14ac:dyDescent="0.25">
      <c r="A787" s="205" t="s">
        <v>1130</v>
      </c>
      <c r="D787" s="29">
        <f>SUMIF('Purchase Register'!C:C, A787, 'Purchase Register'!G:G)</f>
        <v>98</v>
      </c>
      <c r="E787" s="190">
        <v>105</v>
      </c>
      <c r="F787" s="60">
        <f>SUMIF('Sales Register'!C:C, A787, 'Sales Register'!D:D)</f>
        <v>6</v>
      </c>
      <c r="G787" s="60">
        <f t="shared" si="70"/>
        <v>630</v>
      </c>
      <c r="H787" s="60">
        <f t="shared" si="71"/>
        <v>588</v>
      </c>
      <c r="I787" s="60">
        <f t="shared" si="72"/>
        <v>42</v>
      </c>
      <c r="J787" s="60">
        <f t="shared" si="73"/>
        <v>6.6666666666666666E-2</v>
      </c>
      <c r="K787" s="35" t="str">
        <f t="shared" si="64"/>
        <v>7%</v>
      </c>
      <c r="M787" s="30">
        <f t="shared" si="65"/>
        <v>7.1428571428571425E-2</v>
      </c>
      <c r="N787" s="34">
        <f>VLOOKUP(A787, 'Stock Register'!A:F, 6, FALSE)</f>
        <v>0</v>
      </c>
    </row>
    <row r="788" spans="1:14" hidden="1" x14ac:dyDescent="0.25">
      <c r="A788" s="205">
        <v>5</v>
      </c>
      <c r="D788" s="29">
        <f>SUMIF('Purchase Register'!C:C, A788, 'Purchase Register'!G:G)</f>
        <v>0</v>
      </c>
      <c r="E788" s="190">
        <v>5</v>
      </c>
      <c r="F788" s="60">
        <f>SUMIF('Sales Register'!C:C, A788, 'Sales Register'!D:D)</f>
        <v>0</v>
      </c>
      <c r="G788" s="60">
        <f t="shared" si="70"/>
        <v>0</v>
      </c>
      <c r="H788" s="60">
        <f t="shared" si="71"/>
        <v>0</v>
      </c>
      <c r="I788" s="60">
        <f t="shared" si="72"/>
        <v>0</v>
      </c>
      <c r="J788" s="60">
        <f t="shared" si="73"/>
        <v>0</v>
      </c>
      <c r="K788" s="35" t="e">
        <f t="shared" si="64"/>
        <v>#DIV/0!</v>
      </c>
      <c r="M788" s="30">
        <f t="shared" si="65"/>
        <v>0</v>
      </c>
      <c r="N788" s="34" t="e">
        <f>VLOOKUP(A788, 'Stock Register'!A:F, 6, FALSE)</f>
        <v>#N/A</v>
      </c>
    </row>
    <row r="789" spans="1:14" ht="30" hidden="1" x14ac:dyDescent="0.25">
      <c r="A789" s="205" t="s">
        <v>1132</v>
      </c>
      <c r="D789" s="29">
        <f>SUMIF('Purchase Register'!C:C, A789, 'Purchase Register'!G:G)</f>
        <v>55</v>
      </c>
      <c r="E789" s="190">
        <v>60</v>
      </c>
      <c r="F789" s="60">
        <f>SUMIF('Sales Register'!C:C, A789, 'Sales Register'!D:D)</f>
        <v>5</v>
      </c>
      <c r="G789" s="60">
        <f t="shared" si="70"/>
        <v>300</v>
      </c>
      <c r="H789" s="60">
        <f t="shared" si="71"/>
        <v>275</v>
      </c>
      <c r="I789" s="60">
        <f t="shared" si="72"/>
        <v>25</v>
      </c>
      <c r="J789" s="60">
        <f t="shared" si="73"/>
        <v>8.3333333333333329E-2</v>
      </c>
      <c r="K789" s="35" t="str">
        <f t="shared" si="64"/>
        <v>9%</v>
      </c>
      <c r="M789" s="30">
        <f t="shared" si="65"/>
        <v>9.0909090909090912E-2</v>
      </c>
      <c r="N789" s="34">
        <f>VLOOKUP(A789, 'Stock Register'!A:F, 6, FALSE)</f>
        <v>-1</v>
      </c>
    </row>
    <row r="790" spans="1:14" ht="30" hidden="1" x14ac:dyDescent="0.25">
      <c r="A790" s="205" t="s">
        <v>1133</v>
      </c>
      <c r="D790" s="29">
        <f>SUMIF('Purchase Register'!C:C, A790, 'Purchase Register'!G:G)</f>
        <v>18.5</v>
      </c>
      <c r="E790" s="190">
        <v>20</v>
      </c>
      <c r="F790" s="60">
        <f>SUMIF('Sales Register'!C:C, A790, 'Sales Register'!D:D)</f>
        <v>10</v>
      </c>
      <c r="G790" s="60">
        <f t="shared" si="70"/>
        <v>200</v>
      </c>
      <c r="H790" s="60">
        <f t="shared" si="71"/>
        <v>185</v>
      </c>
      <c r="I790" s="60">
        <f t="shared" si="72"/>
        <v>15</v>
      </c>
      <c r="J790" s="60">
        <f t="shared" si="73"/>
        <v>7.4999999999999997E-2</v>
      </c>
      <c r="K790" s="35" t="str">
        <f t="shared" si="64"/>
        <v>8%</v>
      </c>
      <c r="M790" s="30">
        <f t="shared" si="65"/>
        <v>8.1081081081081086E-2</v>
      </c>
      <c r="N790" s="34">
        <f>VLOOKUP(A790, 'Stock Register'!A:F, 6, FALSE)</f>
        <v>0</v>
      </c>
    </row>
    <row r="791" spans="1:14" ht="30" hidden="1" x14ac:dyDescent="0.25">
      <c r="A791" s="205" t="s">
        <v>1148</v>
      </c>
      <c r="D791" s="29">
        <f>SUMIF('Purchase Register'!C:C, A791, 'Purchase Register'!G:G)</f>
        <v>9</v>
      </c>
      <c r="E791" s="190">
        <v>10</v>
      </c>
      <c r="F791" s="60">
        <f>SUMIF('Sales Register'!C:C, A791, 'Sales Register'!D:D)</f>
        <v>10</v>
      </c>
      <c r="G791" s="60">
        <f t="shared" si="70"/>
        <v>100</v>
      </c>
      <c r="H791" s="60">
        <f t="shared" si="71"/>
        <v>90</v>
      </c>
      <c r="I791" s="60">
        <f t="shared" si="72"/>
        <v>10</v>
      </c>
      <c r="J791" s="60">
        <f t="shared" si="73"/>
        <v>0.1</v>
      </c>
      <c r="K791" s="35" t="str">
        <f t="shared" si="64"/>
        <v>11%</v>
      </c>
      <c r="M791" s="30">
        <f t="shared" si="65"/>
        <v>0.1111111111111111</v>
      </c>
      <c r="N791" s="34">
        <f>VLOOKUP(A791, 'Stock Register'!A:F, 6, FALSE)</f>
        <v>0</v>
      </c>
    </row>
    <row r="792" spans="1:14" ht="30" hidden="1" x14ac:dyDescent="0.25">
      <c r="A792" s="205" t="s">
        <v>1134</v>
      </c>
      <c r="D792" s="29">
        <f>SUMIF('Purchase Register'!C:C, A792, 'Purchase Register'!G:G)</f>
        <v>37.666666666666664</v>
      </c>
      <c r="E792" s="190">
        <v>40</v>
      </c>
      <c r="F792" s="60">
        <f>SUMIF('Sales Register'!C:C, A792, 'Sales Register'!D:D)</f>
        <v>3</v>
      </c>
      <c r="G792" s="60">
        <f t="shared" si="70"/>
        <v>120</v>
      </c>
      <c r="H792" s="60">
        <f t="shared" si="71"/>
        <v>113</v>
      </c>
      <c r="I792" s="60">
        <f t="shared" si="72"/>
        <v>7</v>
      </c>
      <c r="J792" s="60">
        <f t="shared" si="73"/>
        <v>5.8333333333333334E-2</v>
      </c>
      <c r="K792" s="35" t="str">
        <f t="shared" si="64"/>
        <v>6%</v>
      </c>
      <c r="M792" s="30">
        <f t="shared" si="65"/>
        <v>6.1946902654867325E-2</v>
      </c>
      <c r="N792" s="34">
        <f>VLOOKUP(A792, 'Stock Register'!A:F, 6, FALSE)</f>
        <v>0</v>
      </c>
    </row>
    <row r="793" spans="1:14" hidden="1" x14ac:dyDescent="0.25">
      <c r="A793" s="205" t="s">
        <v>1149</v>
      </c>
      <c r="D793" s="29">
        <f>SUMIF('Purchase Register'!C:C, A793, 'Purchase Register'!G:G)</f>
        <v>27</v>
      </c>
      <c r="E793" s="190">
        <v>30</v>
      </c>
      <c r="F793" s="60">
        <f>SUMIF('Sales Register'!C:C, A793, 'Sales Register'!D:D)</f>
        <v>2</v>
      </c>
      <c r="G793" s="60">
        <f t="shared" si="70"/>
        <v>60</v>
      </c>
      <c r="H793" s="60">
        <f t="shared" si="71"/>
        <v>54</v>
      </c>
      <c r="I793" s="60">
        <f t="shared" si="72"/>
        <v>6</v>
      </c>
      <c r="J793" s="60">
        <f t="shared" si="73"/>
        <v>0.1</v>
      </c>
      <c r="K793" s="35" t="str">
        <f t="shared" si="64"/>
        <v>11%</v>
      </c>
      <c r="M793" s="30">
        <f t="shared" si="65"/>
        <v>0.1111111111111111</v>
      </c>
      <c r="N793" s="34">
        <f>VLOOKUP(A793, 'Stock Register'!A:F, 6, FALSE)</f>
        <v>1</v>
      </c>
    </row>
    <row r="794" spans="1:14" ht="30" hidden="1" x14ac:dyDescent="0.25">
      <c r="A794" s="205" t="s">
        <v>1135</v>
      </c>
      <c r="D794" s="29">
        <f>SUMIF('Purchase Register'!C:C, A794, 'Purchase Register'!G:G)</f>
        <v>9.1666666666666661</v>
      </c>
      <c r="E794" s="190">
        <v>10</v>
      </c>
      <c r="F794" s="60">
        <f>SUMIF('Sales Register'!C:C, A794, 'Sales Register'!D:D)</f>
        <v>4</v>
      </c>
      <c r="G794" s="60">
        <f t="shared" si="70"/>
        <v>40</v>
      </c>
      <c r="H794" s="60">
        <f t="shared" si="71"/>
        <v>36.666666666666664</v>
      </c>
      <c r="I794" s="60">
        <f t="shared" si="72"/>
        <v>3.3333333333333357</v>
      </c>
      <c r="J794" s="60">
        <f t="shared" si="73"/>
        <v>8.3333333333333398E-2</v>
      </c>
      <c r="K794" s="35" t="str">
        <f t="shared" si="64"/>
        <v>9%</v>
      </c>
      <c r="M794" s="30">
        <f t="shared" si="65"/>
        <v>9.0909090909090981E-2</v>
      </c>
      <c r="N794" s="34">
        <f>VLOOKUP(A794, 'Stock Register'!A:F, 6, FALSE)</f>
        <v>2</v>
      </c>
    </row>
    <row r="795" spans="1:14" hidden="1" x14ac:dyDescent="0.25">
      <c r="A795" s="205" t="s">
        <v>1136</v>
      </c>
      <c r="D795" s="29">
        <f>SUMIF('Purchase Register'!C:C, A795, 'Purchase Register'!G:G)</f>
        <v>9.1666666666666661</v>
      </c>
      <c r="E795" s="190">
        <v>10</v>
      </c>
      <c r="F795" s="60">
        <f>SUMIF('Sales Register'!C:C, A795, 'Sales Register'!D:D)</f>
        <v>5</v>
      </c>
      <c r="G795" s="60">
        <f t="shared" si="70"/>
        <v>50</v>
      </c>
      <c r="H795" s="60">
        <f t="shared" si="71"/>
        <v>45.833333333333329</v>
      </c>
      <c r="I795" s="60">
        <f t="shared" si="72"/>
        <v>4.1666666666666714</v>
      </c>
      <c r="J795" s="60">
        <f t="shared" si="73"/>
        <v>8.3333333333333426E-2</v>
      </c>
      <c r="K795" s="35" t="str">
        <f t="shared" si="64"/>
        <v>9%</v>
      </c>
      <c r="M795" s="30">
        <f t="shared" si="65"/>
        <v>9.0909090909090981E-2</v>
      </c>
      <c r="N795" s="34">
        <f>VLOOKUP(A795, 'Stock Register'!A:F, 6, FALSE)</f>
        <v>1</v>
      </c>
    </row>
    <row r="796" spans="1:14" hidden="1" x14ac:dyDescent="0.25">
      <c r="A796" s="205" t="s">
        <v>1137</v>
      </c>
      <c r="D796" s="29">
        <f>SUMIF('Purchase Register'!C:C, A796, 'Purchase Register'!G:G)</f>
        <v>37</v>
      </c>
      <c r="E796" s="190">
        <v>40</v>
      </c>
      <c r="F796" s="60">
        <f>SUMIF('Sales Register'!C:C, A796, 'Sales Register'!D:D)</f>
        <v>5</v>
      </c>
      <c r="G796" s="60">
        <f t="shared" si="70"/>
        <v>200</v>
      </c>
      <c r="H796" s="60">
        <f t="shared" si="71"/>
        <v>185</v>
      </c>
      <c r="I796" s="60">
        <f t="shared" si="72"/>
        <v>15</v>
      </c>
      <c r="J796" s="60">
        <f t="shared" si="73"/>
        <v>7.4999999999999997E-2</v>
      </c>
      <c r="K796" s="35" t="str">
        <f t="shared" si="64"/>
        <v>8%</v>
      </c>
      <c r="M796" s="30">
        <f t="shared" si="65"/>
        <v>8.1081081081081086E-2</v>
      </c>
      <c r="N796" s="34">
        <f>VLOOKUP(A796, 'Stock Register'!A:F, 6, FALSE)</f>
        <v>1</v>
      </c>
    </row>
    <row r="797" spans="1:14" hidden="1" x14ac:dyDescent="0.25">
      <c r="A797" s="205" t="s">
        <v>1138</v>
      </c>
      <c r="D797" s="29">
        <f>SUMIF('Purchase Register'!C:C, A797, 'Purchase Register'!G:G)</f>
        <v>4.6875</v>
      </c>
      <c r="E797" s="190">
        <v>5</v>
      </c>
      <c r="F797" s="60">
        <f>SUMIF('Sales Register'!C:C, A797, 'Sales Register'!D:D)</f>
        <v>15</v>
      </c>
      <c r="G797" s="60">
        <f t="shared" si="70"/>
        <v>75</v>
      </c>
      <c r="H797" s="60">
        <f t="shared" si="71"/>
        <v>70.3125</v>
      </c>
      <c r="I797" s="60">
        <f t="shared" si="72"/>
        <v>4.6875</v>
      </c>
      <c r="J797" s="60">
        <f t="shared" si="73"/>
        <v>6.25E-2</v>
      </c>
      <c r="K797" s="35" t="str">
        <f t="shared" si="64"/>
        <v>6%</v>
      </c>
      <c r="M797" s="30">
        <f t="shared" si="65"/>
        <v>6.6666666666666666E-2</v>
      </c>
      <c r="N797" s="34">
        <f>VLOOKUP(A797, 'Stock Register'!A:F, 6, FALSE)</f>
        <v>17</v>
      </c>
    </row>
    <row r="798" spans="1:14" hidden="1" x14ac:dyDescent="0.25">
      <c r="A798" s="205" t="s">
        <v>1139</v>
      </c>
      <c r="D798" s="29">
        <f>SUMIF('Purchase Register'!C:C, A798, 'Purchase Register'!G:G)</f>
        <v>4.583333333333333</v>
      </c>
      <c r="E798" s="190">
        <v>5</v>
      </c>
      <c r="F798" s="60">
        <f>SUMIF('Sales Register'!C:C, A798, 'Sales Register'!D:D)</f>
        <v>20</v>
      </c>
      <c r="G798" s="60">
        <f t="shared" si="70"/>
        <v>100</v>
      </c>
      <c r="H798" s="60">
        <f t="shared" si="71"/>
        <v>91.666666666666657</v>
      </c>
      <c r="I798" s="60">
        <f t="shared" si="72"/>
        <v>8.3333333333333428</v>
      </c>
      <c r="J798" s="60">
        <f t="shared" si="73"/>
        <v>8.3333333333333426E-2</v>
      </c>
      <c r="K798" s="35" t="str">
        <f t="shared" si="64"/>
        <v>9%</v>
      </c>
      <c r="M798" s="30">
        <f t="shared" si="65"/>
        <v>9.0909090909090981E-2</v>
      </c>
      <c r="N798" s="34">
        <f>VLOOKUP(A798, 'Stock Register'!A:F, 6, FALSE)</f>
        <v>4</v>
      </c>
    </row>
    <row r="799" spans="1:14" hidden="1" x14ac:dyDescent="0.25">
      <c r="A799" s="205" t="s">
        <v>1140</v>
      </c>
      <c r="D799" s="29">
        <f>SUMIF('Purchase Register'!C:C, A799, 'Purchase Register'!G:G)</f>
        <v>4.666666666666667</v>
      </c>
      <c r="E799" s="190">
        <v>5</v>
      </c>
      <c r="F799" s="60">
        <f>SUMIF('Sales Register'!C:C, A799, 'Sales Register'!D:D)</f>
        <v>21</v>
      </c>
      <c r="G799" s="60">
        <f t="shared" si="70"/>
        <v>105</v>
      </c>
      <c r="H799" s="60">
        <f t="shared" si="71"/>
        <v>98</v>
      </c>
      <c r="I799" s="60">
        <f t="shared" si="72"/>
        <v>7</v>
      </c>
      <c r="J799" s="60">
        <f t="shared" si="73"/>
        <v>6.6666666666666666E-2</v>
      </c>
      <c r="K799" s="35" t="str">
        <f t="shared" si="64"/>
        <v>7%</v>
      </c>
      <c r="M799" s="30">
        <f t="shared" si="65"/>
        <v>7.1428571428571355E-2</v>
      </c>
      <c r="N799" s="34">
        <f>VLOOKUP(A799, 'Stock Register'!A:F, 6, FALSE)</f>
        <v>3</v>
      </c>
    </row>
    <row r="800" spans="1:14" s="75" customFormat="1" hidden="1" x14ac:dyDescent="0.25">
      <c r="A800" s="204" t="s">
        <v>1141</v>
      </c>
      <c r="B800" s="71"/>
      <c r="C800" s="71"/>
      <c r="D800" s="72">
        <f>SUMIF('Purchase Register'!C:C, A800, 'Purchase Register'!G:G)</f>
        <v>9.1666666666666661</v>
      </c>
      <c r="E800" s="191">
        <v>10</v>
      </c>
      <c r="F800" s="74">
        <f>SUMIF('Sales Register'!C:C, A800, 'Sales Register'!D:D)</f>
        <v>34</v>
      </c>
      <c r="G800" s="74">
        <f t="shared" si="70"/>
        <v>340</v>
      </c>
      <c r="H800" s="74">
        <f t="shared" si="71"/>
        <v>311.66666666666663</v>
      </c>
      <c r="I800" s="74">
        <f t="shared" si="72"/>
        <v>28.333333333333371</v>
      </c>
      <c r="J800" s="74">
        <f t="shared" si="73"/>
        <v>8.333333333333344E-2</v>
      </c>
      <c r="K800" s="134" t="str">
        <f t="shared" si="64"/>
        <v>9%</v>
      </c>
      <c r="L800" s="73"/>
      <c r="M800" s="99">
        <f t="shared" si="65"/>
        <v>9.0909090909090981E-2</v>
      </c>
      <c r="N800" s="73">
        <f>VLOOKUP(A800, 'Stock Register'!A:F, 6, FALSE)</f>
        <v>-22</v>
      </c>
    </row>
    <row r="801" spans="1:14" hidden="1" x14ac:dyDescent="0.25">
      <c r="A801" s="205" t="s">
        <v>1142</v>
      </c>
      <c r="D801" s="29">
        <f>SUMIF('Purchase Register'!C:C, A801, 'Purchase Register'!G:G)</f>
        <v>4.583333333333333</v>
      </c>
      <c r="E801" s="190">
        <v>5</v>
      </c>
      <c r="F801" s="60">
        <f>SUMIF('Sales Register'!C:C, A801, 'Sales Register'!D:D)</f>
        <v>24</v>
      </c>
      <c r="G801" s="60">
        <f t="shared" si="70"/>
        <v>120</v>
      </c>
      <c r="H801" s="60">
        <f t="shared" si="71"/>
        <v>110</v>
      </c>
      <c r="I801" s="60">
        <f t="shared" si="72"/>
        <v>10</v>
      </c>
      <c r="J801" s="60">
        <f t="shared" si="73"/>
        <v>8.3333333333333329E-2</v>
      </c>
      <c r="K801" s="35" t="str">
        <f t="shared" si="64"/>
        <v>9%</v>
      </c>
      <c r="M801" s="30">
        <f t="shared" si="65"/>
        <v>9.0909090909090981E-2</v>
      </c>
      <c r="N801" s="34">
        <f>VLOOKUP(A801, 'Stock Register'!A:F, 6, FALSE)</f>
        <v>0</v>
      </c>
    </row>
    <row r="802" spans="1:14" hidden="1" x14ac:dyDescent="0.25">
      <c r="A802" s="205" t="s">
        <v>1143</v>
      </c>
      <c r="D802" s="29">
        <f>SUMIF('Purchase Register'!C:C, A802, 'Purchase Register'!G:G)</f>
        <v>4.583333333333333</v>
      </c>
      <c r="E802" s="190">
        <v>5</v>
      </c>
      <c r="F802" s="60">
        <f>SUMIF('Sales Register'!C:C, A802, 'Sales Register'!D:D)</f>
        <v>2</v>
      </c>
      <c r="G802" s="60">
        <f t="shared" si="70"/>
        <v>10</v>
      </c>
      <c r="H802" s="60">
        <f t="shared" si="71"/>
        <v>9.1666666666666661</v>
      </c>
      <c r="I802" s="60">
        <f t="shared" si="72"/>
        <v>0.83333333333333393</v>
      </c>
      <c r="J802" s="60">
        <f t="shared" si="73"/>
        <v>8.3333333333333398E-2</v>
      </c>
      <c r="K802" s="35" t="str">
        <f t="shared" si="64"/>
        <v>9%</v>
      </c>
      <c r="M802" s="30">
        <f t="shared" si="65"/>
        <v>9.0909090909090981E-2</v>
      </c>
      <c r="N802" s="34">
        <f>VLOOKUP(A802, 'Stock Register'!A:F, 6, FALSE)</f>
        <v>10</v>
      </c>
    </row>
    <row r="803" spans="1:14" ht="30" hidden="1" x14ac:dyDescent="0.25">
      <c r="A803" s="205" t="s">
        <v>1144</v>
      </c>
      <c r="D803" s="29">
        <f>SUMIF('Purchase Register'!C:C, A803, 'Purchase Register'!G:G)</f>
        <v>4.583333333333333</v>
      </c>
      <c r="E803" s="190">
        <v>5</v>
      </c>
      <c r="F803" s="60">
        <f>SUMIF('Sales Register'!C:C, A803, 'Sales Register'!D:D)</f>
        <v>10</v>
      </c>
      <c r="G803" s="60">
        <f t="shared" si="70"/>
        <v>50</v>
      </c>
      <c r="H803" s="60">
        <f t="shared" si="71"/>
        <v>45.833333333333329</v>
      </c>
      <c r="I803" s="60">
        <f t="shared" si="72"/>
        <v>4.1666666666666714</v>
      </c>
      <c r="J803" s="60">
        <f t="shared" si="73"/>
        <v>8.3333333333333426E-2</v>
      </c>
      <c r="K803" s="35" t="str">
        <f t="shared" si="64"/>
        <v>9%</v>
      </c>
      <c r="M803" s="30">
        <f t="shared" si="65"/>
        <v>9.0909090909090981E-2</v>
      </c>
      <c r="N803" s="34">
        <f>VLOOKUP(A803, 'Stock Register'!A:F, 6, FALSE)</f>
        <v>2</v>
      </c>
    </row>
    <row r="804" spans="1:14" hidden="1" x14ac:dyDescent="0.25">
      <c r="A804" s="205" t="s">
        <v>1145</v>
      </c>
      <c r="D804" s="29">
        <f>SUMIF('Purchase Register'!C:C, A804, 'Purchase Register'!G:G)</f>
        <v>9</v>
      </c>
      <c r="E804" s="190">
        <v>10</v>
      </c>
      <c r="F804" s="60">
        <f>SUMIF('Sales Register'!C:C, A804, 'Sales Register'!D:D)</f>
        <v>2</v>
      </c>
      <c r="G804" s="60">
        <f t="shared" si="70"/>
        <v>20</v>
      </c>
      <c r="H804" s="60">
        <f t="shared" si="71"/>
        <v>18</v>
      </c>
      <c r="I804" s="60">
        <f t="shared" si="72"/>
        <v>2</v>
      </c>
      <c r="J804" s="60">
        <f t="shared" si="73"/>
        <v>0.1</v>
      </c>
      <c r="K804" s="35" t="str">
        <f t="shared" si="64"/>
        <v>11%</v>
      </c>
      <c r="M804" s="30">
        <f t="shared" si="65"/>
        <v>0.1111111111111111</v>
      </c>
      <c r="N804" s="34">
        <f>VLOOKUP(A804, 'Stock Register'!A:F, 6, FALSE)</f>
        <v>8</v>
      </c>
    </row>
    <row r="805" spans="1:14" ht="30" x14ac:dyDescent="0.25">
      <c r="A805" s="205" t="s">
        <v>1146</v>
      </c>
      <c r="D805" s="29">
        <f>SUMIF('Purchase Register'!C:C, A805, 'Purchase Register'!G:G)</f>
        <v>9.1666666666666661</v>
      </c>
      <c r="E805" s="190">
        <v>10</v>
      </c>
      <c r="F805" s="60">
        <f>SUMIF('Sales Register'!C:C, A805, 'Sales Register'!D:D)</f>
        <v>9</v>
      </c>
      <c r="G805" s="60">
        <f t="shared" si="70"/>
        <v>90</v>
      </c>
      <c r="H805" s="60">
        <f t="shared" si="71"/>
        <v>82.5</v>
      </c>
      <c r="I805" s="60">
        <f t="shared" si="72"/>
        <v>7.5</v>
      </c>
      <c r="J805" s="60">
        <f t="shared" si="73"/>
        <v>8.3333333333333329E-2</v>
      </c>
      <c r="K805" s="35" t="str">
        <f t="shared" si="64"/>
        <v>9%</v>
      </c>
      <c r="M805" s="30">
        <f t="shared" si="65"/>
        <v>9.0909090909090981E-2</v>
      </c>
      <c r="N805" s="34">
        <f>VLOOKUP(A805, 'Stock Register'!A:F, 6, FALSE)</f>
        <v>3</v>
      </c>
    </row>
    <row r="806" spans="1:14" hidden="1" x14ac:dyDescent="0.25">
      <c r="A806" s="205" t="s">
        <v>1147</v>
      </c>
      <c r="D806" s="29">
        <f>SUMIF('Purchase Register'!C:C, A806, 'Purchase Register'!G:G)</f>
        <v>9.1666666666666661</v>
      </c>
      <c r="E806" s="190">
        <v>10</v>
      </c>
      <c r="F806" s="60">
        <f>SUMIF('Sales Register'!C:C, A806, 'Sales Register'!D:D)</f>
        <v>12</v>
      </c>
      <c r="G806" s="60">
        <f t="shared" si="70"/>
        <v>120</v>
      </c>
      <c r="H806" s="60">
        <f t="shared" si="71"/>
        <v>110</v>
      </c>
      <c r="I806" s="60">
        <f t="shared" si="72"/>
        <v>10</v>
      </c>
      <c r="J806" s="60">
        <f t="shared" si="73"/>
        <v>8.3333333333333329E-2</v>
      </c>
      <c r="K806" s="35" t="str">
        <f t="shared" si="64"/>
        <v>9%</v>
      </c>
      <c r="M806" s="30">
        <f t="shared" si="65"/>
        <v>9.0909090909090981E-2</v>
      </c>
      <c r="N806" s="34">
        <f>VLOOKUP(A806, 'Stock Register'!A:F, 6, FALSE)</f>
        <v>12</v>
      </c>
    </row>
    <row r="807" spans="1:14" s="75" customFormat="1" hidden="1" x14ac:dyDescent="0.25">
      <c r="A807" s="204" t="s">
        <v>1151</v>
      </c>
      <c r="B807" s="71"/>
      <c r="C807" s="71"/>
      <c r="D807" s="72">
        <f>SUMIF('Purchase Register'!C:C, A807, 'Purchase Register'!G:G)</f>
        <v>5.625</v>
      </c>
      <c r="E807" s="191">
        <v>6.25</v>
      </c>
      <c r="F807" s="74">
        <f>SUMIF('Sales Register'!C:C, A807, 'Sales Register'!D:D)</f>
        <v>32</v>
      </c>
      <c r="G807" s="74">
        <f t="shared" si="70"/>
        <v>200</v>
      </c>
      <c r="H807" s="74">
        <f t="shared" si="71"/>
        <v>180</v>
      </c>
      <c r="I807" s="74">
        <f t="shared" si="72"/>
        <v>20</v>
      </c>
      <c r="J807" s="74">
        <f t="shared" si="73"/>
        <v>0.1</v>
      </c>
      <c r="K807" s="134" t="str">
        <f t="shared" si="64"/>
        <v>11%</v>
      </c>
      <c r="L807" s="73"/>
      <c r="M807" s="99">
        <f t="shared" si="65"/>
        <v>0.1111111111111111</v>
      </c>
      <c r="N807" s="73">
        <f>VLOOKUP(A807, 'Stock Register'!A:F, 6, FALSE)</f>
        <v>0</v>
      </c>
    </row>
    <row r="808" spans="1:14" hidden="1" x14ac:dyDescent="0.25">
      <c r="A808" s="205" t="s">
        <v>1152</v>
      </c>
      <c r="D808" s="29">
        <f>SUMIF('Purchase Register'!C:C, A808, 'Purchase Register'!G:G)</f>
        <v>7.5</v>
      </c>
      <c r="E808" s="190">
        <v>8.3000000000000007</v>
      </c>
      <c r="F808" s="60">
        <f>SUMIF('Sales Register'!C:C, A808, 'Sales Register'!D:D)</f>
        <v>24</v>
      </c>
      <c r="G808" s="60">
        <f t="shared" si="70"/>
        <v>199.20000000000002</v>
      </c>
      <c r="H808" s="60">
        <f t="shared" si="71"/>
        <v>180</v>
      </c>
      <c r="I808" s="60">
        <f t="shared" si="72"/>
        <v>19.200000000000017</v>
      </c>
      <c r="J808" s="60">
        <f t="shared" si="73"/>
        <v>9.6385542168674773E-2</v>
      </c>
      <c r="K808" s="35" t="str">
        <f t="shared" si="64"/>
        <v>10%</v>
      </c>
      <c r="M808" s="30">
        <f t="shared" si="65"/>
        <v>0.10666666666666676</v>
      </c>
      <c r="N808" s="34">
        <f>VLOOKUP(A808, 'Stock Register'!A:F, 6, FALSE)</f>
        <v>0</v>
      </c>
    </row>
    <row r="809" spans="1:14" s="75" customFormat="1" hidden="1" x14ac:dyDescent="0.25">
      <c r="A809" s="204" t="s">
        <v>1153</v>
      </c>
      <c r="B809" s="71"/>
      <c r="C809" s="71"/>
      <c r="D809" s="72">
        <f>SUMIF('Purchase Register'!C:C, A809, 'Purchase Register'!G:G)</f>
        <v>9.3333333333333339</v>
      </c>
      <c r="E809" s="191">
        <v>10</v>
      </c>
      <c r="F809" s="74">
        <f>SUMIF('Sales Register'!C:C, A809, 'Sales Register'!D:D)</f>
        <v>65</v>
      </c>
      <c r="G809" s="74">
        <f t="shared" si="70"/>
        <v>650</v>
      </c>
      <c r="H809" s="74">
        <f t="shared" si="71"/>
        <v>606.66666666666674</v>
      </c>
      <c r="I809" s="74">
        <f t="shared" si="72"/>
        <v>43.333333333333258</v>
      </c>
      <c r="J809" s="74">
        <f t="shared" si="73"/>
        <v>6.6666666666666555E-2</v>
      </c>
      <c r="K809" s="134" t="str">
        <f t="shared" si="64"/>
        <v>7%</v>
      </c>
      <c r="L809" s="73"/>
      <c r="M809" s="99">
        <f t="shared" si="65"/>
        <v>7.1428571428571355E-2</v>
      </c>
      <c r="N809" s="73">
        <f>VLOOKUP(A809, 'Stock Register'!A:F, 6, FALSE)</f>
        <v>-5</v>
      </c>
    </row>
    <row r="810" spans="1:14" s="75" customFormat="1" hidden="1" x14ac:dyDescent="0.25">
      <c r="A810" s="204" t="s">
        <v>1155</v>
      </c>
      <c r="B810" s="71"/>
      <c r="C810" s="71"/>
      <c r="D810" s="72">
        <f>SUMIF('Purchase Register'!C:C, A810, 'Purchase Register'!G:G)</f>
        <v>20</v>
      </c>
      <c r="E810" s="191">
        <v>25</v>
      </c>
      <c r="F810" s="74">
        <f>SUMIF('Sales Register'!C:C, A810, 'Sales Register'!D:D)</f>
        <v>1.2</v>
      </c>
      <c r="G810" s="74">
        <f t="shared" si="70"/>
        <v>30</v>
      </c>
      <c r="H810" s="74">
        <f t="shared" si="71"/>
        <v>24</v>
      </c>
      <c r="I810" s="74">
        <f t="shared" si="72"/>
        <v>6</v>
      </c>
      <c r="J810" s="74">
        <f t="shared" si="73"/>
        <v>0.2</v>
      </c>
      <c r="K810" s="134" t="str">
        <f t="shared" si="64"/>
        <v>25%</v>
      </c>
      <c r="L810" s="73"/>
      <c r="M810" s="99">
        <f t="shared" si="65"/>
        <v>0.25</v>
      </c>
      <c r="N810" s="73">
        <f>VLOOKUP(A810, 'Stock Register'!A:F, 6, FALSE)</f>
        <v>6.8</v>
      </c>
    </row>
    <row r="811" spans="1:14" hidden="1" x14ac:dyDescent="0.25">
      <c r="A811" s="205" t="s">
        <v>1154</v>
      </c>
      <c r="D811" s="29">
        <f>SUMIF('Purchase Register'!C:C, A811, 'Purchase Register'!G:G)</f>
        <v>36</v>
      </c>
      <c r="E811" s="190">
        <v>45</v>
      </c>
      <c r="F811" s="60">
        <f>SUMIF('Sales Register'!C:C, A811, 'Sales Register'!D:D)</f>
        <v>4.66</v>
      </c>
      <c r="G811" s="60">
        <f t="shared" si="70"/>
        <v>209.70000000000002</v>
      </c>
      <c r="H811" s="60">
        <f t="shared" si="71"/>
        <v>167.76</v>
      </c>
      <c r="I811" s="60">
        <f t="shared" si="72"/>
        <v>41.940000000000026</v>
      </c>
      <c r="J811" s="60">
        <f t="shared" si="73"/>
        <v>0.20000000000000012</v>
      </c>
      <c r="K811" s="35" t="str">
        <f t="shared" si="64"/>
        <v>25%</v>
      </c>
      <c r="M811" s="30">
        <f t="shared" si="65"/>
        <v>0.25</v>
      </c>
      <c r="N811" s="34">
        <f>VLOOKUP(A811, 'Stock Register'!A:F, 6, FALSE)</f>
        <v>0.33999999999999986</v>
      </c>
    </row>
    <row r="812" spans="1:14" hidden="1" x14ac:dyDescent="0.25">
      <c r="A812" s="205" t="s">
        <v>1156</v>
      </c>
      <c r="D812" s="29">
        <f>SUMIF('Purchase Register'!C:C, A812, 'Purchase Register'!G:G)</f>
        <v>180</v>
      </c>
      <c r="E812" s="190">
        <v>200</v>
      </c>
      <c r="F812" s="60">
        <f>SUMIF('Sales Register'!C:C, A812, 'Sales Register'!D:D)</f>
        <v>0.38</v>
      </c>
      <c r="G812" s="60">
        <f t="shared" si="70"/>
        <v>76</v>
      </c>
      <c r="H812" s="60">
        <f t="shared" si="71"/>
        <v>68.400000000000006</v>
      </c>
      <c r="I812" s="60">
        <f t="shared" si="72"/>
        <v>7.5999999999999943</v>
      </c>
      <c r="J812" s="60">
        <f t="shared" si="73"/>
        <v>9.9999999999999922E-2</v>
      </c>
      <c r="K812" s="35" t="str">
        <f t="shared" si="64"/>
        <v>11%</v>
      </c>
      <c r="M812" s="30">
        <f t="shared" si="65"/>
        <v>0.1111111111111111</v>
      </c>
      <c r="N812" s="34">
        <f>VLOOKUP(A812, 'Stock Register'!A:F, 6, FALSE)</f>
        <v>0.62</v>
      </c>
    </row>
    <row r="813" spans="1:14" s="75" customFormat="1" hidden="1" x14ac:dyDescent="0.25">
      <c r="A813" s="204" t="s">
        <v>1157</v>
      </c>
      <c r="B813" s="71"/>
      <c r="C813" s="71"/>
      <c r="D813" s="72">
        <f>SUMIF('Purchase Register'!C:C, A813, 'Purchase Register'!G:G)</f>
        <v>9.1666666666666661</v>
      </c>
      <c r="E813" s="191">
        <v>10</v>
      </c>
      <c r="F813" s="74">
        <f>SUMIF('Sales Register'!C:C, A813, 'Sales Register'!D:D)</f>
        <v>30</v>
      </c>
      <c r="G813" s="74">
        <f t="shared" si="70"/>
        <v>300</v>
      </c>
      <c r="H813" s="74">
        <f t="shared" si="71"/>
        <v>275</v>
      </c>
      <c r="I813" s="74">
        <f t="shared" si="72"/>
        <v>25</v>
      </c>
      <c r="J813" s="74">
        <f t="shared" si="73"/>
        <v>8.3333333333333329E-2</v>
      </c>
      <c r="K813" s="134" t="str">
        <f t="shared" si="64"/>
        <v>9%</v>
      </c>
      <c r="L813" s="73"/>
      <c r="M813" s="99">
        <f t="shared" si="65"/>
        <v>9.0909090909090981E-2</v>
      </c>
      <c r="N813" s="73">
        <f>VLOOKUP(A813, 'Stock Register'!A:F, 6, FALSE)</f>
        <v>30</v>
      </c>
    </row>
    <row r="814" spans="1:14" hidden="1" x14ac:dyDescent="0.25">
      <c r="A814" s="205" t="s">
        <v>1158</v>
      </c>
      <c r="D814" s="29">
        <f>SUMIF('Purchase Register'!C:C, A814, 'Purchase Register'!G:G)</f>
        <v>27</v>
      </c>
      <c r="E814" s="190">
        <v>30</v>
      </c>
      <c r="F814" s="60">
        <f>SUMIF('Sales Register'!C:C, A814, 'Sales Register'!D:D)</f>
        <v>9</v>
      </c>
      <c r="G814" s="60">
        <f t="shared" si="70"/>
        <v>270</v>
      </c>
      <c r="H814" s="60">
        <f t="shared" si="71"/>
        <v>243</v>
      </c>
      <c r="I814" s="60">
        <f t="shared" si="72"/>
        <v>27</v>
      </c>
      <c r="J814" s="60">
        <f t="shared" si="73"/>
        <v>0.1</v>
      </c>
      <c r="K814" s="35" t="str">
        <f t="shared" si="64"/>
        <v>11%</v>
      </c>
      <c r="M814" s="30">
        <f t="shared" si="65"/>
        <v>0.1111111111111111</v>
      </c>
      <c r="N814" s="34">
        <f>VLOOKUP(A814, 'Stock Register'!A:F, 6, FALSE)</f>
        <v>1</v>
      </c>
    </row>
    <row r="815" spans="1:14" hidden="1" x14ac:dyDescent="0.25">
      <c r="A815" s="205" t="s">
        <v>1159</v>
      </c>
      <c r="D815" s="29">
        <f>SUMIF('Purchase Register'!C:C, A815, 'Purchase Register'!G:G)</f>
        <v>54</v>
      </c>
      <c r="E815" s="190">
        <v>60</v>
      </c>
      <c r="F815" s="60">
        <f>SUMIF('Sales Register'!C:C, A815, 'Sales Register'!D:D)</f>
        <v>5.1099999999999994</v>
      </c>
      <c r="G815" s="60">
        <f t="shared" si="70"/>
        <v>306.59999999999997</v>
      </c>
      <c r="H815" s="60">
        <f t="shared" si="71"/>
        <v>275.93999999999994</v>
      </c>
      <c r="I815" s="60">
        <f t="shared" si="72"/>
        <v>30.660000000000025</v>
      </c>
      <c r="J815" s="60">
        <f t="shared" si="73"/>
        <v>0.10000000000000009</v>
      </c>
      <c r="K815" s="35" t="str">
        <f t="shared" si="64"/>
        <v>11%</v>
      </c>
      <c r="M815" s="30">
        <f t="shared" si="65"/>
        <v>0.1111111111111111</v>
      </c>
      <c r="N815" s="34">
        <f>VLOOKUP(A815, 'Stock Register'!A:F, 6, FALSE)</f>
        <v>-0.10999999999999943</v>
      </c>
    </row>
    <row r="816" spans="1:14" hidden="1" x14ac:dyDescent="0.25">
      <c r="A816" s="205" t="s">
        <v>1160</v>
      </c>
      <c r="D816" s="29">
        <f>SUMIF('Purchase Register'!C:C, A816, 'Purchase Register'!G:G)</f>
        <v>28</v>
      </c>
      <c r="E816" s="190">
        <v>40</v>
      </c>
      <c r="F816" s="60">
        <f>SUMIF('Sales Register'!C:C, A816, 'Sales Register'!D:D)</f>
        <v>0</v>
      </c>
      <c r="G816" s="60">
        <f t="shared" si="70"/>
        <v>0</v>
      </c>
      <c r="H816" s="60">
        <f t="shared" si="71"/>
        <v>0</v>
      </c>
      <c r="I816" s="60">
        <f t="shared" si="72"/>
        <v>0</v>
      </c>
      <c r="J816" s="60">
        <f t="shared" si="73"/>
        <v>0</v>
      </c>
      <c r="K816" s="35" t="str">
        <f t="shared" si="64"/>
        <v>42%</v>
      </c>
      <c r="M816" s="30">
        <f t="shared" si="65"/>
        <v>0.42857142857142855</v>
      </c>
      <c r="N816" s="34">
        <f>VLOOKUP(A816, 'Stock Register'!A:F, 6, FALSE)</f>
        <v>3</v>
      </c>
    </row>
    <row r="817" spans="1:14" hidden="1" x14ac:dyDescent="0.25">
      <c r="A817" s="205" t="s">
        <v>1161</v>
      </c>
      <c r="D817" s="29">
        <f>SUMIF('Purchase Register'!C:C, A817, 'Purchase Register'!G:G)</f>
        <v>15</v>
      </c>
      <c r="E817" s="190">
        <v>30</v>
      </c>
      <c r="F817" s="60">
        <f>SUMIF('Sales Register'!C:C, A817, 'Sales Register'!D:D)</f>
        <v>3</v>
      </c>
      <c r="G817" s="60">
        <f t="shared" si="70"/>
        <v>90</v>
      </c>
      <c r="H817" s="60">
        <f t="shared" si="71"/>
        <v>45</v>
      </c>
      <c r="I817" s="60">
        <f t="shared" si="72"/>
        <v>45</v>
      </c>
      <c r="J817" s="60">
        <f t="shared" si="73"/>
        <v>0.5</v>
      </c>
      <c r="K817" s="35" t="str">
        <f t="shared" si="64"/>
        <v>100% or More</v>
      </c>
      <c r="M817" s="30">
        <f t="shared" si="65"/>
        <v>1</v>
      </c>
      <c r="N817" s="34">
        <f>VLOOKUP(A817, 'Stock Register'!A:F, 6, FALSE)</f>
        <v>0</v>
      </c>
    </row>
    <row r="818" spans="1:14" hidden="1" x14ac:dyDescent="0.25">
      <c r="A818" s="205" t="s">
        <v>1162</v>
      </c>
      <c r="D818" s="29">
        <f>SUMIF('Purchase Register'!C:C, A818, 'Purchase Register'!G:G)</f>
        <v>4.375</v>
      </c>
      <c r="E818" s="190">
        <v>5</v>
      </c>
      <c r="F818" s="60">
        <f>SUMIF('Sales Register'!C:C, A818, 'Sales Register'!D:D)</f>
        <v>24</v>
      </c>
      <c r="G818" s="60">
        <f t="shared" si="70"/>
        <v>120</v>
      </c>
      <c r="H818" s="60">
        <f t="shared" si="71"/>
        <v>105</v>
      </c>
      <c r="I818" s="60">
        <f t="shared" si="72"/>
        <v>15</v>
      </c>
      <c r="J818" s="60">
        <f t="shared" si="73"/>
        <v>0.125</v>
      </c>
      <c r="K818" s="35" t="str">
        <f t="shared" si="64"/>
        <v>14%</v>
      </c>
      <c r="M818" s="30">
        <f t="shared" si="65"/>
        <v>0.14285714285714285</v>
      </c>
      <c r="N818" s="34">
        <f>VLOOKUP(A818, 'Stock Register'!A:F, 6, FALSE)</f>
        <v>8</v>
      </c>
    </row>
    <row r="819" spans="1:14" hidden="1" x14ac:dyDescent="0.25">
      <c r="A819" s="205" t="s">
        <v>1163</v>
      </c>
      <c r="D819" s="29">
        <f>SUMIF('Purchase Register'!C:C, A819, 'Purchase Register'!G:G)</f>
        <v>8.4615384615384617</v>
      </c>
      <c r="E819" s="190">
        <v>10</v>
      </c>
      <c r="F819" s="60">
        <f>SUMIF('Sales Register'!C:C, A819, 'Sales Register'!D:D)</f>
        <v>29</v>
      </c>
      <c r="G819" s="60">
        <f t="shared" si="70"/>
        <v>290</v>
      </c>
      <c r="H819" s="60">
        <f t="shared" si="71"/>
        <v>245.38461538461539</v>
      </c>
      <c r="I819" s="60">
        <f t="shared" si="72"/>
        <v>44.615384615384613</v>
      </c>
      <c r="J819" s="60">
        <f t="shared" si="73"/>
        <v>0.15384615384615383</v>
      </c>
      <c r="K819" s="35" t="str">
        <f t="shared" si="64"/>
        <v>18%</v>
      </c>
      <c r="M819" s="30">
        <f t="shared" si="65"/>
        <v>0.1818181818181818</v>
      </c>
      <c r="N819" s="34">
        <f>VLOOKUP(A819, 'Stock Register'!A:F, 6, FALSE)</f>
        <v>-3</v>
      </c>
    </row>
    <row r="820" spans="1:14" hidden="1" x14ac:dyDescent="0.25">
      <c r="A820" s="205" t="s">
        <v>1164</v>
      </c>
      <c r="D820" s="29">
        <f>SUMIF('Purchase Register'!C:C, A820, 'Purchase Register'!G:G)</f>
        <v>23.333333333333332</v>
      </c>
      <c r="E820" s="190">
        <v>30</v>
      </c>
      <c r="F820" s="60">
        <f>SUMIF('Sales Register'!C:C, A820, 'Sales Register'!D:D)</f>
        <v>1</v>
      </c>
      <c r="G820" s="60">
        <f t="shared" si="70"/>
        <v>30</v>
      </c>
      <c r="H820" s="60">
        <f t="shared" si="71"/>
        <v>23.333333333333332</v>
      </c>
      <c r="I820" s="60">
        <f t="shared" si="72"/>
        <v>6.6666666666666679</v>
      </c>
      <c r="J820" s="60">
        <f t="shared" si="73"/>
        <v>0.22222222222222227</v>
      </c>
      <c r="K820" s="35" t="str">
        <f t="shared" si="64"/>
        <v>28%</v>
      </c>
      <c r="M820" s="30">
        <f t="shared" si="65"/>
        <v>0.28571428571428575</v>
      </c>
      <c r="N820" s="34">
        <f>VLOOKUP(A820, 'Stock Register'!A:F, 6, FALSE)</f>
        <v>11</v>
      </c>
    </row>
    <row r="821" spans="1:14" hidden="1" x14ac:dyDescent="0.25">
      <c r="A821" s="205" t="s">
        <v>1165</v>
      </c>
      <c r="D821" s="29">
        <f>SUMIF('Purchase Register'!C:C, A821, 'Purchase Register'!G:G)</f>
        <v>0.8529411764705882</v>
      </c>
      <c r="E821" s="190">
        <v>1</v>
      </c>
      <c r="F821" s="60">
        <f>SUMIF('Sales Register'!C:C, A821, 'Sales Register'!D:D)</f>
        <v>72</v>
      </c>
      <c r="G821" s="60">
        <f t="shared" si="70"/>
        <v>72</v>
      </c>
      <c r="H821" s="60">
        <f t="shared" si="71"/>
        <v>61.411764705882348</v>
      </c>
      <c r="I821" s="60">
        <f t="shared" si="72"/>
        <v>10.588235294117652</v>
      </c>
      <c r="J821" s="60">
        <f t="shared" si="73"/>
        <v>0.14705882352941183</v>
      </c>
      <c r="K821" s="35" t="str">
        <f t="shared" si="64"/>
        <v>17%</v>
      </c>
      <c r="M821" s="30">
        <f t="shared" si="65"/>
        <v>0.17241379310344832</v>
      </c>
      <c r="N821" s="34">
        <f>VLOOKUP(A821, 'Stock Register'!A:F, 6, FALSE)</f>
        <v>98</v>
      </c>
    </row>
    <row r="822" spans="1:14" hidden="1" x14ac:dyDescent="0.25">
      <c r="A822" s="205" t="s">
        <v>1166</v>
      </c>
      <c r="D822" s="29">
        <f>SUMIF('Purchase Register'!C:C, A822, 'Purchase Register'!G:G)</f>
        <v>0.90476190476190477</v>
      </c>
      <c r="E822" s="190">
        <v>1</v>
      </c>
      <c r="F822" s="60">
        <f>SUMIF('Sales Register'!C:C, A822, 'Sales Register'!D:D)</f>
        <v>56</v>
      </c>
      <c r="G822" s="60">
        <f t="shared" ref="G822:G885" si="74">E822*F822</f>
        <v>56</v>
      </c>
      <c r="H822" s="60">
        <f t="shared" si="71"/>
        <v>50.666666666666664</v>
      </c>
      <c r="I822" s="60">
        <f t="shared" si="72"/>
        <v>5.3333333333333357</v>
      </c>
      <c r="J822" s="60">
        <f t="shared" si="73"/>
        <v>9.5238095238095274E-2</v>
      </c>
      <c r="K822" s="35" t="str">
        <f t="shared" si="64"/>
        <v>10%</v>
      </c>
      <c r="M822" s="30">
        <f t="shared" si="65"/>
        <v>0.10526315789473684</v>
      </c>
      <c r="N822" s="34">
        <f>VLOOKUP(A822, 'Stock Register'!A:F, 6, FALSE)</f>
        <v>154</v>
      </c>
    </row>
    <row r="823" spans="1:14" hidden="1" x14ac:dyDescent="0.25">
      <c r="A823" s="205" t="s">
        <v>1167</v>
      </c>
      <c r="D823" s="29">
        <f>SUMIF('Purchase Register'!C:C, A823, 'Purchase Register'!G:G)</f>
        <v>9</v>
      </c>
      <c r="E823" s="190">
        <v>10</v>
      </c>
      <c r="F823" s="60">
        <f>SUMIF('Sales Register'!C:C, A823, 'Sales Register'!D:D)</f>
        <v>1</v>
      </c>
      <c r="G823" s="60">
        <f t="shared" si="74"/>
        <v>10</v>
      </c>
      <c r="H823" s="60">
        <f t="shared" si="71"/>
        <v>9</v>
      </c>
      <c r="I823" s="60">
        <f t="shared" si="72"/>
        <v>1</v>
      </c>
      <c r="J823" s="60">
        <f t="shared" si="73"/>
        <v>0.1</v>
      </c>
      <c r="K823" s="35" t="str">
        <f t="shared" si="64"/>
        <v>11%</v>
      </c>
      <c r="M823" s="30">
        <f t="shared" si="65"/>
        <v>0.1111111111111111</v>
      </c>
      <c r="N823" s="34">
        <f>VLOOKUP(A823, 'Stock Register'!A:F, 6, FALSE)</f>
        <v>8</v>
      </c>
    </row>
    <row r="824" spans="1:14" hidden="1" x14ac:dyDescent="0.25">
      <c r="A824" s="205" t="s">
        <v>1168</v>
      </c>
      <c r="D824" s="29">
        <f>SUMIF('Purchase Register'!C:C, A824, 'Purchase Register'!G:G)</f>
        <v>9.1666666666666661</v>
      </c>
      <c r="E824" s="190">
        <v>10</v>
      </c>
      <c r="F824" s="60">
        <f>SUMIF('Sales Register'!C:C, A824, 'Sales Register'!D:D)</f>
        <v>16</v>
      </c>
      <c r="G824" s="60">
        <f t="shared" si="74"/>
        <v>160</v>
      </c>
      <c r="H824" s="60">
        <f t="shared" si="71"/>
        <v>146.66666666666666</v>
      </c>
      <c r="I824" s="60">
        <f t="shared" si="72"/>
        <v>13.333333333333343</v>
      </c>
      <c r="J824" s="60">
        <f t="shared" si="73"/>
        <v>8.3333333333333398E-2</v>
      </c>
      <c r="K824" s="35" t="str">
        <f t="shared" si="64"/>
        <v>9%</v>
      </c>
      <c r="M824" s="30">
        <f t="shared" si="65"/>
        <v>9.0909090909090981E-2</v>
      </c>
      <c r="N824" s="34">
        <f>VLOOKUP(A824, 'Stock Register'!A:F, 6, FALSE)</f>
        <v>32</v>
      </c>
    </row>
    <row r="825" spans="1:14" ht="30" hidden="1" x14ac:dyDescent="0.25">
      <c r="A825" s="205" t="s">
        <v>1170</v>
      </c>
      <c r="D825" s="29">
        <f>SUMIF('Purchase Register'!C:C, A825, 'Purchase Register'!G:G)</f>
        <v>150</v>
      </c>
      <c r="E825" s="190">
        <v>158</v>
      </c>
      <c r="F825" s="60">
        <f>SUMIF('Sales Register'!C:C, A825, 'Sales Register'!D:D)</f>
        <v>3</v>
      </c>
      <c r="G825" s="60">
        <f t="shared" si="74"/>
        <v>474</v>
      </c>
      <c r="H825" s="60">
        <f t="shared" si="71"/>
        <v>450</v>
      </c>
      <c r="I825" s="60">
        <f t="shared" si="72"/>
        <v>24</v>
      </c>
      <c r="J825" s="60">
        <f t="shared" si="73"/>
        <v>5.0632911392405063E-2</v>
      </c>
      <c r="K825" s="35" t="str">
        <f t="shared" si="64"/>
        <v>5%</v>
      </c>
      <c r="M825" s="30">
        <f t="shared" si="65"/>
        <v>5.3333333333333337E-2</v>
      </c>
      <c r="N825" s="34">
        <f>VLOOKUP(A825, 'Stock Register'!A:F, 6, FALSE)</f>
        <v>0</v>
      </c>
    </row>
    <row r="826" spans="1:14" ht="30" hidden="1" x14ac:dyDescent="0.25">
      <c r="A826" s="205" t="s">
        <v>1169</v>
      </c>
      <c r="D826" s="29">
        <f>SUMIF('Purchase Register'!C:C, A826, 'Purchase Register'!G:G)</f>
        <v>34</v>
      </c>
      <c r="E826" s="190">
        <v>50</v>
      </c>
      <c r="F826" s="60">
        <f>SUMIF('Sales Register'!C:C, A826, 'Sales Register'!D:D)</f>
        <v>1</v>
      </c>
      <c r="G826" s="60">
        <f t="shared" si="74"/>
        <v>50</v>
      </c>
      <c r="H826" s="60">
        <f t="shared" si="71"/>
        <v>34</v>
      </c>
      <c r="I826" s="60">
        <f t="shared" si="72"/>
        <v>16</v>
      </c>
      <c r="J826" s="60">
        <f t="shared" si="73"/>
        <v>0.32</v>
      </c>
      <c r="K826" s="35" t="str">
        <f t="shared" si="64"/>
        <v>47%</v>
      </c>
      <c r="M826" s="30">
        <f t="shared" si="65"/>
        <v>0.47058823529411764</v>
      </c>
      <c r="N826" s="34">
        <f>VLOOKUP(A826, 'Stock Register'!A:F, 6, FALSE)</f>
        <v>9</v>
      </c>
    </row>
    <row r="827" spans="1:14" hidden="1" x14ac:dyDescent="0.25">
      <c r="A827" s="205" t="s">
        <v>1171</v>
      </c>
      <c r="D827" s="29">
        <f>SUMIF('Purchase Register'!C:C, A827, 'Purchase Register'!G:G)</f>
        <v>54</v>
      </c>
      <c r="E827" s="190">
        <v>59</v>
      </c>
      <c r="F827" s="60">
        <f>SUMIF('Sales Register'!C:C, A827, 'Sales Register'!D:D)</f>
        <v>8</v>
      </c>
      <c r="G827" s="60">
        <f t="shared" si="74"/>
        <v>472</v>
      </c>
      <c r="H827" s="60">
        <f t="shared" si="71"/>
        <v>432</v>
      </c>
      <c r="I827" s="60">
        <f t="shared" si="72"/>
        <v>40</v>
      </c>
      <c r="J827" s="60">
        <f t="shared" si="73"/>
        <v>8.4745762711864403E-2</v>
      </c>
      <c r="K827" s="35" t="str">
        <f t="shared" si="64"/>
        <v>9%</v>
      </c>
      <c r="M827" s="30">
        <f t="shared" si="65"/>
        <v>9.2592592592592587E-2</v>
      </c>
      <c r="N827" s="34">
        <f>VLOOKUP(A827, 'Stock Register'!A:F, 6, FALSE)</f>
        <v>-2</v>
      </c>
    </row>
    <row r="828" spans="1:14" ht="30" hidden="1" x14ac:dyDescent="0.25">
      <c r="A828" s="205" t="s">
        <v>1172</v>
      </c>
      <c r="D828" s="29">
        <f>SUMIF('Purchase Register'!C:C, A828, 'Purchase Register'!G:G)</f>
        <v>385</v>
      </c>
      <c r="E828" s="190">
        <v>205</v>
      </c>
      <c r="F828" s="60">
        <f>SUMIF('Sales Register'!C:C, A828, 'Sales Register'!D:D)</f>
        <v>5</v>
      </c>
      <c r="G828" s="60">
        <f t="shared" si="74"/>
        <v>1025</v>
      </c>
      <c r="H828" s="60">
        <f t="shared" si="71"/>
        <v>1925</v>
      </c>
      <c r="I828" s="60">
        <f t="shared" si="72"/>
        <v>-900</v>
      </c>
      <c r="J828" s="60">
        <f t="shared" si="73"/>
        <v>-0.87804878048780488</v>
      </c>
      <c r="K828" s="35" t="str">
        <f t="shared" si="64"/>
        <v>NO PROFIT</v>
      </c>
      <c r="M828" s="30">
        <f t="shared" si="65"/>
        <v>-0.46753246753246752</v>
      </c>
      <c r="N828" s="34">
        <f>VLOOKUP(A828, 'Stock Register'!A:F, 6, FALSE)</f>
        <v>-2</v>
      </c>
    </row>
    <row r="829" spans="1:14" hidden="1" x14ac:dyDescent="0.25">
      <c r="A829" s="205" t="s">
        <v>1181</v>
      </c>
      <c r="D829" s="29">
        <f>SUMIF('Purchase Register'!C:C, A829, 'Purchase Register'!G:G)</f>
        <v>90</v>
      </c>
      <c r="E829" s="190">
        <v>110</v>
      </c>
      <c r="F829" s="60">
        <f>SUMIF('Sales Register'!C:C, A829, 'Sales Register'!D:D)</f>
        <v>0.52999999999999992</v>
      </c>
      <c r="G829" s="60">
        <f t="shared" si="74"/>
        <v>58.29999999999999</v>
      </c>
      <c r="H829" s="60">
        <f t="shared" si="71"/>
        <v>47.699999999999996</v>
      </c>
      <c r="I829" s="60">
        <f t="shared" si="72"/>
        <v>10.599999999999994</v>
      </c>
      <c r="J829" s="60">
        <f t="shared" si="73"/>
        <v>0.18181818181818174</v>
      </c>
      <c r="K829" s="35" t="str">
        <f t="shared" si="64"/>
        <v>22%</v>
      </c>
      <c r="M829" s="30">
        <f t="shared" si="65"/>
        <v>0.22222222222222221</v>
      </c>
      <c r="N829" s="34">
        <f>VLOOKUP(A829, 'Stock Register'!A:F, 6, FALSE)</f>
        <v>0.47000000000000008</v>
      </c>
    </row>
    <row r="830" spans="1:14" s="75" customFormat="1" hidden="1" x14ac:dyDescent="0.25">
      <c r="A830" s="204" t="s">
        <v>1176</v>
      </c>
      <c r="B830" s="71"/>
      <c r="C830" s="71"/>
      <c r="D830" s="72">
        <f>SUMIF('Purchase Register'!C:C, A830, 'Purchase Register'!G:G)</f>
        <v>18</v>
      </c>
      <c r="E830" s="191">
        <v>25</v>
      </c>
      <c r="F830" s="74">
        <f>SUMIF('Sales Register'!C:C, A830, 'Sales Register'!D:D)</f>
        <v>1.83</v>
      </c>
      <c r="G830" s="74">
        <f t="shared" si="74"/>
        <v>45.75</v>
      </c>
      <c r="H830" s="74">
        <f t="shared" si="71"/>
        <v>32.94</v>
      </c>
      <c r="I830" s="74">
        <f t="shared" si="72"/>
        <v>12.810000000000002</v>
      </c>
      <c r="J830" s="74">
        <f t="shared" si="73"/>
        <v>0.28000000000000003</v>
      </c>
      <c r="K830" s="134" t="str">
        <f t="shared" si="64"/>
        <v>38%</v>
      </c>
      <c r="L830" s="73"/>
      <c r="M830" s="99">
        <f t="shared" si="65"/>
        <v>0.3888888888888889</v>
      </c>
      <c r="N830" s="73">
        <f>VLOOKUP(A830, 'Stock Register'!A:F, 6, FALSE)</f>
        <v>3.17</v>
      </c>
    </row>
    <row r="831" spans="1:14" s="75" customFormat="1" ht="30" hidden="1" x14ac:dyDescent="0.25">
      <c r="A831" s="204" t="s">
        <v>1177</v>
      </c>
      <c r="B831" s="71"/>
      <c r="C831" s="71"/>
      <c r="D831" s="72">
        <f>SUMIF('Purchase Register'!C:C, A831, 'Purchase Register'!G:G)</f>
        <v>36.666666666666664</v>
      </c>
      <c r="E831" s="191">
        <v>45</v>
      </c>
      <c r="F831" s="74">
        <f>SUMIF('Sales Register'!C:C, A831, 'Sales Register'!D:D)</f>
        <v>3</v>
      </c>
      <c r="G831" s="74">
        <f t="shared" si="74"/>
        <v>135</v>
      </c>
      <c r="H831" s="74">
        <f t="shared" si="71"/>
        <v>110</v>
      </c>
      <c r="I831" s="74">
        <f t="shared" si="72"/>
        <v>25</v>
      </c>
      <c r="J831" s="74">
        <f t="shared" si="73"/>
        <v>0.18518518518518517</v>
      </c>
      <c r="K831" s="134" t="str">
        <f t="shared" si="64"/>
        <v>22%</v>
      </c>
      <c r="L831" s="73"/>
      <c r="M831" s="99">
        <f t="shared" si="65"/>
        <v>0.22727272727272735</v>
      </c>
      <c r="N831" s="73">
        <f>VLOOKUP(A831, 'Stock Register'!A:F, 6, FALSE)</f>
        <v>0</v>
      </c>
    </row>
    <row r="832" spans="1:14" hidden="1" x14ac:dyDescent="0.25">
      <c r="A832" s="205" t="s">
        <v>1178</v>
      </c>
      <c r="D832" s="29">
        <f>SUMIF('Purchase Register'!C:C, A832, 'Purchase Register'!G:G)</f>
        <v>90</v>
      </c>
      <c r="E832" s="190">
        <v>100</v>
      </c>
      <c r="F832" s="60">
        <f>SUMIF('Sales Register'!C:C, A832, 'Sales Register'!D:D)</f>
        <v>1</v>
      </c>
      <c r="G832" s="60">
        <f t="shared" si="74"/>
        <v>100</v>
      </c>
      <c r="H832" s="60">
        <f t="shared" si="71"/>
        <v>90</v>
      </c>
      <c r="I832" s="60">
        <f t="shared" si="72"/>
        <v>10</v>
      </c>
      <c r="J832" s="60">
        <f t="shared" si="73"/>
        <v>0.1</v>
      </c>
      <c r="K832" s="35" t="str">
        <f t="shared" si="64"/>
        <v>11%</v>
      </c>
      <c r="M832" s="30">
        <f t="shared" si="65"/>
        <v>0.1111111111111111</v>
      </c>
      <c r="N832" s="34">
        <f>VLOOKUP(A832, 'Stock Register'!A:F, 6, FALSE)</f>
        <v>0</v>
      </c>
    </row>
    <row r="833" spans="1:14" hidden="1" x14ac:dyDescent="0.25">
      <c r="A833" s="205" t="s">
        <v>1179</v>
      </c>
      <c r="D833" s="29">
        <f>SUMIF('Purchase Register'!C:C, A833, 'Purchase Register'!G:G)</f>
        <v>90</v>
      </c>
      <c r="E833" s="190">
        <v>100</v>
      </c>
      <c r="F833" s="60">
        <f>SUMIF('Sales Register'!C:C, A833, 'Sales Register'!D:D)</f>
        <v>1</v>
      </c>
      <c r="G833" s="60">
        <f t="shared" si="74"/>
        <v>100</v>
      </c>
      <c r="H833" s="60">
        <f t="shared" si="71"/>
        <v>90</v>
      </c>
      <c r="I833" s="60">
        <f t="shared" si="72"/>
        <v>10</v>
      </c>
      <c r="J833" s="60">
        <f t="shared" si="73"/>
        <v>0.1</v>
      </c>
      <c r="K833" s="35" t="str">
        <f t="shared" si="64"/>
        <v>11%</v>
      </c>
      <c r="M833" s="30">
        <f t="shared" si="65"/>
        <v>0.1111111111111111</v>
      </c>
      <c r="N833" s="34">
        <f>VLOOKUP(A833, 'Stock Register'!A:F, 6, FALSE)</f>
        <v>0</v>
      </c>
    </row>
    <row r="834" spans="1:14" ht="30" hidden="1" x14ac:dyDescent="0.25">
      <c r="A834" s="205" t="s">
        <v>1180</v>
      </c>
      <c r="D834" s="29">
        <f>SUMIF('Purchase Register'!C:C, A834, 'Purchase Register'!G:G)</f>
        <v>90</v>
      </c>
      <c r="E834" s="190">
        <v>100</v>
      </c>
      <c r="F834" s="60">
        <f>SUMIF('Sales Register'!C:C, A834, 'Sales Register'!D:D)</f>
        <v>2</v>
      </c>
      <c r="G834" s="60">
        <f t="shared" si="74"/>
        <v>200</v>
      </c>
      <c r="H834" s="60">
        <f t="shared" ref="H834:H897" si="75">D834*F834</f>
        <v>180</v>
      </c>
      <c r="I834" s="60">
        <f t="shared" ref="I834:I897" si="76">G834-H834</f>
        <v>20</v>
      </c>
      <c r="J834" s="60">
        <f t="shared" ref="J834:J897" si="77">IF(G834=0,0,I834/G834)</f>
        <v>0.1</v>
      </c>
      <c r="K834" s="35" t="str">
        <f t="shared" si="64"/>
        <v>11%</v>
      </c>
      <c r="M834" s="30">
        <f t="shared" si="65"/>
        <v>0.1111111111111111</v>
      </c>
      <c r="N834" s="34">
        <f>VLOOKUP(A834, 'Stock Register'!A:F, 6, FALSE)</f>
        <v>-1</v>
      </c>
    </row>
    <row r="835" spans="1:14" hidden="1" x14ac:dyDescent="0.25">
      <c r="A835" s="205" t="s">
        <v>1175</v>
      </c>
      <c r="D835" s="29">
        <f>SUMIF('Purchase Register'!C:C, A835, 'Purchase Register'!G:G)</f>
        <v>23</v>
      </c>
      <c r="E835" s="190">
        <v>25</v>
      </c>
      <c r="F835" s="60">
        <f>SUMIF('Sales Register'!C:C, A835, 'Sales Register'!D:D)</f>
        <v>3</v>
      </c>
      <c r="G835" s="60">
        <f t="shared" si="74"/>
        <v>75</v>
      </c>
      <c r="H835" s="60">
        <f t="shared" si="75"/>
        <v>69</v>
      </c>
      <c r="I835" s="60">
        <f t="shared" si="76"/>
        <v>6</v>
      </c>
      <c r="J835" s="60">
        <f t="shared" si="77"/>
        <v>0.08</v>
      </c>
      <c r="K835" s="35" t="str">
        <f t="shared" si="64"/>
        <v>8%</v>
      </c>
      <c r="M835" s="30">
        <f t="shared" si="65"/>
        <v>8.6956521739130432E-2</v>
      </c>
      <c r="N835" s="34">
        <f>VLOOKUP(A835, 'Stock Register'!A:F, 6, FALSE)</f>
        <v>0</v>
      </c>
    </row>
    <row r="836" spans="1:14" ht="30" hidden="1" x14ac:dyDescent="0.25">
      <c r="A836" s="205" t="s">
        <v>1173</v>
      </c>
      <c r="D836" s="29">
        <f>SUMIF('Purchase Register'!C:C, A836, 'Purchase Register'!G:G)</f>
        <v>147</v>
      </c>
      <c r="E836" s="190">
        <v>158</v>
      </c>
      <c r="F836" s="60">
        <f>SUMIF('Sales Register'!C:C, A836, 'Sales Register'!D:D)</f>
        <v>3</v>
      </c>
      <c r="G836" s="60">
        <f t="shared" si="74"/>
        <v>474</v>
      </c>
      <c r="H836" s="60">
        <f t="shared" si="75"/>
        <v>441</v>
      </c>
      <c r="I836" s="60">
        <f t="shared" si="76"/>
        <v>33</v>
      </c>
      <c r="J836" s="60">
        <f t="shared" si="77"/>
        <v>6.9620253164556958E-2</v>
      </c>
      <c r="K836" s="35" t="str">
        <f t="shared" si="64"/>
        <v>7%</v>
      </c>
      <c r="M836" s="30">
        <f t="shared" si="65"/>
        <v>7.4829931972789115E-2</v>
      </c>
      <c r="N836" s="34">
        <f>VLOOKUP(A836, 'Stock Register'!A:F, 6, FALSE)</f>
        <v>0</v>
      </c>
    </row>
    <row r="837" spans="1:14" ht="30" hidden="1" x14ac:dyDescent="0.25">
      <c r="A837" s="205" t="s">
        <v>1174</v>
      </c>
      <c r="D837" s="29">
        <f>SUMIF('Purchase Register'!C:C, A837, 'Purchase Register'!G:G)</f>
        <v>32</v>
      </c>
      <c r="E837" s="190">
        <v>37</v>
      </c>
      <c r="F837" s="60">
        <f>SUMIF('Sales Register'!C:C, A837, 'Sales Register'!D:D)</f>
        <v>3</v>
      </c>
      <c r="G837" s="60">
        <f t="shared" si="74"/>
        <v>111</v>
      </c>
      <c r="H837" s="60">
        <f t="shared" si="75"/>
        <v>96</v>
      </c>
      <c r="I837" s="60">
        <f t="shared" si="76"/>
        <v>15</v>
      </c>
      <c r="J837" s="60">
        <f t="shared" si="77"/>
        <v>0.13513513513513514</v>
      </c>
      <c r="K837" s="35" t="str">
        <f t="shared" si="64"/>
        <v>15%</v>
      </c>
      <c r="M837" s="30">
        <f t="shared" si="65"/>
        <v>0.15625</v>
      </c>
      <c r="N837" s="34">
        <f>VLOOKUP(A837, 'Stock Register'!A:F, 6, FALSE)</f>
        <v>0</v>
      </c>
    </row>
    <row r="838" spans="1:14" hidden="1" x14ac:dyDescent="0.25">
      <c r="A838" s="205" t="s">
        <v>1182</v>
      </c>
      <c r="D838" s="29">
        <f>SUMIF('Purchase Register'!C:C, A838, 'Purchase Register'!G:G)</f>
        <v>14.166666666666666</v>
      </c>
      <c r="E838" s="190">
        <v>15</v>
      </c>
      <c r="F838" s="60">
        <f>SUMIF('Sales Register'!C:C, A838, 'Sales Register'!D:D)</f>
        <v>12</v>
      </c>
      <c r="G838" s="60">
        <f t="shared" si="74"/>
        <v>180</v>
      </c>
      <c r="H838" s="60">
        <f t="shared" si="75"/>
        <v>170</v>
      </c>
      <c r="I838" s="60">
        <f t="shared" si="76"/>
        <v>10</v>
      </c>
      <c r="J838" s="60">
        <f t="shared" si="77"/>
        <v>5.5555555555555552E-2</v>
      </c>
      <c r="K838" s="35" t="str">
        <f t="shared" si="64"/>
        <v>5%</v>
      </c>
      <c r="M838" s="30">
        <f t="shared" si="65"/>
        <v>5.8823529411764747E-2</v>
      </c>
      <c r="N838" s="34">
        <f>VLOOKUP(A838, 'Stock Register'!A:F, 6, FALSE)</f>
        <v>0</v>
      </c>
    </row>
    <row r="839" spans="1:14" ht="30" hidden="1" x14ac:dyDescent="0.25">
      <c r="A839" s="205" t="s">
        <v>1183</v>
      </c>
      <c r="D839" s="29">
        <f>SUMIF('Purchase Register'!C:C, A839, 'Purchase Register'!G:G)</f>
        <v>6.666666666666667</v>
      </c>
      <c r="E839" s="190">
        <v>10</v>
      </c>
      <c r="F839" s="60">
        <f>SUMIF('Sales Register'!C:C, A839, 'Sales Register'!D:D)</f>
        <v>6</v>
      </c>
      <c r="G839" s="60">
        <f t="shared" si="74"/>
        <v>60</v>
      </c>
      <c r="H839" s="60">
        <f t="shared" si="75"/>
        <v>40</v>
      </c>
      <c r="I839" s="60">
        <f t="shared" si="76"/>
        <v>20</v>
      </c>
      <c r="J839" s="60">
        <f t="shared" si="77"/>
        <v>0.33333333333333331</v>
      </c>
      <c r="K839" s="35" t="str">
        <f t="shared" si="64"/>
        <v>50%</v>
      </c>
      <c r="M839" s="30">
        <f t="shared" si="65"/>
        <v>0.49999999999999994</v>
      </c>
      <c r="N839" s="34">
        <f>VLOOKUP(A839, 'Stock Register'!A:F, 6, FALSE)</f>
        <v>6</v>
      </c>
    </row>
    <row r="840" spans="1:14" ht="30" hidden="1" x14ac:dyDescent="0.25">
      <c r="A840" s="205" t="s">
        <v>1184</v>
      </c>
      <c r="D840" s="29">
        <f>SUMIF('Purchase Register'!C:C, A840, 'Purchase Register'!G:G)</f>
        <v>6.666666666666667</v>
      </c>
      <c r="E840" s="190">
        <v>10</v>
      </c>
      <c r="F840" s="60">
        <f>SUMIF('Sales Register'!C:C, A840, 'Sales Register'!D:D)</f>
        <v>1</v>
      </c>
      <c r="G840" s="60">
        <f t="shared" si="74"/>
        <v>10</v>
      </c>
      <c r="H840" s="60">
        <f t="shared" si="75"/>
        <v>6.666666666666667</v>
      </c>
      <c r="I840" s="60">
        <f t="shared" si="76"/>
        <v>3.333333333333333</v>
      </c>
      <c r="J840" s="60">
        <f t="shared" si="77"/>
        <v>0.33333333333333331</v>
      </c>
      <c r="K840" s="35" t="str">
        <f t="shared" si="64"/>
        <v>50%</v>
      </c>
      <c r="M840" s="30">
        <f t="shared" si="65"/>
        <v>0.49999999999999994</v>
      </c>
      <c r="N840" s="34">
        <f>VLOOKUP(A840, 'Stock Register'!A:F, 6, FALSE)</f>
        <v>11</v>
      </c>
    </row>
    <row r="841" spans="1:14" hidden="1" x14ac:dyDescent="0.25">
      <c r="A841" s="205" t="s">
        <v>1186</v>
      </c>
      <c r="D841" s="29">
        <f>SUMIF('Purchase Register'!C:C, A841, 'Purchase Register'!G:G)</f>
        <v>45</v>
      </c>
      <c r="E841" s="190">
        <v>60</v>
      </c>
      <c r="F841" s="60">
        <f>SUMIF('Sales Register'!C:C, A841, 'Sales Register'!D:D)</f>
        <v>0</v>
      </c>
      <c r="G841" s="60">
        <f t="shared" si="74"/>
        <v>0</v>
      </c>
      <c r="H841" s="60">
        <f t="shared" si="75"/>
        <v>0</v>
      </c>
      <c r="I841" s="60">
        <f t="shared" si="76"/>
        <v>0</v>
      </c>
      <c r="J841" s="60">
        <f t="shared" si="77"/>
        <v>0</v>
      </c>
      <c r="K841" s="35" t="str">
        <f t="shared" si="64"/>
        <v>33%</v>
      </c>
      <c r="M841" s="30">
        <f t="shared" si="65"/>
        <v>0.33333333333333331</v>
      </c>
      <c r="N841" s="34">
        <f>VLOOKUP(A841, 'Stock Register'!A:F, 6, FALSE)</f>
        <v>3</v>
      </c>
    </row>
    <row r="842" spans="1:14" hidden="1" x14ac:dyDescent="0.25">
      <c r="A842" s="205" t="s">
        <v>1187</v>
      </c>
      <c r="D842" s="29">
        <f>SUMIF('Purchase Register'!C:C, A842, 'Purchase Register'!G:G)</f>
        <v>7.5</v>
      </c>
      <c r="E842" s="190">
        <v>10</v>
      </c>
      <c r="F842" s="60">
        <f>SUMIF('Sales Register'!C:C, A842, 'Sales Register'!D:D)</f>
        <v>1</v>
      </c>
      <c r="G842" s="60">
        <f t="shared" si="74"/>
        <v>10</v>
      </c>
      <c r="H842" s="60">
        <f t="shared" si="75"/>
        <v>7.5</v>
      </c>
      <c r="I842" s="60">
        <f t="shared" si="76"/>
        <v>2.5</v>
      </c>
      <c r="J842" s="60">
        <f t="shared" si="77"/>
        <v>0.25</v>
      </c>
      <c r="K842" s="35" t="str">
        <f t="shared" si="64"/>
        <v>33%</v>
      </c>
      <c r="M842" s="30">
        <f t="shared" si="65"/>
        <v>0.33333333333333331</v>
      </c>
      <c r="N842" s="34">
        <f>VLOOKUP(A842, 'Stock Register'!A:F, 6, FALSE)</f>
        <v>23</v>
      </c>
    </row>
    <row r="843" spans="1:14" ht="30" hidden="1" x14ac:dyDescent="0.25">
      <c r="A843" s="205" t="s">
        <v>1188</v>
      </c>
      <c r="D843" s="29">
        <f>SUMIF('Purchase Register'!C:C, A843, 'Purchase Register'!G:G)</f>
        <v>10.833333333333334</v>
      </c>
      <c r="E843" s="190">
        <v>15</v>
      </c>
      <c r="F843" s="60">
        <f>SUMIF('Sales Register'!C:C, A843, 'Sales Register'!D:D)</f>
        <v>6</v>
      </c>
      <c r="G843" s="60">
        <f t="shared" si="74"/>
        <v>90</v>
      </c>
      <c r="H843" s="60">
        <f t="shared" si="75"/>
        <v>65</v>
      </c>
      <c r="I843" s="60">
        <f t="shared" si="76"/>
        <v>25</v>
      </c>
      <c r="J843" s="60">
        <f t="shared" si="77"/>
        <v>0.27777777777777779</v>
      </c>
      <c r="K843" s="35" t="str">
        <f t="shared" si="64"/>
        <v>38%</v>
      </c>
      <c r="M843" s="30">
        <f t="shared" si="65"/>
        <v>0.38461538461538453</v>
      </c>
      <c r="N843" s="34">
        <f>VLOOKUP(A843, 'Stock Register'!A:F, 6, FALSE)</f>
        <v>18</v>
      </c>
    </row>
    <row r="844" spans="1:14" hidden="1" x14ac:dyDescent="0.25">
      <c r="A844" s="205" t="s">
        <v>1189</v>
      </c>
      <c r="D844" s="29">
        <f>SUMIF('Purchase Register'!C:C, A844, 'Purchase Register'!G:G)</f>
        <v>52</v>
      </c>
      <c r="E844" s="190">
        <v>70</v>
      </c>
      <c r="F844" s="60">
        <f>SUMIF('Sales Register'!C:C, A844, 'Sales Register'!D:D)</f>
        <v>0</v>
      </c>
      <c r="G844" s="60">
        <f t="shared" si="74"/>
        <v>0</v>
      </c>
      <c r="H844" s="60">
        <f t="shared" si="75"/>
        <v>0</v>
      </c>
      <c r="I844" s="60">
        <f t="shared" si="76"/>
        <v>0</v>
      </c>
      <c r="J844" s="60">
        <f t="shared" si="77"/>
        <v>0</v>
      </c>
      <c r="K844" s="35" t="str">
        <f t="shared" si="64"/>
        <v>34%</v>
      </c>
      <c r="M844" s="30">
        <f t="shared" si="65"/>
        <v>0.34615384615384615</v>
      </c>
      <c r="N844" s="34">
        <f>VLOOKUP(A844, 'Stock Register'!A:F, 6, FALSE)</f>
        <v>3</v>
      </c>
    </row>
    <row r="845" spans="1:14" hidden="1" x14ac:dyDescent="0.25">
      <c r="A845" s="205" t="s">
        <v>1190</v>
      </c>
      <c r="D845" s="29">
        <f>SUMIF('Purchase Register'!C:C, A845, 'Purchase Register'!G:G)</f>
        <v>55</v>
      </c>
      <c r="E845" s="190">
        <v>75</v>
      </c>
      <c r="F845" s="60">
        <f>SUMIF('Sales Register'!C:C, A845, 'Sales Register'!D:D)</f>
        <v>0</v>
      </c>
      <c r="G845" s="60">
        <f t="shared" si="74"/>
        <v>0</v>
      </c>
      <c r="H845" s="60">
        <f t="shared" si="75"/>
        <v>0</v>
      </c>
      <c r="I845" s="60">
        <f t="shared" si="76"/>
        <v>0</v>
      </c>
      <c r="J845" s="60">
        <f t="shared" si="77"/>
        <v>0</v>
      </c>
      <c r="K845" s="35" t="str">
        <f t="shared" si="64"/>
        <v>36%</v>
      </c>
      <c r="M845" s="30">
        <f t="shared" si="65"/>
        <v>0.36363636363636365</v>
      </c>
      <c r="N845" s="34">
        <f>VLOOKUP(A845, 'Stock Register'!A:F, 6, FALSE)</f>
        <v>3</v>
      </c>
    </row>
    <row r="846" spans="1:14" ht="30" hidden="1" x14ac:dyDescent="0.25">
      <c r="A846" s="205" t="s">
        <v>1192</v>
      </c>
      <c r="D846" s="29">
        <f>SUMIF('Purchase Register'!C:C, A846, 'Purchase Register'!G:G)</f>
        <v>35</v>
      </c>
      <c r="E846" s="190">
        <v>50</v>
      </c>
      <c r="F846" s="60">
        <f>SUMIF('Sales Register'!C:C, A846, 'Sales Register'!D:D)</f>
        <v>0</v>
      </c>
      <c r="G846" s="60">
        <f t="shared" si="74"/>
        <v>0</v>
      </c>
      <c r="H846" s="60">
        <f t="shared" si="75"/>
        <v>0</v>
      </c>
      <c r="I846" s="60">
        <f t="shared" si="76"/>
        <v>0</v>
      </c>
      <c r="J846" s="60">
        <f t="shared" si="77"/>
        <v>0</v>
      </c>
      <c r="K846" s="35" t="str">
        <f t="shared" si="64"/>
        <v>42%</v>
      </c>
      <c r="M846" s="30">
        <f t="shared" si="65"/>
        <v>0.42857142857142855</v>
      </c>
      <c r="N846" s="34">
        <f>VLOOKUP(A846, 'Stock Register'!A:F, 6, FALSE)</f>
        <v>3</v>
      </c>
    </row>
    <row r="847" spans="1:14" ht="30" hidden="1" x14ac:dyDescent="0.25">
      <c r="A847" s="205" t="s">
        <v>1191</v>
      </c>
      <c r="D847" s="29">
        <f>SUMIF('Purchase Register'!C:C, A847, 'Purchase Register'!G:G)</f>
        <v>55</v>
      </c>
      <c r="E847" s="190">
        <v>75</v>
      </c>
      <c r="F847" s="60">
        <f>SUMIF('Sales Register'!C:C, A847, 'Sales Register'!D:D)</f>
        <v>1</v>
      </c>
      <c r="G847" s="60">
        <f t="shared" si="74"/>
        <v>75</v>
      </c>
      <c r="H847" s="60">
        <f t="shared" si="75"/>
        <v>55</v>
      </c>
      <c r="I847" s="60">
        <f t="shared" si="76"/>
        <v>20</v>
      </c>
      <c r="J847" s="60">
        <f t="shared" si="77"/>
        <v>0.26666666666666666</v>
      </c>
      <c r="K847" s="35" t="str">
        <f t="shared" si="64"/>
        <v>36%</v>
      </c>
      <c r="M847" s="30">
        <f t="shared" si="65"/>
        <v>0.36363636363636365</v>
      </c>
      <c r="N847" s="34">
        <f>VLOOKUP(A847, 'Stock Register'!A:F, 6, FALSE)</f>
        <v>2</v>
      </c>
    </row>
    <row r="848" spans="1:14" ht="30" hidden="1" x14ac:dyDescent="0.25">
      <c r="A848" s="205" t="s">
        <v>1193</v>
      </c>
      <c r="D848" s="29">
        <f>SUMIF('Purchase Register'!C:C, A848, 'Purchase Register'!G:G)</f>
        <v>13.333333333333334</v>
      </c>
      <c r="E848" s="190">
        <v>15</v>
      </c>
      <c r="F848" s="60">
        <f>SUMIF('Sales Register'!C:C, A848, 'Sales Register'!D:D)</f>
        <v>0</v>
      </c>
      <c r="G848" s="60">
        <f t="shared" si="74"/>
        <v>0</v>
      </c>
      <c r="H848" s="60">
        <f t="shared" si="75"/>
        <v>0</v>
      </c>
      <c r="I848" s="60">
        <f t="shared" si="76"/>
        <v>0</v>
      </c>
      <c r="J848" s="60">
        <f t="shared" si="77"/>
        <v>0</v>
      </c>
      <c r="K848" s="35" t="str">
        <f t="shared" si="64"/>
        <v>12%</v>
      </c>
      <c r="M848" s="30">
        <f t="shared" si="65"/>
        <v>0.12499999999999994</v>
      </c>
      <c r="N848" s="34">
        <f>VLOOKUP(A848, 'Stock Register'!A:F, 6, FALSE)</f>
        <v>12</v>
      </c>
    </row>
    <row r="849" spans="1:14" hidden="1" x14ac:dyDescent="0.25">
      <c r="A849" s="205" t="s">
        <v>1194</v>
      </c>
      <c r="D849" s="29">
        <f>SUMIF('Purchase Register'!C:C, A849, 'Purchase Register'!G:G)</f>
        <v>25</v>
      </c>
      <c r="E849" s="190">
        <v>30</v>
      </c>
      <c r="F849" s="60">
        <f>SUMIF('Sales Register'!C:C, A849, 'Sales Register'!D:D)</f>
        <v>0</v>
      </c>
      <c r="G849" s="60">
        <f t="shared" si="74"/>
        <v>0</v>
      </c>
      <c r="H849" s="60">
        <f t="shared" si="75"/>
        <v>0</v>
      </c>
      <c r="I849" s="60">
        <f t="shared" si="76"/>
        <v>0</v>
      </c>
      <c r="J849" s="60">
        <f t="shared" si="77"/>
        <v>0</v>
      </c>
      <c r="K849" s="35" t="str">
        <f t="shared" si="64"/>
        <v>20%</v>
      </c>
      <c r="M849" s="30">
        <f t="shared" si="65"/>
        <v>0.2</v>
      </c>
      <c r="N849" s="34">
        <f>VLOOKUP(A849, 'Stock Register'!A:F, 6, FALSE)</f>
        <v>12</v>
      </c>
    </row>
    <row r="850" spans="1:14" ht="30" hidden="1" x14ac:dyDescent="0.25">
      <c r="A850" s="205" t="s">
        <v>1195</v>
      </c>
      <c r="D850" s="29">
        <f>SUMIF('Purchase Register'!C:C, A850, 'Purchase Register'!G:G)</f>
        <v>23</v>
      </c>
      <c r="E850" s="190">
        <v>30</v>
      </c>
      <c r="F850" s="60">
        <f>SUMIF('Sales Register'!C:C, A850, 'Sales Register'!D:D)</f>
        <v>4</v>
      </c>
      <c r="G850" s="60">
        <f t="shared" si="74"/>
        <v>120</v>
      </c>
      <c r="H850" s="60">
        <f t="shared" si="75"/>
        <v>92</v>
      </c>
      <c r="I850" s="60">
        <f t="shared" si="76"/>
        <v>28</v>
      </c>
      <c r="J850" s="60">
        <f t="shared" si="77"/>
        <v>0.23333333333333334</v>
      </c>
      <c r="K850" s="35" t="str">
        <f t="shared" si="64"/>
        <v>30%</v>
      </c>
      <c r="M850" s="30">
        <f t="shared" si="65"/>
        <v>0.30434782608695654</v>
      </c>
      <c r="N850" s="34">
        <f>VLOOKUP(A850, 'Stock Register'!A:F, 6, FALSE)</f>
        <v>6</v>
      </c>
    </row>
    <row r="851" spans="1:14" s="75" customFormat="1" hidden="1" x14ac:dyDescent="0.25">
      <c r="A851" s="204" t="s">
        <v>1196</v>
      </c>
      <c r="B851" s="71"/>
      <c r="C851" s="71"/>
      <c r="D851" s="72">
        <f>SUMIF('Purchase Register'!C:C, A851, 'Purchase Register'!G:G)</f>
        <v>9</v>
      </c>
      <c r="E851" s="191">
        <v>10</v>
      </c>
      <c r="F851" s="74">
        <f>SUMIF('Sales Register'!C:C, A851, 'Sales Register'!D:D)</f>
        <v>3</v>
      </c>
      <c r="G851" s="74">
        <f t="shared" si="74"/>
        <v>30</v>
      </c>
      <c r="H851" s="74">
        <f t="shared" si="75"/>
        <v>27</v>
      </c>
      <c r="I851" s="74">
        <f t="shared" si="76"/>
        <v>3</v>
      </c>
      <c r="J851" s="74">
        <f t="shared" si="77"/>
        <v>0.1</v>
      </c>
      <c r="K851" s="134" t="str">
        <f t="shared" si="64"/>
        <v>11%</v>
      </c>
      <c r="L851" s="73"/>
      <c r="M851" s="99">
        <f t="shared" si="65"/>
        <v>0.1111111111111111</v>
      </c>
      <c r="N851" s="73">
        <f>VLOOKUP(A851, 'Stock Register'!A:F, 6, FALSE)</f>
        <v>27</v>
      </c>
    </row>
    <row r="852" spans="1:14" hidden="1" x14ac:dyDescent="0.25">
      <c r="A852" s="205" t="s">
        <v>1197</v>
      </c>
      <c r="D852" s="29">
        <f>SUMIF('Purchase Register'!C:C, A852, 'Purchase Register'!G:G)</f>
        <v>180</v>
      </c>
      <c r="E852" s="190">
        <v>200</v>
      </c>
      <c r="F852" s="60">
        <f>SUMIF('Sales Register'!C:C, A852, 'Sales Register'!D:D)</f>
        <v>0.2</v>
      </c>
      <c r="G852" s="60">
        <f t="shared" si="74"/>
        <v>40</v>
      </c>
      <c r="H852" s="60">
        <f t="shared" si="75"/>
        <v>36</v>
      </c>
      <c r="I852" s="60">
        <f t="shared" si="76"/>
        <v>4</v>
      </c>
      <c r="J852" s="60">
        <f t="shared" si="77"/>
        <v>0.1</v>
      </c>
      <c r="K852" s="35" t="str">
        <f t="shared" si="64"/>
        <v>11%</v>
      </c>
      <c r="M852" s="30">
        <f t="shared" si="65"/>
        <v>0.1111111111111111</v>
      </c>
      <c r="N852" s="34">
        <f>VLOOKUP(A852, 'Stock Register'!A:F, 6, FALSE)</f>
        <v>0.8</v>
      </c>
    </row>
    <row r="853" spans="1:14" hidden="1" x14ac:dyDescent="0.25">
      <c r="A853" s="205" t="s">
        <v>1198</v>
      </c>
      <c r="D853" s="29">
        <f>SUMIF('Purchase Register'!C:C, A853, 'Purchase Register'!G:G)</f>
        <v>6.25</v>
      </c>
      <c r="E853" s="190">
        <v>10</v>
      </c>
      <c r="F853" s="60">
        <f>SUMIF('Sales Register'!C:C, A853, 'Sales Register'!D:D)</f>
        <v>26</v>
      </c>
      <c r="G853" s="60">
        <f t="shared" si="74"/>
        <v>260</v>
      </c>
      <c r="H853" s="60">
        <f t="shared" si="75"/>
        <v>162.5</v>
      </c>
      <c r="I853" s="60">
        <f t="shared" si="76"/>
        <v>97.5</v>
      </c>
      <c r="J853" s="60">
        <f t="shared" si="77"/>
        <v>0.375</v>
      </c>
      <c r="K853" s="35" t="str">
        <f t="shared" si="64"/>
        <v>60%</v>
      </c>
      <c r="M853" s="30">
        <f t="shared" si="65"/>
        <v>0.6</v>
      </c>
      <c r="N853" s="34">
        <f>VLOOKUP(A853, 'Stock Register'!A:F, 6, FALSE)</f>
        <v>-2</v>
      </c>
    </row>
    <row r="854" spans="1:14" hidden="1" x14ac:dyDescent="0.25">
      <c r="A854" s="205" t="s">
        <v>1227</v>
      </c>
      <c r="D854" s="29">
        <f>SUMIF('Purchase Register'!C:C, A854, 'Purchase Register'!G:G)</f>
        <v>9.1666666666666661</v>
      </c>
      <c r="E854" s="190">
        <v>10</v>
      </c>
      <c r="F854" s="60">
        <f>SUMIF('Sales Register'!C:C, A854, 'Sales Register'!D:D)</f>
        <v>0</v>
      </c>
      <c r="G854" s="60">
        <f t="shared" si="74"/>
        <v>0</v>
      </c>
      <c r="H854" s="60">
        <f t="shared" si="75"/>
        <v>0</v>
      </c>
      <c r="I854" s="60">
        <f t="shared" si="76"/>
        <v>0</v>
      </c>
      <c r="J854" s="60">
        <f t="shared" si="77"/>
        <v>0</v>
      </c>
      <c r="K854" s="35" t="str">
        <f t="shared" si="64"/>
        <v>9%</v>
      </c>
      <c r="M854" s="30">
        <f t="shared" si="65"/>
        <v>9.0909090909090981E-2</v>
      </c>
      <c r="N854" s="34">
        <f>VLOOKUP(A854, 'Stock Register'!A:F, 6, FALSE)</f>
        <v>12</v>
      </c>
    </row>
    <row r="855" spans="1:14" hidden="1" x14ac:dyDescent="0.25">
      <c r="A855" s="205" t="s">
        <v>1228</v>
      </c>
      <c r="D855" s="29">
        <f>SUMIF('Purchase Register'!C:C, A855, 'Purchase Register'!G:G)</f>
        <v>13.333333333333334</v>
      </c>
      <c r="E855" s="190">
        <v>20</v>
      </c>
      <c r="F855" s="60">
        <f>SUMIF('Sales Register'!C:C, A855, 'Sales Register'!D:D)</f>
        <v>1</v>
      </c>
      <c r="G855" s="60">
        <f t="shared" si="74"/>
        <v>20</v>
      </c>
      <c r="H855" s="60">
        <f t="shared" si="75"/>
        <v>13.333333333333334</v>
      </c>
      <c r="I855" s="60">
        <f t="shared" si="76"/>
        <v>6.6666666666666661</v>
      </c>
      <c r="J855" s="60">
        <f t="shared" si="77"/>
        <v>0.33333333333333331</v>
      </c>
      <c r="K855" s="35" t="str">
        <f t="shared" si="64"/>
        <v>50%</v>
      </c>
      <c r="M855" s="30">
        <f t="shared" si="65"/>
        <v>0.49999999999999994</v>
      </c>
      <c r="N855" s="34">
        <f>VLOOKUP(A855, 'Stock Register'!A:F, 6, FALSE)</f>
        <v>11</v>
      </c>
    </row>
    <row r="856" spans="1:14" ht="30" hidden="1" x14ac:dyDescent="0.25">
      <c r="A856" s="205" t="s">
        <v>1229</v>
      </c>
      <c r="D856" s="29">
        <f>SUMIF('Purchase Register'!C:C, A856, 'Purchase Register'!G:G)</f>
        <v>37.5</v>
      </c>
      <c r="E856" s="190">
        <v>40</v>
      </c>
      <c r="F856" s="60">
        <f>SUMIF('Sales Register'!C:C, A856, 'Sales Register'!D:D)</f>
        <v>26</v>
      </c>
      <c r="G856" s="60">
        <f t="shared" si="74"/>
        <v>1040</v>
      </c>
      <c r="H856" s="60">
        <f t="shared" si="75"/>
        <v>975</v>
      </c>
      <c r="I856" s="60">
        <f t="shared" si="76"/>
        <v>65</v>
      </c>
      <c r="J856" s="60">
        <f t="shared" si="77"/>
        <v>6.25E-2</v>
      </c>
      <c r="K856" s="35" t="str">
        <f t="shared" si="64"/>
        <v>6%</v>
      </c>
      <c r="M856" s="30">
        <f t="shared" si="65"/>
        <v>6.6666666666666666E-2</v>
      </c>
      <c r="N856" s="34">
        <f>VLOOKUP(A856, 'Stock Register'!A:F, 6, FALSE)</f>
        <v>-2</v>
      </c>
    </row>
    <row r="857" spans="1:14" hidden="1" x14ac:dyDescent="0.25">
      <c r="A857" s="205" t="s">
        <v>1230</v>
      </c>
      <c r="D857" s="29">
        <f>SUMIF('Purchase Register'!C:C, A857, 'Purchase Register'!G:G)</f>
        <v>8.6666666666666661</v>
      </c>
      <c r="E857" s="190">
        <v>10</v>
      </c>
      <c r="F857" s="60">
        <f>SUMIF('Sales Register'!C:C, A857, 'Sales Register'!D:D)</f>
        <v>32</v>
      </c>
      <c r="G857" s="60">
        <f t="shared" si="74"/>
        <v>320</v>
      </c>
      <c r="H857" s="60">
        <f t="shared" si="75"/>
        <v>277.33333333333331</v>
      </c>
      <c r="I857" s="60">
        <f t="shared" si="76"/>
        <v>42.666666666666686</v>
      </c>
      <c r="J857" s="60">
        <f t="shared" si="77"/>
        <v>0.13333333333333339</v>
      </c>
      <c r="K857" s="35" t="str">
        <f t="shared" si="64"/>
        <v>15%</v>
      </c>
      <c r="M857" s="30">
        <f t="shared" si="65"/>
        <v>0.15384615384615394</v>
      </c>
      <c r="N857" s="34">
        <f>VLOOKUP(A857, 'Stock Register'!A:F, 6, FALSE)</f>
        <v>-2</v>
      </c>
    </row>
    <row r="858" spans="1:14" hidden="1" x14ac:dyDescent="0.25">
      <c r="A858" s="205" t="s">
        <v>1234</v>
      </c>
      <c r="D858" s="29">
        <f>SUMIF('Purchase Register'!C:C, A858, 'Purchase Register'!G:G)</f>
        <v>55</v>
      </c>
      <c r="E858" s="190">
        <v>60</v>
      </c>
      <c r="F858" s="60">
        <f>SUMIF('Sales Register'!C:C, A858, 'Sales Register'!D:D)</f>
        <v>8.782</v>
      </c>
      <c r="G858" s="60">
        <f t="shared" si="74"/>
        <v>526.91999999999996</v>
      </c>
      <c r="H858" s="60">
        <f t="shared" si="75"/>
        <v>483.01</v>
      </c>
      <c r="I858" s="60">
        <f t="shared" si="76"/>
        <v>43.909999999999968</v>
      </c>
      <c r="J858" s="60">
        <f t="shared" si="77"/>
        <v>8.3333333333333273E-2</v>
      </c>
      <c r="K858" s="35" t="str">
        <f t="shared" si="64"/>
        <v>9%</v>
      </c>
      <c r="M858" s="30">
        <f t="shared" si="65"/>
        <v>9.0909090909090912E-2</v>
      </c>
      <c r="N858" s="34">
        <f>VLOOKUP(A858, 'Stock Register'!A:F, 6, FALSE)</f>
        <v>-3.782</v>
      </c>
    </row>
    <row r="859" spans="1:14" hidden="1" x14ac:dyDescent="0.25">
      <c r="A859" s="205" t="s">
        <v>1231</v>
      </c>
      <c r="D859" s="29">
        <f>SUMIF('Purchase Register'!C:C, A859, 'Purchase Register'!G:G)</f>
        <v>18</v>
      </c>
      <c r="E859" s="190">
        <v>25</v>
      </c>
      <c r="F859" s="60">
        <f>SUMIF('Sales Register'!C:C, A859, 'Sales Register'!D:D)</f>
        <v>17.400000000000006</v>
      </c>
      <c r="G859" s="60">
        <f t="shared" si="74"/>
        <v>435.00000000000011</v>
      </c>
      <c r="H859" s="60">
        <f t="shared" si="75"/>
        <v>313.2000000000001</v>
      </c>
      <c r="I859" s="60">
        <f t="shared" si="76"/>
        <v>121.80000000000001</v>
      </c>
      <c r="J859" s="60">
        <f t="shared" si="77"/>
        <v>0.27999999999999997</v>
      </c>
      <c r="K859" s="35" t="str">
        <f t="shared" si="64"/>
        <v>38%</v>
      </c>
      <c r="M859" s="30">
        <f t="shared" si="65"/>
        <v>0.3888888888888889</v>
      </c>
      <c r="N859" s="34">
        <f>VLOOKUP(A859, 'Stock Register'!A:F, 6, FALSE)</f>
        <v>-7.4000000000000057</v>
      </c>
    </row>
    <row r="860" spans="1:14" s="75" customFormat="1" ht="30" hidden="1" x14ac:dyDescent="0.25">
      <c r="A860" s="204" t="s">
        <v>1232</v>
      </c>
      <c r="B860" s="71"/>
      <c r="C860" s="71"/>
      <c r="D860" s="72">
        <f>SUMIF('Purchase Register'!C:C, A860, 'Purchase Register'!G:G)</f>
        <v>33.333333333333336</v>
      </c>
      <c r="E860" s="191">
        <v>45</v>
      </c>
      <c r="F860" s="74">
        <f>SUMIF('Sales Register'!C:C, A860, 'Sales Register'!D:D)</f>
        <v>6</v>
      </c>
      <c r="G860" s="74">
        <f t="shared" si="74"/>
        <v>270</v>
      </c>
      <c r="H860" s="74">
        <f t="shared" si="75"/>
        <v>200</v>
      </c>
      <c r="I860" s="74">
        <f t="shared" si="76"/>
        <v>70</v>
      </c>
      <c r="J860" s="74">
        <f t="shared" si="77"/>
        <v>0.25925925925925924</v>
      </c>
      <c r="K860" s="134" t="str">
        <f t="shared" si="64"/>
        <v>35%</v>
      </c>
      <c r="L860" s="73"/>
      <c r="M860" s="99">
        <f t="shared" si="65"/>
        <v>0.34999999999999992</v>
      </c>
      <c r="N860" s="73">
        <f>VLOOKUP(A860, 'Stock Register'!A:F, 6, FALSE)</f>
        <v>-3</v>
      </c>
    </row>
    <row r="861" spans="1:14" hidden="1" x14ac:dyDescent="0.25">
      <c r="A861" s="205" t="s">
        <v>1233</v>
      </c>
      <c r="D861" s="29">
        <f>SUMIF('Purchase Register'!C:C, A861, 'Purchase Register'!G:G)</f>
        <v>38</v>
      </c>
      <c r="E861" s="190">
        <v>45</v>
      </c>
      <c r="F861" s="60">
        <f>SUMIF('Sales Register'!C:C, A861, 'Sales Register'!D:D)</f>
        <v>4.3550000000000004</v>
      </c>
      <c r="G861" s="60">
        <f t="shared" si="74"/>
        <v>195.97500000000002</v>
      </c>
      <c r="H861" s="60">
        <f t="shared" si="75"/>
        <v>165.49</v>
      </c>
      <c r="I861" s="60">
        <f t="shared" si="76"/>
        <v>30.485000000000014</v>
      </c>
      <c r="J861" s="60">
        <f t="shared" si="77"/>
        <v>0.15555555555555561</v>
      </c>
      <c r="K861" s="35" t="str">
        <f t="shared" si="64"/>
        <v>18%</v>
      </c>
      <c r="M861" s="30">
        <f t="shared" si="65"/>
        <v>0.18421052631578946</v>
      </c>
      <c r="N861" s="34">
        <f>VLOOKUP(A861, 'Stock Register'!A:F, 6, FALSE)</f>
        <v>0.64499999999999957</v>
      </c>
    </row>
    <row r="862" spans="1:14" hidden="1" x14ac:dyDescent="0.25">
      <c r="A862" s="205" t="s">
        <v>1235</v>
      </c>
      <c r="D862" s="29">
        <f>SUMIF('Purchase Register'!C:C, A862, 'Purchase Register'!G:G)</f>
        <v>5.7</v>
      </c>
      <c r="E862" s="190">
        <v>10</v>
      </c>
      <c r="F862" s="60">
        <f>SUMIF('Sales Register'!C:C, A862, 'Sales Register'!D:D)</f>
        <v>0</v>
      </c>
      <c r="G862" s="60">
        <f t="shared" si="74"/>
        <v>0</v>
      </c>
      <c r="H862" s="60">
        <f t="shared" si="75"/>
        <v>0</v>
      </c>
      <c r="I862" s="60">
        <f t="shared" si="76"/>
        <v>0</v>
      </c>
      <c r="J862" s="60">
        <f t="shared" si="77"/>
        <v>0</v>
      </c>
      <c r="K862" s="35" t="str">
        <f t="shared" si="64"/>
        <v>75%</v>
      </c>
      <c r="M862" s="30">
        <f t="shared" si="65"/>
        <v>0.7543859649122806</v>
      </c>
      <c r="N862" s="34">
        <f>VLOOKUP(A862, 'Stock Register'!A:F, 6, FALSE)</f>
        <v>10</v>
      </c>
    </row>
    <row r="863" spans="1:14" hidden="1" x14ac:dyDescent="0.25">
      <c r="A863" s="205" t="s">
        <v>1236</v>
      </c>
      <c r="D863" s="29">
        <f>SUMIF('Purchase Register'!C:C, A863, 'Purchase Register'!G:G)</f>
        <v>8.5549999999999997</v>
      </c>
      <c r="E863" s="190">
        <v>15</v>
      </c>
      <c r="F863" s="60">
        <f>SUMIF('Sales Register'!C:C, A863, 'Sales Register'!D:D)</f>
        <v>0</v>
      </c>
      <c r="G863" s="60">
        <f t="shared" si="74"/>
        <v>0</v>
      </c>
      <c r="H863" s="60">
        <f t="shared" si="75"/>
        <v>0</v>
      </c>
      <c r="I863" s="60">
        <f t="shared" si="76"/>
        <v>0</v>
      </c>
      <c r="J863" s="60">
        <f t="shared" si="77"/>
        <v>0</v>
      </c>
      <c r="K863" s="35" t="str">
        <f t="shared" si="64"/>
        <v>75%</v>
      </c>
      <c r="M863" s="30">
        <f t="shared" si="65"/>
        <v>0.75336060783167746</v>
      </c>
      <c r="N863" s="34">
        <f>VLOOKUP(A863, 'Stock Register'!A:F, 6, FALSE)</f>
        <v>10</v>
      </c>
    </row>
    <row r="864" spans="1:14" ht="30" hidden="1" x14ac:dyDescent="0.25">
      <c r="A864" s="205" t="s">
        <v>1237</v>
      </c>
      <c r="D864" s="29">
        <f>SUMIF('Purchase Register'!C:C, A864, 'Purchase Register'!G:G)</f>
        <v>5.7</v>
      </c>
      <c r="E864" s="190">
        <v>10</v>
      </c>
      <c r="F864" s="60">
        <f>SUMIF('Sales Register'!C:C, A864, 'Sales Register'!D:D)</f>
        <v>0</v>
      </c>
      <c r="G864" s="60">
        <f t="shared" si="74"/>
        <v>0</v>
      </c>
      <c r="H864" s="60">
        <f t="shared" si="75"/>
        <v>0</v>
      </c>
      <c r="I864" s="60">
        <f t="shared" si="76"/>
        <v>0</v>
      </c>
      <c r="J864" s="60">
        <f t="shared" si="77"/>
        <v>0</v>
      </c>
      <c r="K864" s="35" t="str">
        <f t="shared" si="64"/>
        <v>75%</v>
      </c>
      <c r="M864" s="30">
        <f t="shared" si="65"/>
        <v>0.7543859649122806</v>
      </c>
      <c r="N864" s="34">
        <f>VLOOKUP(A864, 'Stock Register'!A:F, 6, FALSE)</f>
        <v>30</v>
      </c>
    </row>
    <row r="865" spans="1:14" ht="30" hidden="1" x14ac:dyDescent="0.25">
      <c r="A865" s="205" t="s">
        <v>1238</v>
      </c>
      <c r="D865" s="29">
        <f>SUMIF('Purchase Register'!C:C, A865, 'Purchase Register'!G:G)</f>
        <v>5.7</v>
      </c>
      <c r="E865" s="190">
        <v>10</v>
      </c>
      <c r="F865" s="60">
        <f>SUMIF('Sales Register'!C:C, A865, 'Sales Register'!D:D)</f>
        <v>2</v>
      </c>
      <c r="G865" s="60">
        <f t="shared" si="74"/>
        <v>20</v>
      </c>
      <c r="H865" s="60">
        <f t="shared" si="75"/>
        <v>11.4</v>
      </c>
      <c r="I865" s="60">
        <f t="shared" si="76"/>
        <v>8.6</v>
      </c>
      <c r="J865" s="60">
        <f t="shared" si="77"/>
        <v>0.43</v>
      </c>
      <c r="K865" s="35" t="str">
        <f t="shared" si="64"/>
        <v>75%</v>
      </c>
      <c r="M865" s="30">
        <f t="shared" si="65"/>
        <v>0.7543859649122806</v>
      </c>
      <c r="N865" s="34">
        <f>VLOOKUP(A865, 'Stock Register'!A:F, 6, FALSE)</f>
        <v>28</v>
      </c>
    </row>
    <row r="866" spans="1:14" ht="30" hidden="1" x14ac:dyDescent="0.25">
      <c r="A866" s="205" t="s">
        <v>1239</v>
      </c>
      <c r="D866" s="29">
        <f>SUMIF('Purchase Register'!C:C, A866, 'Purchase Register'!G:G)</f>
        <v>6.3666666666666663</v>
      </c>
      <c r="E866" s="190">
        <v>10</v>
      </c>
      <c r="F866" s="60">
        <f>SUMIF('Sales Register'!C:C, A866, 'Sales Register'!D:D)</f>
        <v>0</v>
      </c>
      <c r="G866" s="60">
        <f t="shared" si="74"/>
        <v>0</v>
      </c>
      <c r="H866" s="60">
        <f t="shared" si="75"/>
        <v>0</v>
      </c>
      <c r="I866" s="60">
        <f t="shared" si="76"/>
        <v>0</v>
      </c>
      <c r="J866" s="60">
        <f t="shared" si="77"/>
        <v>0</v>
      </c>
      <c r="K866" s="35" t="str">
        <f t="shared" si="64"/>
        <v>57%</v>
      </c>
      <c r="M866" s="30">
        <f t="shared" si="65"/>
        <v>0.57068062827225141</v>
      </c>
      <c r="N866" s="34">
        <f>VLOOKUP(A866, 'Stock Register'!A:F, 6, FALSE)</f>
        <v>30</v>
      </c>
    </row>
    <row r="867" spans="1:14" hidden="1" x14ac:dyDescent="0.25">
      <c r="A867" s="205" t="s">
        <v>1240</v>
      </c>
      <c r="D867" s="29">
        <f>SUMIF('Purchase Register'!C:C, A867, 'Purchase Register'!G:G)</f>
        <v>6.3666666666666663</v>
      </c>
      <c r="E867" s="190">
        <v>10</v>
      </c>
      <c r="F867" s="60">
        <f>SUMIF('Sales Register'!C:C, A867, 'Sales Register'!D:D)</f>
        <v>0</v>
      </c>
      <c r="G867" s="60">
        <f t="shared" si="74"/>
        <v>0</v>
      </c>
      <c r="H867" s="60">
        <f t="shared" si="75"/>
        <v>0</v>
      </c>
      <c r="I867" s="60">
        <f t="shared" si="76"/>
        <v>0</v>
      </c>
      <c r="J867" s="60">
        <f t="shared" si="77"/>
        <v>0</v>
      </c>
      <c r="K867" s="35" t="str">
        <f t="shared" si="64"/>
        <v>57%</v>
      </c>
      <c r="M867" s="30">
        <f t="shared" si="65"/>
        <v>0.57068062827225141</v>
      </c>
      <c r="N867" s="34">
        <f>VLOOKUP(A867, 'Stock Register'!A:F, 6, FALSE)</f>
        <v>30</v>
      </c>
    </row>
    <row r="868" spans="1:14" hidden="1" x14ac:dyDescent="0.25">
      <c r="A868" s="205" t="s">
        <v>1241</v>
      </c>
      <c r="D868" s="29">
        <f>SUMIF('Purchase Register'!C:C, A868, 'Purchase Register'!G:G)</f>
        <v>6.3666666666666663</v>
      </c>
      <c r="E868" s="190">
        <v>10</v>
      </c>
      <c r="F868" s="60">
        <f>SUMIF('Sales Register'!C:C, A868, 'Sales Register'!D:D)</f>
        <v>0</v>
      </c>
      <c r="G868" s="60">
        <f t="shared" si="74"/>
        <v>0</v>
      </c>
      <c r="H868" s="60">
        <f t="shared" si="75"/>
        <v>0</v>
      </c>
      <c r="I868" s="60">
        <f t="shared" si="76"/>
        <v>0</v>
      </c>
      <c r="J868" s="60">
        <f t="shared" si="77"/>
        <v>0</v>
      </c>
      <c r="K868" s="35" t="str">
        <f t="shared" si="64"/>
        <v>57%</v>
      </c>
      <c r="M868" s="30">
        <f t="shared" si="65"/>
        <v>0.57068062827225141</v>
      </c>
      <c r="N868" s="34">
        <f>VLOOKUP(A868, 'Stock Register'!A:F, 6, FALSE)</f>
        <v>30</v>
      </c>
    </row>
    <row r="869" spans="1:14" ht="30" hidden="1" x14ac:dyDescent="0.25">
      <c r="A869" s="205" t="s">
        <v>1242</v>
      </c>
      <c r="D869" s="29">
        <f>SUMIF('Purchase Register'!C:C, A869, 'Purchase Register'!G:G)</f>
        <v>6.3666666666666663</v>
      </c>
      <c r="E869" s="190">
        <v>10</v>
      </c>
      <c r="F869" s="60">
        <f>SUMIF('Sales Register'!C:C, A869, 'Sales Register'!D:D)</f>
        <v>0</v>
      </c>
      <c r="G869" s="60">
        <f t="shared" si="74"/>
        <v>0</v>
      </c>
      <c r="H869" s="60">
        <f t="shared" si="75"/>
        <v>0</v>
      </c>
      <c r="I869" s="60">
        <f t="shared" si="76"/>
        <v>0</v>
      </c>
      <c r="J869" s="60">
        <f t="shared" si="77"/>
        <v>0</v>
      </c>
      <c r="K869" s="35" t="str">
        <f t="shared" si="64"/>
        <v>57%</v>
      </c>
      <c r="M869" s="30">
        <f t="shared" si="65"/>
        <v>0.57068062827225141</v>
      </c>
      <c r="N869" s="34">
        <f>VLOOKUP(A869, 'Stock Register'!A:F, 6, FALSE)</f>
        <v>30</v>
      </c>
    </row>
    <row r="870" spans="1:14" ht="30" hidden="1" x14ac:dyDescent="0.25">
      <c r="A870" s="205" t="s">
        <v>1243</v>
      </c>
      <c r="D870" s="29">
        <f>SUMIF('Purchase Register'!C:C, A870, 'Purchase Register'!G:G)</f>
        <v>7</v>
      </c>
      <c r="E870" s="190">
        <v>10</v>
      </c>
      <c r="F870" s="60">
        <f>SUMIF('Sales Register'!C:C, A870, 'Sales Register'!D:D)</f>
        <v>19</v>
      </c>
      <c r="G870" s="60">
        <f t="shared" si="74"/>
        <v>190</v>
      </c>
      <c r="H870" s="60">
        <f t="shared" si="75"/>
        <v>133</v>
      </c>
      <c r="I870" s="60">
        <f t="shared" si="76"/>
        <v>57</v>
      </c>
      <c r="J870" s="60">
        <f t="shared" si="77"/>
        <v>0.3</v>
      </c>
      <c r="K870" s="35" t="str">
        <f t="shared" si="64"/>
        <v>42%</v>
      </c>
      <c r="M870" s="30">
        <f t="shared" si="65"/>
        <v>0.42857142857142855</v>
      </c>
      <c r="N870" s="34">
        <f>VLOOKUP(A870, 'Stock Register'!A:F, 6, FALSE)</f>
        <v>1</v>
      </c>
    </row>
    <row r="871" spans="1:14" hidden="1" x14ac:dyDescent="0.25">
      <c r="A871" s="205" t="s">
        <v>1244</v>
      </c>
      <c r="D871" s="29">
        <f>SUMIF('Purchase Register'!C:C, A871, 'Purchase Register'!G:G)</f>
        <v>25</v>
      </c>
      <c r="E871" s="190">
        <v>30</v>
      </c>
      <c r="F871" s="60">
        <f>SUMIF('Sales Register'!C:C, A871, 'Sales Register'!D:D)</f>
        <v>4</v>
      </c>
      <c r="G871" s="60">
        <f t="shared" si="74"/>
        <v>120</v>
      </c>
      <c r="H871" s="60">
        <f t="shared" si="75"/>
        <v>100</v>
      </c>
      <c r="I871" s="60">
        <f t="shared" si="76"/>
        <v>20</v>
      </c>
      <c r="J871" s="60">
        <f t="shared" si="77"/>
        <v>0.16666666666666666</v>
      </c>
      <c r="K871" s="35" t="str">
        <f t="shared" si="64"/>
        <v>20%</v>
      </c>
      <c r="M871" s="30">
        <f t="shared" si="65"/>
        <v>0.2</v>
      </c>
      <c r="N871" s="34">
        <f>VLOOKUP(A871, 'Stock Register'!A:F, 6, FALSE)</f>
        <v>2</v>
      </c>
    </row>
    <row r="872" spans="1:14" hidden="1" x14ac:dyDescent="0.25">
      <c r="A872" s="205" t="s">
        <v>1253</v>
      </c>
      <c r="D872" s="29">
        <f>SUMIF('Purchase Register'!C:C, A872, 'Purchase Register'!G:G)</f>
        <v>4.3888888888888893</v>
      </c>
      <c r="E872" s="190">
        <v>5</v>
      </c>
      <c r="F872" s="60">
        <f>SUMIF('Sales Register'!C:C, A872, 'Sales Register'!D:D)</f>
        <v>45</v>
      </c>
      <c r="G872" s="60">
        <f t="shared" si="74"/>
        <v>225</v>
      </c>
      <c r="H872" s="60">
        <f t="shared" si="75"/>
        <v>197.50000000000003</v>
      </c>
      <c r="I872" s="60">
        <f t="shared" si="76"/>
        <v>27.499999999999972</v>
      </c>
      <c r="J872" s="60">
        <f t="shared" si="77"/>
        <v>0.12222222222222209</v>
      </c>
      <c r="K872" s="35" t="str">
        <f t="shared" si="64"/>
        <v>13%</v>
      </c>
      <c r="M872" s="30">
        <f t="shared" si="65"/>
        <v>0.13924050632911383</v>
      </c>
      <c r="N872" s="34">
        <f>VLOOKUP(A872, 'Stock Register'!A:F, 6, FALSE)</f>
        <v>63</v>
      </c>
    </row>
    <row r="873" spans="1:14" hidden="1" x14ac:dyDescent="0.25">
      <c r="A873" s="205" t="s">
        <v>1252</v>
      </c>
      <c r="D873" s="29">
        <f>SUMIF('Purchase Register'!C:C, A873, 'Purchase Register'!G:G)</f>
        <v>4.166666666666667</v>
      </c>
      <c r="E873" s="190">
        <v>5</v>
      </c>
      <c r="F873" s="60">
        <f>SUMIF('Sales Register'!C:C, A873, 'Sales Register'!D:D)</f>
        <v>58</v>
      </c>
      <c r="G873" s="60">
        <f t="shared" si="74"/>
        <v>290</v>
      </c>
      <c r="H873" s="60">
        <f t="shared" si="75"/>
        <v>241.66666666666669</v>
      </c>
      <c r="I873" s="60">
        <f t="shared" si="76"/>
        <v>48.333333333333314</v>
      </c>
      <c r="J873" s="60">
        <f t="shared" si="77"/>
        <v>0.1666666666666666</v>
      </c>
      <c r="K873" s="35" t="str">
        <f t="shared" si="64"/>
        <v>20%</v>
      </c>
      <c r="M873" s="30">
        <f t="shared" si="65"/>
        <v>0.19999999999999993</v>
      </c>
      <c r="N873" s="34">
        <f>VLOOKUP(A873, 'Stock Register'!A:F, 6, FALSE)</f>
        <v>-22</v>
      </c>
    </row>
    <row r="874" spans="1:14" hidden="1" x14ac:dyDescent="0.25">
      <c r="A874" s="205" t="s">
        <v>1254</v>
      </c>
      <c r="D874" s="29">
        <f>SUMIF('Purchase Register'!C:C, A874, 'Purchase Register'!G:G)</f>
        <v>8.5</v>
      </c>
      <c r="E874" s="190">
        <v>10</v>
      </c>
      <c r="F874" s="60">
        <f>SUMIF('Sales Register'!C:C, A874, 'Sales Register'!D:D)</f>
        <v>25</v>
      </c>
      <c r="G874" s="60">
        <f t="shared" si="74"/>
        <v>250</v>
      </c>
      <c r="H874" s="60">
        <f t="shared" si="75"/>
        <v>212.5</v>
      </c>
      <c r="I874" s="60">
        <f t="shared" si="76"/>
        <v>37.5</v>
      </c>
      <c r="J874" s="60">
        <f t="shared" si="77"/>
        <v>0.15</v>
      </c>
      <c r="K874" s="35" t="str">
        <f t="shared" si="64"/>
        <v>17%</v>
      </c>
      <c r="M874" s="30">
        <f t="shared" si="65"/>
        <v>0.17647058823529413</v>
      </c>
      <c r="N874" s="34">
        <f>VLOOKUP(A874, 'Stock Register'!A:F, 6, FALSE)</f>
        <v>15</v>
      </c>
    </row>
    <row r="875" spans="1:14" s="75" customFormat="1" ht="30" hidden="1" x14ac:dyDescent="0.25">
      <c r="A875" s="204" t="s">
        <v>1255</v>
      </c>
      <c r="B875" s="71"/>
      <c r="C875" s="71"/>
      <c r="D875" s="72">
        <f>SUMIF('Purchase Register'!C:C, A875, 'Purchase Register'!G:G)</f>
        <v>8.75</v>
      </c>
      <c r="E875" s="191">
        <v>10</v>
      </c>
      <c r="F875" s="74">
        <f>SUMIF('Sales Register'!C:C, A875, 'Sales Register'!D:D)</f>
        <v>24</v>
      </c>
      <c r="G875" s="74">
        <f t="shared" si="74"/>
        <v>240</v>
      </c>
      <c r="H875" s="74">
        <f t="shared" si="75"/>
        <v>210</v>
      </c>
      <c r="I875" s="74">
        <f t="shared" si="76"/>
        <v>30</v>
      </c>
      <c r="J875" s="74">
        <f t="shared" si="77"/>
        <v>0.125</v>
      </c>
      <c r="K875" s="134" t="str">
        <f t="shared" si="64"/>
        <v>14%</v>
      </c>
      <c r="L875" s="73"/>
      <c r="M875" s="99">
        <f t="shared" si="65"/>
        <v>0.14285714285714285</v>
      </c>
      <c r="N875" s="73">
        <f>VLOOKUP(A875, 'Stock Register'!A:F, 6, FALSE)</f>
        <v>0</v>
      </c>
    </row>
    <row r="876" spans="1:14" ht="30" hidden="1" x14ac:dyDescent="0.25">
      <c r="A876" s="205" t="s">
        <v>1256</v>
      </c>
      <c r="D876" s="29">
        <f>SUMIF('Purchase Register'!C:C, A876, 'Purchase Register'!G:G)</f>
        <v>8.75</v>
      </c>
      <c r="E876" s="190">
        <v>10</v>
      </c>
      <c r="F876" s="60">
        <f>SUMIF('Sales Register'!C:C, A876, 'Sales Register'!D:D)</f>
        <v>15</v>
      </c>
      <c r="G876" s="60">
        <f t="shared" si="74"/>
        <v>150</v>
      </c>
      <c r="H876" s="60">
        <f t="shared" si="75"/>
        <v>131.25</v>
      </c>
      <c r="I876" s="60">
        <f t="shared" si="76"/>
        <v>18.75</v>
      </c>
      <c r="J876" s="60">
        <f t="shared" si="77"/>
        <v>0.125</v>
      </c>
      <c r="K876" s="35" t="str">
        <f t="shared" si="64"/>
        <v>14%</v>
      </c>
      <c r="M876" s="30">
        <f t="shared" si="65"/>
        <v>0.14285714285714285</v>
      </c>
      <c r="N876" s="34">
        <f>VLOOKUP(A876, 'Stock Register'!A:F, 6, FALSE)</f>
        <v>9</v>
      </c>
    </row>
    <row r="877" spans="1:14" ht="30" hidden="1" x14ac:dyDescent="0.25">
      <c r="A877" s="205" t="s">
        <v>1257</v>
      </c>
      <c r="D877" s="29">
        <f>SUMIF('Purchase Register'!C:C, A877, 'Purchase Register'!G:G)</f>
        <v>45</v>
      </c>
      <c r="E877" s="190">
        <v>50</v>
      </c>
      <c r="F877" s="60">
        <f>SUMIF('Sales Register'!C:C, A877, 'Sales Register'!D:D)</f>
        <v>4</v>
      </c>
      <c r="G877" s="60">
        <f t="shared" si="74"/>
        <v>200</v>
      </c>
      <c r="H877" s="60">
        <f t="shared" si="75"/>
        <v>180</v>
      </c>
      <c r="I877" s="60">
        <f t="shared" si="76"/>
        <v>20</v>
      </c>
      <c r="J877" s="60">
        <f t="shared" si="77"/>
        <v>0.1</v>
      </c>
      <c r="K877" s="35" t="str">
        <f t="shared" si="64"/>
        <v>11%</v>
      </c>
      <c r="M877" s="30">
        <f t="shared" si="65"/>
        <v>0.1111111111111111</v>
      </c>
      <c r="N877" s="34">
        <f>VLOOKUP(A877, 'Stock Register'!A:F, 6, FALSE)</f>
        <v>0</v>
      </c>
    </row>
    <row r="878" spans="1:14" hidden="1" x14ac:dyDescent="0.25">
      <c r="A878" s="205" t="s">
        <v>1258</v>
      </c>
      <c r="D878" s="29">
        <f>SUMIF('Purchase Register'!C:C, A878, 'Purchase Register'!G:G)</f>
        <v>8.75</v>
      </c>
      <c r="E878" s="190">
        <v>10</v>
      </c>
      <c r="F878" s="60">
        <f>SUMIF('Sales Register'!C:C, A878, 'Sales Register'!D:D)</f>
        <v>10</v>
      </c>
      <c r="G878" s="60">
        <f t="shared" si="74"/>
        <v>100</v>
      </c>
      <c r="H878" s="60">
        <f t="shared" si="75"/>
        <v>87.5</v>
      </c>
      <c r="I878" s="60">
        <f t="shared" si="76"/>
        <v>12.5</v>
      </c>
      <c r="J878" s="60">
        <f t="shared" si="77"/>
        <v>0.125</v>
      </c>
      <c r="K878" s="35" t="str">
        <f t="shared" si="64"/>
        <v>14%</v>
      </c>
      <c r="M878" s="30">
        <f t="shared" si="65"/>
        <v>0.14285714285714285</v>
      </c>
      <c r="N878" s="34">
        <f>VLOOKUP(A878, 'Stock Register'!A:F, 6, FALSE)</f>
        <v>2</v>
      </c>
    </row>
    <row r="879" spans="1:14" ht="30" hidden="1" x14ac:dyDescent="0.25">
      <c r="A879" s="205" t="s">
        <v>1259</v>
      </c>
      <c r="D879" s="29">
        <f>SUMIF('Purchase Register'!C:C, A879, 'Purchase Register'!G:G)</f>
        <v>9</v>
      </c>
      <c r="E879" s="190">
        <v>10</v>
      </c>
      <c r="F879" s="60">
        <f>SUMIF('Sales Register'!C:C, A879, 'Sales Register'!D:D)</f>
        <v>13</v>
      </c>
      <c r="G879" s="60">
        <f t="shared" si="74"/>
        <v>130</v>
      </c>
      <c r="H879" s="60">
        <f t="shared" si="75"/>
        <v>117</v>
      </c>
      <c r="I879" s="60">
        <f t="shared" si="76"/>
        <v>13</v>
      </c>
      <c r="J879" s="60">
        <f t="shared" si="77"/>
        <v>0.1</v>
      </c>
      <c r="K879" s="35" t="str">
        <f t="shared" si="64"/>
        <v>11%</v>
      </c>
      <c r="M879" s="30">
        <f t="shared" si="65"/>
        <v>0.1111111111111111</v>
      </c>
      <c r="N879" s="34">
        <f>VLOOKUP(A879, 'Stock Register'!A:F, 6, FALSE)</f>
        <v>7</v>
      </c>
    </row>
    <row r="880" spans="1:14" hidden="1" x14ac:dyDescent="0.25">
      <c r="A880" s="205" t="s">
        <v>1260</v>
      </c>
      <c r="D880" s="29">
        <f>SUMIF('Purchase Register'!C:C, A880, 'Purchase Register'!G:G)</f>
        <v>4.333333333333333</v>
      </c>
      <c r="E880" s="190">
        <v>5</v>
      </c>
      <c r="F880" s="60">
        <f>SUMIF('Sales Register'!C:C, A880, 'Sales Register'!D:D)</f>
        <v>49</v>
      </c>
      <c r="G880" s="60">
        <f t="shared" si="74"/>
        <v>245</v>
      </c>
      <c r="H880" s="60">
        <f t="shared" si="75"/>
        <v>212.33333333333331</v>
      </c>
      <c r="I880" s="60">
        <f t="shared" si="76"/>
        <v>32.666666666666686</v>
      </c>
      <c r="J880" s="60">
        <f t="shared" si="77"/>
        <v>0.13333333333333341</v>
      </c>
      <c r="K880" s="35" t="str">
        <f t="shared" si="64"/>
        <v>15%</v>
      </c>
      <c r="M880" s="30">
        <f t="shared" si="65"/>
        <v>0.15384615384615394</v>
      </c>
      <c r="N880" s="34">
        <f>VLOOKUP(A880, 'Stock Register'!A:F, 6, FALSE)</f>
        <v>11</v>
      </c>
    </row>
    <row r="881" spans="1:14" hidden="1" x14ac:dyDescent="0.25">
      <c r="A881" s="205" t="s">
        <v>1261</v>
      </c>
      <c r="D881" s="29">
        <f>SUMIF('Purchase Register'!C:C, A881, 'Purchase Register'!G:G)</f>
        <v>9</v>
      </c>
      <c r="E881" s="190">
        <v>10</v>
      </c>
      <c r="F881" s="60">
        <f>SUMIF('Sales Register'!C:C, A881, 'Sales Register'!D:D)</f>
        <v>17</v>
      </c>
      <c r="G881" s="60">
        <f t="shared" si="74"/>
        <v>170</v>
      </c>
      <c r="H881" s="60">
        <f t="shared" si="75"/>
        <v>153</v>
      </c>
      <c r="I881" s="60">
        <f t="shared" si="76"/>
        <v>17</v>
      </c>
      <c r="J881" s="60">
        <f t="shared" si="77"/>
        <v>0.1</v>
      </c>
      <c r="K881" s="35" t="str">
        <f t="shared" si="64"/>
        <v>11%</v>
      </c>
      <c r="M881" s="30">
        <f t="shared" si="65"/>
        <v>0.1111111111111111</v>
      </c>
      <c r="N881" s="34">
        <f>VLOOKUP(A881, 'Stock Register'!A:F, 6, FALSE)</f>
        <v>3</v>
      </c>
    </row>
    <row r="882" spans="1:14" hidden="1" x14ac:dyDescent="0.25">
      <c r="A882" s="205" t="s">
        <v>1262</v>
      </c>
      <c r="D882" s="29">
        <f>SUMIF('Purchase Register'!C:C, A882, 'Purchase Register'!G:G)</f>
        <v>3.75</v>
      </c>
      <c r="E882" s="190">
        <v>5</v>
      </c>
      <c r="F882" s="60">
        <f>SUMIF('Sales Register'!C:C, A882, 'Sales Register'!D:D)</f>
        <v>8</v>
      </c>
      <c r="G882" s="60">
        <f t="shared" si="74"/>
        <v>40</v>
      </c>
      <c r="H882" s="60">
        <f t="shared" si="75"/>
        <v>30</v>
      </c>
      <c r="I882" s="60">
        <f t="shared" si="76"/>
        <v>10</v>
      </c>
      <c r="J882" s="60">
        <f t="shared" si="77"/>
        <v>0.25</v>
      </c>
      <c r="K882" s="35" t="str">
        <f t="shared" si="64"/>
        <v>33%</v>
      </c>
      <c r="M882" s="30">
        <f t="shared" si="65"/>
        <v>0.33333333333333331</v>
      </c>
      <c r="N882" s="34">
        <f>VLOOKUP(A882, 'Stock Register'!A:F, 6, FALSE)</f>
        <v>28</v>
      </c>
    </row>
    <row r="883" spans="1:14" hidden="1" x14ac:dyDescent="0.25">
      <c r="A883" s="205" t="s">
        <v>1263</v>
      </c>
      <c r="D883" s="29">
        <f>SUMIF('Purchase Register'!C:C, A883, 'Purchase Register'!G:G)</f>
        <v>1.7</v>
      </c>
      <c r="E883" s="190">
        <v>2</v>
      </c>
      <c r="F883" s="60">
        <f>SUMIF('Sales Register'!C:C, A883, 'Sales Register'!D:D)</f>
        <v>91</v>
      </c>
      <c r="G883" s="60">
        <f t="shared" si="74"/>
        <v>182</v>
      </c>
      <c r="H883" s="60">
        <f t="shared" si="75"/>
        <v>154.69999999999999</v>
      </c>
      <c r="I883" s="60">
        <f t="shared" si="76"/>
        <v>27.300000000000011</v>
      </c>
      <c r="J883" s="60">
        <f t="shared" si="77"/>
        <v>0.15000000000000005</v>
      </c>
      <c r="K883" s="35" t="str">
        <f t="shared" si="64"/>
        <v>17%</v>
      </c>
      <c r="M883" s="30">
        <f t="shared" si="65"/>
        <v>0.17647058823529416</v>
      </c>
      <c r="N883" s="34">
        <f>VLOOKUP(A883, 'Stock Register'!A:F, 6, FALSE)</f>
        <v>9</v>
      </c>
    </row>
    <row r="884" spans="1:14" hidden="1" x14ac:dyDescent="0.25">
      <c r="A884" s="205" t="s">
        <v>1268</v>
      </c>
      <c r="D884" s="29">
        <f>SUMIF('Purchase Register'!C:C, A884, 'Purchase Register'!G:G)</f>
        <v>17.5</v>
      </c>
      <c r="E884" s="190">
        <v>20</v>
      </c>
      <c r="F884" s="60">
        <f>SUMIF('Sales Register'!C:C, A884, 'Sales Register'!D:D)</f>
        <v>8</v>
      </c>
      <c r="G884" s="60">
        <f t="shared" si="74"/>
        <v>160</v>
      </c>
      <c r="H884" s="60">
        <f t="shared" si="75"/>
        <v>140</v>
      </c>
      <c r="I884" s="60">
        <f t="shared" si="76"/>
        <v>20</v>
      </c>
      <c r="J884" s="60">
        <f t="shared" si="77"/>
        <v>0.125</v>
      </c>
      <c r="K884" s="35" t="str">
        <f t="shared" si="64"/>
        <v>14%</v>
      </c>
      <c r="M884" s="30">
        <f t="shared" si="65"/>
        <v>0.14285714285714285</v>
      </c>
      <c r="N884" s="34">
        <f>VLOOKUP(A884, 'Stock Register'!A:F, 6, FALSE)</f>
        <v>12</v>
      </c>
    </row>
    <row r="885" spans="1:14" hidden="1" x14ac:dyDescent="0.25">
      <c r="A885" s="205" t="s">
        <v>1269</v>
      </c>
      <c r="D885" s="29">
        <f>SUMIF('Purchase Register'!C:C, 'Sales Register'!C6809, 'Purchase Register'!G:G)</f>
        <v>26.666666666666668</v>
      </c>
      <c r="E885" s="190">
        <v>30</v>
      </c>
      <c r="F885" s="60">
        <f>SUMIF('Sales Register'!C:C, 'Sales Register'!C6809, 'Sales Register'!D:D)</f>
        <v>8</v>
      </c>
      <c r="G885" s="60">
        <f t="shared" si="74"/>
        <v>240</v>
      </c>
      <c r="H885" s="60">
        <f t="shared" si="75"/>
        <v>213.33333333333334</v>
      </c>
      <c r="I885" s="60">
        <f t="shared" si="76"/>
        <v>26.666666666666657</v>
      </c>
      <c r="J885" s="60">
        <f t="shared" si="77"/>
        <v>0.11111111111111108</v>
      </c>
      <c r="K885" s="35" t="str">
        <f t="shared" si="64"/>
        <v>12%</v>
      </c>
      <c r="M885" s="30">
        <f t="shared" si="65"/>
        <v>0.12499999999999994</v>
      </c>
      <c r="N885" s="34">
        <f>VLOOKUP('Sales Register'!C6809, 'Stock Register'!A:F, 6, FALSE)</f>
        <v>-2</v>
      </c>
    </row>
    <row r="886" spans="1:14" s="75" customFormat="1" hidden="1" x14ac:dyDescent="0.25">
      <c r="A886" s="204" t="s">
        <v>1271</v>
      </c>
      <c r="B886" s="71"/>
      <c r="C886" s="71"/>
      <c r="D886" s="72">
        <f>SUMIF('Purchase Register'!C:C, A886, 'Purchase Register'!G:G)</f>
        <v>62.307692307692307</v>
      </c>
      <c r="E886" s="191">
        <v>62.30769231</v>
      </c>
      <c r="F886" s="74">
        <f>SUMIF('Sales Register'!C:C, A886, 'Sales Register'!D:D)</f>
        <v>26</v>
      </c>
      <c r="G886" s="74">
        <f t="shared" ref="G886:G949" si="78">E886*F886</f>
        <v>1620.00000006</v>
      </c>
      <c r="H886" s="74">
        <f t="shared" si="75"/>
        <v>1620</v>
      </c>
      <c r="I886" s="74">
        <f t="shared" si="76"/>
        <v>6.0000047596986406E-8</v>
      </c>
      <c r="J886" s="74">
        <f t="shared" si="77"/>
        <v>3.7037066416521099E-11</v>
      </c>
      <c r="K886" s="134" t="str">
        <f t="shared" si="64"/>
        <v>0%</v>
      </c>
      <c r="L886" s="73"/>
      <c r="M886" s="99">
        <f t="shared" si="65"/>
        <v>3.70370576457603E-11</v>
      </c>
      <c r="N886" s="34">
        <f>VLOOKUP(A886, 'Stock Register'!A:F, 6, FALSE)</f>
        <v>0</v>
      </c>
    </row>
    <row r="887" spans="1:14" ht="30" hidden="1" x14ac:dyDescent="0.25">
      <c r="A887" s="205" t="s">
        <v>1272</v>
      </c>
      <c r="D887" s="157">
        <f>SUMIF('Purchase Register'!C:C, A887, 'Purchase Register'!G:G)</f>
        <v>7.5</v>
      </c>
      <c r="E887" s="190">
        <v>10</v>
      </c>
      <c r="F887" s="162">
        <f>SUMIF('Sales Register'!C:C, A887, 'Sales Register'!D:D)</f>
        <v>16</v>
      </c>
      <c r="G887" s="162">
        <f t="shared" si="78"/>
        <v>160</v>
      </c>
      <c r="H887" s="162">
        <f t="shared" si="75"/>
        <v>120</v>
      </c>
      <c r="I887" s="162">
        <f t="shared" si="76"/>
        <v>40</v>
      </c>
      <c r="J887" s="162">
        <f t="shared" si="77"/>
        <v>0.25</v>
      </c>
      <c r="K887" s="35" t="str">
        <f t="shared" si="64"/>
        <v>33%</v>
      </c>
      <c r="M887" s="30">
        <f t="shared" si="65"/>
        <v>0.33333333333333331</v>
      </c>
      <c r="N887" s="34">
        <f>VLOOKUP(A887, 'Stock Register'!A:F, 6, FALSE)</f>
        <v>32</v>
      </c>
    </row>
    <row r="888" spans="1:14" ht="30" hidden="1" x14ac:dyDescent="0.25">
      <c r="A888" s="205" t="s">
        <v>1273</v>
      </c>
      <c r="D888" s="157">
        <f>SUMIF('Purchase Register'!C:C, A888, 'Purchase Register'!G:G)</f>
        <v>4.4444444444444446</v>
      </c>
      <c r="E888" s="190">
        <v>5</v>
      </c>
      <c r="F888" s="162">
        <f>SUMIF('Sales Register'!C:C, A888, 'Sales Register'!D:D)</f>
        <v>21</v>
      </c>
      <c r="G888" s="162">
        <f t="shared" si="78"/>
        <v>105</v>
      </c>
      <c r="H888" s="162">
        <f t="shared" si="75"/>
        <v>93.333333333333343</v>
      </c>
      <c r="I888" s="162">
        <f t="shared" si="76"/>
        <v>11.666666666666657</v>
      </c>
      <c r="J888" s="162">
        <f t="shared" si="77"/>
        <v>0.11111111111111102</v>
      </c>
      <c r="K888" s="35" t="str">
        <f t="shared" si="64"/>
        <v>12%</v>
      </c>
      <c r="M888" s="30">
        <f t="shared" si="65"/>
        <v>0.12499999999999994</v>
      </c>
      <c r="N888" s="34">
        <f>VLOOKUP(A888, 'Stock Register'!A:F, 6, FALSE)</f>
        <v>15</v>
      </c>
    </row>
    <row r="889" spans="1:14" hidden="1" x14ac:dyDescent="0.25">
      <c r="A889" s="205" t="s">
        <v>1279</v>
      </c>
      <c r="D889" s="157">
        <f>SUMIF('Purchase Register'!C:C, A889, 'Purchase Register'!G:G)</f>
        <v>17.7</v>
      </c>
      <c r="E889" s="190">
        <v>20</v>
      </c>
      <c r="F889" s="162">
        <f>SUMIF('Sales Register'!C:C, A889, 'Sales Register'!D:D)</f>
        <v>24</v>
      </c>
      <c r="G889" s="162">
        <f t="shared" si="78"/>
        <v>480</v>
      </c>
      <c r="H889" s="162">
        <f t="shared" si="75"/>
        <v>424.79999999999995</v>
      </c>
      <c r="I889" s="162">
        <f t="shared" si="76"/>
        <v>55.200000000000045</v>
      </c>
      <c r="J889" s="162">
        <f t="shared" si="77"/>
        <v>0.11500000000000009</v>
      </c>
      <c r="K889" s="35" t="str">
        <f t="shared" si="64"/>
        <v>12%</v>
      </c>
      <c r="M889" s="30">
        <f t="shared" si="65"/>
        <v>0.12994350282485881</v>
      </c>
      <c r="N889" s="34">
        <f>VLOOKUP(A889, 'Stock Register'!A:F, 6, FALSE)</f>
        <v>6</v>
      </c>
    </row>
    <row r="890" spans="1:14" ht="30" hidden="1" x14ac:dyDescent="0.25">
      <c r="A890" s="205" t="s">
        <v>1280</v>
      </c>
      <c r="D890" s="157">
        <f>SUMIF('Purchase Register'!C:C, A890, 'Purchase Register'!G:G)</f>
        <v>9</v>
      </c>
      <c r="E890" s="190">
        <v>10</v>
      </c>
      <c r="F890" s="162">
        <f>SUMIF('Sales Register'!C:C, A890, 'Sales Register'!D:D)</f>
        <v>45</v>
      </c>
      <c r="G890" s="162">
        <f t="shared" si="78"/>
        <v>450</v>
      </c>
      <c r="H890" s="162">
        <f t="shared" si="75"/>
        <v>405</v>
      </c>
      <c r="I890" s="162">
        <f t="shared" si="76"/>
        <v>45</v>
      </c>
      <c r="J890" s="162">
        <f t="shared" si="77"/>
        <v>0.1</v>
      </c>
      <c r="K890" s="35" t="str">
        <f t="shared" si="64"/>
        <v>11%</v>
      </c>
      <c r="M890" s="30">
        <f t="shared" si="65"/>
        <v>0.1111111111111111</v>
      </c>
      <c r="N890" s="34">
        <f>VLOOKUP(A890, 'Stock Register'!A:F, 6, FALSE)</f>
        <v>-15</v>
      </c>
    </row>
    <row r="891" spans="1:14" ht="30" hidden="1" x14ac:dyDescent="0.25">
      <c r="A891" s="205" t="s">
        <v>1281</v>
      </c>
      <c r="D891" s="157">
        <f>SUMIF('Purchase Register'!C:C, A891, 'Purchase Register'!G:G)</f>
        <v>54</v>
      </c>
      <c r="E891" s="190">
        <v>57</v>
      </c>
      <c r="F891" s="162">
        <f>SUMIF('Sales Register'!C:C, A891, 'Sales Register'!D:D)</f>
        <v>3</v>
      </c>
      <c r="G891" s="162">
        <f t="shared" si="78"/>
        <v>171</v>
      </c>
      <c r="H891" s="162">
        <f t="shared" si="75"/>
        <v>162</v>
      </c>
      <c r="I891" s="162">
        <f t="shared" si="76"/>
        <v>9</v>
      </c>
      <c r="J891" s="162">
        <f t="shared" si="77"/>
        <v>5.2631578947368418E-2</v>
      </c>
      <c r="K891" s="35" t="str">
        <f t="shared" si="64"/>
        <v>5%</v>
      </c>
      <c r="M891" s="30">
        <f t="shared" si="65"/>
        <v>5.5555555555555552E-2</v>
      </c>
      <c r="N891" s="34">
        <f>VLOOKUP(A891, 'Stock Register'!A:F, 6, FALSE)</f>
        <v>0</v>
      </c>
    </row>
    <row r="892" spans="1:14" hidden="1" x14ac:dyDescent="0.25">
      <c r="A892" s="205" t="s">
        <v>1282</v>
      </c>
      <c r="D892" s="157">
        <f>SUMIF('Purchase Register'!C:C, A892, 'Purchase Register'!G:G)</f>
        <v>14.166666666666666</v>
      </c>
      <c r="E892" s="190">
        <v>15</v>
      </c>
      <c r="F892" s="162">
        <f>SUMIF('Sales Register'!C:C, A892, 'Sales Register'!D:D)</f>
        <v>6</v>
      </c>
      <c r="G892" s="162">
        <f t="shared" si="78"/>
        <v>90</v>
      </c>
      <c r="H892" s="162">
        <f t="shared" si="75"/>
        <v>85</v>
      </c>
      <c r="I892" s="162">
        <f t="shared" si="76"/>
        <v>5</v>
      </c>
      <c r="J892" s="162">
        <f t="shared" si="77"/>
        <v>5.5555555555555552E-2</v>
      </c>
      <c r="K892" s="35" t="str">
        <f t="shared" si="64"/>
        <v>5%</v>
      </c>
      <c r="M892" s="30">
        <f t="shared" si="65"/>
        <v>5.8823529411764747E-2</v>
      </c>
      <c r="N892" s="34">
        <f>VLOOKUP(A892, 'Stock Register'!A:F, 6, FALSE)</f>
        <v>18</v>
      </c>
    </row>
    <row r="893" spans="1:14" hidden="1" x14ac:dyDescent="0.25">
      <c r="A893" s="205" t="s">
        <v>1283</v>
      </c>
      <c r="D893" s="157">
        <f>SUMIF('Purchase Register'!C:C, A893, 'Purchase Register'!G:G)</f>
        <v>34</v>
      </c>
      <c r="E893" s="190">
        <v>40</v>
      </c>
      <c r="F893" s="162">
        <f>SUMIF('Sales Register'!C:C, A893, 'Sales Register'!D:D)</f>
        <v>4</v>
      </c>
      <c r="G893" s="162">
        <f t="shared" si="78"/>
        <v>160</v>
      </c>
      <c r="H893" s="162">
        <f t="shared" si="75"/>
        <v>136</v>
      </c>
      <c r="I893" s="162">
        <f t="shared" si="76"/>
        <v>24</v>
      </c>
      <c r="J893" s="162">
        <f t="shared" si="77"/>
        <v>0.15</v>
      </c>
      <c r="K893" s="35" t="str">
        <f t="shared" si="64"/>
        <v>17%</v>
      </c>
      <c r="M893" s="30">
        <f t="shared" si="65"/>
        <v>0.17647058823529413</v>
      </c>
      <c r="N893" s="34">
        <f>VLOOKUP(A893, 'Stock Register'!A:F, 6, FALSE)</f>
        <v>2</v>
      </c>
    </row>
    <row r="894" spans="1:14" ht="30" hidden="1" x14ac:dyDescent="0.25">
      <c r="A894" s="205" t="s">
        <v>1284</v>
      </c>
      <c r="D894" s="157">
        <f>SUMIF('Purchase Register'!C:C, A894, 'Purchase Register'!G:G)</f>
        <v>60</v>
      </c>
      <c r="E894" s="190">
        <v>70</v>
      </c>
      <c r="F894" s="162">
        <f>SUMIF('Sales Register'!C:C, A894, 'Sales Register'!D:D)</f>
        <v>3</v>
      </c>
      <c r="G894" s="162">
        <f t="shared" si="78"/>
        <v>210</v>
      </c>
      <c r="H894" s="162">
        <f t="shared" si="75"/>
        <v>180</v>
      </c>
      <c r="I894" s="162">
        <f t="shared" si="76"/>
        <v>30</v>
      </c>
      <c r="J894" s="162">
        <f t="shared" si="77"/>
        <v>0.14285714285714285</v>
      </c>
      <c r="K894" s="35" t="str">
        <f t="shared" si="64"/>
        <v>16%</v>
      </c>
      <c r="M894" s="30">
        <f t="shared" si="65"/>
        <v>0.16666666666666666</v>
      </c>
      <c r="N894" s="34">
        <f>VLOOKUP(A894, 'Stock Register'!A:F, 6, FALSE)</f>
        <v>0</v>
      </c>
    </row>
    <row r="895" spans="1:14" s="75" customFormat="1" hidden="1" x14ac:dyDescent="0.25">
      <c r="A895" s="204" t="s">
        <v>1285</v>
      </c>
      <c r="B895" s="71"/>
      <c r="C895" s="71"/>
      <c r="D895" s="72">
        <f>SUMIF('Purchase Register'!C:C, A895, 'Purchase Register'!G:G)</f>
        <v>55</v>
      </c>
      <c r="E895" s="191">
        <v>60</v>
      </c>
      <c r="F895" s="74">
        <f>SUMIF('Sales Register'!C:C, A895, 'Sales Register'!D:D)</f>
        <v>5</v>
      </c>
      <c r="G895" s="74">
        <f t="shared" si="78"/>
        <v>300</v>
      </c>
      <c r="H895" s="74">
        <f t="shared" si="75"/>
        <v>275</v>
      </c>
      <c r="I895" s="74">
        <f t="shared" si="76"/>
        <v>25</v>
      </c>
      <c r="J895" s="74">
        <f t="shared" si="77"/>
        <v>8.3333333333333329E-2</v>
      </c>
      <c r="K895" s="134" t="str">
        <f t="shared" si="64"/>
        <v>9%</v>
      </c>
      <c r="L895" s="73"/>
      <c r="M895" s="99">
        <f t="shared" si="65"/>
        <v>9.0909090909090912E-2</v>
      </c>
      <c r="N895" s="73">
        <f>VLOOKUP(A895, 'Stock Register'!A:F, 6, FALSE)</f>
        <v>-2</v>
      </c>
    </row>
    <row r="896" spans="1:14" ht="30" hidden="1" x14ac:dyDescent="0.25">
      <c r="A896" s="205" t="s">
        <v>1286</v>
      </c>
      <c r="D896" s="157">
        <f>SUMIF('Purchase Register'!C:C, A896, 'Purchase Register'!G:G)</f>
        <v>9</v>
      </c>
      <c r="E896" s="190">
        <v>10</v>
      </c>
      <c r="F896" s="162">
        <f>SUMIF('Sales Register'!C:C, A896, 'Sales Register'!D:D)</f>
        <v>16</v>
      </c>
      <c r="G896" s="162">
        <f t="shared" si="78"/>
        <v>160</v>
      </c>
      <c r="H896" s="162">
        <f t="shared" si="75"/>
        <v>144</v>
      </c>
      <c r="I896" s="162">
        <f t="shared" si="76"/>
        <v>16</v>
      </c>
      <c r="J896" s="162">
        <f t="shared" si="77"/>
        <v>0.1</v>
      </c>
      <c r="K896" s="35" t="str">
        <f t="shared" si="64"/>
        <v>11%</v>
      </c>
      <c r="M896" s="30">
        <f t="shared" si="65"/>
        <v>0.1111111111111111</v>
      </c>
      <c r="N896" s="34">
        <f>VLOOKUP(A896, 'Stock Register'!A:F, 6, FALSE)</f>
        <v>4</v>
      </c>
    </row>
    <row r="897" spans="1:14" hidden="1" x14ac:dyDescent="0.25">
      <c r="A897" s="205" t="s">
        <v>1287</v>
      </c>
      <c r="D897" s="157">
        <f>SUMIF('Purchase Register'!C:C, A897, 'Purchase Register'!G:G)</f>
        <v>7.5</v>
      </c>
      <c r="E897" s="190">
        <v>10</v>
      </c>
      <c r="F897" s="162">
        <f>SUMIF('Sales Register'!C:C, A897, 'Sales Register'!D:D)</f>
        <v>4</v>
      </c>
      <c r="G897" s="162">
        <f t="shared" si="78"/>
        <v>40</v>
      </c>
      <c r="H897" s="162">
        <f t="shared" si="75"/>
        <v>30</v>
      </c>
      <c r="I897" s="162">
        <f t="shared" si="76"/>
        <v>10</v>
      </c>
      <c r="J897" s="162">
        <f t="shared" si="77"/>
        <v>0.25</v>
      </c>
      <c r="K897" s="35" t="str">
        <f t="shared" si="64"/>
        <v>33%</v>
      </c>
      <c r="M897" s="30">
        <f t="shared" si="65"/>
        <v>0.33333333333333331</v>
      </c>
      <c r="N897" s="34">
        <f>VLOOKUP(A897, 'Stock Register'!A:F, 6, FALSE)</f>
        <v>36</v>
      </c>
    </row>
    <row r="898" spans="1:14" hidden="1" x14ac:dyDescent="0.25">
      <c r="A898" s="205" t="s">
        <v>1288</v>
      </c>
      <c r="D898" s="157">
        <f>SUMIF('Purchase Register'!C:C, A898, 'Purchase Register'!G:G)</f>
        <v>4.5</v>
      </c>
      <c r="E898" s="190">
        <v>5</v>
      </c>
      <c r="F898" s="162">
        <f>SUMIF('Sales Register'!C:C, A898, 'Sales Register'!D:D)</f>
        <v>32</v>
      </c>
      <c r="G898" s="162">
        <f t="shared" si="78"/>
        <v>160</v>
      </c>
      <c r="H898" s="162">
        <f t="shared" ref="H898:H961" si="79">D898*F898</f>
        <v>144</v>
      </c>
      <c r="I898" s="162">
        <f t="shared" ref="I898:I961" si="80">G898-H898</f>
        <v>16</v>
      </c>
      <c r="J898" s="162">
        <f t="shared" ref="J898:J961" si="81">IF(G898=0,0,I898/G898)</f>
        <v>0.1</v>
      </c>
      <c r="K898" s="35" t="str">
        <f t="shared" si="64"/>
        <v>11%</v>
      </c>
      <c r="M898" s="30">
        <f t="shared" si="65"/>
        <v>0.1111111111111111</v>
      </c>
      <c r="N898" s="34">
        <f>VLOOKUP(A898, 'Stock Register'!A:F, 6, FALSE)</f>
        <v>8</v>
      </c>
    </row>
    <row r="899" spans="1:14" ht="30" hidden="1" x14ac:dyDescent="0.25">
      <c r="A899" s="205" t="s">
        <v>1289</v>
      </c>
      <c r="D899" s="157">
        <f>SUMIF('Purchase Register'!C:C, A899, 'Purchase Register'!G:G)</f>
        <v>4.5</v>
      </c>
      <c r="E899" s="190">
        <v>5</v>
      </c>
      <c r="F899" s="162">
        <f>SUMIF('Sales Register'!C:C, A899, 'Sales Register'!D:D)</f>
        <v>14</v>
      </c>
      <c r="G899" s="162">
        <f t="shared" si="78"/>
        <v>70</v>
      </c>
      <c r="H899" s="162">
        <f t="shared" si="79"/>
        <v>63</v>
      </c>
      <c r="I899" s="162">
        <f t="shared" si="80"/>
        <v>7</v>
      </c>
      <c r="J899" s="162">
        <f t="shared" si="81"/>
        <v>0.1</v>
      </c>
      <c r="K899" s="35" t="str">
        <f t="shared" si="64"/>
        <v>11%</v>
      </c>
      <c r="M899" s="30">
        <f t="shared" si="65"/>
        <v>0.1111111111111111</v>
      </c>
      <c r="N899" s="34">
        <f>VLOOKUP(A899, 'Stock Register'!A:F, 6, FALSE)</f>
        <v>26</v>
      </c>
    </row>
    <row r="900" spans="1:14" ht="30" hidden="1" x14ac:dyDescent="0.25">
      <c r="A900" s="205" t="s">
        <v>1290</v>
      </c>
      <c r="D900" s="157">
        <f>SUMIF('Purchase Register'!C:C, A900, 'Purchase Register'!G:G)</f>
        <v>0.859375</v>
      </c>
      <c r="E900" s="190">
        <v>1</v>
      </c>
      <c r="F900" s="162">
        <f>SUMIF('Sales Register'!C:C, A900, 'Sales Register'!D:D)</f>
        <v>15</v>
      </c>
      <c r="G900" s="162">
        <f t="shared" si="78"/>
        <v>15</v>
      </c>
      <c r="H900" s="162">
        <f t="shared" si="79"/>
        <v>12.890625</v>
      </c>
      <c r="I900" s="162">
        <f t="shared" si="80"/>
        <v>2.109375</v>
      </c>
      <c r="J900" s="162">
        <f t="shared" si="81"/>
        <v>0.140625</v>
      </c>
      <c r="K900" s="35" t="str">
        <f t="shared" si="64"/>
        <v>16%</v>
      </c>
      <c r="M900" s="30">
        <f t="shared" si="65"/>
        <v>0.16363636363636364</v>
      </c>
      <c r="N900" s="34">
        <f>VLOOKUP(A900, 'Stock Register'!A:F, 6, FALSE)</f>
        <v>305</v>
      </c>
    </row>
    <row r="901" spans="1:14" hidden="1" x14ac:dyDescent="0.25">
      <c r="A901" s="205" t="s">
        <v>1291</v>
      </c>
      <c r="D901" s="157">
        <f>SUMIF('Purchase Register'!C:C, A901, 'Purchase Register'!G:G)</f>
        <v>61.53846153846154</v>
      </c>
      <c r="E901" s="190">
        <v>62</v>
      </c>
      <c r="F901" s="162">
        <f>SUMIF('Sales Register'!C:C, A901, 'Sales Register'!D:D)</f>
        <v>127.5</v>
      </c>
      <c r="G901" s="162">
        <f t="shared" si="78"/>
        <v>7905</v>
      </c>
      <c r="H901" s="162">
        <f t="shared" si="79"/>
        <v>7846.1538461538466</v>
      </c>
      <c r="I901" s="162">
        <f t="shared" si="80"/>
        <v>58.846153846153356</v>
      </c>
      <c r="J901" s="162">
        <f t="shared" si="81"/>
        <v>7.4441687344912535E-3</v>
      </c>
      <c r="K901" s="35" t="str">
        <f t="shared" si="64"/>
        <v>0%</v>
      </c>
      <c r="M901" s="30">
        <f t="shared" si="65"/>
        <v>7.4999999999999728E-3</v>
      </c>
      <c r="N901" s="34">
        <f>VLOOKUP(A901, 'Stock Register'!A:F, 6, FALSE)</f>
        <v>-101.5</v>
      </c>
    </row>
    <row r="902" spans="1:14" s="75" customFormat="1" hidden="1" x14ac:dyDescent="0.25">
      <c r="A902" s="222" t="s">
        <v>1293</v>
      </c>
      <c r="B902" s="71"/>
      <c r="C902" s="71"/>
      <c r="D902" s="72">
        <f>SUMIF('Purchase Register'!C:C, A902, 'Purchase Register'!G:G)</f>
        <v>8.6666666666666661</v>
      </c>
      <c r="E902" s="191">
        <v>10</v>
      </c>
      <c r="F902" s="74">
        <f>SUMIF('Sales Register'!C:C, A902, 'Sales Register'!D:D)</f>
        <v>58</v>
      </c>
      <c r="G902" s="74">
        <f t="shared" si="78"/>
        <v>580</v>
      </c>
      <c r="H902" s="74">
        <f t="shared" si="79"/>
        <v>502.66666666666663</v>
      </c>
      <c r="I902" s="74">
        <f t="shared" si="80"/>
        <v>77.333333333333371</v>
      </c>
      <c r="J902" s="74">
        <f t="shared" si="81"/>
        <v>0.13333333333333339</v>
      </c>
      <c r="K902" s="134" t="str">
        <f t="shared" si="64"/>
        <v>15%</v>
      </c>
      <c r="L902" s="73"/>
      <c r="M902" s="99">
        <f t="shared" si="65"/>
        <v>0.15384615384615394</v>
      </c>
      <c r="N902" s="73">
        <f>VLOOKUP(A902, 'Stock Register'!A:F, 6, FALSE)</f>
        <v>2</v>
      </c>
    </row>
    <row r="903" spans="1:14" s="75" customFormat="1" hidden="1" x14ac:dyDescent="0.25">
      <c r="A903" s="222" t="s">
        <v>1299</v>
      </c>
      <c r="B903" s="71"/>
      <c r="C903" s="71"/>
      <c r="D903" s="72">
        <f>SUMIF('Purchase Register'!C:C, A903, 'Purchase Register'!G:G)</f>
        <v>8</v>
      </c>
      <c r="E903" s="191">
        <v>10</v>
      </c>
      <c r="F903" s="74">
        <f>SUMIF('Sales Register'!C:C, A903, 'Sales Register'!D:D)</f>
        <v>244</v>
      </c>
      <c r="G903" s="74">
        <f t="shared" si="78"/>
        <v>2440</v>
      </c>
      <c r="H903" s="74">
        <f t="shared" si="79"/>
        <v>1952</v>
      </c>
      <c r="I903" s="74">
        <f t="shared" si="80"/>
        <v>488</v>
      </c>
      <c r="J903" s="74">
        <f t="shared" si="81"/>
        <v>0.2</v>
      </c>
      <c r="K903" s="134" t="str">
        <f t="shared" si="64"/>
        <v>25%</v>
      </c>
      <c r="L903" s="73"/>
      <c r="M903" s="99">
        <f t="shared" si="65"/>
        <v>0.25</v>
      </c>
      <c r="N903" s="73">
        <f>VLOOKUP(A903, 'Stock Register'!A:F, 6, FALSE)</f>
        <v>-34</v>
      </c>
    </row>
    <row r="904" spans="1:14" hidden="1" x14ac:dyDescent="0.25">
      <c r="A904" s="209" t="s">
        <v>1304</v>
      </c>
      <c r="D904" s="157">
        <f>SUMIF('Purchase Register'!C:C, A904, 'Purchase Register'!G:G)</f>
        <v>90</v>
      </c>
      <c r="E904" s="190">
        <v>100</v>
      </c>
      <c r="F904" s="162">
        <f>SUMIF('Sales Register'!C:C, A904, 'Sales Register'!D:D)</f>
        <v>5</v>
      </c>
      <c r="G904" s="162">
        <f t="shared" si="78"/>
        <v>500</v>
      </c>
      <c r="H904" s="162">
        <f t="shared" si="79"/>
        <v>450</v>
      </c>
      <c r="I904" s="162">
        <f t="shared" si="80"/>
        <v>50</v>
      </c>
      <c r="J904" s="162">
        <f t="shared" si="81"/>
        <v>0.1</v>
      </c>
      <c r="K904" s="134" t="str">
        <f t="shared" ref="K904:K1041" si="82">IF(E904&lt;=D904, "NO PROFIT", IF((E904-D904)/D904 &gt;= 1, "100% or More", TEXT(_xlfn.FLOOR.MATH((E904-D904)/D904, 0.01), "0%")))</f>
        <v>11%</v>
      </c>
      <c r="M904" s="99">
        <f t="shared" ref="M904:M1041" si="83">IF(D904=0, 0, (E904-D904)/D904)</f>
        <v>0.1111111111111111</v>
      </c>
      <c r="N904" s="34">
        <f>VLOOKUP(A904, 'Stock Register'!A:F, 6, FALSE)</f>
        <v>-4</v>
      </c>
    </row>
    <row r="905" spans="1:14" hidden="1" x14ac:dyDescent="0.25">
      <c r="A905" s="209" t="s">
        <v>1305</v>
      </c>
      <c r="D905" s="157">
        <f>SUMIF('Purchase Register'!C:C, A905, 'Purchase Register'!G:G)</f>
        <v>19</v>
      </c>
      <c r="E905" s="190">
        <v>20</v>
      </c>
      <c r="F905" s="162">
        <f>SUMIF('Sales Register'!C:C, A905, 'Sales Register'!D:D)</f>
        <v>0</v>
      </c>
      <c r="G905" s="162">
        <f t="shared" si="78"/>
        <v>0</v>
      </c>
      <c r="H905" s="162">
        <f t="shared" si="79"/>
        <v>0</v>
      </c>
      <c r="I905" s="162">
        <f t="shared" si="80"/>
        <v>0</v>
      </c>
      <c r="J905" s="162">
        <f t="shared" si="81"/>
        <v>0</v>
      </c>
      <c r="K905" s="134" t="str">
        <f t="shared" si="82"/>
        <v>5%</v>
      </c>
      <c r="M905" s="99">
        <f t="shared" si="83"/>
        <v>5.2631578947368418E-2</v>
      </c>
      <c r="N905" s="34">
        <f>VLOOKUP(A905, 'Stock Register'!A:F, 6, FALSE)</f>
        <v>11</v>
      </c>
    </row>
    <row r="906" spans="1:14" hidden="1" x14ac:dyDescent="0.25">
      <c r="A906" s="209" t="s">
        <v>1326</v>
      </c>
      <c r="D906" s="157">
        <f>SUMIF('Purchase Register'!C:C, A906, 'Purchase Register'!G:G)</f>
        <v>7.7142857142857144</v>
      </c>
      <c r="E906" s="190">
        <v>10</v>
      </c>
      <c r="F906" s="162">
        <f>SUMIF('Sales Register'!C:C, A906, 'Sales Register'!D:D)</f>
        <v>365.8</v>
      </c>
      <c r="G906" s="162">
        <f t="shared" si="78"/>
        <v>3658</v>
      </c>
      <c r="H906" s="162">
        <f t="shared" si="79"/>
        <v>2821.8857142857146</v>
      </c>
      <c r="I906" s="162">
        <f t="shared" si="80"/>
        <v>836.11428571428542</v>
      </c>
      <c r="J906" s="162">
        <f t="shared" si="81"/>
        <v>0.22857142857142848</v>
      </c>
      <c r="K906" s="134" t="str">
        <f t="shared" si="82"/>
        <v>29%</v>
      </c>
      <c r="M906" s="99">
        <f t="shared" si="83"/>
        <v>0.29629629629629628</v>
      </c>
      <c r="N906" s="34">
        <f>VLOOKUP(A906, 'Stock Register'!A:F, 6, FALSE)</f>
        <v>-155.80000000000001</v>
      </c>
    </row>
    <row r="907" spans="1:14" hidden="1" x14ac:dyDescent="0.25">
      <c r="A907" s="209" t="s">
        <v>1327</v>
      </c>
      <c r="D907" s="157">
        <f>SUMIF('Purchase Register'!C:C, A907, 'Purchase Register'!G:G)</f>
        <v>60</v>
      </c>
      <c r="E907" s="190">
        <v>70</v>
      </c>
      <c r="F907" s="162">
        <f>SUMIF('Sales Register'!C:C, A907, 'Sales Register'!D:D)</f>
        <v>8.7109999999999985</v>
      </c>
      <c r="G907" s="162">
        <f t="shared" si="78"/>
        <v>609.76999999999987</v>
      </c>
      <c r="H907" s="162">
        <f t="shared" si="79"/>
        <v>522.65999999999985</v>
      </c>
      <c r="I907" s="162">
        <f t="shared" si="80"/>
        <v>87.110000000000014</v>
      </c>
      <c r="J907" s="162">
        <f t="shared" si="81"/>
        <v>0.1428571428571429</v>
      </c>
      <c r="K907" s="134" t="str">
        <f t="shared" si="82"/>
        <v>16%</v>
      </c>
      <c r="M907" s="99">
        <f t="shared" si="83"/>
        <v>0.16666666666666666</v>
      </c>
      <c r="N907" s="34">
        <f>VLOOKUP(A907, 'Stock Register'!A:F, 6, FALSE)</f>
        <v>1.2890000000000015</v>
      </c>
    </row>
    <row r="908" spans="1:14" s="75" customFormat="1" hidden="1" x14ac:dyDescent="0.25">
      <c r="A908" s="222" t="s">
        <v>1328</v>
      </c>
      <c r="B908" s="71"/>
      <c r="C908" s="71"/>
      <c r="D908" s="72">
        <f>SUMIF('Purchase Register'!C:C, A908, 'Purchase Register'!G:G)</f>
        <v>50</v>
      </c>
      <c r="E908" s="191">
        <v>60</v>
      </c>
      <c r="F908" s="74">
        <f>SUMIF('Sales Register'!C:C, A908, 'Sales Register'!D:D)</f>
        <v>4</v>
      </c>
      <c r="G908" s="74">
        <f t="shared" si="78"/>
        <v>240</v>
      </c>
      <c r="H908" s="74">
        <f t="shared" si="79"/>
        <v>200</v>
      </c>
      <c r="I908" s="74">
        <f t="shared" si="80"/>
        <v>40</v>
      </c>
      <c r="J908" s="74">
        <f t="shared" si="81"/>
        <v>0.16666666666666666</v>
      </c>
      <c r="K908" s="134" t="str">
        <f t="shared" si="82"/>
        <v>20%</v>
      </c>
      <c r="L908" s="73"/>
      <c r="M908" s="99">
        <f t="shared" si="83"/>
        <v>0.2</v>
      </c>
      <c r="N908" s="73">
        <f>VLOOKUP(A908, 'Stock Register'!A:F, 6, FALSE)</f>
        <v>0</v>
      </c>
    </row>
    <row r="909" spans="1:14" s="75" customFormat="1" hidden="1" x14ac:dyDescent="0.25">
      <c r="A909" s="222" t="s">
        <v>1329</v>
      </c>
      <c r="B909" s="71"/>
      <c r="C909" s="71"/>
      <c r="D909" s="72">
        <f>SUMIF('Purchase Register'!C:C, A909, 'Purchase Register'!G:G)</f>
        <v>15</v>
      </c>
      <c r="E909" s="191">
        <v>20</v>
      </c>
      <c r="F909" s="74">
        <f>SUMIF('Sales Register'!C:C, A909, 'Sales Register'!D:D)</f>
        <v>6</v>
      </c>
      <c r="G909" s="74">
        <f t="shared" si="78"/>
        <v>120</v>
      </c>
      <c r="H909" s="74">
        <f t="shared" si="79"/>
        <v>90</v>
      </c>
      <c r="I909" s="74">
        <f t="shared" si="80"/>
        <v>30</v>
      </c>
      <c r="J909" s="74">
        <f t="shared" si="81"/>
        <v>0.25</v>
      </c>
      <c r="K909" s="134" t="str">
        <f t="shared" si="82"/>
        <v>33%</v>
      </c>
      <c r="L909" s="73"/>
      <c r="M909" s="99">
        <f t="shared" si="83"/>
        <v>0.33333333333333331</v>
      </c>
      <c r="N909" s="73">
        <f>VLOOKUP(A909, 'Stock Register'!A:F, 6, FALSE)</f>
        <v>-1</v>
      </c>
    </row>
    <row r="910" spans="1:14" hidden="1" x14ac:dyDescent="0.25">
      <c r="A910" s="209" t="s">
        <v>1330</v>
      </c>
      <c r="D910" s="157">
        <f>SUMIF('Purchase Register'!C:C, A910, 'Purchase Register'!G:G)</f>
        <v>25</v>
      </c>
      <c r="E910" s="190">
        <v>30</v>
      </c>
      <c r="F910" s="162">
        <f>SUMIF('Sales Register'!C:C, A910, 'Sales Register'!D:D)</f>
        <v>4</v>
      </c>
      <c r="G910" s="162">
        <f t="shared" si="78"/>
        <v>120</v>
      </c>
      <c r="H910" s="162">
        <f t="shared" si="79"/>
        <v>100</v>
      </c>
      <c r="I910" s="162">
        <f t="shared" si="80"/>
        <v>20</v>
      </c>
      <c r="J910" s="162">
        <f t="shared" si="81"/>
        <v>0.16666666666666666</v>
      </c>
      <c r="K910" s="134" t="str">
        <f t="shared" si="82"/>
        <v>20%</v>
      </c>
      <c r="M910" s="99">
        <f t="shared" si="83"/>
        <v>0.2</v>
      </c>
      <c r="N910" s="34">
        <f>VLOOKUP(A910, 'Stock Register'!A:F, 6, FALSE)</f>
        <v>1</v>
      </c>
    </row>
    <row r="911" spans="1:14" hidden="1" x14ac:dyDescent="0.25">
      <c r="A911" s="209" t="s">
        <v>1331</v>
      </c>
      <c r="D911" s="157">
        <f>SUMIF('Purchase Register'!C:C, A911, 'Purchase Register'!G:G)</f>
        <v>48.07692307692308</v>
      </c>
      <c r="E911" s="190">
        <v>49</v>
      </c>
      <c r="F911" s="162">
        <f>SUMIF('Sales Register'!C:C, A911, 'Sales Register'!D:D)</f>
        <v>26</v>
      </c>
      <c r="G911" s="162">
        <f t="shared" si="78"/>
        <v>1274</v>
      </c>
      <c r="H911" s="162">
        <f t="shared" si="79"/>
        <v>1250</v>
      </c>
      <c r="I911" s="162">
        <f t="shared" si="80"/>
        <v>24</v>
      </c>
      <c r="J911" s="162">
        <f t="shared" si="81"/>
        <v>1.8838304552590265E-2</v>
      </c>
      <c r="K911" s="134" t="str">
        <f t="shared" si="82"/>
        <v>1%</v>
      </c>
      <c r="M911" s="99">
        <f t="shared" si="83"/>
        <v>1.9199999999999929E-2</v>
      </c>
      <c r="N911" s="34">
        <f>VLOOKUP(A911, 'Stock Register'!A:F, 6, FALSE)</f>
        <v>0</v>
      </c>
    </row>
    <row r="912" spans="1:14" ht="30" hidden="1" x14ac:dyDescent="0.25">
      <c r="A912" s="209" t="s">
        <v>1338</v>
      </c>
      <c r="D912" s="157">
        <f>SUMIF('Purchase Register'!C:C, A912, 'Purchase Register'!G:G)</f>
        <v>4.583333333333333</v>
      </c>
      <c r="E912" s="190">
        <v>5</v>
      </c>
      <c r="F912" s="162">
        <f>SUMIF('Sales Register'!C:C, A912, 'Sales Register'!D:D)</f>
        <v>6</v>
      </c>
      <c r="G912" s="162">
        <f t="shared" si="78"/>
        <v>30</v>
      </c>
      <c r="H912" s="162">
        <f t="shared" si="79"/>
        <v>27.5</v>
      </c>
      <c r="I912" s="162">
        <f t="shared" si="80"/>
        <v>2.5</v>
      </c>
      <c r="J912" s="162">
        <f t="shared" si="81"/>
        <v>8.3333333333333329E-2</v>
      </c>
      <c r="K912" s="134" t="str">
        <f t="shared" si="82"/>
        <v>9%</v>
      </c>
      <c r="M912" s="99">
        <f t="shared" si="83"/>
        <v>9.0909090909090981E-2</v>
      </c>
      <c r="N912" s="34">
        <f>VLOOKUP(A912, 'Stock Register'!A:F, 6, FALSE)</f>
        <v>6</v>
      </c>
    </row>
    <row r="913" spans="1:14" hidden="1" x14ac:dyDescent="0.25">
      <c r="A913" s="209" t="s">
        <v>1339</v>
      </c>
      <c r="D913" s="157">
        <f>SUMIF('Purchase Register'!C:C, A913, 'Purchase Register'!G:G)</f>
        <v>9.1666666666666661</v>
      </c>
      <c r="E913" s="190">
        <v>10</v>
      </c>
      <c r="F913" s="162">
        <f>SUMIF('Sales Register'!C:C, A913, 'Sales Register'!D:D)</f>
        <v>6</v>
      </c>
      <c r="G913" s="162">
        <f t="shared" si="78"/>
        <v>60</v>
      </c>
      <c r="H913" s="162">
        <f t="shared" si="79"/>
        <v>55</v>
      </c>
      <c r="I913" s="162">
        <f t="shared" si="80"/>
        <v>5</v>
      </c>
      <c r="J913" s="162">
        <f t="shared" si="81"/>
        <v>8.3333333333333329E-2</v>
      </c>
      <c r="K913" s="134" t="str">
        <f t="shared" si="82"/>
        <v>9%</v>
      </c>
      <c r="M913" s="99">
        <f t="shared" si="83"/>
        <v>9.0909090909090981E-2</v>
      </c>
      <c r="N913" s="34">
        <f>VLOOKUP(A913, 'Stock Register'!A:F, 6, FALSE)</f>
        <v>0</v>
      </c>
    </row>
    <row r="914" spans="1:14" hidden="1" x14ac:dyDescent="0.25">
      <c r="A914" s="209" t="s">
        <v>1340</v>
      </c>
      <c r="D914" s="157">
        <f>SUMIF('Purchase Register'!C:C, A914, 'Purchase Register'!G:G)</f>
        <v>9</v>
      </c>
      <c r="E914" s="190">
        <v>10</v>
      </c>
      <c r="F914" s="162">
        <f>SUMIF('Sales Register'!C:C, A914, 'Sales Register'!D:D)</f>
        <v>4</v>
      </c>
      <c r="G914" s="162">
        <f t="shared" si="78"/>
        <v>40</v>
      </c>
      <c r="H914" s="162">
        <f t="shared" si="79"/>
        <v>36</v>
      </c>
      <c r="I914" s="162">
        <f t="shared" si="80"/>
        <v>4</v>
      </c>
      <c r="J914" s="162">
        <f t="shared" si="81"/>
        <v>0.1</v>
      </c>
      <c r="K914" s="134" t="str">
        <f t="shared" si="82"/>
        <v>11%</v>
      </c>
      <c r="M914" s="99">
        <f t="shared" si="83"/>
        <v>0.1111111111111111</v>
      </c>
      <c r="N914" s="34">
        <f>VLOOKUP(A914, 'Stock Register'!A:F, 6, FALSE)</f>
        <v>8</v>
      </c>
    </row>
    <row r="915" spans="1:14" hidden="1" x14ac:dyDescent="0.25">
      <c r="A915" s="209" t="s">
        <v>1342</v>
      </c>
      <c r="D915" s="157">
        <f>SUMIF('Purchase Register'!C:C, A915, 'Purchase Register'!G:G)</f>
        <v>9</v>
      </c>
      <c r="E915" s="190">
        <v>10</v>
      </c>
      <c r="F915" s="162">
        <f>SUMIF('Sales Register'!C:C, A915, 'Sales Register'!D:D)</f>
        <v>2</v>
      </c>
      <c r="G915" s="162">
        <f t="shared" si="78"/>
        <v>20</v>
      </c>
      <c r="H915" s="162">
        <f t="shared" si="79"/>
        <v>18</v>
      </c>
      <c r="I915" s="162">
        <f t="shared" si="80"/>
        <v>2</v>
      </c>
      <c r="J915" s="162">
        <f t="shared" si="81"/>
        <v>0.1</v>
      </c>
      <c r="K915" s="35" t="str">
        <f t="shared" si="82"/>
        <v>11%</v>
      </c>
      <c r="M915" s="30">
        <f t="shared" si="83"/>
        <v>0.1111111111111111</v>
      </c>
      <c r="N915" s="34">
        <f>VLOOKUP(A915, 'Stock Register'!A:F, 6, FALSE)</f>
        <v>10</v>
      </c>
    </row>
    <row r="916" spans="1:14" ht="30" hidden="1" x14ac:dyDescent="0.25">
      <c r="A916" s="209" t="s">
        <v>1343</v>
      </c>
      <c r="D916" s="157">
        <f>SUMIF('Purchase Register'!C:C, A916, 'Purchase Register'!G:G)</f>
        <v>8.8000000000000007</v>
      </c>
      <c r="E916" s="190">
        <v>10</v>
      </c>
      <c r="F916" s="162">
        <f>SUMIF('Sales Register'!C:C, A916, 'Sales Register'!D:D)</f>
        <v>6</v>
      </c>
      <c r="G916" s="162">
        <f t="shared" si="78"/>
        <v>60</v>
      </c>
      <c r="H916" s="162">
        <f t="shared" si="79"/>
        <v>52.800000000000004</v>
      </c>
      <c r="I916" s="162">
        <f t="shared" si="80"/>
        <v>7.1999999999999957</v>
      </c>
      <c r="J916" s="162">
        <f t="shared" si="81"/>
        <v>0.11999999999999993</v>
      </c>
      <c r="K916" s="35" t="str">
        <f t="shared" si="82"/>
        <v>13%</v>
      </c>
      <c r="M916" s="30">
        <f t="shared" si="83"/>
        <v>0.13636363636363627</v>
      </c>
      <c r="N916" s="34">
        <f>VLOOKUP(A916, 'Stock Register'!A:F, 6, FALSE)</f>
        <v>4</v>
      </c>
    </row>
    <row r="917" spans="1:14" ht="30" hidden="1" x14ac:dyDescent="0.25">
      <c r="A917" s="209" t="s">
        <v>1344</v>
      </c>
      <c r="D917" s="157">
        <f>SUMIF('Purchase Register'!C:C, A917, 'Purchase Register'!G:G)</f>
        <v>18</v>
      </c>
      <c r="E917" s="190">
        <v>20</v>
      </c>
      <c r="F917" s="162">
        <f>SUMIF('Sales Register'!C:C, A917, 'Sales Register'!D:D)</f>
        <v>8</v>
      </c>
      <c r="G917" s="162">
        <f t="shared" si="78"/>
        <v>160</v>
      </c>
      <c r="H917" s="162">
        <f t="shared" si="79"/>
        <v>144</v>
      </c>
      <c r="I917" s="162">
        <f t="shared" si="80"/>
        <v>16</v>
      </c>
      <c r="J917" s="162">
        <f t="shared" si="81"/>
        <v>0.1</v>
      </c>
      <c r="K917" s="35" t="str">
        <f t="shared" si="82"/>
        <v>11%</v>
      </c>
      <c r="M917" s="30">
        <f t="shared" si="83"/>
        <v>0.1111111111111111</v>
      </c>
      <c r="N917" s="34">
        <f>VLOOKUP(A917, 'Stock Register'!A:F, 6, FALSE)</f>
        <v>2</v>
      </c>
    </row>
    <row r="918" spans="1:14" ht="30" hidden="1" x14ac:dyDescent="0.25">
      <c r="A918" s="209" t="s">
        <v>1345</v>
      </c>
      <c r="D918" s="157">
        <f>SUMIF('Purchase Register'!C:C, A918, 'Purchase Register'!G:G)</f>
        <v>27</v>
      </c>
      <c r="E918" s="190">
        <v>30</v>
      </c>
      <c r="F918" s="162">
        <f>SUMIF('Sales Register'!C:C, A918, 'Sales Register'!D:D)</f>
        <v>3</v>
      </c>
      <c r="G918" s="162">
        <f t="shared" si="78"/>
        <v>90</v>
      </c>
      <c r="H918" s="162">
        <f t="shared" si="79"/>
        <v>81</v>
      </c>
      <c r="I918" s="162">
        <f t="shared" si="80"/>
        <v>9</v>
      </c>
      <c r="J918" s="162">
        <f t="shared" si="81"/>
        <v>0.1</v>
      </c>
      <c r="K918" s="35" t="str">
        <f t="shared" si="82"/>
        <v>11%</v>
      </c>
      <c r="M918" s="30">
        <f t="shared" si="83"/>
        <v>0.1111111111111111</v>
      </c>
      <c r="N918" s="34">
        <f>VLOOKUP(A918, 'Stock Register'!A:F, 6, FALSE)</f>
        <v>0</v>
      </c>
    </row>
    <row r="919" spans="1:14" ht="30" hidden="1" x14ac:dyDescent="0.25">
      <c r="A919" s="209" t="s">
        <v>1346</v>
      </c>
      <c r="D919" s="157">
        <f>SUMIF('Purchase Register'!C:C, A919, 'Purchase Register'!G:G)</f>
        <v>9</v>
      </c>
      <c r="E919" s="190">
        <v>10</v>
      </c>
      <c r="F919" s="162">
        <f>SUMIF('Sales Register'!C:C, A919, 'Sales Register'!D:D)</f>
        <v>4</v>
      </c>
      <c r="G919" s="162">
        <f t="shared" si="78"/>
        <v>40</v>
      </c>
      <c r="H919" s="162">
        <f t="shared" si="79"/>
        <v>36</v>
      </c>
      <c r="I919" s="162">
        <f t="shared" si="80"/>
        <v>4</v>
      </c>
      <c r="J919" s="162">
        <f t="shared" si="81"/>
        <v>0.1</v>
      </c>
      <c r="K919" s="35" t="str">
        <f t="shared" si="82"/>
        <v>11%</v>
      </c>
      <c r="M919" s="30">
        <f t="shared" si="83"/>
        <v>0.1111111111111111</v>
      </c>
      <c r="N919" s="34">
        <f>VLOOKUP(A919, 'Stock Register'!A:F, 6, FALSE)</f>
        <v>2</v>
      </c>
    </row>
    <row r="920" spans="1:14" hidden="1" x14ac:dyDescent="0.25">
      <c r="A920" s="209" t="s">
        <v>1347</v>
      </c>
      <c r="D920" s="157">
        <f>SUMIF('Purchase Register'!C:C, A920, 'Purchase Register'!G:G)</f>
        <v>48</v>
      </c>
      <c r="E920" s="190">
        <v>52</v>
      </c>
      <c r="F920" s="162">
        <f>SUMIF('Sales Register'!C:C, A920, 'Sales Register'!D:D)</f>
        <v>1</v>
      </c>
      <c r="G920" s="162">
        <f t="shared" si="78"/>
        <v>52</v>
      </c>
      <c r="H920" s="162">
        <f t="shared" si="79"/>
        <v>48</v>
      </c>
      <c r="I920" s="162">
        <f t="shared" si="80"/>
        <v>4</v>
      </c>
      <c r="J920" s="162">
        <f t="shared" si="81"/>
        <v>7.6923076923076927E-2</v>
      </c>
      <c r="K920" s="35" t="str">
        <f t="shared" si="82"/>
        <v>8%</v>
      </c>
      <c r="M920" s="30">
        <f t="shared" si="83"/>
        <v>8.3333333333333329E-2</v>
      </c>
      <c r="N920" s="34">
        <f>VLOOKUP(A920, 'Stock Register'!A:F, 6, FALSE)</f>
        <v>5</v>
      </c>
    </row>
    <row r="921" spans="1:14" ht="30" hidden="1" x14ac:dyDescent="0.25">
      <c r="A921" s="209" t="s">
        <v>1348</v>
      </c>
      <c r="D921" s="157">
        <f>SUMIF('Purchase Register'!C:C, A921, 'Purchase Register'!G:G)</f>
        <v>46</v>
      </c>
      <c r="E921" s="190">
        <v>50</v>
      </c>
      <c r="F921" s="162">
        <f>SUMIF('Sales Register'!C:C, A921, 'Sales Register'!D:D)</f>
        <v>2</v>
      </c>
      <c r="G921" s="162">
        <f t="shared" si="78"/>
        <v>100</v>
      </c>
      <c r="H921" s="162">
        <f t="shared" si="79"/>
        <v>92</v>
      </c>
      <c r="I921" s="162">
        <f t="shared" si="80"/>
        <v>8</v>
      </c>
      <c r="J921" s="162">
        <f t="shared" si="81"/>
        <v>0.08</v>
      </c>
      <c r="K921" s="35" t="str">
        <f t="shared" si="82"/>
        <v>8%</v>
      </c>
      <c r="M921" s="30">
        <f t="shared" si="83"/>
        <v>8.6956521739130432E-2</v>
      </c>
      <c r="N921" s="34">
        <f>VLOOKUP(A921, 'Stock Register'!A:F, 6, FALSE)</f>
        <v>0</v>
      </c>
    </row>
    <row r="922" spans="1:14" ht="30" hidden="1" x14ac:dyDescent="0.25">
      <c r="A922" s="209" t="s">
        <v>1349</v>
      </c>
      <c r="D922" s="157">
        <f>SUMIF('Purchase Register'!C:C, A922, 'Purchase Register'!G:G)</f>
        <v>16</v>
      </c>
      <c r="E922" s="190">
        <v>25</v>
      </c>
      <c r="F922" s="162">
        <f>SUMIF('Sales Register'!C:C, A922, 'Sales Register'!D:D)</f>
        <v>0</v>
      </c>
      <c r="G922" s="162">
        <f t="shared" si="78"/>
        <v>0</v>
      </c>
      <c r="H922" s="162">
        <f t="shared" si="79"/>
        <v>0</v>
      </c>
      <c r="I922" s="162">
        <f t="shared" si="80"/>
        <v>0</v>
      </c>
      <c r="J922" s="162">
        <f t="shared" si="81"/>
        <v>0</v>
      </c>
      <c r="K922" s="35" t="str">
        <f t="shared" si="82"/>
        <v>56%</v>
      </c>
      <c r="M922" s="30">
        <f t="shared" si="83"/>
        <v>0.5625</v>
      </c>
      <c r="N922" s="34">
        <f>VLOOKUP(A922, 'Stock Register'!A:F, 6, FALSE)</f>
        <v>10</v>
      </c>
    </row>
    <row r="923" spans="1:14" hidden="1" x14ac:dyDescent="0.25">
      <c r="A923" s="209" t="s">
        <v>1376</v>
      </c>
      <c r="D923" s="157">
        <f>SUMIF('Purchase Register'!C:C, A923, 'Purchase Register'!G:G)</f>
        <v>52</v>
      </c>
      <c r="E923" s="190">
        <v>60</v>
      </c>
      <c r="F923" s="162">
        <f>SUMIF('Sales Register'!C:C, A923, 'Sales Register'!D:D)</f>
        <v>5.2750000000000004</v>
      </c>
      <c r="G923" s="162">
        <f t="shared" si="78"/>
        <v>316.5</v>
      </c>
      <c r="H923" s="162">
        <f t="shared" si="79"/>
        <v>274.3</v>
      </c>
      <c r="I923" s="162">
        <f t="shared" si="80"/>
        <v>42.199999999999989</v>
      </c>
      <c r="J923" s="162">
        <f t="shared" si="81"/>
        <v>0.1333333333333333</v>
      </c>
      <c r="K923" s="35" t="str">
        <f t="shared" si="82"/>
        <v>15%</v>
      </c>
      <c r="M923" s="30">
        <f t="shared" si="83"/>
        <v>0.15384615384615385</v>
      </c>
      <c r="N923" s="34">
        <f>VLOOKUP(A923, 'Stock Register'!A:F, 6, FALSE)</f>
        <v>-0.27500000000000036</v>
      </c>
    </row>
    <row r="924" spans="1:14" ht="30" hidden="1" x14ac:dyDescent="0.25">
      <c r="A924" s="209" t="s">
        <v>1377</v>
      </c>
      <c r="D924" s="157">
        <f>SUMIF('Purchase Register'!C:C, A924, 'Purchase Register'!G:G)</f>
        <v>8.8888888888888893</v>
      </c>
      <c r="E924" s="190">
        <v>10</v>
      </c>
      <c r="F924" s="162">
        <f>SUMIF('Sales Register'!C:C, A924, 'Sales Register'!D:D)</f>
        <v>35</v>
      </c>
      <c r="G924" s="162">
        <f t="shared" si="78"/>
        <v>350</v>
      </c>
      <c r="H924" s="162">
        <f t="shared" si="79"/>
        <v>311.11111111111114</v>
      </c>
      <c r="I924" s="162">
        <f t="shared" si="80"/>
        <v>38.888888888888857</v>
      </c>
      <c r="J924" s="162">
        <f t="shared" si="81"/>
        <v>0.11111111111111102</v>
      </c>
      <c r="K924" s="35" t="str">
        <f t="shared" si="82"/>
        <v>12%</v>
      </c>
      <c r="M924" s="30">
        <f t="shared" si="83"/>
        <v>0.12499999999999994</v>
      </c>
      <c r="N924" s="34">
        <f>VLOOKUP(A924, 'Stock Register'!A:F, 6, FALSE)</f>
        <v>19</v>
      </c>
    </row>
    <row r="925" spans="1:14" hidden="1" x14ac:dyDescent="0.25">
      <c r="A925" s="209" t="s">
        <v>1374</v>
      </c>
      <c r="D925" s="157">
        <f>SUMIF('Purchase Register'!C:C, A925, 'Purchase Register'!G:G)</f>
        <v>17.666666666666668</v>
      </c>
      <c r="E925" s="190">
        <v>20</v>
      </c>
      <c r="F925" s="162">
        <f>SUMIF('Sales Register'!C:C, A925, 'Sales Register'!D:D)</f>
        <v>30</v>
      </c>
      <c r="G925" s="162">
        <f t="shared" si="78"/>
        <v>600</v>
      </c>
      <c r="H925" s="162">
        <f t="shared" si="79"/>
        <v>530</v>
      </c>
      <c r="I925" s="162">
        <f t="shared" si="80"/>
        <v>70</v>
      </c>
      <c r="J925" s="162">
        <f t="shared" si="81"/>
        <v>0.11666666666666667</v>
      </c>
      <c r="K925" s="35" t="str">
        <f t="shared" si="82"/>
        <v>13%</v>
      </c>
      <c r="M925" s="30">
        <f t="shared" si="83"/>
        <v>0.13207547169811312</v>
      </c>
      <c r="N925" s="34">
        <f>VLOOKUP(A925, 'Stock Register'!A:F, 6, FALSE)</f>
        <v>0</v>
      </c>
    </row>
    <row r="926" spans="1:14" hidden="1" x14ac:dyDescent="0.25">
      <c r="A926" s="209" t="s">
        <v>1378</v>
      </c>
      <c r="D926" s="157">
        <f>SUMIF('Purchase Register'!C:C, A926, 'Purchase Register'!G:G)</f>
        <v>8.3333333333333339</v>
      </c>
      <c r="E926" s="190">
        <v>10</v>
      </c>
      <c r="F926" s="162">
        <f>SUMIF('Sales Register'!C:C, A926, 'Sales Register'!D:D)</f>
        <v>19</v>
      </c>
      <c r="G926" s="162">
        <f t="shared" si="78"/>
        <v>190</v>
      </c>
      <c r="H926" s="162">
        <f t="shared" si="79"/>
        <v>158.33333333333334</v>
      </c>
      <c r="I926" s="162">
        <f t="shared" si="80"/>
        <v>31.666666666666657</v>
      </c>
      <c r="J926" s="162">
        <f t="shared" si="81"/>
        <v>0.16666666666666663</v>
      </c>
      <c r="K926" s="35" t="str">
        <f t="shared" si="82"/>
        <v>20%</v>
      </c>
      <c r="M926" s="30">
        <f t="shared" si="83"/>
        <v>0.19999999999999993</v>
      </c>
      <c r="N926" s="34">
        <f>VLOOKUP(A926, 'Stock Register'!A:F, 6, FALSE)</f>
        <v>11</v>
      </c>
    </row>
    <row r="927" spans="1:14" ht="30" hidden="1" x14ac:dyDescent="0.25">
      <c r="A927" s="209" t="s">
        <v>1379</v>
      </c>
      <c r="D927" s="157">
        <f>SUMIF('Purchase Register'!C:C, A927, 'Purchase Register'!G:G)</f>
        <v>37.5</v>
      </c>
      <c r="E927" s="190">
        <v>40</v>
      </c>
      <c r="F927" s="162">
        <f>SUMIF('Sales Register'!C:C, A927, 'Sales Register'!D:D)</f>
        <v>68</v>
      </c>
      <c r="G927" s="162">
        <f t="shared" si="78"/>
        <v>2720</v>
      </c>
      <c r="H927" s="162">
        <f t="shared" si="79"/>
        <v>2550</v>
      </c>
      <c r="I927" s="162">
        <f t="shared" si="80"/>
        <v>170</v>
      </c>
      <c r="J927" s="162">
        <f t="shared" si="81"/>
        <v>6.25E-2</v>
      </c>
      <c r="K927" s="35" t="str">
        <f t="shared" si="82"/>
        <v>6%</v>
      </c>
      <c r="M927" s="30">
        <f t="shared" si="83"/>
        <v>6.6666666666666666E-2</v>
      </c>
      <c r="N927" s="34">
        <f>VLOOKUP(A927, 'Stock Register'!A:F, 6, FALSE)</f>
        <v>-44</v>
      </c>
    </row>
    <row r="928" spans="1:14" hidden="1" x14ac:dyDescent="0.25">
      <c r="A928" s="209" t="s">
        <v>1380</v>
      </c>
      <c r="D928" s="157">
        <f>SUMIF('Purchase Register'!C:C, A928, 'Purchase Register'!G:G)</f>
        <v>8.981481481481481</v>
      </c>
      <c r="E928" s="190">
        <v>10</v>
      </c>
      <c r="F928" s="162">
        <f>SUMIF('Sales Register'!C:C, A928, 'Sales Register'!D:D)</f>
        <v>75</v>
      </c>
      <c r="G928" s="162">
        <f t="shared" si="78"/>
        <v>750</v>
      </c>
      <c r="H928" s="162">
        <f t="shared" si="79"/>
        <v>673.61111111111109</v>
      </c>
      <c r="I928" s="162">
        <f t="shared" si="80"/>
        <v>76.388888888888914</v>
      </c>
      <c r="J928" s="162">
        <f t="shared" si="81"/>
        <v>0.10185185185185189</v>
      </c>
      <c r="K928" s="35" t="str">
        <f t="shared" si="82"/>
        <v>11%</v>
      </c>
      <c r="M928" s="30">
        <f t="shared" si="83"/>
        <v>0.11340206185567017</v>
      </c>
      <c r="N928" s="34">
        <f>VLOOKUP(A928, 'Stock Register'!A:F, 6, FALSE)</f>
        <v>33</v>
      </c>
    </row>
    <row r="929" spans="1:14" hidden="1" x14ac:dyDescent="0.25">
      <c r="A929" s="204" t="s">
        <v>1396</v>
      </c>
      <c r="D929" s="157">
        <f>SUMIF('Purchase Register'!C:C, A929, 'Purchase Register'!G:G)</f>
        <v>9.0833333333333339</v>
      </c>
      <c r="E929" s="190">
        <v>10</v>
      </c>
      <c r="F929" s="162">
        <f>SUMIF('Sales Register'!C:C, A929, 'Sales Register'!D:D)</f>
        <v>108</v>
      </c>
      <c r="G929" s="162">
        <f t="shared" si="78"/>
        <v>1080</v>
      </c>
      <c r="H929" s="162">
        <f t="shared" si="79"/>
        <v>981.00000000000011</v>
      </c>
      <c r="I929" s="162">
        <f t="shared" si="80"/>
        <v>98.999999999999886</v>
      </c>
      <c r="J929" s="162">
        <f t="shared" si="81"/>
        <v>9.1666666666666563E-2</v>
      </c>
      <c r="K929" s="35" t="str">
        <f t="shared" si="82"/>
        <v>10%</v>
      </c>
      <c r="M929" s="30">
        <f t="shared" si="83"/>
        <v>0.10091743119266047</v>
      </c>
      <c r="N929" s="34">
        <f>VLOOKUP(A929, 'Stock Register'!A:F, 6, FALSE)</f>
        <v>0</v>
      </c>
    </row>
    <row r="930" spans="1:14" hidden="1" x14ac:dyDescent="0.25">
      <c r="A930" s="209" t="s">
        <v>1381</v>
      </c>
      <c r="D930" s="157">
        <f>SUMIF('Purchase Register'!C:C, A930, 'Purchase Register'!G:G)</f>
        <v>18.277777777777779</v>
      </c>
      <c r="E930" s="190">
        <v>20</v>
      </c>
      <c r="F930" s="162">
        <f>SUMIF('Sales Register'!C:C, A930, 'Sales Register'!D:D)</f>
        <v>24</v>
      </c>
      <c r="G930" s="162">
        <f t="shared" si="78"/>
        <v>480</v>
      </c>
      <c r="H930" s="162">
        <f t="shared" si="79"/>
        <v>438.66666666666669</v>
      </c>
      <c r="I930" s="162">
        <f t="shared" si="80"/>
        <v>41.333333333333314</v>
      </c>
      <c r="J930" s="162">
        <f t="shared" si="81"/>
        <v>8.6111111111111069E-2</v>
      </c>
      <c r="K930" s="35" t="str">
        <f t="shared" si="82"/>
        <v>9%</v>
      </c>
      <c r="M930" s="30">
        <f t="shared" si="83"/>
        <v>9.4224924012158012E-2</v>
      </c>
      <c r="N930" s="34">
        <f>VLOOKUP(A930, 'Stock Register'!A:F, 6, FALSE)</f>
        <v>-6</v>
      </c>
    </row>
    <row r="931" spans="1:14" hidden="1" x14ac:dyDescent="0.25">
      <c r="A931" s="209" t="s">
        <v>1382</v>
      </c>
      <c r="D931" s="157">
        <f>SUMIF('Purchase Register'!C:C, A931, 'Purchase Register'!G:G)</f>
        <v>5.416666666666667</v>
      </c>
      <c r="E931" s="190">
        <v>10</v>
      </c>
      <c r="F931" s="162">
        <f>SUMIF('Sales Register'!C:C, A931, 'Sales Register'!D:D)</f>
        <v>3</v>
      </c>
      <c r="G931" s="162">
        <f t="shared" si="78"/>
        <v>30</v>
      </c>
      <c r="H931" s="162">
        <f t="shared" si="79"/>
        <v>16.25</v>
      </c>
      <c r="I931" s="162">
        <f t="shared" si="80"/>
        <v>13.75</v>
      </c>
      <c r="J931" s="162">
        <f t="shared" si="81"/>
        <v>0.45833333333333331</v>
      </c>
      <c r="K931" s="35" t="str">
        <f t="shared" si="82"/>
        <v>84%</v>
      </c>
      <c r="M931" s="30">
        <f t="shared" si="83"/>
        <v>0.84615384615384603</v>
      </c>
      <c r="N931" s="34">
        <f>VLOOKUP(A931, 'Stock Register'!A:F, 6, FALSE)</f>
        <v>21</v>
      </c>
    </row>
    <row r="932" spans="1:14" hidden="1" x14ac:dyDescent="0.25">
      <c r="A932" s="209" t="s">
        <v>1383</v>
      </c>
      <c r="D932" s="157">
        <f>SUMIF('Purchase Register'!C:C, A932, 'Purchase Register'!G:G)</f>
        <v>13</v>
      </c>
      <c r="E932" s="190">
        <v>15</v>
      </c>
      <c r="F932" s="162">
        <f>SUMIF('Sales Register'!C:C, A932, 'Sales Register'!D:D)</f>
        <v>39</v>
      </c>
      <c r="G932" s="162">
        <f t="shared" si="78"/>
        <v>585</v>
      </c>
      <c r="H932" s="162">
        <f t="shared" si="79"/>
        <v>507</v>
      </c>
      <c r="I932" s="162">
        <f t="shared" si="80"/>
        <v>78</v>
      </c>
      <c r="J932" s="162">
        <f t="shared" si="81"/>
        <v>0.13333333333333333</v>
      </c>
      <c r="K932" s="35" t="str">
        <f t="shared" si="82"/>
        <v>15%</v>
      </c>
      <c r="M932" s="30">
        <f t="shared" si="83"/>
        <v>0.15384615384615385</v>
      </c>
      <c r="N932" s="34">
        <f>VLOOKUP(A932, 'Stock Register'!A:F, 6, FALSE)</f>
        <v>11</v>
      </c>
    </row>
    <row r="933" spans="1:14" hidden="1" x14ac:dyDescent="0.25">
      <c r="A933" s="209" t="s">
        <v>1384</v>
      </c>
      <c r="D933" s="157">
        <f>SUMIF('Purchase Register'!C:C, A933, 'Purchase Register'!G:G)</f>
        <v>9</v>
      </c>
      <c r="E933" s="190">
        <v>10</v>
      </c>
      <c r="F933" s="162">
        <f>SUMIF('Sales Register'!C:C, A933, 'Sales Register'!D:D)</f>
        <v>11</v>
      </c>
      <c r="G933" s="162">
        <f t="shared" si="78"/>
        <v>110</v>
      </c>
      <c r="H933" s="162">
        <f t="shared" si="79"/>
        <v>99</v>
      </c>
      <c r="I933" s="162">
        <f t="shared" si="80"/>
        <v>11</v>
      </c>
      <c r="J933" s="162">
        <f t="shared" si="81"/>
        <v>0.1</v>
      </c>
      <c r="K933" s="35" t="str">
        <f t="shared" si="82"/>
        <v>11%</v>
      </c>
      <c r="M933" s="30">
        <f t="shared" si="83"/>
        <v>0.1111111111111111</v>
      </c>
      <c r="N933" s="34">
        <f>VLOOKUP(A933, 'Stock Register'!A:F, 6, FALSE)</f>
        <v>1</v>
      </c>
    </row>
    <row r="934" spans="1:14" hidden="1" x14ac:dyDescent="0.25">
      <c r="A934" s="209" t="s">
        <v>1385</v>
      </c>
      <c r="D934" s="157">
        <f>SUMIF('Purchase Register'!C:C, A934, 'Purchase Register'!G:G)</f>
        <v>4.1538461538461542</v>
      </c>
      <c r="E934" s="190">
        <v>5</v>
      </c>
      <c r="F934" s="162">
        <f>SUMIF('Sales Register'!C:C, A934, 'Sales Register'!D:D)</f>
        <v>0</v>
      </c>
      <c r="G934" s="162">
        <f t="shared" si="78"/>
        <v>0</v>
      </c>
      <c r="H934" s="162">
        <f t="shared" si="79"/>
        <v>0</v>
      </c>
      <c r="I934" s="162">
        <f t="shared" si="80"/>
        <v>0</v>
      </c>
      <c r="J934" s="162">
        <f t="shared" si="81"/>
        <v>0</v>
      </c>
      <c r="K934" s="35" t="str">
        <f t="shared" si="82"/>
        <v>20%</v>
      </c>
      <c r="M934" s="30">
        <f t="shared" si="83"/>
        <v>0.20370370370370361</v>
      </c>
      <c r="N934" s="34">
        <f>VLOOKUP(A934, 'Stock Register'!A:F, 6, FALSE)</f>
        <v>13</v>
      </c>
    </row>
    <row r="935" spans="1:14" hidden="1" x14ac:dyDescent="0.25">
      <c r="A935" s="209" t="s">
        <v>1386</v>
      </c>
      <c r="D935" s="157">
        <f>SUMIF('Purchase Register'!C:C, A935, 'Purchase Register'!G:G)</f>
        <v>36</v>
      </c>
      <c r="E935" s="190">
        <v>40</v>
      </c>
      <c r="F935" s="162">
        <f>SUMIF('Sales Register'!C:C, A935, 'Sales Register'!D:D)</f>
        <v>4</v>
      </c>
      <c r="G935" s="162">
        <f t="shared" si="78"/>
        <v>160</v>
      </c>
      <c r="H935" s="162">
        <f t="shared" si="79"/>
        <v>144</v>
      </c>
      <c r="I935" s="162">
        <f t="shared" si="80"/>
        <v>16</v>
      </c>
      <c r="J935" s="162">
        <f t="shared" si="81"/>
        <v>0.1</v>
      </c>
      <c r="K935" s="35" t="str">
        <f t="shared" si="82"/>
        <v>11%</v>
      </c>
      <c r="M935" s="30">
        <f t="shared" si="83"/>
        <v>0.1111111111111111</v>
      </c>
      <c r="N935" s="34">
        <f>VLOOKUP(A935, 'Stock Register'!A:F, 6, FALSE)</f>
        <v>2</v>
      </c>
    </row>
    <row r="936" spans="1:14" hidden="1" x14ac:dyDescent="0.25">
      <c r="A936" s="209" t="s">
        <v>1387</v>
      </c>
      <c r="D936" s="157">
        <f>SUMIF('Purchase Register'!C:C, A936, 'Purchase Register'!G:G)</f>
        <v>8.4615384615384617</v>
      </c>
      <c r="E936" s="190">
        <v>10</v>
      </c>
      <c r="F936" s="162">
        <f>SUMIF('Sales Register'!C:C, A936, 'Sales Register'!D:D)</f>
        <v>20</v>
      </c>
      <c r="G936" s="162">
        <f t="shared" si="78"/>
        <v>200</v>
      </c>
      <c r="H936" s="162">
        <f t="shared" si="79"/>
        <v>169.23076923076923</v>
      </c>
      <c r="I936" s="162">
        <f t="shared" si="80"/>
        <v>30.769230769230774</v>
      </c>
      <c r="J936" s="162">
        <f t="shared" si="81"/>
        <v>0.15384615384615385</v>
      </c>
      <c r="K936" s="35" t="str">
        <f t="shared" si="82"/>
        <v>18%</v>
      </c>
      <c r="M936" s="30">
        <f t="shared" si="83"/>
        <v>0.1818181818181818</v>
      </c>
      <c r="N936" s="34">
        <f>VLOOKUP(A936, 'Stock Register'!A:F, 6, FALSE)</f>
        <v>6</v>
      </c>
    </row>
    <row r="937" spans="1:14" ht="30" hidden="1" x14ac:dyDescent="0.25">
      <c r="A937" s="209" t="s">
        <v>1388</v>
      </c>
      <c r="D937" s="157">
        <f>SUMIF('Purchase Register'!C:C, A937, 'Purchase Register'!G:G)</f>
        <v>112</v>
      </c>
      <c r="E937" s="190">
        <v>130</v>
      </c>
      <c r="F937" s="162">
        <f>SUMIF('Sales Register'!C:C, A937, 'Sales Register'!D:D)</f>
        <v>4</v>
      </c>
      <c r="G937" s="162">
        <f t="shared" si="78"/>
        <v>520</v>
      </c>
      <c r="H937" s="162">
        <f t="shared" si="79"/>
        <v>448</v>
      </c>
      <c r="I937" s="162">
        <f t="shared" si="80"/>
        <v>72</v>
      </c>
      <c r="J937" s="162">
        <f t="shared" si="81"/>
        <v>0.13846153846153847</v>
      </c>
      <c r="K937" s="35" t="str">
        <f t="shared" si="82"/>
        <v>16%</v>
      </c>
      <c r="M937" s="30">
        <f t="shared" si="83"/>
        <v>0.16071428571428573</v>
      </c>
      <c r="N937" s="34">
        <f>VLOOKUP(A937, 'Stock Register'!A:F, 6, FALSE)</f>
        <v>2</v>
      </c>
    </row>
    <row r="938" spans="1:14" ht="30" hidden="1" x14ac:dyDescent="0.25">
      <c r="A938" s="209" t="s">
        <v>1389</v>
      </c>
      <c r="D938" s="157">
        <f>SUMIF('Purchase Register'!C:C, A938, 'Purchase Register'!G:G)</f>
        <v>55</v>
      </c>
      <c r="E938" s="190">
        <v>65</v>
      </c>
      <c r="F938" s="162">
        <f>SUMIF('Sales Register'!C:C, A938, 'Sales Register'!D:D)</f>
        <v>6</v>
      </c>
      <c r="G938" s="162">
        <f t="shared" si="78"/>
        <v>390</v>
      </c>
      <c r="H938" s="162">
        <f t="shared" si="79"/>
        <v>330</v>
      </c>
      <c r="I938" s="162">
        <f t="shared" si="80"/>
        <v>60</v>
      </c>
      <c r="J938" s="162">
        <f t="shared" si="81"/>
        <v>0.15384615384615385</v>
      </c>
      <c r="K938" s="35" t="str">
        <f t="shared" si="82"/>
        <v>18%</v>
      </c>
      <c r="M938" s="30">
        <f t="shared" si="83"/>
        <v>0.18181818181818182</v>
      </c>
      <c r="N938" s="34">
        <f>VLOOKUP(A938, 'Stock Register'!A:F, 6, FALSE)</f>
        <v>0</v>
      </c>
    </row>
    <row r="939" spans="1:14" ht="30" hidden="1" x14ac:dyDescent="0.25">
      <c r="A939" s="209" t="s">
        <v>1391</v>
      </c>
      <c r="D939" s="157">
        <f>SUMIF('Purchase Register'!C:C, A939, 'Purchase Register'!G:G)</f>
        <v>47</v>
      </c>
      <c r="E939" s="190">
        <v>50</v>
      </c>
      <c r="F939" s="162">
        <f>SUMIF('Sales Register'!C:C, A939, 'Sales Register'!D:D)</f>
        <v>4</v>
      </c>
      <c r="G939" s="162">
        <f t="shared" si="78"/>
        <v>200</v>
      </c>
      <c r="H939" s="162">
        <f t="shared" si="79"/>
        <v>188</v>
      </c>
      <c r="I939" s="162">
        <f t="shared" si="80"/>
        <v>12</v>
      </c>
      <c r="J939" s="162">
        <f t="shared" si="81"/>
        <v>0.06</v>
      </c>
      <c r="K939" s="35" t="str">
        <f t="shared" si="82"/>
        <v>6%</v>
      </c>
      <c r="M939" s="30">
        <f t="shared" si="83"/>
        <v>6.3829787234042548E-2</v>
      </c>
      <c r="N939" s="34">
        <f>VLOOKUP(A939, 'Stock Register'!A:F, 6, FALSE)</f>
        <v>-1</v>
      </c>
    </row>
    <row r="940" spans="1:14" ht="30" hidden="1" x14ac:dyDescent="0.25">
      <c r="A940" s="209" t="s">
        <v>1390</v>
      </c>
      <c r="D940" s="157">
        <f>SUMIF('Purchase Register'!C:C, A940, 'Purchase Register'!G:G)</f>
        <v>37</v>
      </c>
      <c r="E940" s="190">
        <v>40</v>
      </c>
      <c r="F940" s="162">
        <f>SUMIF('Sales Register'!C:C, A940, 'Sales Register'!D:D)</f>
        <v>3</v>
      </c>
      <c r="G940" s="162">
        <f t="shared" si="78"/>
        <v>120</v>
      </c>
      <c r="H940" s="162">
        <f t="shared" si="79"/>
        <v>111</v>
      </c>
      <c r="I940" s="162">
        <f t="shared" si="80"/>
        <v>9</v>
      </c>
      <c r="J940" s="162">
        <f t="shared" si="81"/>
        <v>7.4999999999999997E-2</v>
      </c>
      <c r="K940" s="35" t="str">
        <f t="shared" si="82"/>
        <v>8%</v>
      </c>
      <c r="M940" s="30">
        <f t="shared" si="83"/>
        <v>8.1081081081081086E-2</v>
      </c>
      <c r="N940" s="34">
        <f>VLOOKUP(A940, 'Stock Register'!A:F, 6, FALSE)</f>
        <v>0</v>
      </c>
    </row>
    <row r="941" spans="1:14" hidden="1" x14ac:dyDescent="0.25">
      <c r="A941" s="209" t="s">
        <v>1392</v>
      </c>
      <c r="D941" s="157">
        <f>SUMIF('Purchase Register'!C:C, A941, 'Purchase Register'!G:G)</f>
        <v>9</v>
      </c>
      <c r="E941" s="190">
        <v>10</v>
      </c>
      <c r="F941" s="162">
        <f>SUMIF('Sales Register'!C:C, A941, 'Sales Register'!D:D)</f>
        <v>9</v>
      </c>
      <c r="G941" s="162">
        <f t="shared" si="78"/>
        <v>90</v>
      </c>
      <c r="H941" s="162">
        <f t="shared" si="79"/>
        <v>81</v>
      </c>
      <c r="I941" s="162">
        <f t="shared" si="80"/>
        <v>9</v>
      </c>
      <c r="J941" s="162">
        <f t="shared" si="81"/>
        <v>0.1</v>
      </c>
      <c r="K941" s="35" t="str">
        <f t="shared" si="82"/>
        <v>11%</v>
      </c>
      <c r="M941" s="30">
        <f t="shared" si="83"/>
        <v>0.1111111111111111</v>
      </c>
      <c r="N941" s="34">
        <f>VLOOKUP(A941, 'Stock Register'!A:F, 6, FALSE)</f>
        <v>-3</v>
      </c>
    </row>
    <row r="942" spans="1:14" hidden="1" x14ac:dyDescent="0.25">
      <c r="A942" s="209" t="s">
        <v>1393</v>
      </c>
      <c r="D942" s="157">
        <f>SUMIF('Purchase Register'!C:C, A942, 'Purchase Register'!G:G)</f>
        <v>37</v>
      </c>
      <c r="E942" s="190">
        <v>40</v>
      </c>
      <c r="F942" s="162">
        <f>SUMIF('Sales Register'!C:C, A942, 'Sales Register'!D:D)</f>
        <v>2</v>
      </c>
      <c r="G942" s="162">
        <f t="shared" si="78"/>
        <v>80</v>
      </c>
      <c r="H942" s="162">
        <f t="shared" si="79"/>
        <v>74</v>
      </c>
      <c r="I942" s="162">
        <f t="shared" si="80"/>
        <v>6</v>
      </c>
      <c r="J942" s="162">
        <f t="shared" si="81"/>
        <v>7.4999999999999997E-2</v>
      </c>
      <c r="K942" s="35" t="str">
        <f t="shared" si="82"/>
        <v>8%</v>
      </c>
      <c r="M942" s="30">
        <f t="shared" si="83"/>
        <v>8.1081081081081086E-2</v>
      </c>
      <c r="N942" s="34">
        <f>VLOOKUP(A942, 'Stock Register'!A:F, 6, FALSE)</f>
        <v>4</v>
      </c>
    </row>
    <row r="943" spans="1:14" ht="30" hidden="1" x14ac:dyDescent="0.25">
      <c r="A943" s="209" t="s">
        <v>1394</v>
      </c>
      <c r="D943" s="157">
        <f>SUMIF('Purchase Register'!C:C, A943, 'Purchase Register'!G:G)</f>
        <v>8</v>
      </c>
      <c r="E943" s="190">
        <v>10</v>
      </c>
      <c r="F943" s="162">
        <f>SUMIF('Sales Register'!C:C, A943, 'Sales Register'!D:D)</f>
        <v>24</v>
      </c>
      <c r="G943" s="162">
        <f t="shared" si="78"/>
        <v>240</v>
      </c>
      <c r="H943" s="162">
        <f t="shared" si="79"/>
        <v>192</v>
      </c>
      <c r="I943" s="162">
        <f t="shared" si="80"/>
        <v>48</v>
      </c>
      <c r="J943" s="162">
        <f t="shared" si="81"/>
        <v>0.2</v>
      </c>
      <c r="K943" s="35" t="str">
        <f t="shared" si="82"/>
        <v>25%</v>
      </c>
      <c r="M943" s="30">
        <f t="shared" si="83"/>
        <v>0.25</v>
      </c>
      <c r="N943" s="34">
        <f>VLOOKUP(A943, 'Stock Register'!A:F, 6, FALSE)</f>
        <v>-4</v>
      </c>
    </row>
    <row r="944" spans="1:14" ht="30" hidden="1" x14ac:dyDescent="0.25">
      <c r="A944" s="209" t="s">
        <v>1395</v>
      </c>
      <c r="D944" s="157">
        <f>SUMIF('Purchase Register'!C:C, A944, 'Purchase Register'!G:G)</f>
        <v>27</v>
      </c>
      <c r="E944" s="190">
        <v>30</v>
      </c>
      <c r="F944" s="162">
        <f>SUMIF('Sales Register'!C:C, A944, 'Sales Register'!D:D)</f>
        <v>9</v>
      </c>
      <c r="G944" s="162">
        <f t="shared" si="78"/>
        <v>270</v>
      </c>
      <c r="H944" s="162">
        <f t="shared" si="79"/>
        <v>243</v>
      </c>
      <c r="I944" s="162">
        <f t="shared" si="80"/>
        <v>27</v>
      </c>
      <c r="J944" s="162">
        <f t="shared" si="81"/>
        <v>0.1</v>
      </c>
      <c r="K944" s="35" t="str">
        <f t="shared" si="82"/>
        <v>11%</v>
      </c>
      <c r="M944" s="30">
        <f t="shared" si="83"/>
        <v>0.1111111111111111</v>
      </c>
      <c r="N944" s="34">
        <f>VLOOKUP(A944, 'Stock Register'!A:F, 6, FALSE)</f>
        <v>-3</v>
      </c>
    </row>
    <row r="945" spans="1:14" ht="30" hidden="1" x14ac:dyDescent="0.25">
      <c r="A945" s="209" t="s">
        <v>1401</v>
      </c>
      <c r="D945" s="157">
        <f>SUMIF('Purchase Register'!C:C, A945, 'Purchase Register'!G:G)</f>
        <v>16.649999999999999</v>
      </c>
      <c r="E945" s="190">
        <v>35</v>
      </c>
      <c r="F945" s="162">
        <f>SUMIF('Sales Register'!C:C, A945, 'Sales Register'!D:D)</f>
        <v>2</v>
      </c>
      <c r="G945" s="162">
        <f t="shared" si="78"/>
        <v>70</v>
      </c>
      <c r="H945" s="162">
        <f t="shared" si="79"/>
        <v>33.299999999999997</v>
      </c>
      <c r="I945" s="162">
        <f t="shared" si="80"/>
        <v>36.700000000000003</v>
      </c>
      <c r="J945" s="162">
        <f t="shared" si="81"/>
        <v>0.52428571428571435</v>
      </c>
      <c r="K945" s="35" t="str">
        <f t="shared" si="82"/>
        <v>100% or More</v>
      </c>
      <c r="M945" s="30">
        <f t="shared" si="83"/>
        <v>1.1021021021021022</v>
      </c>
      <c r="N945" s="34">
        <f>VLOOKUP(A945, 'Stock Register'!A:F, 6, FALSE)</f>
        <v>2</v>
      </c>
    </row>
    <row r="946" spans="1:14" ht="30" hidden="1" x14ac:dyDescent="0.25">
      <c r="A946" s="209" t="s">
        <v>1400</v>
      </c>
      <c r="D946" s="157">
        <f>SUMIF('Purchase Register'!C:C, A946, 'Purchase Register'!G:G)</f>
        <v>33.299999999999997</v>
      </c>
      <c r="E946" s="190">
        <v>40</v>
      </c>
      <c r="F946" s="162">
        <f>SUMIF('Sales Register'!C:C, A946, 'Sales Register'!D:D)</f>
        <v>1</v>
      </c>
      <c r="G946" s="162">
        <f t="shared" si="78"/>
        <v>40</v>
      </c>
      <c r="H946" s="162">
        <f t="shared" si="79"/>
        <v>33.299999999999997</v>
      </c>
      <c r="I946" s="162">
        <f t="shared" si="80"/>
        <v>6.7000000000000028</v>
      </c>
      <c r="J946" s="162">
        <f t="shared" si="81"/>
        <v>0.16750000000000007</v>
      </c>
      <c r="K946" s="35" t="str">
        <f t="shared" si="82"/>
        <v>20%</v>
      </c>
      <c r="M946" s="30">
        <f t="shared" si="83"/>
        <v>0.2012012012012013</v>
      </c>
      <c r="N946" s="34">
        <f>VLOOKUP(A946, 'Stock Register'!A:F, 6, FALSE)</f>
        <v>1</v>
      </c>
    </row>
    <row r="947" spans="1:14" hidden="1" x14ac:dyDescent="0.25">
      <c r="A947" s="209" t="s">
        <v>1399</v>
      </c>
      <c r="D947" s="157">
        <f>SUMIF('Purchase Register'!C:C, A947, 'Purchase Register'!G:G)</f>
        <v>37.22</v>
      </c>
      <c r="E947" s="190">
        <v>40</v>
      </c>
      <c r="F947" s="162">
        <f>SUMIF('Sales Register'!C:C, A947, 'Sales Register'!D:D)</f>
        <v>2</v>
      </c>
      <c r="G947" s="162">
        <f t="shared" si="78"/>
        <v>80</v>
      </c>
      <c r="H947" s="162">
        <f t="shared" si="79"/>
        <v>74.44</v>
      </c>
      <c r="I947" s="162">
        <f t="shared" si="80"/>
        <v>5.5600000000000023</v>
      </c>
      <c r="J947" s="162">
        <f t="shared" si="81"/>
        <v>6.9500000000000034E-2</v>
      </c>
      <c r="K947" s="35" t="str">
        <f t="shared" si="82"/>
        <v>7%</v>
      </c>
      <c r="M947" s="30">
        <f t="shared" si="83"/>
        <v>7.4691026329930174E-2</v>
      </c>
      <c r="N947" s="34">
        <f>VLOOKUP(A947, 'Stock Register'!A:F, 6, FALSE)</f>
        <v>0</v>
      </c>
    </row>
    <row r="948" spans="1:14" ht="30" hidden="1" x14ac:dyDescent="0.25">
      <c r="A948" s="209" t="s">
        <v>1398</v>
      </c>
      <c r="D948" s="157">
        <f>SUMIF('Purchase Register'!C:C, A948, 'Purchase Register'!G:G)</f>
        <v>18.61</v>
      </c>
      <c r="E948" s="190">
        <v>20</v>
      </c>
      <c r="F948" s="162">
        <f>SUMIF('Sales Register'!C:C, A948, 'Sales Register'!D:D)</f>
        <v>2</v>
      </c>
      <c r="G948" s="162">
        <f t="shared" si="78"/>
        <v>40</v>
      </c>
      <c r="H948" s="162">
        <f t="shared" si="79"/>
        <v>37.22</v>
      </c>
      <c r="I948" s="162">
        <f t="shared" si="80"/>
        <v>2.7800000000000011</v>
      </c>
      <c r="J948" s="162">
        <f t="shared" si="81"/>
        <v>6.9500000000000034E-2</v>
      </c>
      <c r="K948" s="35" t="str">
        <f t="shared" si="82"/>
        <v>7%</v>
      </c>
      <c r="M948" s="30">
        <f t="shared" si="83"/>
        <v>7.4691026329930174E-2</v>
      </c>
      <c r="N948" s="34">
        <f>VLOOKUP(A948, 'Stock Register'!A:F, 6, FALSE)</f>
        <v>0</v>
      </c>
    </row>
    <row r="949" spans="1:14" ht="45" hidden="1" x14ac:dyDescent="0.25">
      <c r="A949" s="209" t="s">
        <v>1402</v>
      </c>
      <c r="D949" s="157">
        <f>SUMIF('Purchase Register'!C:C, A949, 'Purchase Register'!G:G)</f>
        <v>50.93</v>
      </c>
      <c r="E949" s="190">
        <v>50</v>
      </c>
      <c r="F949" s="162">
        <f>SUMIF('Sales Register'!C:C, A949, 'Sales Register'!D:D)</f>
        <v>1</v>
      </c>
      <c r="G949" s="162">
        <f t="shared" si="78"/>
        <v>50</v>
      </c>
      <c r="H949" s="162">
        <f t="shared" si="79"/>
        <v>50.93</v>
      </c>
      <c r="I949" s="162">
        <f t="shared" si="80"/>
        <v>-0.92999999999999972</v>
      </c>
      <c r="J949" s="162">
        <f t="shared" si="81"/>
        <v>-1.8599999999999995E-2</v>
      </c>
      <c r="K949" s="35" t="str">
        <f t="shared" si="82"/>
        <v>NO PROFIT</v>
      </c>
      <c r="M949" s="30">
        <f t="shared" si="83"/>
        <v>-1.8260357353229919E-2</v>
      </c>
      <c r="N949" s="34">
        <f>VLOOKUP(A949, 'Stock Register'!A:F, 6, FALSE)</f>
        <v>1</v>
      </c>
    </row>
    <row r="950" spans="1:14" ht="45" hidden="1" x14ac:dyDescent="0.25">
      <c r="A950" s="209" t="s">
        <v>1403</v>
      </c>
      <c r="D950" s="157">
        <f>SUMIF('Purchase Register'!C:C, A950, 'Purchase Register'!G:G)</f>
        <v>46.03</v>
      </c>
      <c r="E950" s="190">
        <v>50</v>
      </c>
      <c r="F950" s="162">
        <f>SUMIF('Sales Register'!C:C, A950, 'Sales Register'!D:D)</f>
        <v>2</v>
      </c>
      <c r="G950" s="162">
        <f t="shared" ref="G950:G1013" si="84">E950*F950</f>
        <v>100</v>
      </c>
      <c r="H950" s="162">
        <f t="shared" si="79"/>
        <v>92.06</v>
      </c>
      <c r="I950" s="162">
        <f t="shared" si="80"/>
        <v>7.9399999999999977</v>
      </c>
      <c r="J950" s="162">
        <f t="shared" si="81"/>
        <v>7.9399999999999971E-2</v>
      </c>
      <c r="K950" s="35" t="str">
        <f t="shared" si="82"/>
        <v>8%</v>
      </c>
      <c r="M950" s="30">
        <f t="shared" si="83"/>
        <v>8.6248099065826603E-2</v>
      </c>
      <c r="N950" s="34">
        <f>VLOOKUP(A950, 'Stock Register'!A:F, 6, FALSE)</f>
        <v>0</v>
      </c>
    </row>
    <row r="951" spans="1:14" ht="30" hidden="1" x14ac:dyDescent="0.25">
      <c r="A951" s="209" t="s">
        <v>1404</v>
      </c>
      <c r="D951" s="157">
        <f>SUMIF('Purchase Register'!C:C, A951, 'Purchase Register'!G:G)</f>
        <v>318.29000000000002</v>
      </c>
      <c r="E951" s="190">
        <v>380</v>
      </c>
      <c r="F951" s="162">
        <f>SUMIF('Sales Register'!C:C, A951, 'Sales Register'!D:D)</f>
        <v>381</v>
      </c>
      <c r="G951" s="162">
        <f t="shared" si="84"/>
        <v>144780</v>
      </c>
      <c r="H951" s="162">
        <f t="shared" si="79"/>
        <v>121268.49</v>
      </c>
      <c r="I951" s="162">
        <f t="shared" si="80"/>
        <v>23511.509999999995</v>
      </c>
      <c r="J951" s="162">
        <f t="shared" si="81"/>
        <v>0.16239473684210523</v>
      </c>
      <c r="K951" s="35" t="str">
        <f t="shared" si="82"/>
        <v>19%</v>
      </c>
      <c r="M951" s="30">
        <f t="shared" si="83"/>
        <v>0.19387979515536138</v>
      </c>
      <c r="N951" s="34">
        <f>VLOOKUP(A951, 'Stock Register'!A:F, 6, FALSE)</f>
        <v>-380</v>
      </c>
    </row>
    <row r="952" spans="1:14" ht="30" hidden="1" x14ac:dyDescent="0.25">
      <c r="A952" s="209" t="s">
        <v>1405</v>
      </c>
      <c r="D952" s="157">
        <f>SUMIF('Purchase Register'!C:C, A952, 'Purchase Register'!G:G)</f>
        <v>93.04</v>
      </c>
      <c r="E952" s="190">
        <v>100</v>
      </c>
      <c r="F952" s="162">
        <f>SUMIF('Sales Register'!C:C, A952, 'Sales Register'!D:D)</f>
        <v>1</v>
      </c>
      <c r="G952" s="162">
        <f t="shared" si="84"/>
        <v>100</v>
      </c>
      <c r="H952" s="162">
        <f t="shared" si="79"/>
        <v>93.04</v>
      </c>
      <c r="I952" s="162">
        <f t="shared" si="80"/>
        <v>6.9599999999999937</v>
      </c>
      <c r="J952" s="162">
        <f t="shared" si="81"/>
        <v>6.959999999999994E-2</v>
      </c>
      <c r="K952" s="35" t="str">
        <f t="shared" si="82"/>
        <v>7%</v>
      </c>
      <c r="M952" s="30">
        <f t="shared" si="83"/>
        <v>7.480653482373166E-2</v>
      </c>
      <c r="N952" s="34">
        <f>VLOOKUP(A952, 'Stock Register'!A:F, 6, FALSE)</f>
        <v>0</v>
      </c>
    </row>
    <row r="953" spans="1:14" ht="30" hidden="1" x14ac:dyDescent="0.25">
      <c r="A953" s="209" t="s">
        <v>1406</v>
      </c>
      <c r="D953" s="157">
        <f>SUMIF('Purchase Register'!C:C, A953, 'Purchase Register'!G:G)</f>
        <v>35.26</v>
      </c>
      <c r="E953" s="190">
        <v>50</v>
      </c>
      <c r="F953" s="162">
        <f>SUMIF('Sales Register'!C:C, A953, 'Sales Register'!D:D)</f>
        <v>1</v>
      </c>
      <c r="G953" s="162">
        <f t="shared" si="84"/>
        <v>50</v>
      </c>
      <c r="H953" s="162">
        <f t="shared" si="79"/>
        <v>35.26</v>
      </c>
      <c r="I953" s="162">
        <f t="shared" si="80"/>
        <v>14.740000000000002</v>
      </c>
      <c r="J953" s="162">
        <f t="shared" si="81"/>
        <v>0.29480000000000006</v>
      </c>
      <c r="K953" s="35" t="str">
        <f t="shared" si="82"/>
        <v>41%</v>
      </c>
      <c r="M953" s="30">
        <f t="shared" si="83"/>
        <v>0.41803743618831546</v>
      </c>
      <c r="N953" s="34">
        <f>VLOOKUP(A953, 'Stock Register'!A:F, 6, FALSE)</f>
        <v>0</v>
      </c>
    </row>
    <row r="954" spans="1:14" ht="30" hidden="1" x14ac:dyDescent="0.25">
      <c r="A954" s="209" t="s">
        <v>1407</v>
      </c>
      <c r="D954" s="157">
        <f>SUMIF('Purchase Register'!C:C, A954, 'Purchase Register'!G:G)</f>
        <v>28.41</v>
      </c>
      <c r="E954" s="190">
        <v>40</v>
      </c>
      <c r="F954" s="162">
        <f>SUMIF('Sales Register'!C:C, A954, 'Sales Register'!D:D)</f>
        <v>2</v>
      </c>
      <c r="G954" s="162">
        <f t="shared" si="84"/>
        <v>80</v>
      </c>
      <c r="H954" s="162">
        <f t="shared" si="79"/>
        <v>56.82</v>
      </c>
      <c r="I954" s="162">
        <f t="shared" si="80"/>
        <v>23.18</v>
      </c>
      <c r="J954" s="162">
        <f t="shared" si="81"/>
        <v>0.28975000000000001</v>
      </c>
      <c r="K954" s="35" t="str">
        <f t="shared" si="82"/>
        <v>40%</v>
      </c>
      <c r="M954" s="30">
        <f t="shared" si="83"/>
        <v>0.40795494544174588</v>
      </c>
      <c r="N954" s="34">
        <f>VLOOKUP(A954, 'Stock Register'!A:F, 6, FALSE)</f>
        <v>1</v>
      </c>
    </row>
    <row r="955" spans="1:14" ht="30" hidden="1" x14ac:dyDescent="0.25">
      <c r="A955" s="209" t="s">
        <v>1408</v>
      </c>
      <c r="D955" s="157">
        <f>SUMIF('Purchase Register'!C:C, A955, 'Purchase Register'!G:G)</f>
        <v>18.61</v>
      </c>
      <c r="E955" s="190">
        <v>20</v>
      </c>
      <c r="F955" s="162">
        <f>SUMIF('Sales Register'!C:C, A955, 'Sales Register'!D:D)</f>
        <v>0</v>
      </c>
      <c r="G955" s="162">
        <f t="shared" si="84"/>
        <v>0</v>
      </c>
      <c r="H955" s="162">
        <f t="shared" si="79"/>
        <v>0</v>
      </c>
      <c r="I955" s="162">
        <f t="shared" si="80"/>
        <v>0</v>
      </c>
      <c r="J955" s="162">
        <f t="shared" si="81"/>
        <v>0</v>
      </c>
      <c r="K955" s="35" t="str">
        <f t="shared" si="82"/>
        <v>7%</v>
      </c>
      <c r="M955" s="30">
        <f t="shared" si="83"/>
        <v>7.4691026329930174E-2</v>
      </c>
      <c r="N955" s="34">
        <f>VLOOKUP(A955, 'Stock Register'!A:F, 6, FALSE)</f>
        <v>3</v>
      </c>
    </row>
    <row r="956" spans="1:14" ht="30" hidden="1" x14ac:dyDescent="0.25">
      <c r="A956" s="209" t="s">
        <v>1409</v>
      </c>
      <c r="D956" s="157">
        <f>SUMIF('Purchase Register'!C:C, A956, 'Purchase Register'!G:G)</f>
        <v>26.45</v>
      </c>
      <c r="E956" s="190">
        <v>30</v>
      </c>
      <c r="F956" s="162">
        <f>SUMIF('Sales Register'!C:C, A956, 'Sales Register'!D:D)</f>
        <v>1</v>
      </c>
      <c r="G956" s="162">
        <f t="shared" si="84"/>
        <v>30</v>
      </c>
      <c r="H956" s="162">
        <f t="shared" si="79"/>
        <v>26.45</v>
      </c>
      <c r="I956" s="162">
        <f t="shared" si="80"/>
        <v>3.5500000000000007</v>
      </c>
      <c r="J956" s="162">
        <f t="shared" si="81"/>
        <v>0.11833333333333336</v>
      </c>
      <c r="K956" s="35" t="str">
        <f t="shared" si="82"/>
        <v>13%</v>
      </c>
      <c r="M956" s="30">
        <f t="shared" si="83"/>
        <v>0.13421550094517962</v>
      </c>
      <c r="N956" s="34">
        <f>VLOOKUP(A956, 'Stock Register'!A:F, 6, FALSE)</f>
        <v>1</v>
      </c>
    </row>
    <row r="957" spans="1:14" ht="30" hidden="1" x14ac:dyDescent="0.25">
      <c r="A957" s="209" t="s">
        <v>1410</v>
      </c>
      <c r="D957" s="157">
        <f>SUMIF('Purchase Register'!C:C, A957, 'Purchase Register'!G:G)</f>
        <v>36.24</v>
      </c>
      <c r="E957" s="190">
        <v>40</v>
      </c>
      <c r="F957" s="162">
        <f>SUMIF('Sales Register'!C:C, A957, 'Sales Register'!D:D)</f>
        <v>2</v>
      </c>
      <c r="G957" s="162">
        <f t="shared" si="84"/>
        <v>80</v>
      </c>
      <c r="H957" s="162">
        <f t="shared" si="79"/>
        <v>72.48</v>
      </c>
      <c r="I957" s="162">
        <f t="shared" si="80"/>
        <v>7.519999999999996</v>
      </c>
      <c r="J957" s="162">
        <f t="shared" si="81"/>
        <v>9.3999999999999945E-2</v>
      </c>
      <c r="K957" s="35" t="str">
        <f t="shared" si="82"/>
        <v>10%</v>
      </c>
      <c r="M957" s="30">
        <f t="shared" si="83"/>
        <v>0.10375275938189839</v>
      </c>
      <c r="N957" s="34">
        <f>VLOOKUP(A957, 'Stock Register'!A:F, 6, FALSE)</f>
        <v>0</v>
      </c>
    </row>
    <row r="958" spans="1:14" ht="30" hidden="1" x14ac:dyDescent="0.25">
      <c r="A958" s="209" t="s">
        <v>1411</v>
      </c>
      <c r="D958" s="157">
        <f>SUMIF('Purchase Register'!C:C, A958, 'Purchase Register'!G:G)</f>
        <v>47.99</v>
      </c>
      <c r="E958" s="190">
        <v>90</v>
      </c>
      <c r="F958" s="162">
        <f>SUMIF('Sales Register'!C:C, A958, 'Sales Register'!D:D)</f>
        <v>0</v>
      </c>
      <c r="G958" s="162">
        <f t="shared" si="84"/>
        <v>0</v>
      </c>
      <c r="H958" s="162">
        <f t="shared" si="79"/>
        <v>0</v>
      </c>
      <c r="I958" s="162">
        <f t="shared" si="80"/>
        <v>0</v>
      </c>
      <c r="J958" s="162">
        <f t="shared" si="81"/>
        <v>0</v>
      </c>
      <c r="K958" s="35" t="str">
        <f t="shared" si="82"/>
        <v>87%</v>
      </c>
      <c r="M958" s="30">
        <f t="shared" si="83"/>
        <v>0.87539070639716599</v>
      </c>
      <c r="N958" s="34">
        <f>VLOOKUP(A958, 'Stock Register'!A:F, 6, FALSE)</f>
        <v>2</v>
      </c>
    </row>
    <row r="959" spans="1:14" ht="30" hidden="1" x14ac:dyDescent="0.25">
      <c r="A959" s="209" t="s">
        <v>1412</v>
      </c>
      <c r="D959" s="157">
        <f>SUMIF('Purchase Register'!C:C, A959, 'Purchase Register'!G:G)</f>
        <v>29.39</v>
      </c>
      <c r="E959" s="190">
        <v>40</v>
      </c>
      <c r="F959" s="162">
        <f>SUMIF('Sales Register'!C:C, A959, 'Sales Register'!D:D)</f>
        <v>0</v>
      </c>
      <c r="G959" s="162">
        <f t="shared" si="84"/>
        <v>0</v>
      </c>
      <c r="H959" s="162">
        <f t="shared" si="79"/>
        <v>0</v>
      </c>
      <c r="I959" s="162">
        <f t="shared" si="80"/>
        <v>0</v>
      </c>
      <c r="J959" s="162">
        <f t="shared" si="81"/>
        <v>0</v>
      </c>
      <c r="K959" s="35" t="str">
        <f t="shared" si="82"/>
        <v>36%</v>
      </c>
      <c r="M959" s="30">
        <f t="shared" si="83"/>
        <v>0.36100714528751271</v>
      </c>
      <c r="N959" s="34">
        <f>VLOOKUP(A959, 'Stock Register'!A:F, 6, FALSE)</f>
        <v>2</v>
      </c>
    </row>
    <row r="960" spans="1:14" ht="30" hidden="1" x14ac:dyDescent="0.25">
      <c r="A960" s="209" t="s">
        <v>1413</v>
      </c>
      <c r="D960" s="157">
        <f>SUMIF('Purchase Register'!C:C, A960, 'Purchase Register'!G:G)</f>
        <v>24.49</v>
      </c>
      <c r="E960" s="190">
        <v>30</v>
      </c>
      <c r="F960" s="162">
        <f>SUMIF('Sales Register'!C:C, A960, 'Sales Register'!D:D)</f>
        <v>2</v>
      </c>
      <c r="G960" s="162">
        <f t="shared" si="84"/>
        <v>60</v>
      </c>
      <c r="H960" s="162">
        <f t="shared" si="79"/>
        <v>48.98</v>
      </c>
      <c r="I960" s="162">
        <f t="shared" si="80"/>
        <v>11.020000000000003</v>
      </c>
      <c r="J960" s="162">
        <f t="shared" si="81"/>
        <v>0.18366666666666673</v>
      </c>
      <c r="K960" s="35" t="str">
        <f t="shared" si="82"/>
        <v>22%</v>
      </c>
      <c r="M960" s="30">
        <f t="shared" si="83"/>
        <v>0.22498979175173547</v>
      </c>
      <c r="N960" s="34">
        <f>VLOOKUP(A960, 'Stock Register'!A:F, 6, FALSE)</f>
        <v>0</v>
      </c>
    </row>
    <row r="961" spans="1:14" ht="30" hidden="1" x14ac:dyDescent="0.25">
      <c r="A961" s="209" t="s">
        <v>1414</v>
      </c>
      <c r="D961" s="157">
        <f>SUMIF('Purchase Register'!C:C, A961, 'Purchase Register'!G:G)</f>
        <v>33.299999999999997</v>
      </c>
      <c r="E961" s="190">
        <v>40</v>
      </c>
      <c r="F961" s="162">
        <f>SUMIF('Sales Register'!C:C, A961, 'Sales Register'!D:D)</f>
        <v>2</v>
      </c>
      <c r="G961" s="162">
        <f t="shared" si="84"/>
        <v>80</v>
      </c>
      <c r="H961" s="162">
        <f t="shared" si="79"/>
        <v>66.599999999999994</v>
      </c>
      <c r="I961" s="162">
        <f t="shared" si="80"/>
        <v>13.400000000000006</v>
      </c>
      <c r="J961" s="162">
        <f t="shared" si="81"/>
        <v>0.16750000000000007</v>
      </c>
      <c r="K961" s="35" t="str">
        <f t="shared" si="82"/>
        <v>20%</v>
      </c>
      <c r="M961" s="30">
        <f t="shared" si="83"/>
        <v>0.2012012012012013</v>
      </c>
      <c r="N961" s="34">
        <f>VLOOKUP(A961, 'Stock Register'!A:F, 6, FALSE)</f>
        <v>0</v>
      </c>
    </row>
    <row r="962" spans="1:14" hidden="1" x14ac:dyDescent="0.25">
      <c r="A962" s="209" t="s">
        <v>1415</v>
      </c>
      <c r="D962" s="157">
        <f>SUMIF('Purchase Register'!C:C, A962, 'Purchase Register'!G:G)</f>
        <v>95</v>
      </c>
      <c r="E962" s="190">
        <v>100</v>
      </c>
      <c r="F962" s="162">
        <f>SUMIF('Sales Register'!C:C, A962, 'Sales Register'!D:D)</f>
        <v>1</v>
      </c>
      <c r="G962" s="162">
        <f t="shared" si="84"/>
        <v>100</v>
      </c>
      <c r="H962" s="162">
        <f t="shared" ref="H962:H1025" si="85">D962*F962</f>
        <v>95</v>
      </c>
      <c r="I962" s="162">
        <f t="shared" ref="I962:I1025" si="86">G962-H962</f>
        <v>5</v>
      </c>
      <c r="J962" s="162">
        <f t="shared" ref="J962:J1025" si="87">IF(G962=0,0,I962/G962)</f>
        <v>0.05</v>
      </c>
      <c r="K962" s="35" t="str">
        <f t="shared" si="82"/>
        <v>5%</v>
      </c>
      <c r="M962" s="30">
        <f t="shared" si="83"/>
        <v>5.2631578947368418E-2</v>
      </c>
      <c r="N962" s="34">
        <f>VLOOKUP(A962, 'Stock Register'!A:F, 6, FALSE)</f>
        <v>0</v>
      </c>
    </row>
    <row r="963" spans="1:14" ht="30" hidden="1" x14ac:dyDescent="0.25">
      <c r="A963" s="209" t="s">
        <v>1416</v>
      </c>
      <c r="D963" s="157">
        <f>SUMIF('Purchase Register'!C:C, A963, 'Purchase Register'!G:G)</f>
        <v>326</v>
      </c>
      <c r="E963" s="190">
        <v>485</v>
      </c>
      <c r="F963" s="162">
        <f>SUMIF('Sales Register'!C:C, A963, 'Sales Register'!D:D)</f>
        <v>2</v>
      </c>
      <c r="G963" s="162">
        <f t="shared" si="84"/>
        <v>970</v>
      </c>
      <c r="H963" s="162">
        <f t="shared" si="85"/>
        <v>652</v>
      </c>
      <c r="I963" s="162">
        <f t="shared" si="86"/>
        <v>318</v>
      </c>
      <c r="J963" s="162">
        <f t="shared" si="87"/>
        <v>0.32783505154639175</v>
      </c>
      <c r="K963" s="35" t="str">
        <f t="shared" si="82"/>
        <v>48%</v>
      </c>
      <c r="M963" s="30">
        <f t="shared" si="83"/>
        <v>0.48773006134969327</v>
      </c>
      <c r="N963" s="34">
        <f>VLOOKUP(A963, 'Stock Register'!A:F, 6, FALSE)</f>
        <v>-1</v>
      </c>
    </row>
    <row r="964" spans="1:14" ht="30" hidden="1" x14ac:dyDescent="0.25">
      <c r="A964" s="209" t="s">
        <v>1419</v>
      </c>
      <c r="D964" s="157">
        <f>SUMIF('Purchase Register'!C:C, A964, 'Purchase Register'!G:G)</f>
        <v>8.5416666666666661</v>
      </c>
      <c r="E964" s="190">
        <v>10</v>
      </c>
      <c r="F964" s="162">
        <f>SUMIF('Sales Register'!C:C, A964, 'Sales Register'!D:D)</f>
        <v>13</v>
      </c>
      <c r="G964" s="162">
        <f t="shared" si="84"/>
        <v>130</v>
      </c>
      <c r="H964" s="162">
        <f t="shared" si="85"/>
        <v>111.04166666666666</v>
      </c>
      <c r="I964" s="162">
        <f t="shared" si="86"/>
        <v>18.958333333333343</v>
      </c>
      <c r="J964" s="162">
        <f t="shared" si="87"/>
        <v>0.1458333333333334</v>
      </c>
      <c r="K964" s="35" t="str">
        <f t="shared" si="82"/>
        <v>17%</v>
      </c>
      <c r="M964" s="30">
        <f t="shared" si="83"/>
        <v>0.17073170731707324</v>
      </c>
      <c r="N964" s="34">
        <f>VLOOKUP(A964, 'Stock Register'!A:F, 6, FALSE)</f>
        <v>11</v>
      </c>
    </row>
    <row r="965" spans="1:14" hidden="1" x14ac:dyDescent="0.25">
      <c r="A965" s="209" t="s">
        <v>1422</v>
      </c>
      <c r="D965" s="157">
        <f>SUMIF('Purchase Register'!C:C, A965, 'Purchase Register'!G:G)</f>
        <v>140</v>
      </c>
      <c r="E965" s="190">
        <v>160</v>
      </c>
      <c r="F965" s="162">
        <f>SUMIF('Sales Register'!C:C, A965, 'Sales Register'!D:D)</f>
        <v>3</v>
      </c>
      <c r="G965" s="162">
        <f t="shared" si="84"/>
        <v>480</v>
      </c>
      <c r="H965" s="162">
        <f t="shared" si="85"/>
        <v>420</v>
      </c>
      <c r="I965" s="162">
        <f t="shared" si="86"/>
        <v>60</v>
      </c>
      <c r="J965" s="162">
        <f t="shared" si="87"/>
        <v>0.125</v>
      </c>
      <c r="K965" s="35" t="str">
        <f t="shared" si="82"/>
        <v>14%</v>
      </c>
      <c r="M965" s="30">
        <f t="shared" si="83"/>
        <v>0.14285714285714285</v>
      </c>
      <c r="N965" s="34">
        <f>VLOOKUP(A965, 'Stock Register'!A:F, 6, FALSE)</f>
        <v>2</v>
      </c>
    </row>
    <row r="966" spans="1:14" ht="30" hidden="1" x14ac:dyDescent="0.25">
      <c r="A966" s="209" t="s">
        <v>1420</v>
      </c>
      <c r="D966" s="157">
        <f>SUMIF('Purchase Register'!C:C, A966, 'Purchase Register'!G:G)</f>
        <v>150</v>
      </c>
      <c r="E966" s="190">
        <v>160</v>
      </c>
      <c r="F966" s="162">
        <f>SUMIF('Sales Register'!C:C, A966, 'Sales Register'!D:D)</f>
        <v>8</v>
      </c>
      <c r="G966" s="162">
        <f t="shared" si="84"/>
        <v>1280</v>
      </c>
      <c r="H966" s="162">
        <f t="shared" si="85"/>
        <v>1200</v>
      </c>
      <c r="I966" s="162">
        <f t="shared" si="86"/>
        <v>80</v>
      </c>
      <c r="J966" s="162">
        <f t="shared" si="87"/>
        <v>6.25E-2</v>
      </c>
      <c r="K966" s="35" t="str">
        <f t="shared" si="82"/>
        <v>6%</v>
      </c>
      <c r="M966" s="30">
        <f t="shared" si="83"/>
        <v>6.6666666666666666E-2</v>
      </c>
      <c r="N966" s="34">
        <f>VLOOKUP(A966, 'Stock Register'!A:F, 6, FALSE)</f>
        <v>-2</v>
      </c>
    </row>
    <row r="967" spans="1:14" ht="30" hidden="1" x14ac:dyDescent="0.25">
      <c r="A967" s="209" t="s">
        <v>1421</v>
      </c>
      <c r="D967" s="157">
        <f>SUMIF('Purchase Register'!C:C, A967, 'Purchase Register'!G:G)</f>
        <v>190</v>
      </c>
      <c r="E967" s="190">
        <v>195</v>
      </c>
      <c r="F967" s="162">
        <f>SUMIF('Sales Register'!C:C, A967, 'Sales Register'!D:D)</f>
        <v>4</v>
      </c>
      <c r="G967" s="162">
        <f t="shared" si="84"/>
        <v>780</v>
      </c>
      <c r="H967" s="162">
        <f t="shared" si="85"/>
        <v>760</v>
      </c>
      <c r="I967" s="162">
        <f t="shared" si="86"/>
        <v>20</v>
      </c>
      <c r="J967" s="162">
        <f t="shared" si="87"/>
        <v>2.564102564102564E-2</v>
      </c>
      <c r="K967" s="35" t="str">
        <f t="shared" si="82"/>
        <v>2%</v>
      </c>
      <c r="M967" s="30">
        <f t="shared" si="83"/>
        <v>2.6315789473684209E-2</v>
      </c>
      <c r="N967" s="34">
        <f>VLOOKUP(A967, 'Stock Register'!A:F, 6, FALSE)</f>
        <v>-1</v>
      </c>
    </row>
    <row r="968" spans="1:14" ht="30" hidden="1" x14ac:dyDescent="0.25">
      <c r="A968" s="209" t="s">
        <v>1425</v>
      </c>
      <c r="D968" s="157">
        <f>SUMIF('Purchase Register'!C:C, A968, 'Purchase Register'!G:G)</f>
        <v>110</v>
      </c>
      <c r="E968" s="190">
        <v>120</v>
      </c>
      <c r="F968" s="162">
        <f>SUMIF('Sales Register'!C:C, A968, 'Sales Register'!D:D)</f>
        <v>4</v>
      </c>
      <c r="G968" s="162">
        <f t="shared" si="84"/>
        <v>480</v>
      </c>
      <c r="H968" s="162">
        <f t="shared" si="85"/>
        <v>440</v>
      </c>
      <c r="I968" s="162">
        <f t="shared" si="86"/>
        <v>40</v>
      </c>
      <c r="J968" s="162">
        <f t="shared" si="87"/>
        <v>8.3333333333333329E-2</v>
      </c>
      <c r="K968" s="35" t="str">
        <f t="shared" si="82"/>
        <v>9%</v>
      </c>
      <c r="M968" s="30">
        <f t="shared" si="83"/>
        <v>9.0909090909090912E-2</v>
      </c>
      <c r="N968" s="34">
        <f>VLOOKUP(A968, 'Stock Register'!A:F, 6, FALSE)</f>
        <v>2</v>
      </c>
    </row>
    <row r="969" spans="1:14" ht="30" hidden="1" x14ac:dyDescent="0.25">
      <c r="A969" s="209" t="s">
        <v>1424</v>
      </c>
      <c r="D969" s="157">
        <f>SUMIF('Purchase Register'!C:C, A969, 'Purchase Register'!G:G)</f>
        <v>48</v>
      </c>
      <c r="E969" s="190">
        <v>55</v>
      </c>
      <c r="F969" s="162">
        <f>SUMIF('Sales Register'!C:C, A969, 'Sales Register'!D:D)</f>
        <v>3</v>
      </c>
      <c r="G969" s="162">
        <f t="shared" si="84"/>
        <v>165</v>
      </c>
      <c r="H969" s="162">
        <f t="shared" si="85"/>
        <v>144</v>
      </c>
      <c r="I969" s="162">
        <f t="shared" si="86"/>
        <v>21</v>
      </c>
      <c r="J969" s="162">
        <f t="shared" si="87"/>
        <v>0.12727272727272726</v>
      </c>
      <c r="K969" s="35" t="str">
        <f t="shared" si="82"/>
        <v>14%</v>
      </c>
      <c r="M969" s="30">
        <f t="shared" si="83"/>
        <v>0.14583333333333334</v>
      </c>
      <c r="N969" s="34">
        <f>VLOOKUP(A969, 'Stock Register'!A:F, 6, FALSE)</f>
        <v>0</v>
      </c>
    </row>
    <row r="970" spans="1:14" hidden="1" x14ac:dyDescent="0.25">
      <c r="A970" s="209" t="s">
        <v>1427</v>
      </c>
      <c r="D970" s="157">
        <f>SUMIF('Purchase Register'!C:C, A970, 'Purchase Register'!G:G)</f>
        <v>28</v>
      </c>
      <c r="E970" s="190">
        <v>30</v>
      </c>
      <c r="F970" s="162">
        <f>SUMIF('Sales Register'!C:C, A970, 'Sales Register'!D:D)</f>
        <v>5</v>
      </c>
      <c r="G970" s="162">
        <f t="shared" si="84"/>
        <v>150</v>
      </c>
      <c r="H970" s="162">
        <f t="shared" si="85"/>
        <v>140</v>
      </c>
      <c r="I970" s="162">
        <f t="shared" si="86"/>
        <v>10</v>
      </c>
      <c r="J970" s="162">
        <f t="shared" si="87"/>
        <v>6.6666666666666666E-2</v>
      </c>
      <c r="K970" s="35" t="str">
        <f t="shared" si="82"/>
        <v>7%</v>
      </c>
      <c r="M970" s="30">
        <f t="shared" si="83"/>
        <v>7.1428571428571425E-2</v>
      </c>
      <c r="N970" s="34">
        <f>VLOOKUP(A970, 'Stock Register'!A:F, 6, FALSE)</f>
        <v>1</v>
      </c>
    </row>
    <row r="971" spans="1:14" ht="30" hidden="1" x14ac:dyDescent="0.25">
      <c r="A971" s="209" t="s">
        <v>1423</v>
      </c>
      <c r="D971" s="157">
        <f>SUMIF('Purchase Register'!C:C, A971, 'Purchase Register'!G:G)</f>
        <v>100</v>
      </c>
      <c r="E971" s="190">
        <v>110</v>
      </c>
      <c r="F971" s="162">
        <f>SUMIF('Sales Register'!C:C, A971, 'Sales Register'!D:D)</f>
        <v>0</v>
      </c>
      <c r="G971" s="162">
        <f t="shared" si="84"/>
        <v>0</v>
      </c>
      <c r="H971" s="162">
        <f t="shared" si="85"/>
        <v>0</v>
      </c>
      <c r="I971" s="162">
        <f t="shared" si="86"/>
        <v>0</v>
      </c>
      <c r="J971" s="162">
        <f t="shared" si="87"/>
        <v>0</v>
      </c>
      <c r="K971" s="35" t="str">
        <f t="shared" si="82"/>
        <v>10%</v>
      </c>
      <c r="M971" s="30">
        <f t="shared" si="83"/>
        <v>0.1</v>
      </c>
      <c r="N971" s="34">
        <f>VLOOKUP(A971, 'Stock Register'!A:F, 6, FALSE)</f>
        <v>3</v>
      </c>
    </row>
    <row r="972" spans="1:14" hidden="1" x14ac:dyDescent="0.25">
      <c r="A972" s="209" t="s">
        <v>1426</v>
      </c>
      <c r="D972" s="157">
        <f>SUMIF('Purchase Register'!C:C, A972, 'Purchase Register'!G:G)</f>
        <v>66</v>
      </c>
      <c r="E972" s="190">
        <v>75</v>
      </c>
      <c r="F972" s="162">
        <f>SUMIF('Sales Register'!C:C, A972, 'Sales Register'!D:D)</f>
        <v>5.0650000000000004</v>
      </c>
      <c r="G972" s="162">
        <f t="shared" si="84"/>
        <v>379.87500000000006</v>
      </c>
      <c r="H972" s="162">
        <f t="shared" si="85"/>
        <v>334.29</v>
      </c>
      <c r="I972" s="162">
        <f t="shared" si="86"/>
        <v>45.585000000000036</v>
      </c>
      <c r="J972" s="162">
        <f t="shared" si="87"/>
        <v>0.12000000000000008</v>
      </c>
      <c r="K972" s="35" t="str">
        <f t="shared" si="82"/>
        <v>13%</v>
      </c>
      <c r="M972" s="30">
        <f t="shared" si="83"/>
        <v>0.13636363636363635</v>
      </c>
      <c r="N972" s="34">
        <f>VLOOKUP(A972, 'Stock Register'!A:F, 6, FALSE)</f>
        <v>-6.5000000000000391E-2</v>
      </c>
    </row>
    <row r="973" spans="1:14" hidden="1" x14ac:dyDescent="0.25">
      <c r="A973" s="209" t="s">
        <v>1428</v>
      </c>
      <c r="D973" s="157">
        <f>SUMIF('Purchase Register'!C:C, A973, 'Purchase Register'!G:G)</f>
        <v>50</v>
      </c>
      <c r="E973" s="190">
        <v>60</v>
      </c>
      <c r="F973" s="162">
        <f>SUMIF('Sales Register'!C:C, A973, 'Sales Register'!D:D)</f>
        <v>2</v>
      </c>
      <c r="G973" s="162">
        <f t="shared" si="84"/>
        <v>120</v>
      </c>
      <c r="H973" s="162">
        <f t="shared" si="85"/>
        <v>100</v>
      </c>
      <c r="I973" s="162">
        <f t="shared" si="86"/>
        <v>20</v>
      </c>
      <c r="J973" s="162">
        <f t="shared" si="87"/>
        <v>0.16666666666666666</v>
      </c>
      <c r="K973" s="35" t="str">
        <f t="shared" si="82"/>
        <v>20%</v>
      </c>
      <c r="M973" s="30">
        <f t="shared" si="83"/>
        <v>0.2</v>
      </c>
      <c r="N973" s="34">
        <f>VLOOKUP(A973, 'Stock Register'!A:F, 6, FALSE)</f>
        <v>0</v>
      </c>
    </row>
    <row r="974" spans="1:14" hidden="1" x14ac:dyDescent="0.25">
      <c r="A974" s="209" t="s">
        <v>1437</v>
      </c>
      <c r="D974" s="157">
        <f>SUMIF('Purchase Register'!C:C, A974, 'Purchase Register'!G:G)</f>
        <v>66</v>
      </c>
      <c r="E974" s="190">
        <v>75</v>
      </c>
      <c r="F974" s="162">
        <f>SUMIF('Sales Register'!C:C, A974, 'Sales Register'!D:D)</f>
        <v>4.625</v>
      </c>
      <c r="G974" s="162">
        <f t="shared" si="84"/>
        <v>346.875</v>
      </c>
      <c r="H974" s="162">
        <f t="shared" si="85"/>
        <v>305.25</v>
      </c>
      <c r="I974" s="162">
        <f t="shared" si="86"/>
        <v>41.625</v>
      </c>
      <c r="J974" s="162">
        <f t="shared" si="87"/>
        <v>0.12</v>
      </c>
      <c r="K974" s="35" t="str">
        <f t="shared" si="82"/>
        <v>13%</v>
      </c>
      <c r="M974" s="30">
        <f t="shared" si="83"/>
        <v>0.13636363636363635</v>
      </c>
      <c r="N974" s="34">
        <f>VLOOKUP(A974, 'Stock Register'!A:F, 6, FALSE)</f>
        <v>0.375</v>
      </c>
    </row>
    <row r="975" spans="1:14" ht="30" hidden="1" x14ac:dyDescent="0.25">
      <c r="A975" s="209" t="s">
        <v>1438</v>
      </c>
      <c r="D975" s="157">
        <f>SUMIF('Purchase Register'!C:C, A975, 'Purchase Register'!G:G)</f>
        <v>280</v>
      </c>
      <c r="E975" s="190">
        <v>320</v>
      </c>
      <c r="F975" s="162">
        <f>SUMIF('Sales Register'!C:C, A975, 'Sales Register'!D:D)</f>
        <v>3.4000000000000002E-2</v>
      </c>
      <c r="G975" s="162">
        <f t="shared" si="84"/>
        <v>10.88</v>
      </c>
      <c r="H975" s="162">
        <f t="shared" si="85"/>
        <v>9.5200000000000014</v>
      </c>
      <c r="I975" s="162">
        <f t="shared" si="86"/>
        <v>1.3599999999999994</v>
      </c>
      <c r="J975" s="162">
        <f t="shared" si="87"/>
        <v>0.12499999999999994</v>
      </c>
      <c r="K975" s="35" t="str">
        <f t="shared" si="82"/>
        <v>14%</v>
      </c>
      <c r="M975" s="30">
        <f t="shared" si="83"/>
        <v>0.14285714285714285</v>
      </c>
      <c r="N975" s="34">
        <f>VLOOKUP(A975, 'Stock Register'!A:F, 6, FALSE)</f>
        <v>0.96599999999999997</v>
      </c>
    </row>
    <row r="976" spans="1:14" hidden="1" x14ac:dyDescent="0.25">
      <c r="A976" s="204" t="s">
        <v>1439</v>
      </c>
      <c r="D976" s="157">
        <f>SUMIF('Purchase Register'!C:C, A976, 'Purchase Register'!G:G)</f>
        <v>460</v>
      </c>
      <c r="E976" s="190">
        <v>500</v>
      </c>
      <c r="F976" s="162">
        <f>SUMIF('Sales Register'!C:C, A976, 'Sales Register'!D:D)</f>
        <v>0</v>
      </c>
      <c r="G976" s="162">
        <f t="shared" si="84"/>
        <v>0</v>
      </c>
      <c r="H976" s="162">
        <f t="shared" si="85"/>
        <v>0</v>
      </c>
      <c r="I976" s="162">
        <f t="shared" si="86"/>
        <v>0</v>
      </c>
      <c r="J976" s="162">
        <f t="shared" si="87"/>
        <v>0</v>
      </c>
      <c r="K976" s="35" t="str">
        <f t="shared" si="82"/>
        <v>8%</v>
      </c>
      <c r="M976" s="30">
        <f t="shared" si="83"/>
        <v>8.6956521739130432E-2</v>
      </c>
      <c r="N976" s="34">
        <f>VLOOKUP(A976, 'Stock Register'!A:F, 6, FALSE)</f>
        <v>3</v>
      </c>
    </row>
    <row r="977" spans="1:14" hidden="1" x14ac:dyDescent="0.25">
      <c r="A977" s="209" t="s">
        <v>1440</v>
      </c>
      <c r="D977" s="157">
        <f>SUMIF('Purchase Register'!C:C, A977, 'Purchase Register'!G:G)</f>
        <v>32</v>
      </c>
      <c r="E977" s="190">
        <v>40</v>
      </c>
      <c r="F977" s="162">
        <f>SUMIF('Sales Register'!C:C, A977, 'Sales Register'!D:D)</f>
        <v>2</v>
      </c>
      <c r="G977" s="162">
        <f t="shared" si="84"/>
        <v>80</v>
      </c>
      <c r="H977" s="162">
        <f t="shared" si="85"/>
        <v>64</v>
      </c>
      <c r="I977" s="162">
        <f t="shared" si="86"/>
        <v>16</v>
      </c>
      <c r="J977" s="162">
        <f t="shared" si="87"/>
        <v>0.2</v>
      </c>
      <c r="K977" s="35" t="str">
        <f t="shared" si="82"/>
        <v>25%</v>
      </c>
      <c r="M977" s="30">
        <f t="shared" si="83"/>
        <v>0.25</v>
      </c>
      <c r="N977" s="34">
        <f>VLOOKUP(A977, 'Stock Register'!A:F, 6, FALSE)</f>
        <v>3</v>
      </c>
    </row>
    <row r="978" spans="1:14" ht="30" hidden="1" x14ac:dyDescent="0.25">
      <c r="A978" s="209" t="s">
        <v>1172</v>
      </c>
      <c r="D978" s="157">
        <f>SUMIF('Purchase Register'!C:C, A978, 'Purchase Register'!G:G)</f>
        <v>385</v>
      </c>
      <c r="E978" s="190">
        <v>205</v>
      </c>
      <c r="F978" s="162">
        <f>SUMIF('Sales Register'!C:C, A978, 'Sales Register'!D:D)</f>
        <v>5</v>
      </c>
      <c r="G978" s="162">
        <f t="shared" si="84"/>
        <v>1025</v>
      </c>
      <c r="H978" s="162">
        <f t="shared" si="85"/>
        <v>1925</v>
      </c>
      <c r="I978" s="162">
        <f t="shared" si="86"/>
        <v>-900</v>
      </c>
      <c r="J978" s="162">
        <f t="shared" si="87"/>
        <v>-0.87804878048780488</v>
      </c>
      <c r="K978" s="35" t="str">
        <f t="shared" si="82"/>
        <v>NO PROFIT</v>
      </c>
      <c r="M978" s="30">
        <f t="shared" si="83"/>
        <v>-0.46753246753246752</v>
      </c>
      <c r="N978" s="34">
        <f>VLOOKUP(A978, 'Stock Register'!A:F, 6, FALSE)</f>
        <v>-2</v>
      </c>
    </row>
    <row r="979" spans="1:14" ht="30" hidden="1" x14ac:dyDescent="0.25">
      <c r="A979" s="209" t="s">
        <v>1441</v>
      </c>
      <c r="D979" s="157">
        <f>SUMIF('Purchase Register'!C:C, A979, 'Purchase Register'!G:G)</f>
        <v>70</v>
      </c>
      <c r="E979" s="190">
        <v>76</v>
      </c>
      <c r="F979" s="162">
        <f>SUMIF('Sales Register'!C:C, A979, 'Sales Register'!D:D)</f>
        <v>5</v>
      </c>
      <c r="G979" s="162">
        <f t="shared" si="84"/>
        <v>380</v>
      </c>
      <c r="H979" s="162">
        <f t="shared" si="85"/>
        <v>350</v>
      </c>
      <c r="I979" s="162">
        <f t="shared" si="86"/>
        <v>30</v>
      </c>
      <c r="J979" s="162">
        <f t="shared" si="87"/>
        <v>7.8947368421052627E-2</v>
      </c>
      <c r="K979" s="35" t="str">
        <f t="shared" si="82"/>
        <v>8%</v>
      </c>
      <c r="M979" s="30">
        <f t="shared" si="83"/>
        <v>8.5714285714285715E-2</v>
      </c>
      <c r="N979" s="34">
        <f>VLOOKUP(A979, 'Stock Register'!A:F, 6, FALSE)</f>
        <v>1</v>
      </c>
    </row>
    <row r="980" spans="1:14" ht="30" hidden="1" x14ac:dyDescent="0.25">
      <c r="A980" s="209" t="s">
        <v>1442</v>
      </c>
      <c r="D980" s="157">
        <f>SUMIF('Purchase Register'!C:C, A980, 'Purchase Register'!G:G)</f>
        <v>9</v>
      </c>
      <c r="E980" s="190">
        <v>10</v>
      </c>
      <c r="F980" s="162">
        <f>SUMIF('Sales Register'!C:C, A980, 'Sales Register'!D:D)</f>
        <v>5</v>
      </c>
      <c r="G980" s="162">
        <f t="shared" si="84"/>
        <v>50</v>
      </c>
      <c r="H980" s="162">
        <f t="shared" si="85"/>
        <v>45</v>
      </c>
      <c r="I980" s="162">
        <f t="shared" si="86"/>
        <v>5</v>
      </c>
      <c r="J980" s="162">
        <f t="shared" si="87"/>
        <v>0.1</v>
      </c>
      <c r="K980" s="35" t="str">
        <f t="shared" si="82"/>
        <v>11%</v>
      </c>
      <c r="M980" s="30">
        <f t="shared" si="83"/>
        <v>0.1111111111111111</v>
      </c>
      <c r="N980" s="34">
        <f>VLOOKUP(A980, 'Stock Register'!A:F, 6, FALSE)</f>
        <v>5</v>
      </c>
    </row>
    <row r="981" spans="1:14" hidden="1" x14ac:dyDescent="0.25">
      <c r="A981" s="209" t="s">
        <v>1443</v>
      </c>
      <c r="D981" s="157">
        <f>SUMIF('Purchase Register'!C:C, A981, 'Purchase Register'!G:G)</f>
        <v>9.0178571428571423</v>
      </c>
      <c r="E981" s="190">
        <v>10</v>
      </c>
      <c r="F981" s="162">
        <f>SUMIF('Sales Register'!C:C, A981, 'Sales Register'!D:D)</f>
        <v>3</v>
      </c>
      <c r="G981" s="162">
        <f t="shared" si="84"/>
        <v>30</v>
      </c>
      <c r="H981" s="162">
        <f t="shared" si="85"/>
        <v>27.053571428571427</v>
      </c>
      <c r="I981" s="162">
        <f t="shared" si="86"/>
        <v>2.946428571428573</v>
      </c>
      <c r="J981" s="162">
        <f t="shared" si="87"/>
        <v>9.8214285714285768E-2</v>
      </c>
      <c r="K981" s="35" t="str">
        <f t="shared" si="82"/>
        <v>10%</v>
      </c>
      <c r="M981" s="30">
        <f t="shared" si="83"/>
        <v>0.10891089108910898</v>
      </c>
      <c r="N981" s="34">
        <f>VLOOKUP(A981, 'Stock Register'!A:F, 6, FALSE)</f>
        <v>53</v>
      </c>
    </row>
    <row r="982" spans="1:14" hidden="1" x14ac:dyDescent="0.25">
      <c r="A982" s="209" t="s">
        <v>1444</v>
      </c>
      <c r="D982" s="157">
        <f>SUMIF('Purchase Register'!C:C, A982, 'Purchase Register'!G:G)</f>
        <v>8.5416666666666661</v>
      </c>
      <c r="E982" s="190">
        <v>10</v>
      </c>
      <c r="F982" s="162">
        <f>SUMIF('Sales Register'!C:C, A982, 'Sales Register'!D:D)</f>
        <v>2</v>
      </c>
      <c r="G982" s="162">
        <f t="shared" si="84"/>
        <v>20</v>
      </c>
      <c r="H982" s="162">
        <f t="shared" si="85"/>
        <v>17.083333333333332</v>
      </c>
      <c r="I982" s="162">
        <f t="shared" si="86"/>
        <v>2.9166666666666679</v>
      </c>
      <c r="J982" s="162">
        <f t="shared" si="87"/>
        <v>0.1458333333333334</v>
      </c>
      <c r="K982" s="35" t="str">
        <f t="shared" si="82"/>
        <v>17%</v>
      </c>
      <c r="M982" s="30">
        <f t="shared" si="83"/>
        <v>0.17073170731707324</v>
      </c>
      <c r="N982" s="34">
        <f>VLOOKUP(A982, 'Stock Register'!A:F, 6, FALSE)</f>
        <v>22</v>
      </c>
    </row>
    <row r="983" spans="1:14" hidden="1" x14ac:dyDescent="0.25">
      <c r="A983" s="209" t="s">
        <v>1445</v>
      </c>
      <c r="D983" s="157">
        <f>SUMIF('Purchase Register'!C:C, A983, 'Purchase Register'!G:G)</f>
        <v>9</v>
      </c>
      <c r="E983" s="190">
        <v>10</v>
      </c>
      <c r="F983" s="162">
        <f>SUMIF('Sales Register'!C:C, A983, 'Sales Register'!D:D)</f>
        <v>9</v>
      </c>
      <c r="G983" s="162">
        <f t="shared" si="84"/>
        <v>90</v>
      </c>
      <c r="H983" s="162">
        <f t="shared" si="85"/>
        <v>81</v>
      </c>
      <c r="I983" s="162">
        <f t="shared" si="86"/>
        <v>9</v>
      </c>
      <c r="J983" s="162">
        <f t="shared" si="87"/>
        <v>0.1</v>
      </c>
      <c r="K983" s="35" t="str">
        <f t="shared" si="82"/>
        <v>11%</v>
      </c>
      <c r="M983" s="30">
        <f t="shared" si="83"/>
        <v>0.1111111111111111</v>
      </c>
      <c r="N983" s="34">
        <f>VLOOKUP(A983, 'Stock Register'!A:F, 6, FALSE)</f>
        <v>3</v>
      </c>
    </row>
    <row r="984" spans="1:14" ht="30" hidden="1" x14ac:dyDescent="0.25">
      <c r="A984" s="209" t="s">
        <v>1446</v>
      </c>
      <c r="D984" s="157">
        <f>SUMIF('Purchase Register'!C:C, A984, 'Purchase Register'!G:G)</f>
        <v>9</v>
      </c>
      <c r="E984" s="190">
        <v>10</v>
      </c>
      <c r="F984" s="162">
        <f>SUMIF('Sales Register'!C:C, A984, 'Sales Register'!D:D)</f>
        <v>6</v>
      </c>
      <c r="G984" s="162">
        <f t="shared" si="84"/>
        <v>60</v>
      </c>
      <c r="H984" s="162">
        <f t="shared" si="85"/>
        <v>54</v>
      </c>
      <c r="I984" s="162">
        <f t="shared" si="86"/>
        <v>6</v>
      </c>
      <c r="J984" s="162">
        <f t="shared" si="87"/>
        <v>0.1</v>
      </c>
      <c r="K984" s="35" t="str">
        <f t="shared" si="82"/>
        <v>11%</v>
      </c>
      <c r="M984" s="30">
        <f t="shared" si="83"/>
        <v>0.1111111111111111</v>
      </c>
      <c r="N984" s="34">
        <f>VLOOKUP(A984, 'Stock Register'!A:F, 6, FALSE)</f>
        <v>6</v>
      </c>
    </row>
    <row r="985" spans="1:14" hidden="1" x14ac:dyDescent="0.25">
      <c r="A985" s="209" t="s">
        <v>1447</v>
      </c>
      <c r="D985" s="157">
        <f>SUMIF('Purchase Register'!C:C, A985, 'Purchase Register'!G:G)</f>
        <v>18.125</v>
      </c>
      <c r="E985" s="190">
        <v>20</v>
      </c>
      <c r="F985" s="162">
        <f>SUMIF('Sales Register'!C:C, A985, 'Sales Register'!D:D)</f>
        <v>5</v>
      </c>
      <c r="G985" s="162">
        <f t="shared" si="84"/>
        <v>100</v>
      </c>
      <c r="H985" s="162">
        <f t="shared" si="85"/>
        <v>90.625</v>
      </c>
      <c r="I985" s="162">
        <f t="shared" si="86"/>
        <v>9.375</v>
      </c>
      <c r="J985" s="162">
        <f t="shared" si="87"/>
        <v>9.375E-2</v>
      </c>
      <c r="K985" s="35" t="str">
        <f t="shared" si="82"/>
        <v>10%</v>
      </c>
      <c r="M985" s="30">
        <f t="shared" si="83"/>
        <v>0.10344827586206896</v>
      </c>
      <c r="N985" s="34">
        <f>VLOOKUP(A985, 'Stock Register'!A:F, 6, FALSE)</f>
        <v>3</v>
      </c>
    </row>
    <row r="986" spans="1:14" hidden="1" x14ac:dyDescent="0.25">
      <c r="A986" s="209" t="s">
        <v>1448</v>
      </c>
      <c r="D986" s="157">
        <f>SUMIF('Purchase Register'!C:C, A986, 'Purchase Register'!G:G)</f>
        <v>8.75</v>
      </c>
      <c r="E986" s="190">
        <v>10</v>
      </c>
      <c r="F986" s="162">
        <f>SUMIF('Sales Register'!C:C, A986, 'Sales Register'!D:D)</f>
        <v>23</v>
      </c>
      <c r="G986" s="162">
        <f t="shared" si="84"/>
        <v>230</v>
      </c>
      <c r="H986" s="162">
        <f t="shared" si="85"/>
        <v>201.25</v>
      </c>
      <c r="I986" s="162">
        <f t="shared" si="86"/>
        <v>28.75</v>
      </c>
      <c r="J986" s="162">
        <f t="shared" si="87"/>
        <v>0.125</v>
      </c>
      <c r="K986" s="35" t="str">
        <f t="shared" si="82"/>
        <v>14%</v>
      </c>
      <c r="M986" s="30">
        <f t="shared" si="83"/>
        <v>0.14285714285714285</v>
      </c>
      <c r="N986" s="34">
        <f>VLOOKUP(A986, 'Stock Register'!A:F, 6, FALSE)</f>
        <v>1</v>
      </c>
    </row>
    <row r="987" spans="1:14" hidden="1" x14ac:dyDescent="0.25">
      <c r="A987" s="209" t="s">
        <v>1449</v>
      </c>
      <c r="D987" s="157">
        <f>SUMIF('Purchase Register'!C:C, A987, 'Purchase Register'!G:G)</f>
        <v>7.916666666666667</v>
      </c>
      <c r="E987" s="190">
        <v>10</v>
      </c>
      <c r="F987" s="162">
        <f>SUMIF('Sales Register'!C:C, A987, 'Sales Register'!D:D)</f>
        <v>4</v>
      </c>
      <c r="G987" s="162">
        <f t="shared" si="84"/>
        <v>40</v>
      </c>
      <c r="H987" s="162">
        <f t="shared" si="85"/>
        <v>31.666666666666668</v>
      </c>
      <c r="I987" s="162">
        <f t="shared" si="86"/>
        <v>8.3333333333333321</v>
      </c>
      <c r="J987" s="162">
        <f t="shared" si="87"/>
        <v>0.20833333333333331</v>
      </c>
      <c r="K987" s="35" t="str">
        <f t="shared" si="82"/>
        <v>26%</v>
      </c>
      <c r="M987" s="30">
        <f t="shared" si="83"/>
        <v>0.26315789473684204</v>
      </c>
      <c r="N987" s="34">
        <f>VLOOKUP(A987, 'Stock Register'!A:F, 6, FALSE)</f>
        <v>20</v>
      </c>
    </row>
    <row r="988" spans="1:14" hidden="1" x14ac:dyDescent="0.25">
      <c r="A988" s="209" t="s">
        <v>1450</v>
      </c>
      <c r="D988" s="157">
        <f>SUMIF('Purchase Register'!C:C, A988, 'Purchase Register'!G:G)</f>
        <v>9</v>
      </c>
      <c r="E988" s="190">
        <v>10</v>
      </c>
      <c r="F988" s="162">
        <f>SUMIF('Sales Register'!C:C, A988, 'Sales Register'!D:D)</f>
        <v>0</v>
      </c>
      <c r="G988" s="162">
        <f t="shared" si="84"/>
        <v>0</v>
      </c>
      <c r="H988" s="162">
        <f t="shared" si="85"/>
        <v>0</v>
      </c>
      <c r="I988" s="162">
        <f t="shared" si="86"/>
        <v>0</v>
      </c>
      <c r="J988" s="162">
        <f t="shared" si="87"/>
        <v>0</v>
      </c>
      <c r="K988" s="35" t="str">
        <f t="shared" si="82"/>
        <v>11%</v>
      </c>
      <c r="M988" s="30">
        <f t="shared" si="83"/>
        <v>0.1111111111111111</v>
      </c>
      <c r="N988" s="34">
        <f>VLOOKUP(A988, 'Stock Register'!A:F, 6, FALSE)</f>
        <v>12</v>
      </c>
    </row>
    <row r="989" spans="1:14" hidden="1" x14ac:dyDescent="0.25">
      <c r="A989" s="209" t="s">
        <v>1451</v>
      </c>
      <c r="D989" s="157">
        <f>SUMIF('Purchase Register'!C:C, A989, 'Purchase Register'!G:G)</f>
        <v>9</v>
      </c>
      <c r="E989" s="190">
        <v>10</v>
      </c>
      <c r="F989" s="162">
        <f>SUMIF('Sales Register'!C:C, A989, 'Sales Register'!D:D)</f>
        <v>2</v>
      </c>
      <c r="G989" s="162">
        <f t="shared" si="84"/>
        <v>20</v>
      </c>
      <c r="H989" s="162">
        <f t="shared" si="85"/>
        <v>18</v>
      </c>
      <c r="I989" s="162">
        <f t="shared" si="86"/>
        <v>2</v>
      </c>
      <c r="J989" s="162">
        <f t="shared" si="87"/>
        <v>0.1</v>
      </c>
      <c r="K989" s="35" t="str">
        <f t="shared" si="82"/>
        <v>11%</v>
      </c>
      <c r="M989" s="30">
        <f t="shared" si="83"/>
        <v>0.1111111111111111</v>
      </c>
      <c r="N989" s="34">
        <f>VLOOKUP(A989, 'Stock Register'!A:F, 6, FALSE)</f>
        <v>10</v>
      </c>
    </row>
    <row r="990" spans="1:14" hidden="1" x14ac:dyDescent="0.25">
      <c r="A990" s="209" t="s">
        <v>1452</v>
      </c>
      <c r="D990" s="157">
        <f>SUMIF('Purchase Register'!C:C, A990, 'Purchase Register'!G:G)</f>
        <v>9</v>
      </c>
      <c r="E990" s="190">
        <v>10</v>
      </c>
      <c r="F990" s="162">
        <f>SUMIF('Sales Register'!C:C, A990, 'Sales Register'!D:D)</f>
        <v>1</v>
      </c>
      <c r="G990" s="162">
        <f t="shared" si="84"/>
        <v>10</v>
      </c>
      <c r="H990" s="162">
        <f t="shared" si="85"/>
        <v>9</v>
      </c>
      <c r="I990" s="162">
        <f t="shared" si="86"/>
        <v>1</v>
      </c>
      <c r="J990" s="162">
        <f t="shared" si="87"/>
        <v>0.1</v>
      </c>
      <c r="K990" s="35" t="str">
        <f t="shared" si="82"/>
        <v>11%</v>
      </c>
      <c r="M990" s="30">
        <f t="shared" si="83"/>
        <v>0.1111111111111111</v>
      </c>
      <c r="N990" s="34">
        <f>VLOOKUP(A990, 'Stock Register'!A:F, 6, FALSE)</f>
        <v>11</v>
      </c>
    </row>
    <row r="991" spans="1:14" ht="30" hidden="1" x14ac:dyDescent="0.25">
      <c r="A991" s="209" t="s">
        <v>1453</v>
      </c>
      <c r="D991" s="157">
        <f>SUMIF('Purchase Register'!C:C, A991, 'Purchase Register'!G:G)</f>
        <v>9.1666666666666661</v>
      </c>
      <c r="E991" s="190">
        <v>10</v>
      </c>
      <c r="F991" s="162">
        <f>SUMIF('Sales Register'!C:C, A991, 'Sales Register'!D:D)</f>
        <v>3</v>
      </c>
      <c r="G991" s="162">
        <f t="shared" si="84"/>
        <v>30</v>
      </c>
      <c r="H991" s="162">
        <f t="shared" si="85"/>
        <v>27.5</v>
      </c>
      <c r="I991" s="162">
        <f t="shared" si="86"/>
        <v>2.5</v>
      </c>
      <c r="J991" s="162">
        <f t="shared" si="87"/>
        <v>8.3333333333333329E-2</v>
      </c>
      <c r="K991" s="35" t="str">
        <f t="shared" si="82"/>
        <v>9%</v>
      </c>
      <c r="M991" s="30">
        <f t="shared" si="83"/>
        <v>9.0909090909090981E-2</v>
      </c>
      <c r="N991" s="34">
        <f>VLOOKUP(A991, 'Stock Register'!A:F, 6, FALSE)</f>
        <v>9</v>
      </c>
    </row>
    <row r="992" spans="1:14" hidden="1" x14ac:dyDescent="0.25">
      <c r="A992" s="209" t="s">
        <v>1454</v>
      </c>
      <c r="D992" s="157">
        <f>SUMIF('Purchase Register'!C:C, A992, 'Purchase Register'!G:G)</f>
        <v>9</v>
      </c>
      <c r="E992" s="190">
        <v>10</v>
      </c>
      <c r="F992" s="162">
        <f>SUMIF('Sales Register'!C:C, A992, 'Sales Register'!D:D)</f>
        <v>0</v>
      </c>
      <c r="G992" s="162">
        <f t="shared" si="84"/>
        <v>0</v>
      </c>
      <c r="H992" s="162">
        <f t="shared" si="85"/>
        <v>0</v>
      </c>
      <c r="I992" s="162">
        <f t="shared" si="86"/>
        <v>0</v>
      </c>
      <c r="J992" s="162">
        <f t="shared" si="87"/>
        <v>0</v>
      </c>
      <c r="K992" s="35" t="str">
        <f t="shared" si="82"/>
        <v>11%</v>
      </c>
      <c r="M992" s="30">
        <f t="shared" si="83"/>
        <v>0.1111111111111111</v>
      </c>
      <c r="N992" s="34">
        <f>VLOOKUP(A992, 'Stock Register'!A:F, 6, FALSE)</f>
        <v>12</v>
      </c>
    </row>
    <row r="993" spans="1:14" hidden="1" x14ac:dyDescent="0.25">
      <c r="A993" s="209" t="s">
        <v>1455</v>
      </c>
      <c r="D993" s="157">
        <f>SUMIF('Purchase Register'!C:C, A993, 'Purchase Register'!G:G)</f>
        <v>9.1666666666666661</v>
      </c>
      <c r="E993" s="190">
        <v>10</v>
      </c>
      <c r="F993" s="162">
        <f>SUMIF('Sales Register'!C:C, A993, 'Sales Register'!D:D)</f>
        <v>1</v>
      </c>
      <c r="G993" s="162">
        <f t="shared" si="84"/>
        <v>10</v>
      </c>
      <c r="H993" s="162">
        <f t="shared" si="85"/>
        <v>9.1666666666666661</v>
      </c>
      <c r="I993" s="162">
        <f t="shared" si="86"/>
        <v>0.83333333333333393</v>
      </c>
      <c r="J993" s="162">
        <f t="shared" si="87"/>
        <v>8.3333333333333398E-2</v>
      </c>
      <c r="K993" s="35" t="str">
        <f t="shared" si="82"/>
        <v>9%</v>
      </c>
      <c r="M993" s="30">
        <f t="shared" si="83"/>
        <v>9.0909090909090981E-2</v>
      </c>
      <c r="N993" s="34">
        <f>VLOOKUP(A993, 'Stock Register'!A:F, 6, FALSE)</f>
        <v>11</v>
      </c>
    </row>
    <row r="994" spans="1:14" hidden="1" x14ac:dyDescent="0.25">
      <c r="A994" s="209" t="s">
        <v>1456</v>
      </c>
      <c r="D994" s="157">
        <f>SUMIF('Purchase Register'!C:C, A994, 'Purchase Register'!G:G)</f>
        <v>9</v>
      </c>
      <c r="E994" s="190">
        <v>10</v>
      </c>
      <c r="F994" s="162">
        <f>SUMIF('Sales Register'!C:C, A994, 'Sales Register'!D:D)</f>
        <v>1</v>
      </c>
      <c r="G994" s="162">
        <f t="shared" si="84"/>
        <v>10</v>
      </c>
      <c r="H994" s="162">
        <f t="shared" si="85"/>
        <v>9</v>
      </c>
      <c r="I994" s="162">
        <f t="shared" si="86"/>
        <v>1</v>
      </c>
      <c r="J994" s="162">
        <f t="shared" si="87"/>
        <v>0.1</v>
      </c>
      <c r="K994" s="35" t="str">
        <f t="shared" si="82"/>
        <v>11%</v>
      </c>
      <c r="M994" s="30">
        <f t="shared" si="83"/>
        <v>0.1111111111111111</v>
      </c>
      <c r="N994" s="34">
        <f>VLOOKUP(A994, 'Stock Register'!A:F, 6, FALSE)</f>
        <v>11</v>
      </c>
    </row>
    <row r="995" spans="1:14" hidden="1" x14ac:dyDescent="0.25">
      <c r="A995" s="209" t="s">
        <v>1457</v>
      </c>
      <c r="D995" s="157">
        <f>SUMIF('Purchase Register'!C:C, A995, 'Purchase Register'!G:G)</f>
        <v>228</v>
      </c>
      <c r="E995" s="190">
        <v>245</v>
      </c>
      <c r="F995" s="162">
        <f>SUMIF('Sales Register'!C:C, A995, 'Sales Register'!D:D)</f>
        <v>0</v>
      </c>
      <c r="G995" s="162">
        <f t="shared" si="84"/>
        <v>0</v>
      </c>
      <c r="H995" s="162">
        <f t="shared" si="85"/>
        <v>0</v>
      </c>
      <c r="I995" s="162">
        <f t="shared" si="86"/>
        <v>0</v>
      </c>
      <c r="J995" s="162">
        <f t="shared" si="87"/>
        <v>0</v>
      </c>
      <c r="K995" s="35" t="str">
        <f t="shared" si="82"/>
        <v>7%</v>
      </c>
      <c r="M995" s="30">
        <f t="shared" si="83"/>
        <v>7.4561403508771926E-2</v>
      </c>
      <c r="N995" s="34">
        <f>VLOOKUP(A995, 'Stock Register'!A:F, 6, FALSE)</f>
        <v>2</v>
      </c>
    </row>
    <row r="996" spans="1:14" ht="30" hidden="1" x14ac:dyDescent="0.25">
      <c r="A996" s="209" t="s">
        <v>1458</v>
      </c>
      <c r="D996" s="157">
        <f>SUMIF('Purchase Register'!C:C, A996, 'Purchase Register'!G:G)</f>
        <v>120</v>
      </c>
      <c r="E996" s="190">
        <v>130</v>
      </c>
      <c r="F996" s="162">
        <f>SUMIF('Sales Register'!C:C, A996, 'Sales Register'!D:D)</f>
        <v>1</v>
      </c>
      <c r="G996" s="162">
        <f t="shared" si="84"/>
        <v>130</v>
      </c>
      <c r="H996" s="162">
        <f t="shared" si="85"/>
        <v>120</v>
      </c>
      <c r="I996" s="162">
        <f t="shared" si="86"/>
        <v>10</v>
      </c>
      <c r="J996" s="162">
        <f t="shared" si="87"/>
        <v>7.6923076923076927E-2</v>
      </c>
      <c r="K996" s="35" t="str">
        <f t="shared" si="82"/>
        <v>8%</v>
      </c>
      <c r="M996" s="30">
        <f t="shared" si="83"/>
        <v>8.3333333333333329E-2</v>
      </c>
      <c r="N996" s="34">
        <f>VLOOKUP(A996, 'Stock Register'!A:F, 6, FALSE)</f>
        <v>1</v>
      </c>
    </row>
    <row r="997" spans="1:14" ht="30" hidden="1" x14ac:dyDescent="0.25">
      <c r="A997" s="209" t="s">
        <v>1459</v>
      </c>
      <c r="D997" s="157">
        <f>SUMIF('Purchase Register'!C:C, A997, 'Purchase Register'!G:G)</f>
        <v>8</v>
      </c>
      <c r="E997" s="190">
        <v>10</v>
      </c>
      <c r="F997" s="162">
        <f>SUMIF('Sales Register'!C:C, A997, 'Sales Register'!D:D)</f>
        <v>14</v>
      </c>
      <c r="G997" s="162">
        <f t="shared" si="84"/>
        <v>140</v>
      </c>
      <c r="H997" s="162">
        <f t="shared" si="85"/>
        <v>112</v>
      </c>
      <c r="I997" s="162">
        <f t="shared" si="86"/>
        <v>28</v>
      </c>
      <c r="J997" s="162">
        <f t="shared" si="87"/>
        <v>0.2</v>
      </c>
      <c r="K997" s="35" t="str">
        <f t="shared" si="82"/>
        <v>25%</v>
      </c>
      <c r="M997" s="30">
        <f t="shared" si="83"/>
        <v>0.25</v>
      </c>
      <c r="N997" s="34">
        <f>VLOOKUP(A997, 'Stock Register'!A:F, 6, FALSE)</f>
        <v>-4</v>
      </c>
    </row>
    <row r="998" spans="1:14" hidden="1" x14ac:dyDescent="0.25">
      <c r="A998" s="209" t="s">
        <v>1460</v>
      </c>
      <c r="D998" s="157">
        <f>SUMIF('Purchase Register'!C:C, A998, 'Purchase Register'!G:G)</f>
        <v>52</v>
      </c>
      <c r="E998" s="190">
        <v>55</v>
      </c>
      <c r="F998" s="162">
        <f>SUMIF('Sales Register'!C:C, A998, 'Sales Register'!D:D)</f>
        <v>0</v>
      </c>
      <c r="G998" s="162">
        <f t="shared" si="84"/>
        <v>0</v>
      </c>
      <c r="H998" s="162">
        <f t="shared" si="85"/>
        <v>0</v>
      </c>
      <c r="I998" s="162">
        <f t="shared" si="86"/>
        <v>0</v>
      </c>
      <c r="J998" s="162">
        <f t="shared" si="87"/>
        <v>0</v>
      </c>
      <c r="K998" s="35" t="str">
        <f t="shared" si="82"/>
        <v>5%</v>
      </c>
      <c r="M998" s="30">
        <f t="shared" si="83"/>
        <v>5.7692307692307696E-2</v>
      </c>
      <c r="N998" s="34">
        <f>VLOOKUP(A998, 'Stock Register'!A:F, 6, FALSE)</f>
        <v>3</v>
      </c>
    </row>
    <row r="999" spans="1:14" hidden="1" x14ac:dyDescent="0.25">
      <c r="A999" s="209" t="s">
        <v>1461</v>
      </c>
      <c r="D999" s="157">
        <f>SUMIF('Purchase Register'!C:C, A999, 'Purchase Register'!G:G)</f>
        <v>37</v>
      </c>
      <c r="E999" s="190">
        <v>40</v>
      </c>
      <c r="F999" s="162">
        <f>SUMIF('Sales Register'!C:C, A999, 'Sales Register'!D:D)</f>
        <v>0</v>
      </c>
      <c r="G999" s="162">
        <f t="shared" si="84"/>
        <v>0</v>
      </c>
      <c r="H999" s="162">
        <f t="shared" si="85"/>
        <v>0</v>
      </c>
      <c r="I999" s="162">
        <f t="shared" si="86"/>
        <v>0</v>
      </c>
      <c r="J999" s="162">
        <f t="shared" si="87"/>
        <v>0</v>
      </c>
      <c r="K999" s="35" t="str">
        <f t="shared" si="82"/>
        <v>8%</v>
      </c>
      <c r="M999" s="30">
        <f t="shared" si="83"/>
        <v>8.1081081081081086E-2</v>
      </c>
      <c r="N999" s="34">
        <f>VLOOKUP(A999, 'Stock Register'!A:F, 6, FALSE)</f>
        <v>4</v>
      </c>
    </row>
    <row r="1000" spans="1:14" hidden="1" x14ac:dyDescent="0.25">
      <c r="A1000" s="209" t="s">
        <v>1462</v>
      </c>
      <c r="D1000" s="157">
        <f>SUMIF('Purchase Register'!C:C, A1000, 'Purchase Register'!G:G)</f>
        <v>49</v>
      </c>
      <c r="E1000" s="190">
        <v>52</v>
      </c>
      <c r="F1000" s="162">
        <f>SUMIF('Sales Register'!C:C, A1000, 'Sales Register'!D:D)</f>
        <v>0</v>
      </c>
      <c r="G1000" s="162">
        <f t="shared" si="84"/>
        <v>0</v>
      </c>
      <c r="H1000" s="162">
        <f t="shared" si="85"/>
        <v>0</v>
      </c>
      <c r="I1000" s="162">
        <f t="shared" si="86"/>
        <v>0</v>
      </c>
      <c r="J1000" s="162">
        <f t="shared" si="87"/>
        <v>0</v>
      </c>
      <c r="K1000" s="35" t="str">
        <f t="shared" si="82"/>
        <v>6%</v>
      </c>
      <c r="M1000" s="30">
        <f t="shared" si="83"/>
        <v>6.1224489795918366E-2</v>
      </c>
      <c r="N1000" s="34">
        <f>VLOOKUP(A1000, 'Stock Register'!A:F, 6, FALSE)</f>
        <v>3</v>
      </c>
    </row>
    <row r="1001" spans="1:14" hidden="1" x14ac:dyDescent="0.25">
      <c r="A1001" s="209" t="s">
        <v>1463</v>
      </c>
      <c r="D1001" s="157">
        <f>SUMIF('Purchase Register'!C:C, A1001, 'Purchase Register'!G:G)</f>
        <v>40</v>
      </c>
      <c r="E1001" s="190">
        <v>43</v>
      </c>
      <c r="F1001" s="162">
        <f>SUMIF('Sales Register'!C:C, A1001, 'Sales Register'!D:D)</f>
        <v>0</v>
      </c>
      <c r="G1001" s="162">
        <f t="shared" si="84"/>
        <v>0</v>
      </c>
      <c r="H1001" s="162">
        <f t="shared" si="85"/>
        <v>0</v>
      </c>
      <c r="I1001" s="162">
        <f t="shared" si="86"/>
        <v>0</v>
      </c>
      <c r="J1001" s="162">
        <f t="shared" si="87"/>
        <v>0</v>
      </c>
      <c r="K1001" s="35" t="str">
        <f t="shared" si="82"/>
        <v>7%</v>
      </c>
      <c r="M1001" s="30">
        <f t="shared" si="83"/>
        <v>7.4999999999999997E-2</v>
      </c>
      <c r="N1001" s="34">
        <f>VLOOKUP(A1001, 'Stock Register'!A:F, 6, FALSE)</f>
        <v>3</v>
      </c>
    </row>
    <row r="1002" spans="1:14" hidden="1" x14ac:dyDescent="0.25">
      <c r="A1002" s="209" t="s">
        <v>1464</v>
      </c>
      <c r="D1002" s="157">
        <f>SUMIF('Purchase Register'!C:C, A1002, 'Purchase Register'!G:G)</f>
        <v>23</v>
      </c>
      <c r="E1002" s="190">
        <v>25</v>
      </c>
      <c r="F1002" s="162">
        <f>SUMIF('Sales Register'!C:C, A1002, 'Sales Register'!D:D)</f>
        <v>1</v>
      </c>
      <c r="G1002" s="162">
        <f t="shared" si="84"/>
        <v>25</v>
      </c>
      <c r="H1002" s="162">
        <f t="shared" si="85"/>
        <v>23</v>
      </c>
      <c r="I1002" s="162">
        <f t="shared" si="86"/>
        <v>2</v>
      </c>
      <c r="J1002" s="162">
        <f t="shared" si="87"/>
        <v>0.08</v>
      </c>
      <c r="K1002" s="35" t="str">
        <f t="shared" si="82"/>
        <v>8%</v>
      </c>
      <c r="M1002" s="30">
        <f t="shared" si="83"/>
        <v>8.6956521739130432E-2</v>
      </c>
      <c r="N1002" s="34">
        <f>VLOOKUP(A1002, 'Stock Register'!A:F, 6, FALSE)</f>
        <v>3</v>
      </c>
    </row>
    <row r="1003" spans="1:14" hidden="1" x14ac:dyDescent="0.25">
      <c r="A1003" s="209" t="s">
        <v>1465</v>
      </c>
      <c r="D1003" s="157">
        <f>SUMIF('Purchase Register'!C:C, A1003, 'Purchase Register'!G:G)</f>
        <v>9</v>
      </c>
      <c r="E1003" s="190">
        <v>10</v>
      </c>
      <c r="F1003" s="162">
        <f>SUMIF('Sales Register'!C:C, A1003, 'Sales Register'!D:D)</f>
        <v>2</v>
      </c>
      <c r="G1003" s="162">
        <f t="shared" si="84"/>
        <v>20</v>
      </c>
      <c r="H1003" s="162">
        <f t="shared" si="85"/>
        <v>18</v>
      </c>
      <c r="I1003" s="162">
        <f t="shared" si="86"/>
        <v>2</v>
      </c>
      <c r="J1003" s="162">
        <f t="shared" si="87"/>
        <v>0.1</v>
      </c>
      <c r="K1003" s="35" t="str">
        <f t="shared" si="82"/>
        <v>11%</v>
      </c>
      <c r="M1003" s="30">
        <f t="shared" si="83"/>
        <v>0.1111111111111111</v>
      </c>
      <c r="N1003" s="34">
        <f>VLOOKUP(A1003, 'Stock Register'!A:F, 6, FALSE)</f>
        <v>10</v>
      </c>
    </row>
    <row r="1004" spans="1:14" ht="30" hidden="1" x14ac:dyDescent="0.25">
      <c r="A1004" s="209" t="s">
        <v>1466</v>
      </c>
      <c r="D1004" s="157">
        <f>SUMIF('Purchase Register'!C:C, A1004, 'Purchase Register'!G:G)</f>
        <v>72</v>
      </c>
      <c r="E1004" s="190">
        <v>80</v>
      </c>
      <c r="F1004" s="162">
        <f>SUMIF('Sales Register'!C:C, A1004, 'Sales Register'!D:D)</f>
        <v>1</v>
      </c>
      <c r="G1004" s="162">
        <f t="shared" si="84"/>
        <v>80</v>
      </c>
      <c r="H1004" s="162">
        <f t="shared" si="85"/>
        <v>72</v>
      </c>
      <c r="I1004" s="162">
        <f t="shared" si="86"/>
        <v>8</v>
      </c>
      <c r="J1004" s="162">
        <f t="shared" si="87"/>
        <v>0.1</v>
      </c>
      <c r="K1004" s="35" t="str">
        <f t="shared" si="82"/>
        <v>11%</v>
      </c>
      <c r="M1004" s="30">
        <f t="shared" si="83"/>
        <v>0.1111111111111111</v>
      </c>
      <c r="N1004" s="34">
        <f>VLOOKUP(A1004, 'Stock Register'!A:F, 6, FALSE)</f>
        <v>1</v>
      </c>
    </row>
    <row r="1005" spans="1:14" hidden="1" x14ac:dyDescent="0.25">
      <c r="A1005" s="209" t="s">
        <v>1467</v>
      </c>
      <c r="D1005" s="157">
        <f>SUMIF('Purchase Register'!C:C, A1005, 'Purchase Register'!G:G)</f>
        <v>17</v>
      </c>
      <c r="E1005" s="190">
        <v>20</v>
      </c>
      <c r="F1005" s="162">
        <f>SUMIF('Sales Register'!C:C, A1005, 'Sales Register'!D:D)</f>
        <v>7</v>
      </c>
      <c r="G1005" s="162">
        <f t="shared" si="84"/>
        <v>140</v>
      </c>
      <c r="H1005" s="162">
        <f t="shared" si="85"/>
        <v>119</v>
      </c>
      <c r="I1005" s="162">
        <f t="shared" si="86"/>
        <v>21</v>
      </c>
      <c r="J1005" s="162">
        <f t="shared" si="87"/>
        <v>0.15</v>
      </c>
      <c r="K1005" s="35" t="str">
        <f t="shared" si="82"/>
        <v>17%</v>
      </c>
      <c r="M1005" s="30">
        <f t="shared" si="83"/>
        <v>0.17647058823529413</v>
      </c>
      <c r="N1005" s="34">
        <f>VLOOKUP(A1005, 'Stock Register'!A:F, 6, FALSE)</f>
        <v>5</v>
      </c>
    </row>
    <row r="1006" spans="1:14" hidden="1" x14ac:dyDescent="0.25">
      <c r="A1006" s="209" t="s">
        <v>1468</v>
      </c>
      <c r="D1006" s="157">
        <f>SUMIF('Purchase Register'!C:C, A1006, 'Purchase Register'!G:G)</f>
        <v>8.3333333333333339</v>
      </c>
      <c r="E1006" s="190">
        <v>10</v>
      </c>
      <c r="F1006" s="162">
        <f>SUMIF('Sales Register'!C:C, A1006, 'Sales Register'!D:D)</f>
        <v>9</v>
      </c>
      <c r="G1006" s="162">
        <f t="shared" si="84"/>
        <v>90</v>
      </c>
      <c r="H1006" s="162">
        <f t="shared" si="85"/>
        <v>75</v>
      </c>
      <c r="I1006" s="162">
        <f t="shared" si="86"/>
        <v>15</v>
      </c>
      <c r="J1006" s="162">
        <f t="shared" si="87"/>
        <v>0.16666666666666666</v>
      </c>
      <c r="K1006" s="35" t="str">
        <f t="shared" si="82"/>
        <v>20%</v>
      </c>
      <c r="M1006" s="30">
        <f t="shared" si="83"/>
        <v>0.19999999999999993</v>
      </c>
      <c r="N1006" s="34">
        <f>VLOOKUP(A1006, 'Stock Register'!A:F, 6, FALSE)</f>
        <v>15</v>
      </c>
    </row>
    <row r="1007" spans="1:14" ht="30" hidden="1" x14ac:dyDescent="0.25">
      <c r="A1007" s="209" t="s">
        <v>1469</v>
      </c>
      <c r="D1007" s="157">
        <f>SUMIF('Purchase Register'!C:C, A1007, 'Purchase Register'!G:G)</f>
        <v>8.3333333333333339</v>
      </c>
      <c r="E1007" s="190">
        <v>10</v>
      </c>
      <c r="F1007" s="162">
        <f>SUMIF('Sales Register'!C:C, A1007, 'Sales Register'!D:D)</f>
        <v>1</v>
      </c>
      <c r="G1007" s="162">
        <f t="shared" si="84"/>
        <v>10</v>
      </c>
      <c r="H1007" s="162">
        <f t="shared" si="85"/>
        <v>8.3333333333333339</v>
      </c>
      <c r="I1007" s="162">
        <f t="shared" si="86"/>
        <v>1.6666666666666661</v>
      </c>
      <c r="J1007" s="162">
        <f t="shared" si="87"/>
        <v>0.1666666666666666</v>
      </c>
      <c r="K1007" s="35" t="str">
        <f t="shared" si="82"/>
        <v>20%</v>
      </c>
      <c r="M1007" s="30">
        <f t="shared" si="83"/>
        <v>0.19999999999999993</v>
      </c>
      <c r="N1007" s="34">
        <f>VLOOKUP(A1007, 'Stock Register'!A:F, 6, FALSE)</f>
        <v>11</v>
      </c>
    </row>
    <row r="1008" spans="1:14" ht="30" hidden="1" x14ac:dyDescent="0.25">
      <c r="A1008" s="209" t="s">
        <v>1470</v>
      </c>
      <c r="D1008" s="157">
        <f>SUMIF('Purchase Register'!C:C, A1008, 'Purchase Register'!G:G)</f>
        <v>110</v>
      </c>
      <c r="E1008" s="190">
        <v>120</v>
      </c>
      <c r="F1008" s="162">
        <f>SUMIF('Sales Register'!C:C, A1008, 'Sales Register'!D:D)</f>
        <v>1</v>
      </c>
      <c r="G1008" s="162">
        <f t="shared" si="84"/>
        <v>120</v>
      </c>
      <c r="H1008" s="162">
        <f t="shared" si="85"/>
        <v>110</v>
      </c>
      <c r="I1008" s="162">
        <f t="shared" si="86"/>
        <v>10</v>
      </c>
      <c r="J1008" s="162">
        <f t="shared" si="87"/>
        <v>8.3333333333333329E-2</v>
      </c>
      <c r="K1008" s="35" t="str">
        <f t="shared" si="82"/>
        <v>9%</v>
      </c>
      <c r="M1008" s="30">
        <f t="shared" si="83"/>
        <v>9.0909090909090912E-2</v>
      </c>
      <c r="N1008" s="34">
        <f>VLOOKUP(A1008, 'Stock Register'!A:F, 6, FALSE)</f>
        <v>2</v>
      </c>
    </row>
    <row r="1009" spans="1:14" hidden="1" x14ac:dyDescent="0.25">
      <c r="A1009" s="209" t="s">
        <v>1471</v>
      </c>
      <c r="D1009" s="157">
        <f>SUMIF('Purchase Register'!C:C, A1009, 'Purchase Register'!G:G)</f>
        <v>225</v>
      </c>
      <c r="E1009" s="190">
        <v>240</v>
      </c>
      <c r="F1009" s="162">
        <f>SUMIF('Sales Register'!C:C, A1009, 'Sales Register'!D:D)</f>
        <v>0</v>
      </c>
      <c r="G1009" s="162">
        <f t="shared" si="84"/>
        <v>0</v>
      </c>
      <c r="H1009" s="162">
        <f t="shared" si="85"/>
        <v>0</v>
      </c>
      <c r="I1009" s="162">
        <f t="shared" si="86"/>
        <v>0</v>
      </c>
      <c r="J1009" s="162">
        <f t="shared" si="87"/>
        <v>0</v>
      </c>
      <c r="K1009" s="35" t="str">
        <f t="shared" si="82"/>
        <v>6%</v>
      </c>
      <c r="M1009" s="30">
        <f t="shared" si="83"/>
        <v>6.6666666666666666E-2</v>
      </c>
      <c r="N1009" s="34">
        <f>VLOOKUP(A1009, 'Stock Register'!A:F, 6, FALSE)</f>
        <v>2</v>
      </c>
    </row>
    <row r="1010" spans="1:14" hidden="1" x14ac:dyDescent="0.25">
      <c r="A1010" s="209" t="s">
        <v>1478</v>
      </c>
      <c r="D1010" s="157">
        <f>SUMIF('Purchase Register'!C:C, A1010, 'Purchase Register'!G:G)</f>
        <v>38</v>
      </c>
      <c r="E1010" s="190">
        <v>44</v>
      </c>
      <c r="F1010" s="162">
        <f>SUMIF('Sales Register'!C:C, A1010, 'Sales Register'!D:D)</f>
        <v>3.5</v>
      </c>
      <c r="G1010" s="162">
        <f t="shared" si="84"/>
        <v>154</v>
      </c>
      <c r="H1010" s="162">
        <f t="shared" si="85"/>
        <v>133</v>
      </c>
      <c r="I1010" s="162">
        <f t="shared" si="86"/>
        <v>21</v>
      </c>
      <c r="J1010" s="162">
        <f t="shared" si="87"/>
        <v>0.13636363636363635</v>
      </c>
      <c r="K1010" s="35" t="str">
        <f t="shared" si="82"/>
        <v>15%</v>
      </c>
      <c r="M1010" s="30">
        <f t="shared" si="83"/>
        <v>0.15789473684210525</v>
      </c>
      <c r="N1010" s="34">
        <f>VLOOKUP(A1010, 'Stock Register'!A:F, 6, FALSE)</f>
        <v>-1.5</v>
      </c>
    </row>
    <row r="1011" spans="1:14" ht="30" hidden="1" x14ac:dyDescent="0.25">
      <c r="A1011" s="209" t="s">
        <v>1479</v>
      </c>
      <c r="D1011" s="157">
        <f>SUMIF('Purchase Register'!C:C, A1011, 'Purchase Register'!G:G)</f>
        <v>85</v>
      </c>
      <c r="E1011" s="190">
        <v>100</v>
      </c>
      <c r="F1011" s="162">
        <f>SUMIF('Sales Register'!C:C, A1011, 'Sales Register'!D:D)</f>
        <v>0.1</v>
      </c>
      <c r="G1011" s="162">
        <f t="shared" si="84"/>
        <v>10</v>
      </c>
      <c r="H1011" s="162">
        <f t="shared" si="85"/>
        <v>8.5</v>
      </c>
      <c r="I1011" s="162">
        <f t="shared" si="86"/>
        <v>1.5</v>
      </c>
      <c r="J1011" s="162">
        <f t="shared" si="87"/>
        <v>0.15</v>
      </c>
      <c r="K1011" s="35" t="str">
        <f t="shared" si="82"/>
        <v>17%</v>
      </c>
      <c r="M1011" s="30">
        <f t="shared" si="83"/>
        <v>0.17647058823529413</v>
      </c>
      <c r="N1011" s="34">
        <f>VLOOKUP(A1011, 'Stock Register'!A:F, 6, FALSE)</f>
        <v>1.9</v>
      </c>
    </row>
    <row r="1012" spans="1:14" hidden="1" x14ac:dyDescent="0.25">
      <c r="A1012" s="209" t="s">
        <v>1480</v>
      </c>
      <c r="D1012" s="157">
        <f>SUMIF('Purchase Register'!C:C, A1012, 'Purchase Register'!G:G)</f>
        <v>40</v>
      </c>
      <c r="E1012" s="190">
        <v>45</v>
      </c>
      <c r="F1012" s="162">
        <f>SUMIF('Sales Register'!C:C, A1012, 'Sales Register'!D:D)</f>
        <v>0</v>
      </c>
      <c r="G1012" s="162">
        <f t="shared" si="84"/>
        <v>0</v>
      </c>
      <c r="H1012" s="162">
        <f t="shared" si="85"/>
        <v>0</v>
      </c>
      <c r="I1012" s="162">
        <f t="shared" si="86"/>
        <v>0</v>
      </c>
      <c r="J1012" s="162">
        <f t="shared" si="87"/>
        <v>0</v>
      </c>
      <c r="K1012" s="35" t="str">
        <f t="shared" si="82"/>
        <v>12%</v>
      </c>
      <c r="M1012" s="30">
        <f t="shared" si="83"/>
        <v>0.125</v>
      </c>
      <c r="N1012" s="34">
        <f>VLOOKUP(A1012, 'Stock Register'!A:F, 6, FALSE)</f>
        <v>3</v>
      </c>
    </row>
    <row r="1013" spans="1:14" ht="30" hidden="1" x14ac:dyDescent="0.25">
      <c r="A1013" s="209" t="s">
        <v>1481</v>
      </c>
      <c r="D1013" s="157">
        <f>SUMIF('Purchase Register'!C:C, A1013, 'Purchase Register'!G:G)</f>
        <v>85</v>
      </c>
      <c r="E1013" s="190">
        <v>90</v>
      </c>
      <c r="F1013" s="162">
        <f>SUMIF('Sales Register'!C:C, A1013, 'Sales Register'!D:D)</f>
        <v>2</v>
      </c>
      <c r="G1013" s="162">
        <f t="shared" si="84"/>
        <v>180</v>
      </c>
      <c r="H1013" s="162">
        <f t="shared" si="85"/>
        <v>170</v>
      </c>
      <c r="I1013" s="162">
        <f t="shared" si="86"/>
        <v>10</v>
      </c>
      <c r="J1013" s="162">
        <f t="shared" si="87"/>
        <v>5.5555555555555552E-2</v>
      </c>
      <c r="K1013" s="35" t="str">
        <f t="shared" si="82"/>
        <v>5%</v>
      </c>
      <c r="M1013" s="30">
        <f t="shared" si="83"/>
        <v>5.8823529411764705E-2</v>
      </c>
      <c r="N1013" s="34">
        <f>VLOOKUP(A1013, 'Stock Register'!A:F, 6, FALSE)</f>
        <v>1</v>
      </c>
    </row>
    <row r="1014" spans="1:14" ht="30" hidden="1" x14ac:dyDescent="0.25">
      <c r="A1014" s="205" t="s">
        <v>1485</v>
      </c>
      <c r="D1014" s="157">
        <f>SUMIF('Purchase Register'!C:C, A1014, 'Purchase Register'!G:G)</f>
        <v>87.5</v>
      </c>
      <c r="E1014" s="190">
        <v>100</v>
      </c>
      <c r="F1014" s="162">
        <f>SUMIF('Sales Register'!C:C, A1014, 'Sales Register'!D:D)</f>
        <v>2</v>
      </c>
      <c r="G1014" s="162">
        <f t="shared" ref="G1014:G1041" si="88">E1014*F1014</f>
        <v>200</v>
      </c>
      <c r="H1014" s="162">
        <f t="shared" si="85"/>
        <v>175</v>
      </c>
      <c r="I1014" s="162">
        <f t="shared" si="86"/>
        <v>25</v>
      </c>
      <c r="J1014" s="162">
        <f t="shared" si="87"/>
        <v>0.125</v>
      </c>
      <c r="K1014" s="35" t="str">
        <f t="shared" si="82"/>
        <v>14%</v>
      </c>
      <c r="M1014" s="30">
        <f t="shared" si="83"/>
        <v>0.14285714285714285</v>
      </c>
      <c r="N1014" s="34">
        <f>VLOOKUP(A1014, 'Stock Register'!A:F, 6, FALSE)</f>
        <v>2</v>
      </c>
    </row>
    <row r="1015" spans="1:14" ht="30" hidden="1" x14ac:dyDescent="0.25">
      <c r="A1015" s="209" t="s">
        <v>1482</v>
      </c>
      <c r="D1015" s="157">
        <f>SUMIF('Purchase Register'!C:C, A1015, 'Purchase Register'!G:G)</f>
        <v>45</v>
      </c>
      <c r="E1015" s="190">
        <v>60</v>
      </c>
      <c r="F1015" s="162">
        <f>SUMIF('Sales Register'!C:C, A1015, 'Sales Register'!D:D)</f>
        <v>0.5</v>
      </c>
      <c r="G1015" s="162">
        <f t="shared" si="88"/>
        <v>30</v>
      </c>
      <c r="H1015" s="162">
        <f t="shared" si="85"/>
        <v>22.5</v>
      </c>
      <c r="I1015" s="162">
        <f t="shared" si="86"/>
        <v>7.5</v>
      </c>
      <c r="J1015" s="162">
        <f t="shared" si="87"/>
        <v>0.25</v>
      </c>
      <c r="K1015" s="35" t="str">
        <f t="shared" si="82"/>
        <v>33%</v>
      </c>
      <c r="M1015" s="30">
        <f t="shared" si="83"/>
        <v>0.33333333333333331</v>
      </c>
      <c r="N1015" s="34">
        <f>VLOOKUP(A1015, 'Stock Register'!A:F, 6, FALSE)</f>
        <v>0.5</v>
      </c>
    </row>
    <row r="1016" spans="1:14" hidden="1" x14ac:dyDescent="0.25">
      <c r="A1016" s="209" t="s">
        <v>1483</v>
      </c>
      <c r="D1016" s="157">
        <f>SUMIF('Purchase Register'!C:C, A1016, 'Purchase Register'!G:G)</f>
        <v>46</v>
      </c>
      <c r="E1016" s="190">
        <v>50</v>
      </c>
      <c r="F1016" s="162">
        <f>SUMIF('Sales Register'!C:C, A1016, 'Sales Register'!D:D)</f>
        <v>12</v>
      </c>
      <c r="G1016" s="162">
        <f t="shared" si="88"/>
        <v>600</v>
      </c>
      <c r="H1016" s="162">
        <f t="shared" si="85"/>
        <v>552</v>
      </c>
      <c r="I1016" s="162">
        <f t="shared" si="86"/>
        <v>48</v>
      </c>
      <c r="J1016" s="162">
        <f t="shared" si="87"/>
        <v>0.08</v>
      </c>
      <c r="K1016" s="35" t="str">
        <f t="shared" si="82"/>
        <v>8%</v>
      </c>
      <c r="M1016" s="30">
        <f t="shared" si="83"/>
        <v>8.6956521739130432E-2</v>
      </c>
      <c r="N1016" s="34">
        <f>VLOOKUP(A1016, 'Stock Register'!A:F, 6, FALSE)</f>
        <v>0</v>
      </c>
    </row>
    <row r="1017" spans="1:14" hidden="1" x14ac:dyDescent="0.25">
      <c r="A1017" s="209" t="s">
        <v>1484</v>
      </c>
      <c r="D1017" s="157">
        <f>SUMIF('Purchase Register'!C:C, A1017, 'Purchase Register'!G:G)</f>
        <v>9</v>
      </c>
      <c r="E1017" s="190">
        <v>10</v>
      </c>
      <c r="F1017" s="162">
        <f>SUMIF('Sales Register'!C:C, A1017, 'Sales Register'!D:D)</f>
        <v>66</v>
      </c>
      <c r="G1017" s="162">
        <f t="shared" si="88"/>
        <v>660</v>
      </c>
      <c r="H1017" s="162">
        <f t="shared" si="85"/>
        <v>594</v>
      </c>
      <c r="I1017" s="162">
        <f t="shared" si="86"/>
        <v>66</v>
      </c>
      <c r="J1017" s="162">
        <f t="shared" si="87"/>
        <v>0.1</v>
      </c>
      <c r="K1017" s="35" t="str">
        <f t="shared" si="82"/>
        <v>11%</v>
      </c>
      <c r="M1017" s="30">
        <f t="shared" si="83"/>
        <v>0.1111111111111111</v>
      </c>
      <c r="N1017" s="34">
        <f>VLOOKUP(A1017, 'Stock Register'!A:F, 6, FALSE)</f>
        <v>30</v>
      </c>
    </row>
    <row r="1018" spans="1:14" hidden="1" x14ac:dyDescent="0.25">
      <c r="A1018" s="209" t="s">
        <v>1486</v>
      </c>
      <c r="D1018" s="157">
        <f>SUMIF('Purchase Register'!C:C, A1018, 'Purchase Register'!G:G)</f>
        <v>54</v>
      </c>
      <c r="E1018" s="190">
        <v>60</v>
      </c>
      <c r="F1018" s="162">
        <f>SUMIF('Sales Register'!C:C, A1018, 'Sales Register'!D:D)</f>
        <v>10</v>
      </c>
      <c r="G1018" s="162">
        <f t="shared" si="88"/>
        <v>600</v>
      </c>
      <c r="H1018" s="162">
        <f t="shared" si="85"/>
        <v>540</v>
      </c>
      <c r="I1018" s="162">
        <f t="shared" si="86"/>
        <v>60</v>
      </c>
      <c r="J1018" s="162">
        <f t="shared" si="87"/>
        <v>0.1</v>
      </c>
      <c r="K1018" s="35" t="str">
        <f t="shared" si="82"/>
        <v>11%</v>
      </c>
      <c r="M1018" s="30">
        <f t="shared" si="83"/>
        <v>0.1111111111111111</v>
      </c>
      <c r="N1018" s="34">
        <f>VLOOKUP(A1018, 'Stock Register'!A:F, 6, FALSE)</f>
        <v>-7</v>
      </c>
    </row>
    <row r="1019" spans="1:14" hidden="1" x14ac:dyDescent="0.25">
      <c r="A1019" s="209" t="s">
        <v>1487</v>
      </c>
      <c r="D1019" s="157">
        <f>SUMIF('Purchase Register'!C:C, A1019, 'Purchase Register'!G:G)</f>
        <v>8.4615384615384617</v>
      </c>
      <c r="E1019" s="190">
        <v>10</v>
      </c>
      <c r="F1019" s="162">
        <f>SUMIF('Sales Register'!C:C, A1019, 'Sales Register'!D:D)</f>
        <v>10</v>
      </c>
      <c r="G1019" s="162">
        <f t="shared" si="88"/>
        <v>100</v>
      </c>
      <c r="H1019" s="162">
        <f t="shared" si="85"/>
        <v>84.615384615384613</v>
      </c>
      <c r="I1019" s="162">
        <f t="shared" si="86"/>
        <v>15.384615384615387</v>
      </c>
      <c r="J1019" s="162">
        <f t="shared" si="87"/>
        <v>0.15384615384615385</v>
      </c>
      <c r="K1019" s="35" t="str">
        <f t="shared" si="82"/>
        <v>18%</v>
      </c>
      <c r="M1019" s="30">
        <f t="shared" si="83"/>
        <v>0.1818181818181818</v>
      </c>
      <c r="N1019" s="34">
        <f>VLOOKUP(A1019, 'Stock Register'!A:F, 6, FALSE)</f>
        <v>16</v>
      </c>
    </row>
    <row r="1020" spans="1:14" hidden="1" x14ac:dyDescent="0.25">
      <c r="A1020" s="209" t="s">
        <v>1488</v>
      </c>
      <c r="D1020" s="157">
        <f>SUMIF('Purchase Register'!C:C, A1020, 'Purchase Register'!G:G)</f>
        <v>4.2</v>
      </c>
      <c r="E1020" s="190">
        <v>5</v>
      </c>
      <c r="F1020" s="162">
        <f>SUMIF('Sales Register'!C:C, A1020, 'Sales Register'!D:D)</f>
        <v>0</v>
      </c>
      <c r="G1020" s="162">
        <f t="shared" si="88"/>
        <v>0</v>
      </c>
      <c r="H1020" s="162">
        <f t="shared" si="85"/>
        <v>0</v>
      </c>
      <c r="I1020" s="162">
        <f t="shared" si="86"/>
        <v>0</v>
      </c>
      <c r="J1020" s="162">
        <f t="shared" si="87"/>
        <v>0</v>
      </c>
      <c r="K1020" s="35" t="str">
        <f t="shared" si="82"/>
        <v>19%</v>
      </c>
      <c r="M1020" s="30">
        <f t="shared" si="83"/>
        <v>0.19047619047619044</v>
      </c>
      <c r="N1020" s="34">
        <f>VLOOKUP(A1020, 'Stock Register'!A:F, 6, FALSE)</f>
        <v>12</v>
      </c>
    </row>
    <row r="1021" spans="1:14" hidden="1" x14ac:dyDescent="0.25">
      <c r="A1021" s="209" t="s">
        <v>1491</v>
      </c>
      <c r="D1021" s="157">
        <f>SUMIF('Purchase Register'!C:C, A1021, 'Purchase Register'!G:G)</f>
        <v>3.6</v>
      </c>
      <c r="E1021" s="190">
        <v>4</v>
      </c>
      <c r="F1021" s="162">
        <f>SUMIF('Sales Register'!C:C, A1021, 'Sales Register'!D:D)</f>
        <v>0</v>
      </c>
      <c r="G1021" s="162">
        <f t="shared" si="88"/>
        <v>0</v>
      </c>
      <c r="H1021" s="162">
        <f t="shared" si="85"/>
        <v>0</v>
      </c>
      <c r="I1021" s="162">
        <f t="shared" si="86"/>
        <v>0</v>
      </c>
      <c r="J1021" s="162">
        <f t="shared" si="87"/>
        <v>0</v>
      </c>
      <c r="K1021" s="35" t="str">
        <f t="shared" si="82"/>
        <v>11%</v>
      </c>
      <c r="M1021" s="30">
        <f t="shared" si="83"/>
        <v>0.11111111111111108</v>
      </c>
      <c r="N1021" s="34">
        <f>VLOOKUP(A1021, 'Stock Register'!A:F, 6, FALSE)</f>
        <v>30</v>
      </c>
    </row>
    <row r="1022" spans="1:14" ht="30" hidden="1" x14ac:dyDescent="0.25">
      <c r="A1022" s="209" t="s">
        <v>1489</v>
      </c>
      <c r="D1022" s="157">
        <f>SUMIF('Purchase Register'!C:C, A1022, 'Purchase Register'!G:G)</f>
        <v>0.8125</v>
      </c>
      <c r="E1022" s="190">
        <v>1</v>
      </c>
      <c r="F1022" s="162">
        <f>SUMIF('Sales Register'!C:C, A1022, 'Sales Register'!D:D)</f>
        <v>10</v>
      </c>
      <c r="G1022" s="162">
        <f t="shared" si="88"/>
        <v>10</v>
      </c>
      <c r="H1022" s="162">
        <f t="shared" si="85"/>
        <v>8.125</v>
      </c>
      <c r="I1022" s="162">
        <f t="shared" si="86"/>
        <v>1.875</v>
      </c>
      <c r="J1022" s="162">
        <f t="shared" si="87"/>
        <v>0.1875</v>
      </c>
      <c r="K1022" s="35" t="str">
        <f t="shared" si="82"/>
        <v>23%</v>
      </c>
      <c r="M1022" s="30">
        <f t="shared" si="83"/>
        <v>0.23076923076923078</v>
      </c>
      <c r="N1022" s="34">
        <f>VLOOKUP(A1022, 'Stock Register'!A:F, 6, FALSE)</f>
        <v>54</v>
      </c>
    </row>
    <row r="1023" spans="1:14" hidden="1" x14ac:dyDescent="0.25">
      <c r="A1023" s="209" t="s">
        <v>1490</v>
      </c>
      <c r="D1023" s="157">
        <f>SUMIF('Purchase Register'!C:C, A1023, 'Purchase Register'!G:G)</f>
        <v>90</v>
      </c>
      <c r="E1023" s="190">
        <v>110</v>
      </c>
      <c r="F1023" s="162">
        <f>SUMIF('Sales Register'!C:C, A1023, 'Sales Register'!D:D)</f>
        <v>0.13600000000000001</v>
      </c>
      <c r="G1023" s="162">
        <f t="shared" si="88"/>
        <v>14.96</v>
      </c>
      <c r="H1023" s="162">
        <f t="shared" si="85"/>
        <v>12.24</v>
      </c>
      <c r="I1023" s="162">
        <f t="shared" si="86"/>
        <v>2.7200000000000006</v>
      </c>
      <c r="J1023" s="162">
        <f t="shared" si="87"/>
        <v>0.18181818181818185</v>
      </c>
      <c r="K1023" s="35" t="str">
        <f t="shared" si="82"/>
        <v>22%</v>
      </c>
      <c r="M1023" s="30">
        <f t="shared" si="83"/>
        <v>0.22222222222222221</v>
      </c>
      <c r="N1023" s="34">
        <f>VLOOKUP(A1023, 'Stock Register'!A:F, 6, FALSE)</f>
        <v>0.86399999999999999</v>
      </c>
    </row>
    <row r="1024" spans="1:14" ht="30" hidden="1" x14ac:dyDescent="0.25">
      <c r="A1024" s="209" t="s">
        <v>1493</v>
      </c>
      <c r="D1024" s="157">
        <f>SUMIF('Purchase Register'!C:C, A1024, 'Purchase Register'!G:G)</f>
        <v>7.5100000000000007</v>
      </c>
      <c r="E1024" s="190">
        <v>15</v>
      </c>
      <c r="F1024" s="162">
        <f>SUMIF('Sales Register'!C:C, A1024, 'Sales Register'!D:D)</f>
        <v>1</v>
      </c>
      <c r="G1024" s="162">
        <f t="shared" si="88"/>
        <v>15</v>
      </c>
      <c r="H1024" s="162">
        <f t="shared" si="85"/>
        <v>7.5100000000000007</v>
      </c>
      <c r="I1024" s="162">
        <f t="shared" si="86"/>
        <v>7.4899999999999993</v>
      </c>
      <c r="J1024" s="162">
        <f t="shared" si="87"/>
        <v>0.4993333333333333</v>
      </c>
      <c r="K1024" s="35" t="str">
        <f t="shared" si="82"/>
        <v>99%</v>
      </c>
      <c r="M1024" s="30">
        <f t="shared" si="83"/>
        <v>0.99733688415446053</v>
      </c>
      <c r="N1024" s="34">
        <f>VLOOKUP(A1024, 'Stock Register'!A:F, 6, FALSE)</f>
        <v>23</v>
      </c>
    </row>
    <row r="1025" spans="1:14" ht="30" hidden="1" x14ac:dyDescent="0.25">
      <c r="A1025" s="209" t="s">
        <v>1494</v>
      </c>
      <c r="D1025" s="157">
        <f>SUMIF('Purchase Register'!C:C, A1025, 'Purchase Register'!G:G)</f>
        <v>7.5100000000000007</v>
      </c>
      <c r="E1025" s="190">
        <v>15</v>
      </c>
      <c r="F1025" s="162">
        <f>SUMIF('Sales Register'!C:C, A1025, 'Sales Register'!D:D)</f>
        <v>0</v>
      </c>
      <c r="G1025" s="162">
        <f t="shared" si="88"/>
        <v>0</v>
      </c>
      <c r="H1025" s="162">
        <f t="shared" si="85"/>
        <v>0</v>
      </c>
      <c r="I1025" s="162">
        <f t="shared" si="86"/>
        <v>0</v>
      </c>
      <c r="J1025" s="162">
        <f t="shared" si="87"/>
        <v>0</v>
      </c>
      <c r="K1025" s="35" t="str">
        <f t="shared" si="82"/>
        <v>99%</v>
      </c>
      <c r="M1025" s="30">
        <f t="shared" si="83"/>
        <v>0.99733688415446053</v>
      </c>
      <c r="N1025" s="34">
        <f>VLOOKUP(A1025, 'Stock Register'!A:F, 6, FALSE)</f>
        <v>24</v>
      </c>
    </row>
    <row r="1026" spans="1:14" x14ac:dyDescent="0.25">
      <c r="A1026" s="209" t="s">
        <v>1495</v>
      </c>
      <c r="D1026" s="157">
        <f>SUMIF('Purchase Register'!C:C, A1026, 'Purchase Register'!G:G)</f>
        <v>16.5</v>
      </c>
      <c r="E1026" s="190">
        <v>35</v>
      </c>
      <c r="F1026" s="162">
        <f>SUMIF('Sales Register'!C:C, A1026, 'Sales Register'!D:D)</f>
        <v>0</v>
      </c>
      <c r="G1026" s="162">
        <f t="shared" si="88"/>
        <v>0</v>
      </c>
      <c r="H1026" s="162">
        <f t="shared" ref="H1026:H1041" si="89">D1026*F1026</f>
        <v>0</v>
      </c>
      <c r="I1026" s="162">
        <f t="shared" ref="I1026:I1041" si="90">G1026-H1026</f>
        <v>0</v>
      </c>
      <c r="J1026" s="162">
        <f t="shared" ref="J1026:J1041" si="91">IF(G1026=0,0,I1026/G1026)</f>
        <v>0</v>
      </c>
      <c r="K1026" s="35" t="str">
        <f t="shared" si="82"/>
        <v>100% or More</v>
      </c>
      <c r="M1026" s="30">
        <f t="shared" si="83"/>
        <v>1.1212121212121211</v>
      </c>
      <c r="N1026" s="34">
        <f>VLOOKUP(A1026, 'Stock Register'!A:F, 6, FALSE)</f>
        <v>12</v>
      </c>
    </row>
    <row r="1027" spans="1:14" ht="30" hidden="1" x14ac:dyDescent="0.25">
      <c r="A1027" s="209" t="s">
        <v>1496</v>
      </c>
      <c r="D1027" s="157">
        <f>SUMIF('Purchase Register'!C:C, A1027, 'Purchase Register'!G:G)</f>
        <v>45</v>
      </c>
      <c r="E1027" s="190">
        <v>50</v>
      </c>
      <c r="F1027" s="162">
        <f>SUMIF('Sales Register'!C:C, A1027, 'Sales Register'!D:D)</f>
        <v>2</v>
      </c>
      <c r="G1027" s="162">
        <f t="shared" si="88"/>
        <v>100</v>
      </c>
      <c r="H1027" s="162">
        <f t="shared" si="89"/>
        <v>90</v>
      </c>
      <c r="I1027" s="162">
        <f t="shared" si="90"/>
        <v>10</v>
      </c>
      <c r="J1027" s="162">
        <f t="shared" si="91"/>
        <v>0.1</v>
      </c>
      <c r="K1027" s="35" t="str">
        <f t="shared" si="82"/>
        <v>11%</v>
      </c>
      <c r="M1027" s="30">
        <f t="shared" si="83"/>
        <v>0.1111111111111111</v>
      </c>
      <c r="N1027" s="34">
        <f>VLOOKUP(A1027, 'Stock Register'!A:F, 6, FALSE)</f>
        <v>4</v>
      </c>
    </row>
    <row r="1028" spans="1:14" ht="30" hidden="1" x14ac:dyDescent="0.25">
      <c r="A1028" s="209" t="s">
        <v>1497</v>
      </c>
      <c r="D1028" s="157">
        <f>SUMIF('Purchase Register'!C:C, A1028, 'Purchase Register'!G:G)</f>
        <v>9</v>
      </c>
      <c r="E1028" s="190">
        <v>10</v>
      </c>
      <c r="F1028" s="162">
        <f>SUMIF('Sales Register'!C:C, A1028, 'Sales Register'!D:D)</f>
        <v>3</v>
      </c>
      <c r="G1028" s="162">
        <f t="shared" si="88"/>
        <v>30</v>
      </c>
      <c r="H1028" s="162">
        <f t="shared" si="89"/>
        <v>27</v>
      </c>
      <c r="I1028" s="162">
        <f t="shared" si="90"/>
        <v>3</v>
      </c>
      <c r="J1028" s="162">
        <f t="shared" si="91"/>
        <v>0.1</v>
      </c>
      <c r="K1028" s="35" t="str">
        <f t="shared" si="82"/>
        <v>11%</v>
      </c>
      <c r="M1028" s="30">
        <f t="shared" si="83"/>
        <v>0.1111111111111111</v>
      </c>
      <c r="N1028" s="34">
        <f>VLOOKUP(A1028, 'Stock Register'!A:F, 6, FALSE)</f>
        <v>17</v>
      </c>
    </row>
    <row r="1029" spans="1:14" hidden="1" x14ac:dyDescent="0.25">
      <c r="A1029" s="209" t="s">
        <v>1498</v>
      </c>
      <c r="D1029" s="157">
        <f>SUMIF('Purchase Register'!C:C, A1029, 'Purchase Register'!G:G)</f>
        <v>4.4444444444444446</v>
      </c>
      <c r="E1029" s="190">
        <v>5</v>
      </c>
      <c r="F1029" s="162">
        <f>SUMIF('Sales Register'!C:C, A1029, 'Sales Register'!D:D)</f>
        <v>9</v>
      </c>
      <c r="G1029" s="162">
        <f t="shared" si="88"/>
        <v>45</v>
      </c>
      <c r="H1029" s="162">
        <f t="shared" si="89"/>
        <v>40</v>
      </c>
      <c r="I1029" s="162">
        <f t="shared" si="90"/>
        <v>5</v>
      </c>
      <c r="J1029" s="162">
        <f t="shared" si="91"/>
        <v>0.1111111111111111</v>
      </c>
      <c r="K1029" s="35" t="str">
        <f t="shared" si="82"/>
        <v>12%</v>
      </c>
      <c r="M1029" s="30">
        <f t="shared" si="83"/>
        <v>0.12499999999999994</v>
      </c>
      <c r="N1029" s="34">
        <f>VLOOKUP(A1029, 'Stock Register'!A:F, 6, FALSE)</f>
        <v>27</v>
      </c>
    </row>
    <row r="1030" spans="1:14" ht="30" hidden="1" x14ac:dyDescent="0.25">
      <c r="A1030" s="209" t="s">
        <v>1499</v>
      </c>
      <c r="D1030" s="157">
        <f>SUMIF('Purchase Register'!C:C, A1030, 'Purchase Register'!G:G)</f>
        <v>7.5</v>
      </c>
      <c r="E1030" s="190">
        <v>10</v>
      </c>
      <c r="F1030" s="162">
        <f>SUMIF('Sales Register'!C:C, A1030, 'Sales Register'!D:D)</f>
        <v>3</v>
      </c>
      <c r="G1030" s="162">
        <f t="shared" si="88"/>
        <v>30</v>
      </c>
      <c r="H1030" s="162">
        <f t="shared" si="89"/>
        <v>22.5</v>
      </c>
      <c r="I1030" s="162">
        <f t="shared" si="90"/>
        <v>7.5</v>
      </c>
      <c r="J1030" s="162">
        <f t="shared" si="91"/>
        <v>0.25</v>
      </c>
      <c r="K1030" s="35" t="str">
        <f t="shared" si="82"/>
        <v>33%</v>
      </c>
      <c r="M1030" s="30">
        <f t="shared" si="83"/>
        <v>0.33333333333333331</v>
      </c>
      <c r="N1030" s="34">
        <f>VLOOKUP(A1030, 'Stock Register'!A:F, 6, FALSE)</f>
        <v>45</v>
      </c>
    </row>
    <row r="1031" spans="1:14" ht="30" hidden="1" x14ac:dyDescent="0.25">
      <c r="A1031" s="209" t="s">
        <v>1500</v>
      </c>
      <c r="D1031" s="157">
        <f>SUMIF('Purchase Register'!C:C, A1031, 'Purchase Register'!G:G)</f>
        <v>6.666666666666667</v>
      </c>
      <c r="E1031" s="190">
        <v>5</v>
      </c>
      <c r="F1031" s="162">
        <f>SUMIF('Sales Register'!C:C, A1031, 'Sales Register'!D:D)</f>
        <v>16</v>
      </c>
      <c r="G1031" s="162">
        <f t="shared" si="88"/>
        <v>80</v>
      </c>
      <c r="H1031" s="162">
        <f t="shared" si="89"/>
        <v>106.66666666666667</v>
      </c>
      <c r="I1031" s="162">
        <f t="shared" si="90"/>
        <v>-26.666666666666671</v>
      </c>
      <c r="J1031" s="162">
        <f t="shared" si="91"/>
        <v>-0.33333333333333337</v>
      </c>
      <c r="K1031" s="35" t="str">
        <f t="shared" si="82"/>
        <v>NO PROFIT</v>
      </c>
      <c r="M1031" s="30">
        <f t="shared" si="83"/>
        <v>-0.25000000000000006</v>
      </c>
      <c r="N1031" s="34">
        <f>VLOOKUP(A1031, 'Stock Register'!A:F, 6, FALSE)</f>
        <v>32</v>
      </c>
    </row>
    <row r="1032" spans="1:14" hidden="1" x14ac:dyDescent="0.25">
      <c r="A1032" s="209" t="s">
        <v>1501</v>
      </c>
      <c r="D1032" s="157">
        <f>SUMIF('Purchase Register'!C:C, A1032, 'Purchase Register'!G:G)</f>
        <v>4.4444444444444446</v>
      </c>
      <c r="E1032" s="190">
        <v>5</v>
      </c>
      <c r="F1032" s="162">
        <f>SUMIF('Sales Register'!C:C, A1032, 'Sales Register'!D:D)</f>
        <v>0</v>
      </c>
      <c r="G1032" s="162">
        <f t="shared" si="88"/>
        <v>0</v>
      </c>
      <c r="H1032" s="162">
        <f t="shared" si="89"/>
        <v>0</v>
      </c>
      <c r="I1032" s="162">
        <f t="shared" si="90"/>
        <v>0</v>
      </c>
      <c r="J1032" s="162">
        <f t="shared" si="91"/>
        <v>0</v>
      </c>
      <c r="K1032" s="35" t="str">
        <f t="shared" si="82"/>
        <v>12%</v>
      </c>
      <c r="M1032" s="30">
        <f t="shared" si="83"/>
        <v>0.12499999999999994</v>
      </c>
      <c r="N1032" s="34">
        <f>VLOOKUP(A1032, 'Stock Register'!A:F, 6, FALSE)</f>
        <v>36</v>
      </c>
    </row>
    <row r="1033" spans="1:14" hidden="1" x14ac:dyDescent="0.25">
      <c r="A1033" s="209" t="s">
        <v>1502</v>
      </c>
      <c r="D1033" s="157">
        <f>SUMIF('Purchase Register'!C:C, A1033, 'Purchase Register'!G:G)</f>
        <v>8.6111111111111107</v>
      </c>
      <c r="E1033" s="190">
        <v>10</v>
      </c>
      <c r="F1033" s="162">
        <f>SUMIF('Sales Register'!C:C, A1033, 'Sales Register'!D:D)</f>
        <v>6</v>
      </c>
      <c r="G1033" s="162">
        <f t="shared" si="88"/>
        <v>60</v>
      </c>
      <c r="H1033" s="162">
        <f t="shared" si="89"/>
        <v>51.666666666666664</v>
      </c>
      <c r="I1033" s="162">
        <f t="shared" si="90"/>
        <v>8.3333333333333357</v>
      </c>
      <c r="J1033" s="162">
        <f t="shared" si="91"/>
        <v>0.13888888888888892</v>
      </c>
      <c r="K1033" s="35" t="str">
        <f t="shared" si="82"/>
        <v>16%</v>
      </c>
      <c r="M1033" s="30">
        <f t="shared" si="83"/>
        <v>0.16129032258064521</v>
      </c>
      <c r="N1033" s="34">
        <f>VLOOKUP(A1033, 'Stock Register'!A:F, 6, FALSE)</f>
        <v>66</v>
      </c>
    </row>
    <row r="1034" spans="1:14" hidden="1" x14ac:dyDescent="0.25">
      <c r="A1034" s="209" t="s">
        <v>1503</v>
      </c>
      <c r="D1034" s="157">
        <f>SUMIF('Purchase Register'!C:C, A1034, 'Purchase Register'!G:G)</f>
        <v>1.7</v>
      </c>
      <c r="E1034" s="190">
        <v>2</v>
      </c>
      <c r="F1034" s="162">
        <f>SUMIF('Sales Register'!C:C, A1034, 'Sales Register'!D:D)</f>
        <v>13</v>
      </c>
      <c r="G1034" s="162">
        <f t="shared" si="88"/>
        <v>26</v>
      </c>
      <c r="H1034" s="162">
        <f t="shared" si="89"/>
        <v>22.099999999999998</v>
      </c>
      <c r="I1034" s="162">
        <f t="shared" si="90"/>
        <v>3.9000000000000021</v>
      </c>
      <c r="J1034" s="162">
        <f t="shared" si="91"/>
        <v>0.15000000000000008</v>
      </c>
      <c r="K1034" s="35" t="str">
        <f t="shared" si="82"/>
        <v>17%</v>
      </c>
      <c r="M1034" s="30">
        <f t="shared" si="83"/>
        <v>0.17647058823529416</v>
      </c>
      <c r="N1034" s="34">
        <f>VLOOKUP(A1034, 'Stock Register'!A:F, 6, FALSE)</f>
        <v>87</v>
      </c>
    </row>
    <row r="1035" spans="1:14" hidden="1" x14ac:dyDescent="0.25">
      <c r="A1035" s="209" t="s">
        <v>1504</v>
      </c>
      <c r="D1035" s="157">
        <f>SUMIF('Purchase Register'!C:C, A1035, 'Purchase Register'!G:G)</f>
        <v>4.5714285714285712</v>
      </c>
      <c r="E1035" s="190">
        <v>5</v>
      </c>
      <c r="F1035" s="162">
        <f>SUMIF('Sales Register'!C:C, A1035, 'Sales Register'!D:D)</f>
        <v>0</v>
      </c>
      <c r="G1035" s="162">
        <f t="shared" si="88"/>
        <v>0</v>
      </c>
      <c r="H1035" s="162">
        <f t="shared" si="89"/>
        <v>0</v>
      </c>
      <c r="I1035" s="162">
        <f t="shared" si="90"/>
        <v>0</v>
      </c>
      <c r="J1035" s="162">
        <f t="shared" si="91"/>
        <v>0</v>
      </c>
      <c r="K1035" s="35" t="str">
        <f t="shared" si="82"/>
        <v>9%</v>
      </c>
      <c r="M1035" s="30">
        <f t="shared" si="83"/>
        <v>9.3750000000000056E-2</v>
      </c>
      <c r="N1035" s="34">
        <f>VLOOKUP(A1035, 'Stock Register'!A:F, 6, FALSE)</f>
        <v>70</v>
      </c>
    </row>
    <row r="1036" spans="1:14" hidden="1" x14ac:dyDescent="0.25">
      <c r="A1036" s="209" t="s">
        <v>1510</v>
      </c>
      <c r="D1036" s="157">
        <f>SUMIF('Purchase Register'!C:C, A1036, 'Purchase Register'!G:G)</f>
        <v>12</v>
      </c>
      <c r="E1036" s="190">
        <v>20</v>
      </c>
      <c r="F1036" s="162">
        <f>SUMIF('Sales Register'!C:C, A1036, 'Sales Register'!D:D)</f>
        <v>0</v>
      </c>
      <c r="G1036" s="162">
        <f t="shared" si="88"/>
        <v>0</v>
      </c>
      <c r="H1036" s="162">
        <f t="shared" si="89"/>
        <v>0</v>
      </c>
      <c r="I1036" s="162">
        <f t="shared" si="90"/>
        <v>0</v>
      </c>
      <c r="J1036" s="162">
        <f t="shared" si="91"/>
        <v>0</v>
      </c>
      <c r="K1036" s="35" t="str">
        <f t="shared" si="82"/>
        <v>66%</v>
      </c>
      <c r="M1036" s="30">
        <f t="shared" si="83"/>
        <v>0.66666666666666663</v>
      </c>
      <c r="N1036" s="34">
        <f>VLOOKUP(A1036, 'Stock Register'!A:F, 6, FALSE)</f>
        <v>10</v>
      </c>
    </row>
    <row r="1037" spans="1:14" ht="30" hidden="1" x14ac:dyDescent="0.25">
      <c r="A1037" s="209" t="s">
        <v>1511</v>
      </c>
      <c r="D1037" s="157">
        <f>SUMIF('Purchase Register'!C:C, A1037, 'Purchase Register'!G:G)</f>
        <v>6</v>
      </c>
      <c r="E1037" s="190">
        <v>10</v>
      </c>
      <c r="F1037" s="162">
        <f>SUMIF('Sales Register'!C:C, A1037, 'Sales Register'!D:D)</f>
        <v>1</v>
      </c>
      <c r="G1037" s="162">
        <f t="shared" si="88"/>
        <v>10</v>
      </c>
      <c r="H1037" s="162">
        <f t="shared" si="89"/>
        <v>6</v>
      </c>
      <c r="I1037" s="162">
        <f t="shared" si="90"/>
        <v>4</v>
      </c>
      <c r="J1037" s="162">
        <f t="shared" si="91"/>
        <v>0.4</v>
      </c>
      <c r="K1037" s="35" t="str">
        <f t="shared" si="82"/>
        <v>66%</v>
      </c>
      <c r="M1037" s="30">
        <f t="shared" si="83"/>
        <v>0.66666666666666663</v>
      </c>
      <c r="N1037" s="34">
        <f>VLOOKUP(A1037, 'Stock Register'!A:F, 6, FALSE)</f>
        <v>29</v>
      </c>
    </row>
    <row r="1038" spans="1:14" ht="30" hidden="1" x14ac:dyDescent="0.25">
      <c r="A1038" s="209" t="s">
        <v>1508</v>
      </c>
      <c r="D1038" s="157">
        <f>SUMIF('Purchase Register'!C:C, A1038, 'Purchase Register'!G:G)</f>
        <v>7</v>
      </c>
      <c r="E1038" s="190">
        <v>10</v>
      </c>
      <c r="F1038" s="162">
        <f>SUMIF('Sales Register'!C:C, A1038, 'Sales Register'!D:D)</f>
        <v>7</v>
      </c>
      <c r="G1038" s="162">
        <f t="shared" si="88"/>
        <v>70</v>
      </c>
      <c r="H1038" s="162">
        <f t="shared" si="89"/>
        <v>49</v>
      </c>
      <c r="I1038" s="162">
        <f t="shared" si="90"/>
        <v>21</v>
      </c>
      <c r="J1038" s="162">
        <f t="shared" si="91"/>
        <v>0.3</v>
      </c>
      <c r="K1038" s="35" t="str">
        <f t="shared" si="82"/>
        <v>42%</v>
      </c>
      <c r="M1038" s="30">
        <f t="shared" si="83"/>
        <v>0.42857142857142855</v>
      </c>
      <c r="N1038" s="34">
        <f>VLOOKUP(A1038, 'Stock Register'!A:F, 6, FALSE)</f>
        <v>33</v>
      </c>
    </row>
    <row r="1039" spans="1:14" ht="30" hidden="1" x14ac:dyDescent="0.25">
      <c r="A1039" s="209" t="s">
        <v>1509</v>
      </c>
      <c r="D1039" s="157">
        <f>SUMIF('Purchase Register'!C:C, A1039, 'Purchase Register'!G:G)</f>
        <v>6</v>
      </c>
      <c r="E1039" s="190">
        <v>10</v>
      </c>
      <c r="F1039" s="162">
        <f>SUMIF('Sales Register'!C:C, A1039, 'Sales Register'!D:D)</f>
        <v>1</v>
      </c>
      <c r="G1039" s="162">
        <f t="shared" si="88"/>
        <v>10</v>
      </c>
      <c r="H1039" s="162">
        <f t="shared" si="89"/>
        <v>6</v>
      </c>
      <c r="I1039" s="162">
        <f t="shared" si="90"/>
        <v>4</v>
      </c>
      <c r="J1039" s="162">
        <f t="shared" si="91"/>
        <v>0.4</v>
      </c>
      <c r="K1039" s="35" t="str">
        <f t="shared" si="82"/>
        <v>66%</v>
      </c>
      <c r="M1039" s="30">
        <f t="shared" si="83"/>
        <v>0.66666666666666663</v>
      </c>
      <c r="N1039" s="34">
        <f>VLOOKUP(A1039, 'Stock Register'!A:F, 6, FALSE)</f>
        <v>29</v>
      </c>
    </row>
    <row r="1040" spans="1:14" ht="30" hidden="1" x14ac:dyDescent="0.25">
      <c r="A1040" s="209" t="s">
        <v>1512</v>
      </c>
      <c r="D1040" s="157">
        <f>SUMIF('Purchase Register'!C:C, A1040, 'Purchase Register'!G:G)</f>
        <v>6</v>
      </c>
      <c r="E1040" s="190">
        <v>10</v>
      </c>
      <c r="F1040" s="162">
        <f>SUMIF('Sales Register'!C:C, A1040, 'Sales Register'!D:D)</f>
        <v>0</v>
      </c>
      <c r="G1040" s="162">
        <f t="shared" si="88"/>
        <v>0</v>
      </c>
      <c r="H1040" s="162">
        <f t="shared" si="89"/>
        <v>0</v>
      </c>
      <c r="I1040" s="162">
        <f t="shared" si="90"/>
        <v>0</v>
      </c>
      <c r="J1040" s="162">
        <f t="shared" si="91"/>
        <v>0</v>
      </c>
      <c r="K1040" s="35" t="str">
        <f t="shared" si="82"/>
        <v>66%</v>
      </c>
      <c r="M1040" s="30">
        <f t="shared" si="83"/>
        <v>0.66666666666666663</v>
      </c>
      <c r="N1040" s="34">
        <f>VLOOKUP(A1040, 'Stock Register'!A:F, 6, FALSE)</f>
        <v>30</v>
      </c>
    </row>
    <row r="1041" spans="1:14" hidden="1" x14ac:dyDescent="0.25">
      <c r="A1041" s="209" t="s">
        <v>1513</v>
      </c>
      <c r="D1041" s="157">
        <f>SUMIF('Purchase Register'!C:C, A1041, 'Purchase Register'!G:G)</f>
        <v>7.8571428571428568</v>
      </c>
      <c r="E1041" s="190">
        <v>8.5</v>
      </c>
      <c r="F1041" s="162">
        <f>SUMIF('Sales Register'!C:C, A1041, 'Sales Register'!D:D)</f>
        <v>194</v>
      </c>
      <c r="G1041" s="162">
        <f t="shared" si="88"/>
        <v>1649</v>
      </c>
      <c r="H1041" s="162">
        <f t="shared" si="89"/>
        <v>1524.2857142857142</v>
      </c>
      <c r="I1041" s="162">
        <f t="shared" si="90"/>
        <v>124.71428571428578</v>
      </c>
      <c r="J1041" s="162">
        <f t="shared" si="91"/>
        <v>7.5630252100840373E-2</v>
      </c>
      <c r="K1041" s="35" t="str">
        <f t="shared" si="82"/>
        <v>8%</v>
      </c>
      <c r="M1041" s="30">
        <f t="shared" si="83"/>
        <v>8.1818181818181873E-2</v>
      </c>
      <c r="N1041" s="34">
        <f>VLOOKUP(A1041, 'Stock Register'!A:F, 6, FALSE)</f>
        <v>16</v>
      </c>
    </row>
  </sheetData>
  <autoFilter ref="A1:Q1041" xr:uid="{00000000-0001-0000-0400-000000000000}">
    <filterColumn colId="0">
      <filters>
        <filter val="10 INR ROYAL BOURBON LOT 1"/>
        <filter val="10 INR ROYAL BOURBON LOT 2"/>
        <filter val="10 INR ROYAL BOURBON LOT 3"/>
        <filter val="35 INR ROYAL OUDH LOT 1"/>
      </filters>
    </filterColumn>
  </autoFilter>
  <mergeCells count="2">
    <mergeCell ref="P6:Q6"/>
    <mergeCell ref="P7:Q7"/>
  </mergeCells>
  <conditionalFormatting sqref="K1:K1048576">
    <cfRule type="cellIs" dxfId="26" priority="2" operator="equal">
      <formula>$K$2</formula>
    </cfRule>
    <cfRule type="cellIs" dxfId="25" priority="3" operator="equal">
      <formula>$K$9</formula>
    </cfRule>
    <cfRule type="cellIs" dxfId="24" priority="4" operator="equal">
      <formula>$K$7</formula>
    </cfRule>
    <cfRule type="cellIs" dxfId="23" priority="5" operator="equal">
      <formula>$K$9</formula>
    </cfRule>
    <cfRule type="cellIs" dxfId="22" priority="6" operator="equal">
      <formula>$K$35</formula>
    </cfRule>
    <cfRule type="cellIs" dxfId="21" priority="7" operator="equal">
      <formula>$K$8</formula>
    </cfRule>
    <cfRule type="cellIs" dxfId="20" priority="8" operator="equal">
      <formula>$K$76</formula>
    </cfRule>
    <cfRule type="containsText" dxfId="19" priority="9" operator="containsText" text="HIGH PROFIT">
      <formula>NOT(ISERROR(SEARCH("HIGH PROFIT",K1)))</formula>
    </cfRule>
    <cfRule type="containsText" dxfId="18" priority="10" operator="containsText" text="GOOD">
      <formula>NOT(ISERROR(SEARCH("GOOD",K1)))</formula>
    </cfRule>
    <cfRule type="containsText" dxfId="17" priority="11" operator="containsText" text="LOSS">
      <formula>NOT(ISERROR(SEARCH("LOSS",K1)))</formula>
    </cfRule>
    <cfRule type="containsText" dxfId="16" priority="12" operator="containsText" text="LOW PROFIT">
      <formula>NOT(ISERROR(SEARCH("LOW PROFIT",K1)))</formula>
    </cfRule>
    <cfRule type="containsText" dxfId="15" priority="13" operator="containsText" text="LOSS">
      <formula>NOT(ISERROR(SEARCH("LOSS",K1)))</formula>
    </cfRule>
  </conditionalFormatting>
  <conditionalFormatting sqref="N1:N1048576">
    <cfRule type="cellIs" dxfId="14" priority="1" operator="equal">
      <formula>0</formula>
    </cfRule>
  </conditionalFormatting>
  <dataValidations disablePrompts="1" count="1">
    <dataValidation type="list" allowBlank="1" sqref="A237" xr:uid="{4CE30393-66EC-4583-892C-8298213B410B}">
      <formula1>$A$1:$A$498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0000"/>
  </sheetPr>
  <dimension ref="A1:O7394"/>
  <sheetViews>
    <sheetView tabSelected="1" zoomScaleNormal="100" workbookViewId="0">
      <pane ySplit="1" topLeftCell="A7381" activePane="bottomLeft" state="frozen"/>
      <selection pane="bottomLeft" activeCell="A7403" sqref="A7403"/>
    </sheetView>
  </sheetViews>
  <sheetFormatPr defaultColWidth="8.85546875" defaultRowHeight="15" x14ac:dyDescent="0.25"/>
  <cols>
    <col min="1" max="1" width="14.5703125" style="78" bestFit="1" customWidth="1"/>
    <col min="2" max="2" width="25.5703125" style="68" bestFit="1" customWidth="1"/>
    <col min="3" max="3" width="33.140625" style="33" bestFit="1" customWidth="1"/>
    <col min="4" max="4" width="12.42578125" style="30" bestFit="1" customWidth="1"/>
    <col min="5" max="5" width="17.85546875" style="30" bestFit="1" customWidth="1"/>
    <col min="6" max="6" width="15.7109375" style="30" bestFit="1" customWidth="1"/>
    <col min="7" max="7" width="24.28515625" style="30" bestFit="1" customWidth="1"/>
    <col min="8" max="8" width="25.42578125" style="68" bestFit="1" customWidth="1"/>
    <col min="9" max="9" width="22.140625" style="68" bestFit="1" customWidth="1"/>
    <col min="10" max="10" width="9.7109375" style="30" bestFit="1" customWidth="1"/>
    <col min="11" max="11" width="12.42578125" style="30" bestFit="1" customWidth="1"/>
    <col min="12" max="12" width="13.42578125" style="30" bestFit="1" customWidth="1"/>
    <col min="13" max="16384" width="8.85546875" style="30"/>
  </cols>
  <sheetData>
    <row r="1" spans="1:15" s="107" customFormat="1" ht="21" customHeight="1" x14ac:dyDescent="0.35">
      <c r="A1" s="266" t="s">
        <v>685</v>
      </c>
      <c r="B1" s="267"/>
      <c r="C1" s="267"/>
      <c r="D1" s="267"/>
      <c r="E1" s="267"/>
      <c r="F1" s="267"/>
      <c r="G1" s="267"/>
      <c r="H1" s="267"/>
      <c r="I1" s="267"/>
      <c r="J1" s="267"/>
      <c r="K1" s="267"/>
      <c r="L1" s="267"/>
      <c r="M1" s="267"/>
      <c r="N1" s="267"/>
      <c r="O1" s="268"/>
    </row>
    <row r="2" spans="1:15" s="122" customFormat="1" ht="15.6" customHeight="1" x14ac:dyDescent="0.25">
      <c r="A2" s="118" t="s">
        <v>0</v>
      </c>
      <c r="B2" s="119" t="s">
        <v>985</v>
      </c>
      <c r="C2" s="120" t="s">
        <v>2</v>
      </c>
      <c r="D2" s="119" t="s">
        <v>3</v>
      </c>
      <c r="E2" s="119" t="s">
        <v>442</v>
      </c>
      <c r="F2" s="119" t="s">
        <v>4</v>
      </c>
      <c r="G2" s="119" t="s">
        <v>5</v>
      </c>
      <c r="H2" s="121" t="s">
        <v>6</v>
      </c>
      <c r="I2" s="121" t="s">
        <v>295</v>
      </c>
      <c r="J2" s="122" t="s">
        <v>979</v>
      </c>
      <c r="K2" s="121" t="s">
        <v>978</v>
      </c>
      <c r="L2" s="122" t="s">
        <v>980</v>
      </c>
    </row>
    <row r="3" spans="1:15" x14ac:dyDescent="0.25">
      <c r="A3" s="78">
        <v>46052</v>
      </c>
      <c r="B3" s="68" t="s">
        <v>7</v>
      </c>
      <c r="C3" s="31" t="s">
        <v>8</v>
      </c>
      <c r="D3" s="30">
        <v>1</v>
      </c>
      <c r="E3" s="30">
        <v>30</v>
      </c>
      <c r="F3" s="30">
        <f t="shared" ref="F3:F35" si="0">D3*E3</f>
        <v>30</v>
      </c>
      <c r="G3" s="30" t="s">
        <v>9</v>
      </c>
      <c r="H3" s="30"/>
    </row>
    <row r="4" spans="1:15" x14ac:dyDescent="0.25">
      <c r="A4" s="78">
        <v>46053</v>
      </c>
      <c r="C4" s="31"/>
      <c r="D4" s="30">
        <v>0</v>
      </c>
      <c r="E4" s="30">
        <v>0</v>
      </c>
      <c r="F4" s="30">
        <f t="shared" si="0"/>
        <v>0</v>
      </c>
      <c r="H4" s="30"/>
    </row>
    <row r="5" spans="1:15" x14ac:dyDescent="0.25">
      <c r="A5" s="78">
        <v>46054</v>
      </c>
      <c r="C5" s="31"/>
      <c r="D5" s="30">
        <v>0</v>
      </c>
      <c r="E5" s="30">
        <v>0</v>
      </c>
      <c r="F5" s="30">
        <f t="shared" si="0"/>
        <v>0</v>
      </c>
      <c r="H5" s="30"/>
    </row>
    <row r="6" spans="1:15" x14ac:dyDescent="0.25">
      <c r="A6" s="78">
        <v>46055</v>
      </c>
      <c r="B6" s="68" t="s">
        <v>7</v>
      </c>
      <c r="C6" s="31" t="s">
        <v>8</v>
      </c>
      <c r="D6" s="30">
        <v>1</v>
      </c>
      <c r="E6" s="30">
        <v>30</v>
      </c>
      <c r="F6" s="30">
        <f t="shared" si="0"/>
        <v>30</v>
      </c>
      <c r="G6" s="30" t="s">
        <v>9</v>
      </c>
      <c r="H6" s="30"/>
    </row>
    <row r="7" spans="1:15" x14ac:dyDescent="0.25">
      <c r="A7" s="78">
        <v>46056</v>
      </c>
      <c r="B7" s="68" t="s">
        <v>7</v>
      </c>
      <c r="C7" s="31" t="s">
        <v>8</v>
      </c>
      <c r="D7" s="30">
        <v>1</v>
      </c>
      <c r="E7" s="30">
        <v>30</v>
      </c>
      <c r="F7" s="30">
        <f t="shared" si="0"/>
        <v>30</v>
      </c>
      <c r="G7" s="30" t="s">
        <v>9</v>
      </c>
      <c r="H7" s="30"/>
    </row>
    <row r="8" spans="1:15" x14ac:dyDescent="0.25">
      <c r="A8" s="78">
        <v>46057</v>
      </c>
      <c r="B8" s="68" t="s">
        <v>7</v>
      </c>
      <c r="C8" s="31" t="s">
        <v>8</v>
      </c>
      <c r="D8" s="30">
        <v>1</v>
      </c>
      <c r="E8" s="30">
        <v>30</v>
      </c>
      <c r="F8" s="30">
        <f t="shared" si="0"/>
        <v>30</v>
      </c>
      <c r="G8" s="30" t="s">
        <v>9</v>
      </c>
      <c r="H8" s="30"/>
    </row>
    <row r="9" spans="1:15" x14ac:dyDescent="0.25">
      <c r="A9" s="78">
        <v>46058</v>
      </c>
      <c r="B9" s="68" t="s">
        <v>7</v>
      </c>
      <c r="C9" s="31" t="s">
        <v>8</v>
      </c>
      <c r="D9" s="30">
        <v>1</v>
      </c>
      <c r="E9" s="30">
        <v>30</v>
      </c>
      <c r="F9" s="30">
        <f t="shared" si="0"/>
        <v>30</v>
      </c>
      <c r="G9" s="30" t="s">
        <v>9</v>
      </c>
      <c r="H9" s="30"/>
    </row>
    <row r="10" spans="1:15" x14ac:dyDescent="0.25">
      <c r="A10" s="78">
        <v>46059</v>
      </c>
      <c r="B10" s="68" t="s">
        <v>7</v>
      </c>
      <c r="C10" s="31" t="s">
        <v>8</v>
      </c>
      <c r="D10" s="30">
        <v>1</v>
      </c>
      <c r="E10" s="30">
        <v>30</v>
      </c>
      <c r="F10" s="30">
        <f t="shared" si="0"/>
        <v>30</v>
      </c>
      <c r="G10" s="30" t="s">
        <v>9</v>
      </c>
      <c r="H10" s="30"/>
    </row>
    <row r="11" spans="1:15" x14ac:dyDescent="0.25">
      <c r="A11" s="78">
        <v>46060</v>
      </c>
      <c r="C11" s="31"/>
      <c r="D11" s="30">
        <v>0</v>
      </c>
      <c r="E11" s="30">
        <v>0</v>
      </c>
      <c r="F11" s="30">
        <f t="shared" si="0"/>
        <v>0</v>
      </c>
      <c r="H11" s="30"/>
    </row>
    <row r="12" spans="1:15" x14ac:dyDescent="0.25">
      <c r="A12" s="78">
        <v>46061</v>
      </c>
      <c r="C12" s="31"/>
      <c r="D12" s="30">
        <v>0</v>
      </c>
      <c r="E12" s="30">
        <v>0</v>
      </c>
      <c r="F12" s="30">
        <f t="shared" si="0"/>
        <v>0</v>
      </c>
      <c r="H12" s="30"/>
    </row>
    <row r="13" spans="1:15" x14ac:dyDescent="0.25">
      <c r="A13" s="78">
        <v>46062</v>
      </c>
      <c r="B13" s="68" t="s">
        <v>7</v>
      </c>
      <c r="C13" s="31" t="s">
        <v>8</v>
      </c>
      <c r="D13" s="30">
        <v>1</v>
      </c>
      <c r="E13" s="30">
        <v>30</v>
      </c>
      <c r="F13" s="30">
        <f t="shared" si="0"/>
        <v>30</v>
      </c>
      <c r="G13" s="30" t="s">
        <v>9</v>
      </c>
      <c r="H13" s="30"/>
    </row>
    <row r="14" spans="1:15" x14ac:dyDescent="0.25">
      <c r="A14" s="78">
        <v>46063</v>
      </c>
      <c r="B14" s="68" t="s">
        <v>7</v>
      </c>
      <c r="C14" s="31" t="s">
        <v>8</v>
      </c>
      <c r="D14" s="30">
        <v>1</v>
      </c>
      <c r="E14" s="30">
        <v>30</v>
      </c>
      <c r="F14" s="30">
        <f t="shared" si="0"/>
        <v>30</v>
      </c>
      <c r="G14" s="30" t="s">
        <v>9</v>
      </c>
      <c r="H14" s="30"/>
    </row>
    <row r="15" spans="1:15" x14ac:dyDescent="0.25">
      <c r="A15" s="78">
        <v>46064</v>
      </c>
      <c r="B15" s="68" t="s">
        <v>7</v>
      </c>
      <c r="C15" s="31" t="s">
        <v>8</v>
      </c>
      <c r="D15" s="30">
        <v>1</v>
      </c>
      <c r="E15" s="30">
        <v>30</v>
      </c>
      <c r="F15" s="30">
        <f t="shared" si="0"/>
        <v>30</v>
      </c>
      <c r="G15" s="30" t="s">
        <v>9</v>
      </c>
      <c r="H15" s="30"/>
    </row>
    <row r="16" spans="1:15" x14ac:dyDescent="0.25">
      <c r="A16" s="78">
        <v>46065</v>
      </c>
      <c r="C16" s="31"/>
      <c r="D16" s="30">
        <v>0</v>
      </c>
      <c r="E16" s="30">
        <v>0</v>
      </c>
      <c r="F16" s="30">
        <f t="shared" si="0"/>
        <v>0</v>
      </c>
      <c r="H16" s="30"/>
    </row>
    <row r="17" spans="1:8" x14ac:dyDescent="0.25">
      <c r="A17" s="78">
        <v>46066</v>
      </c>
      <c r="C17" s="31"/>
      <c r="D17" s="30">
        <v>0</v>
      </c>
      <c r="E17" s="30">
        <v>0</v>
      </c>
      <c r="F17" s="30">
        <f t="shared" si="0"/>
        <v>0</v>
      </c>
      <c r="H17" s="30"/>
    </row>
    <row r="18" spans="1:8" x14ac:dyDescent="0.25">
      <c r="A18" s="78">
        <v>46067</v>
      </c>
      <c r="C18" s="31"/>
      <c r="D18" s="30">
        <v>0</v>
      </c>
      <c r="E18" s="30">
        <v>0</v>
      </c>
      <c r="F18" s="30">
        <f t="shared" si="0"/>
        <v>0</v>
      </c>
      <c r="H18" s="30"/>
    </row>
    <row r="19" spans="1:8" x14ac:dyDescent="0.25">
      <c r="A19" s="78">
        <v>46068</v>
      </c>
      <c r="C19" s="31"/>
      <c r="D19" s="30">
        <v>0</v>
      </c>
      <c r="E19" s="30">
        <v>0</v>
      </c>
      <c r="F19" s="30">
        <f t="shared" si="0"/>
        <v>0</v>
      </c>
      <c r="H19" s="30"/>
    </row>
    <row r="20" spans="1:8" x14ac:dyDescent="0.25">
      <c r="A20" s="78">
        <v>46069</v>
      </c>
      <c r="C20" s="31"/>
      <c r="D20" s="30">
        <v>0</v>
      </c>
      <c r="E20" s="30">
        <v>0</v>
      </c>
      <c r="F20" s="30">
        <f t="shared" si="0"/>
        <v>0</v>
      </c>
      <c r="H20" s="30"/>
    </row>
    <row r="21" spans="1:8" x14ac:dyDescent="0.25">
      <c r="A21" s="78">
        <v>46070</v>
      </c>
      <c r="C21" s="31"/>
      <c r="D21" s="30">
        <v>0</v>
      </c>
      <c r="E21" s="30">
        <v>0</v>
      </c>
      <c r="F21" s="30">
        <f t="shared" si="0"/>
        <v>0</v>
      </c>
      <c r="H21" s="30"/>
    </row>
    <row r="22" spans="1:8" x14ac:dyDescent="0.25">
      <c r="A22" s="78">
        <v>46071</v>
      </c>
      <c r="C22" s="31"/>
      <c r="D22" s="30">
        <v>0</v>
      </c>
      <c r="E22" s="30">
        <v>0</v>
      </c>
      <c r="F22" s="30">
        <f t="shared" si="0"/>
        <v>0</v>
      </c>
      <c r="H22" s="30"/>
    </row>
    <row r="23" spans="1:8" x14ac:dyDescent="0.25">
      <c r="A23" s="78">
        <v>46072</v>
      </c>
      <c r="C23" s="31"/>
      <c r="D23" s="30">
        <v>0</v>
      </c>
      <c r="E23" s="30">
        <v>0</v>
      </c>
      <c r="F23" s="30">
        <f t="shared" si="0"/>
        <v>0</v>
      </c>
      <c r="H23" s="30"/>
    </row>
    <row r="24" spans="1:8" x14ac:dyDescent="0.25">
      <c r="A24" s="78">
        <v>46073</v>
      </c>
      <c r="C24" s="31"/>
      <c r="D24" s="30">
        <v>0</v>
      </c>
      <c r="E24" s="30">
        <v>0</v>
      </c>
      <c r="F24" s="30">
        <f t="shared" si="0"/>
        <v>0</v>
      </c>
      <c r="H24" s="30"/>
    </row>
    <row r="25" spans="1:8" x14ac:dyDescent="0.25">
      <c r="A25" s="78">
        <v>46074</v>
      </c>
      <c r="C25" s="31"/>
      <c r="D25" s="30">
        <v>0</v>
      </c>
      <c r="E25" s="30">
        <v>0</v>
      </c>
      <c r="F25" s="30">
        <f t="shared" si="0"/>
        <v>0</v>
      </c>
      <c r="H25" s="30"/>
    </row>
    <row r="26" spans="1:8" x14ac:dyDescent="0.25">
      <c r="A26" s="78">
        <v>46075</v>
      </c>
      <c r="C26" s="31"/>
      <c r="D26" s="30">
        <v>0</v>
      </c>
      <c r="E26" s="30">
        <v>0</v>
      </c>
      <c r="F26" s="30">
        <f t="shared" si="0"/>
        <v>0</v>
      </c>
      <c r="H26" s="30"/>
    </row>
    <row r="27" spans="1:8" x14ac:dyDescent="0.25">
      <c r="A27" s="78">
        <v>46076</v>
      </c>
      <c r="C27" s="31"/>
      <c r="D27" s="30">
        <v>0</v>
      </c>
      <c r="E27" s="30">
        <v>0</v>
      </c>
      <c r="F27" s="30">
        <f t="shared" si="0"/>
        <v>0</v>
      </c>
      <c r="H27" s="30"/>
    </row>
    <row r="28" spans="1:8" x14ac:dyDescent="0.25">
      <c r="A28" s="78">
        <v>46077</v>
      </c>
      <c r="C28" s="31"/>
      <c r="D28" s="30">
        <v>0</v>
      </c>
      <c r="E28" s="30">
        <v>0</v>
      </c>
      <c r="F28" s="30">
        <f t="shared" si="0"/>
        <v>0</v>
      </c>
      <c r="H28" s="30"/>
    </row>
    <row r="29" spans="1:8" x14ac:dyDescent="0.25">
      <c r="A29" s="78">
        <v>46078</v>
      </c>
      <c r="C29" s="31"/>
      <c r="D29" s="30">
        <v>0</v>
      </c>
      <c r="E29" s="30">
        <v>0</v>
      </c>
      <c r="F29" s="30">
        <f t="shared" si="0"/>
        <v>0</v>
      </c>
      <c r="H29" s="30"/>
    </row>
    <row r="30" spans="1:8" x14ac:dyDescent="0.25">
      <c r="A30" s="78">
        <v>46079</v>
      </c>
      <c r="B30" s="68" t="s">
        <v>7</v>
      </c>
      <c r="C30" s="31" t="s">
        <v>8</v>
      </c>
      <c r="D30" s="30">
        <v>1</v>
      </c>
      <c r="E30" s="30">
        <v>30</v>
      </c>
      <c r="F30" s="30">
        <f t="shared" si="0"/>
        <v>30</v>
      </c>
      <c r="G30" s="30" t="s">
        <v>10</v>
      </c>
      <c r="H30" s="30"/>
    </row>
    <row r="31" spans="1:8" x14ac:dyDescent="0.25">
      <c r="A31" s="78">
        <v>46080</v>
      </c>
      <c r="B31" s="68" t="s">
        <v>7</v>
      </c>
      <c r="C31" s="31" t="s">
        <v>8</v>
      </c>
      <c r="D31" s="30">
        <v>1</v>
      </c>
      <c r="E31" s="30">
        <v>30</v>
      </c>
      <c r="F31" s="30">
        <f t="shared" si="0"/>
        <v>30</v>
      </c>
      <c r="G31" s="30" t="s">
        <v>10</v>
      </c>
      <c r="H31" s="30"/>
    </row>
    <row r="32" spans="1:8" x14ac:dyDescent="0.25">
      <c r="A32" s="78">
        <v>46081</v>
      </c>
      <c r="B32" s="68" t="s">
        <v>7</v>
      </c>
      <c r="C32" s="31" t="s">
        <v>8</v>
      </c>
      <c r="D32" s="30">
        <v>1</v>
      </c>
      <c r="E32" s="30">
        <v>30</v>
      </c>
      <c r="F32" s="30">
        <f t="shared" si="0"/>
        <v>30</v>
      </c>
      <c r="G32" s="30" t="s">
        <v>10</v>
      </c>
      <c r="H32" s="30"/>
    </row>
    <row r="33" spans="1:8" x14ac:dyDescent="0.25">
      <c r="A33" s="253"/>
      <c r="B33" s="254"/>
      <c r="C33" s="254"/>
      <c r="D33" s="254"/>
      <c r="E33" s="254"/>
      <c r="F33" s="254"/>
      <c r="G33" s="255"/>
      <c r="H33" s="30"/>
    </row>
    <row r="34" spans="1:8" x14ac:dyDescent="0.25">
      <c r="A34" s="78">
        <v>46082</v>
      </c>
      <c r="B34" s="68" t="s">
        <v>7</v>
      </c>
      <c r="C34" s="31" t="s">
        <v>8</v>
      </c>
      <c r="D34" s="30">
        <v>1</v>
      </c>
      <c r="E34" s="30">
        <v>30</v>
      </c>
      <c r="F34" s="30">
        <f t="shared" si="0"/>
        <v>30</v>
      </c>
      <c r="G34" s="30" t="s">
        <v>10</v>
      </c>
      <c r="H34" s="30"/>
    </row>
    <row r="35" spans="1:8" x14ac:dyDescent="0.25">
      <c r="A35" s="78">
        <v>46083</v>
      </c>
      <c r="B35" s="68" t="s">
        <v>7</v>
      </c>
      <c r="C35" s="31" t="s">
        <v>8</v>
      </c>
      <c r="D35" s="30">
        <v>1</v>
      </c>
      <c r="E35" s="30">
        <v>30</v>
      </c>
      <c r="F35" s="30">
        <f t="shared" si="0"/>
        <v>30</v>
      </c>
      <c r="G35" s="30" t="s">
        <v>10</v>
      </c>
      <c r="H35" s="30"/>
    </row>
    <row r="36" spans="1:8" x14ac:dyDescent="0.25">
      <c r="A36" s="78">
        <v>46084</v>
      </c>
      <c r="C36" s="31"/>
      <c r="F36" s="30">
        <f t="shared" ref="F36:F67" si="1">D36*E36</f>
        <v>0</v>
      </c>
      <c r="H36" s="30"/>
    </row>
    <row r="37" spans="1:8" x14ac:dyDescent="0.25">
      <c r="A37" s="78">
        <v>46085</v>
      </c>
      <c r="C37" s="31"/>
      <c r="F37" s="30">
        <f t="shared" si="1"/>
        <v>0</v>
      </c>
      <c r="H37" s="30"/>
    </row>
    <row r="38" spans="1:8" x14ac:dyDescent="0.25">
      <c r="A38" s="78">
        <v>46086</v>
      </c>
      <c r="C38" s="31"/>
      <c r="F38" s="30">
        <f t="shared" si="1"/>
        <v>0</v>
      </c>
      <c r="H38" s="30"/>
    </row>
    <row r="39" spans="1:8" x14ac:dyDescent="0.25">
      <c r="A39" s="78">
        <v>46087</v>
      </c>
      <c r="C39" s="31"/>
      <c r="F39" s="30">
        <f t="shared" si="1"/>
        <v>0</v>
      </c>
      <c r="H39" s="30"/>
    </row>
    <row r="40" spans="1:8" x14ac:dyDescent="0.25">
      <c r="A40" s="78">
        <v>46088</v>
      </c>
      <c r="B40" s="68" t="s">
        <v>7</v>
      </c>
      <c r="C40" s="31" t="s">
        <v>11</v>
      </c>
      <c r="D40" s="30">
        <v>1</v>
      </c>
      <c r="E40" s="30">
        <v>10</v>
      </c>
      <c r="F40" s="30">
        <f t="shared" si="1"/>
        <v>10</v>
      </c>
      <c r="G40" s="30" t="s">
        <v>9</v>
      </c>
      <c r="H40" s="30"/>
    </row>
    <row r="41" spans="1:8" ht="43.15" customHeight="1" x14ac:dyDescent="0.25">
      <c r="A41" s="78">
        <v>46089</v>
      </c>
      <c r="B41" s="68" t="s">
        <v>7</v>
      </c>
      <c r="C41" s="33" t="s">
        <v>301</v>
      </c>
      <c r="D41" s="30">
        <v>4</v>
      </c>
      <c r="E41" s="30">
        <v>5</v>
      </c>
      <c r="F41" s="30">
        <f t="shared" si="1"/>
        <v>20</v>
      </c>
      <c r="G41" s="30" t="s">
        <v>9</v>
      </c>
      <c r="H41" s="30"/>
    </row>
    <row r="42" spans="1:8" ht="28.9" customHeight="1" x14ac:dyDescent="0.25">
      <c r="A42" s="78">
        <v>46090</v>
      </c>
      <c r="B42" s="68" t="s">
        <v>7</v>
      </c>
      <c r="C42" s="31" t="s">
        <v>13</v>
      </c>
      <c r="D42" s="30">
        <v>4</v>
      </c>
      <c r="E42" s="30">
        <v>15</v>
      </c>
      <c r="F42" s="30">
        <f t="shared" si="1"/>
        <v>60</v>
      </c>
      <c r="G42" s="30" t="s">
        <v>9</v>
      </c>
      <c r="H42" s="30"/>
    </row>
    <row r="43" spans="1:8" x14ac:dyDescent="0.25">
      <c r="A43" s="78">
        <v>46091</v>
      </c>
      <c r="C43" s="31"/>
      <c r="F43" s="30">
        <f t="shared" si="1"/>
        <v>0</v>
      </c>
      <c r="H43" s="30"/>
    </row>
    <row r="44" spans="1:8" x14ac:dyDescent="0.25">
      <c r="A44" s="78">
        <v>46092</v>
      </c>
      <c r="C44" s="31"/>
      <c r="F44" s="30">
        <f t="shared" si="1"/>
        <v>0</v>
      </c>
      <c r="H44" s="30"/>
    </row>
    <row r="45" spans="1:8" x14ac:dyDescent="0.25">
      <c r="A45" s="78">
        <v>46093</v>
      </c>
      <c r="C45" s="31"/>
      <c r="F45" s="30">
        <f t="shared" si="1"/>
        <v>0</v>
      </c>
      <c r="H45" s="30"/>
    </row>
    <row r="46" spans="1:8" x14ac:dyDescent="0.25">
      <c r="A46" s="78">
        <v>46094</v>
      </c>
      <c r="C46" s="31"/>
      <c r="F46" s="30">
        <f t="shared" si="1"/>
        <v>0</v>
      </c>
      <c r="H46" s="30"/>
    </row>
    <row r="47" spans="1:8" x14ac:dyDescent="0.25">
      <c r="A47" s="78">
        <v>46095</v>
      </c>
      <c r="B47" s="68" t="s">
        <v>7</v>
      </c>
      <c r="C47" s="28" t="s">
        <v>14</v>
      </c>
      <c r="D47" s="30">
        <v>1</v>
      </c>
      <c r="E47" s="30">
        <v>60</v>
      </c>
      <c r="F47" s="30">
        <f t="shared" si="1"/>
        <v>60</v>
      </c>
      <c r="G47" s="30" t="s">
        <v>9</v>
      </c>
      <c r="H47" s="30"/>
    </row>
    <row r="48" spans="1:8" ht="28.9" customHeight="1" x14ac:dyDescent="0.25">
      <c r="A48" s="78">
        <v>46095</v>
      </c>
      <c r="B48" s="68" t="s">
        <v>7</v>
      </c>
      <c r="C48" s="28" t="s">
        <v>15</v>
      </c>
      <c r="D48" s="30">
        <v>1</v>
      </c>
      <c r="E48" s="30">
        <v>10</v>
      </c>
      <c r="F48" s="30">
        <f t="shared" si="1"/>
        <v>10</v>
      </c>
      <c r="G48" s="30" t="s">
        <v>9</v>
      </c>
      <c r="H48" s="30"/>
    </row>
    <row r="49" spans="1:8" x14ac:dyDescent="0.25">
      <c r="A49" s="78">
        <v>46096</v>
      </c>
      <c r="C49" s="31"/>
      <c r="F49" s="30">
        <f t="shared" si="1"/>
        <v>0</v>
      </c>
      <c r="H49" s="30"/>
    </row>
    <row r="50" spans="1:8" x14ac:dyDescent="0.25">
      <c r="A50" s="78">
        <v>46097</v>
      </c>
      <c r="B50" s="68" t="s">
        <v>7</v>
      </c>
      <c r="C50" s="31" t="s">
        <v>8</v>
      </c>
      <c r="D50" s="30">
        <v>1</v>
      </c>
      <c r="E50" s="30">
        <v>30</v>
      </c>
      <c r="F50" s="30">
        <f t="shared" si="1"/>
        <v>30</v>
      </c>
      <c r="G50" s="30" t="s">
        <v>10</v>
      </c>
      <c r="H50" s="30"/>
    </row>
    <row r="51" spans="1:8" x14ac:dyDescent="0.25">
      <c r="A51" s="78">
        <v>46098</v>
      </c>
      <c r="B51" s="68" t="s">
        <v>7</v>
      </c>
      <c r="C51" s="31" t="s">
        <v>8</v>
      </c>
      <c r="D51" s="30">
        <v>1</v>
      </c>
      <c r="E51" s="30">
        <v>30</v>
      </c>
      <c r="F51" s="30">
        <f t="shared" si="1"/>
        <v>30</v>
      </c>
      <c r="G51" s="30" t="s">
        <v>10</v>
      </c>
      <c r="H51" s="30"/>
    </row>
    <row r="52" spans="1:8" x14ac:dyDescent="0.25">
      <c r="A52" s="78">
        <v>46099</v>
      </c>
      <c r="B52" s="68" t="s">
        <v>7</v>
      </c>
      <c r="C52" s="31" t="s">
        <v>8</v>
      </c>
      <c r="D52" s="30">
        <v>1</v>
      </c>
      <c r="E52" s="30">
        <v>30</v>
      </c>
      <c r="F52" s="30">
        <f t="shared" si="1"/>
        <v>30</v>
      </c>
      <c r="G52" s="30" t="s">
        <v>10</v>
      </c>
      <c r="H52" s="30"/>
    </row>
    <row r="53" spans="1:8" x14ac:dyDescent="0.25">
      <c r="A53" s="78">
        <v>46100</v>
      </c>
      <c r="B53" s="68" t="s">
        <v>7</v>
      </c>
      <c r="C53" s="31" t="s">
        <v>8</v>
      </c>
      <c r="D53" s="30">
        <v>1</v>
      </c>
      <c r="E53" s="30">
        <v>30</v>
      </c>
      <c r="F53" s="30">
        <f t="shared" si="1"/>
        <v>30</v>
      </c>
      <c r="G53" s="30" t="s">
        <v>10</v>
      </c>
      <c r="H53" s="30"/>
    </row>
    <row r="54" spans="1:8" x14ac:dyDescent="0.25">
      <c r="A54" s="78">
        <v>46101</v>
      </c>
      <c r="C54" s="31"/>
      <c r="F54" s="30">
        <f t="shared" si="1"/>
        <v>0</v>
      </c>
      <c r="H54" s="30"/>
    </row>
    <row r="55" spans="1:8" x14ac:dyDescent="0.25">
      <c r="A55" s="78">
        <v>46102</v>
      </c>
      <c r="C55" s="31"/>
      <c r="F55" s="30">
        <f t="shared" si="1"/>
        <v>0</v>
      </c>
      <c r="H55" s="30"/>
    </row>
    <row r="56" spans="1:8" x14ac:dyDescent="0.25">
      <c r="A56" s="78">
        <v>46103</v>
      </c>
      <c r="C56" s="31"/>
      <c r="F56" s="30">
        <f t="shared" si="1"/>
        <v>0</v>
      </c>
      <c r="H56" s="30"/>
    </row>
    <row r="57" spans="1:8" x14ac:dyDescent="0.25">
      <c r="A57" s="78">
        <v>46104</v>
      </c>
      <c r="C57" s="31"/>
      <c r="F57" s="30">
        <f t="shared" si="1"/>
        <v>0</v>
      </c>
      <c r="H57" s="30"/>
    </row>
    <row r="58" spans="1:8" x14ac:dyDescent="0.25">
      <c r="A58" s="78">
        <v>46105</v>
      </c>
      <c r="B58" s="68" t="s">
        <v>7</v>
      </c>
      <c r="C58" s="33" t="s">
        <v>91</v>
      </c>
      <c r="D58" s="30">
        <v>1</v>
      </c>
      <c r="E58" s="30">
        <v>48</v>
      </c>
      <c r="F58" s="30">
        <f t="shared" si="1"/>
        <v>48</v>
      </c>
      <c r="G58" s="30" t="s">
        <v>9</v>
      </c>
      <c r="H58" s="30"/>
    </row>
    <row r="59" spans="1:8" x14ac:dyDescent="0.25">
      <c r="A59" s="78">
        <v>46106</v>
      </c>
      <c r="C59" s="31"/>
      <c r="F59" s="30">
        <f t="shared" si="1"/>
        <v>0</v>
      </c>
      <c r="H59" s="30"/>
    </row>
    <row r="60" spans="1:8" x14ac:dyDescent="0.25">
      <c r="A60" s="78">
        <v>46107</v>
      </c>
      <c r="B60" s="68" t="s">
        <v>7</v>
      </c>
      <c r="C60" s="31" t="s">
        <v>8</v>
      </c>
      <c r="D60" s="30">
        <v>1</v>
      </c>
      <c r="E60" s="30">
        <v>30</v>
      </c>
      <c r="F60" s="30">
        <f t="shared" si="1"/>
        <v>30</v>
      </c>
      <c r="G60" s="30" t="s">
        <v>10</v>
      </c>
      <c r="H60" s="30"/>
    </row>
    <row r="61" spans="1:8" x14ac:dyDescent="0.25">
      <c r="A61" s="78">
        <v>46108</v>
      </c>
      <c r="B61" s="68" t="s">
        <v>7</v>
      </c>
      <c r="C61" s="31" t="s">
        <v>8</v>
      </c>
      <c r="D61" s="30">
        <v>1</v>
      </c>
      <c r="E61" s="30">
        <v>30</v>
      </c>
      <c r="F61" s="30">
        <f t="shared" si="1"/>
        <v>30</v>
      </c>
      <c r="G61" s="30" t="s">
        <v>10</v>
      </c>
      <c r="H61" s="30"/>
    </row>
    <row r="62" spans="1:8" ht="28.9" customHeight="1" x14ac:dyDescent="0.25">
      <c r="A62" s="78">
        <v>46108</v>
      </c>
      <c r="B62" s="68" t="s">
        <v>7</v>
      </c>
      <c r="C62" s="28" t="s">
        <v>370</v>
      </c>
      <c r="D62" s="30">
        <v>1</v>
      </c>
      <c r="E62" s="30">
        <v>85</v>
      </c>
      <c r="F62" s="30">
        <f t="shared" si="1"/>
        <v>85</v>
      </c>
      <c r="G62" s="30" t="s">
        <v>9</v>
      </c>
      <c r="H62" s="30"/>
    </row>
    <row r="63" spans="1:8" x14ac:dyDescent="0.25">
      <c r="A63" s="78">
        <v>46109</v>
      </c>
      <c r="C63" s="31"/>
      <c r="F63" s="30">
        <f t="shared" si="1"/>
        <v>0</v>
      </c>
      <c r="H63" s="30"/>
    </row>
    <row r="64" spans="1:8" x14ac:dyDescent="0.25">
      <c r="A64" s="78">
        <v>46110</v>
      </c>
      <c r="C64" s="31"/>
      <c r="F64" s="30">
        <f t="shared" si="1"/>
        <v>0</v>
      </c>
      <c r="H64" s="30"/>
    </row>
    <row r="65" spans="1:9" x14ac:dyDescent="0.25">
      <c r="A65" s="78">
        <v>46111</v>
      </c>
      <c r="B65" s="68" t="s">
        <v>7</v>
      </c>
      <c r="C65" s="33" t="s">
        <v>438</v>
      </c>
      <c r="D65" s="30">
        <v>1</v>
      </c>
      <c r="E65" s="30">
        <v>10</v>
      </c>
      <c r="F65" s="30">
        <f t="shared" si="1"/>
        <v>10</v>
      </c>
      <c r="G65" s="30" t="s">
        <v>9</v>
      </c>
      <c r="H65" s="30"/>
    </row>
    <row r="66" spans="1:9" x14ac:dyDescent="0.25">
      <c r="A66" s="78">
        <v>46111</v>
      </c>
      <c r="B66" s="68" t="s">
        <v>7</v>
      </c>
      <c r="C66" s="28" t="s">
        <v>19</v>
      </c>
      <c r="D66" s="30">
        <v>1</v>
      </c>
      <c r="E66" s="30">
        <v>10</v>
      </c>
      <c r="F66" s="30">
        <f t="shared" si="1"/>
        <v>10</v>
      </c>
      <c r="G66" s="30" t="s">
        <v>9</v>
      </c>
      <c r="H66" s="30"/>
    </row>
    <row r="67" spans="1:9" x14ac:dyDescent="0.25">
      <c r="A67" s="78">
        <v>46111</v>
      </c>
      <c r="B67" s="68" t="s">
        <v>7</v>
      </c>
      <c r="C67" s="28" t="s">
        <v>20</v>
      </c>
      <c r="D67" s="30">
        <v>1</v>
      </c>
      <c r="E67" s="30">
        <v>10</v>
      </c>
      <c r="F67" s="30">
        <f t="shared" si="1"/>
        <v>10</v>
      </c>
      <c r="G67" s="30" t="s">
        <v>9</v>
      </c>
      <c r="H67" s="30"/>
    </row>
    <row r="68" spans="1:9" x14ac:dyDescent="0.25">
      <c r="A68" s="78">
        <v>46111</v>
      </c>
      <c r="B68" s="68" t="s">
        <v>7</v>
      </c>
      <c r="C68" s="31" t="s">
        <v>8</v>
      </c>
      <c r="D68" s="30">
        <v>1</v>
      </c>
      <c r="E68" s="30">
        <v>30</v>
      </c>
      <c r="F68" s="30">
        <f t="shared" ref="F68:F98" si="2">D68*E68</f>
        <v>30</v>
      </c>
      <c r="G68" s="30" t="s">
        <v>10</v>
      </c>
      <c r="H68" s="30"/>
    </row>
    <row r="69" spans="1:9" ht="28.9" customHeight="1" x14ac:dyDescent="0.25">
      <c r="A69" s="78">
        <v>46112</v>
      </c>
      <c r="B69" s="68" t="s">
        <v>7</v>
      </c>
      <c r="C69" s="33" t="s">
        <v>373</v>
      </c>
      <c r="D69" s="30">
        <v>1</v>
      </c>
      <c r="E69" s="30">
        <v>56</v>
      </c>
      <c r="F69" s="30">
        <f t="shared" si="2"/>
        <v>56</v>
      </c>
      <c r="G69" s="30" t="s">
        <v>9</v>
      </c>
      <c r="H69" s="30"/>
    </row>
    <row r="70" spans="1:9" ht="28.9" customHeight="1" x14ac:dyDescent="0.25">
      <c r="A70" s="78">
        <v>46112</v>
      </c>
      <c r="B70" s="68" t="s">
        <v>7</v>
      </c>
      <c r="C70" s="33" t="s">
        <v>22</v>
      </c>
      <c r="D70" s="30">
        <v>10</v>
      </c>
      <c r="E70" s="30">
        <v>1</v>
      </c>
      <c r="F70" s="30">
        <f t="shared" si="2"/>
        <v>10</v>
      </c>
      <c r="G70" s="30" t="s">
        <v>16</v>
      </c>
    </row>
    <row r="71" spans="1:9" x14ac:dyDescent="0.25">
      <c r="A71" s="78">
        <v>46112</v>
      </c>
      <c r="B71" s="68" t="s">
        <v>7</v>
      </c>
      <c r="C71" s="33" t="s">
        <v>23</v>
      </c>
      <c r="D71" s="30">
        <v>1</v>
      </c>
      <c r="E71" s="30">
        <v>60</v>
      </c>
      <c r="F71" s="30">
        <f t="shared" si="2"/>
        <v>60</v>
      </c>
      <c r="G71" s="30" t="s">
        <v>16</v>
      </c>
      <c r="I71" s="68">
        <v>70</v>
      </c>
    </row>
    <row r="72" spans="1:9" s="63" customFormat="1" ht="18.75" x14ac:dyDescent="0.3">
      <c r="A72" s="269" t="s">
        <v>398</v>
      </c>
      <c r="B72" s="270"/>
      <c r="C72" s="270"/>
      <c r="D72" s="270"/>
      <c r="E72" s="270"/>
      <c r="F72" s="256">
        <f>SUM(F34:F71)</f>
        <v>719</v>
      </c>
      <c r="G72" s="257"/>
      <c r="I72" s="138"/>
    </row>
    <row r="73" spans="1:9" s="63" customFormat="1" ht="21" x14ac:dyDescent="0.35">
      <c r="A73" s="258" t="s">
        <v>397</v>
      </c>
      <c r="B73" s="259"/>
      <c r="C73" s="259"/>
      <c r="D73" s="259"/>
      <c r="E73" s="259"/>
      <c r="F73" s="259"/>
      <c r="G73" s="260"/>
      <c r="I73" s="138"/>
    </row>
    <row r="74" spans="1:9" x14ac:dyDescent="0.25">
      <c r="A74" s="78">
        <v>46113</v>
      </c>
      <c r="B74" s="68" t="s">
        <v>7</v>
      </c>
      <c r="C74" s="31" t="s">
        <v>8</v>
      </c>
      <c r="D74" s="30">
        <v>1</v>
      </c>
      <c r="E74" s="30">
        <v>30</v>
      </c>
      <c r="F74" s="30">
        <f t="shared" si="2"/>
        <v>30</v>
      </c>
      <c r="G74" s="30" t="s">
        <v>10</v>
      </c>
      <c r="H74" s="30"/>
    </row>
    <row r="75" spans="1:9" x14ac:dyDescent="0.25">
      <c r="A75" s="78">
        <v>46114</v>
      </c>
      <c r="C75" s="31"/>
      <c r="F75" s="30">
        <f t="shared" si="2"/>
        <v>0</v>
      </c>
      <c r="H75" s="30"/>
    </row>
    <row r="76" spans="1:9" x14ac:dyDescent="0.25">
      <c r="A76" s="78">
        <v>46115</v>
      </c>
      <c r="B76" s="68" t="s">
        <v>7</v>
      </c>
      <c r="C76" s="33" t="s">
        <v>24</v>
      </c>
      <c r="D76" s="30">
        <v>1</v>
      </c>
      <c r="E76" s="30">
        <v>70</v>
      </c>
      <c r="F76" s="30">
        <f t="shared" si="2"/>
        <v>70</v>
      </c>
      <c r="G76" s="30" t="s">
        <v>9</v>
      </c>
      <c r="H76" s="30"/>
    </row>
    <row r="77" spans="1:9" x14ac:dyDescent="0.25">
      <c r="A77" s="78">
        <v>46115</v>
      </c>
      <c r="B77" s="68" t="s">
        <v>7</v>
      </c>
      <c r="C77" s="28" t="s">
        <v>25</v>
      </c>
      <c r="D77" s="30">
        <v>2</v>
      </c>
      <c r="E77" s="30">
        <v>10</v>
      </c>
      <c r="F77" s="30">
        <f t="shared" si="2"/>
        <v>20</v>
      </c>
      <c r="G77" s="30" t="s">
        <v>9</v>
      </c>
      <c r="H77" s="30"/>
    </row>
    <row r="78" spans="1:9" ht="28.9" customHeight="1" x14ac:dyDescent="0.25">
      <c r="A78" s="78">
        <v>46115</v>
      </c>
      <c r="B78" s="68" t="s">
        <v>7</v>
      </c>
      <c r="C78" s="33" t="s">
        <v>139</v>
      </c>
      <c r="D78" s="30">
        <v>1</v>
      </c>
      <c r="E78" s="30">
        <v>190</v>
      </c>
      <c r="F78" s="30">
        <f t="shared" si="2"/>
        <v>190</v>
      </c>
      <c r="G78" s="30" t="s">
        <v>9</v>
      </c>
      <c r="H78" s="30"/>
    </row>
    <row r="79" spans="1:9" x14ac:dyDescent="0.25">
      <c r="A79" s="78">
        <v>46115</v>
      </c>
      <c r="B79" s="68" t="s">
        <v>7</v>
      </c>
      <c r="C79" s="33" t="s">
        <v>374</v>
      </c>
      <c r="D79" s="30">
        <v>0.5</v>
      </c>
      <c r="E79" s="30">
        <v>250</v>
      </c>
      <c r="F79" s="30">
        <f t="shared" si="2"/>
        <v>125</v>
      </c>
      <c r="G79" s="30" t="s">
        <v>9</v>
      </c>
      <c r="H79" s="30"/>
    </row>
    <row r="80" spans="1:9" x14ac:dyDescent="0.25">
      <c r="A80" s="78">
        <v>46116</v>
      </c>
      <c r="B80" s="68" t="s">
        <v>7</v>
      </c>
      <c r="C80" s="33" t="s">
        <v>207</v>
      </c>
      <c r="D80" s="30">
        <v>1</v>
      </c>
      <c r="E80" s="30">
        <v>40</v>
      </c>
      <c r="F80" s="30">
        <f t="shared" si="2"/>
        <v>40</v>
      </c>
      <c r="G80" s="30" t="s">
        <v>9</v>
      </c>
      <c r="H80" s="30"/>
    </row>
    <row r="81" spans="1:8" ht="28.9" customHeight="1" x14ac:dyDescent="0.25">
      <c r="A81" s="78">
        <v>46116</v>
      </c>
      <c r="B81" s="68" t="s">
        <v>7</v>
      </c>
      <c r="C81" s="28" t="s">
        <v>27</v>
      </c>
      <c r="D81" s="30">
        <v>1</v>
      </c>
      <c r="E81" s="30">
        <v>80</v>
      </c>
      <c r="F81" s="30">
        <f t="shared" si="2"/>
        <v>80</v>
      </c>
      <c r="G81" s="30" t="s">
        <v>9</v>
      </c>
      <c r="H81" s="30"/>
    </row>
    <row r="82" spans="1:8" x14ac:dyDescent="0.25">
      <c r="A82" s="78">
        <v>46116</v>
      </c>
      <c r="B82" s="68" t="s">
        <v>7</v>
      </c>
      <c r="C82" s="31" t="s">
        <v>28</v>
      </c>
      <c r="D82" s="30">
        <v>1</v>
      </c>
      <c r="E82" s="30">
        <v>120</v>
      </c>
      <c r="F82" s="30">
        <f t="shared" si="2"/>
        <v>120</v>
      </c>
      <c r="G82" s="30" t="s">
        <v>10</v>
      </c>
      <c r="H82" s="30"/>
    </row>
    <row r="83" spans="1:8" x14ac:dyDescent="0.25">
      <c r="A83" s="78">
        <v>46116</v>
      </c>
      <c r="B83" s="68" t="s">
        <v>7</v>
      </c>
      <c r="C83" s="31" t="s">
        <v>29</v>
      </c>
      <c r="D83" s="30">
        <v>2.5000000000000001E-2</v>
      </c>
      <c r="E83" s="30">
        <v>1300</v>
      </c>
      <c r="F83" s="30">
        <f t="shared" si="2"/>
        <v>32.5</v>
      </c>
      <c r="G83" s="30" t="s">
        <v>10</v>
      </c>
      <c r="H83" s="30"/>
    </row>
    <row r="84" spans="1:8" x14ac:dyDescent="0.25">
      <c r="A84" s="78">
        <v>46116</v>
      </c>
      <c r="B84" s="68" t="s">
        <v>7</v>
      </c>
      <c r="C84" s="28" t="s">
        <v>30</v>
      </c>
      <c r="D84" s="30">
        <v>0.5</v>
      </c>
      <c r="E84" s="30">
        <v>95</v>
      </c>
      <c r="F84" s="30">
        <f t="shared" si="2"/>
        <v>47.5</v>
      </c>
      <c r="G84" s="30" t="s">
        <v>10</v>
      </c>
      <c r="H84" s="30"/>
    </row>
    <row r="85" spans="1:8" ht="28.9" customHeight="1" x14ac:dyDescent="0.25">
      <c r="A85" s="78">
        <v>46116</v>
      </c>
      <c r="B85" s="68" t="s">
        <v>7</v>
      </c>
      <c r="C85" s="28" t="s">
        <v>31</v>
      </c>
      <c r="D85" s="30">
        <v>0.5</v>
      </c>
      <c r="E85" s="30">
        <v>145</v>
      </c>
      <c r="F85" s="30">
        <f t="shared" si="2"/>
        <v>72.5</v>
      </c>
      <c r="G85" s="30" t="s">
        <v>10</v>
      </c>
      <c r="H85" s="30"/>
    </row>
    <row r="86" spans="1:8" ht="28.9" customHeight="1" x14ac:dyDescent="0.25">
      <c r="A86" s="78">
        <v>46116</v>
      </c>
      <c r="B86" s="68" t="s">
        <v>7</v>
      </c>
      <c r="C86" s="31" t="s">
        <v>32</v>
      </c>
      <c r="D86" s="30">
        <v>1</v>
      </c>
      <c r="E86" s="30">
        <v>210</v>
      </c>
      <c r="F86" s="30">
        <f t="shared" si="2"/>
        <v>210</v>
      </c>
      <c r="G86" s="30" t="s">
        <v>10</v>
      </c>
      <c r="H86" s="30"/>
    </row>
    <row r="87" spans="1:8" ht="28.9" customHeight="1" x14ac:dyDescent="0.25">
      <c r="A87" s="78">
        <v>46116</v>
      </c>
      <c r="B87" s="68" t="s">
        <v>7</v>
      </c>
      <c r="C87" s="33" t="s">
        <v>148</v>
      </c>
      <c r="D87" s="30">
        <v>3</v>
      </c>
      <c r="E87" s="30">
        <v>185</v>
      </c>
      <c r="F87" s="30">
        <f t="shared" si="2"/>
        <v>555</v>
      </c>
      <c r="G87" s="30" t="s">
        <v>10</v>
      </c>
      <c r="H87" s="30"/>
    </row>
    <row r="88" spans="1:8" ht="28.9" customHeight="1" x14ac:dyDescent="0.25">
      <c r="A88" s="78">
        <v>46116</v>
      </c>
      <c r="B88" s="68" t="s">
        <v>7</v>
      </c>
      <c r="C88" s="19" t="s">
        <v>443</v>
      </c>
      <c r="D88" s="30">
        <v>1</v>
      </c>
      <c r="E88" s="30">
        <v>155</v>
      </c>
      <c r="F88" s="30">
        <f t="shared" si="2"/>
        <v>155</v>
      </c>
      <c r="G88" s="30" t="s">
        <v>10</v>
      </c>
      <c r="H88" s="30"/>
    </row>
    <row r="89" spans="1:8" ht="28.9" customHeight="1" x14ac:dyDescent="0.25">
      <c r="A89" s="78">
        <v>46116</v>
      </c>
      <c r="B89" s="68" t="s">
        <v>7</v>
      </c>
      <c r="C89" s="31" t="s">
        <v>27</v>
      </c>
      <c r="D89" s="30">
        <v>1</v>
      </c>
      <c r="E89" s="30">
        <v>95</v>
      </c>
      <c r="F89" s="30">
        <f t="shared" si="2"/>
        <v>95</v>
      </c>
      <c r="G89" s="30" t="s">
        <v>10</v>
      </c>
      <c r="H89" s="30"/>
    </row>
    <row r="90" spans="1:8" x14ac:dyDescent="0.25">
      <c r="A90" s="78">
        <v>46116</v>
      </c>
      <c r="B90" s="68" t="s">
        <v>7</v>
      </c>
      <c r="C90" s="33" t="s">
        <v>150</v>
      </c>
      <c r="D90" s="30">
        <v>1</v>
      </c>
      <c r="E90" s="30">
        <v>30</v>
      </c>
      <c r="F90" s="30">
        <f t="shared" si="2"/>
        <v>30</v>
      </c>
      <c r="G90" s="30" t="s">
        <v>10</v>
      </c>
      <c r="H90" s="30"/>
    </row>
    <row r="91" spans="1:8" ht="28.9" customHeight="1" x14ac:dyDescent="0.25">
      <c r="A91" s="78">
        <v>46116</v>
      </c>
      <c r="B91" s="68" t="s">
        <v>7</v>
      </c>
      <c r="C91" s="33" t="s">
        <v>96</v>
      </c>
      <c r="D91" s="30">
        <v>1</v>
      </c>
      <c r="E91" s="30">
        <v>90</v>
      </c>
      <c r="F91" s="30">
        <f t="shared" si="2"/>
        <v>90</v>
      </c>
      <c r="G91" s="30" t="s">
        <v>10</v>
      </c>
      <c r="H91" s="30"/>
    </row>
    <row r="92" spans="1:8" x14ac:dyDescent="0.25">
      <c r="A92" s="78">
        <v>46116</v>
      </c>
      <c r="B92" s="68" t="s">
        <v>7</v>
      </c>
      <c r="C92" s="33" t="s">
        <v>142</v>
      </c>
      <c r="D92" s="30">
        <v>1</v>
      </c>
      <c r="E92" s="30">
        <v>160</v>
      </c>
      <c r="F92" s="30">
        <f t="shared" si="2"/>
        <v>160</v>
      </c>
      <c r="G92" s="30" t="s">
        <v>10</v>
      </c>
      <c r="H92" s="30"/>
    </row>
    <row r="93" spans="1:8" ht="28.9" customHeight="1" x14ac:dyDescent="0.25">
      <c r="A93" s="78">
        <v>46116</v>
      </c>
      <c r="B93" s="68" t="s">
        <v>7</v>
      </c>
      <c r="C93" s="28" t="s">
        <v>33</v>
      </c>
      <c r="D93" s="30">
        <v>1</v>
      </c>
      <c r="E93" s="30">
        <v>90</v>
      </c>
      <c r="F93" s="30">
        <f t="shared" si="2"/>
        <v>90</v>
      </c>
      <c r="G93" s="30" t="s">
        <v>10</v>
      </c>
      <c r="H93" s="30"/>
    </row>
    <row r="94" spans="1:8" x14ac:dyDescent="0.25">
      <c r="A94" s="78">
        <v>46116</v>
      </c>
      <c r="B94" s="68" t="s">
        <v>7</v>
      </c>
      <c r="C94" s="33" t="s">
        <v>143</v>
      </c>
      <c r="D94" s="30">
        <v>0.1</v>
      </c>
      <c r="E94" s="30">
        <v>300</v>
      </c>
      <c r="F94" s="30">
        <f t="shared" si="2"/>
        <v>30</v>
      </c>
      <c r="G94" s="30" t="s">
        <v>10</v>
      </c>
      <c r="H94" s="30"/>
    </row>
    <row r="95" spans="1:8" x14ac:dyDescent="0.25">
      <c r="A95" s="78">
        <v>46116</v>
      </c>
      <c r="B95" s="68" t="s">
        <v>7</v>
      </c>
      <c r="C95" s="33" t="s">
        <v>207</v>
      </c>
      <c r="D95" s="30">
        <v>1</v>
      </c>
      <c r="E95" s="30">
        <v>50</v>
      </c>
      <c r="F95" s="30">
        <f t="shared" si="2"/>
        <v>50</v>
      </c>
      <c r="G95" s="30" t="s">
        <v>10</v>
      </c>
      <c r="H95" s="30"/>
    </row>
    <row r="96" spans="1:8" x14ac:dyDescent="0.25">
      <c r="A96" s="78">
        <v>46116</v>
      </c>
      <c r="B96" s="68" t="s">
        <v>7</v>
      </c>
      <c r="C96" s="33" t="s">
        <v>151</v>
      </c>
      <c r="D96" s="30">
        <v>1</v>
      </c>
      <c r="E96" s="30">
        <v>10</v>
      </c>
      <c r="F96" s="30">
        <f t="shared" si="2"/>
        <v>10</v>
      </c>
      <c r="G96" s="30" t="s">
        <v>10</v>
      </c>
      <c r="H96" s="30"/>
    </row>
    <row r="97" spans="1:8" x14ac:dyDescent="0.25">
      <c r="A97" s="78">
        <v>46116</v>
      </c>
      <c r="B97" s="68" t="s">
        <v>7</v>
      </c>
      <c r="C97" s="33" t="s">
        <v>34</v>
      </c>
      <c r="D97" s="30">
        <v>1</v>
      </c>
      <c r="E97" s="30">
        <v>35</v>
      </c>
      <c r="F97" s="30">
        <f t="shared" si="2"/>
        <v>35</v>
      </c>
      <c r="G97" s="30" t="s">
        <v>10</v>
      </c>
      <c r="H97" s="30"/>
    </row>
    <row r="98" spans="1:8" ht="28.9" customHeight="1" x14ac:dyDescent="0.25">
      <c r="A98" s="78">
        <v>46116</v>
      </c>
      <c r="B98" s="68" t="s">
        <v>7</v>
      </c>
      <c r="C98" s="33" t="s">
        <v>154</v>
      </c>
      <c r="D98" s="30">
        <v>16</v>
      </c>
      <c r="E98" s="30">
        <v>1</v>
      </c>
      <c r="F98" s="30">
        <f t="shared" si="2"/>
        <v>16</v>
      </c>
      <c r="G98" s="30" t="s">
        <v>10</v>
      </c>
      <c r="H98" s="30"/>
    </row>
    <row r="99" spans="1:8" x14ac:dyDescent="0.25">
      <c r="A99" s="78">
        <v>46116</v>
      </c>
      <c r="B99" s="68" t="s">
        <v>7</v>
      </c>
      <c r="C99" s="33" t="s">
        <v>35</v>
      </c>
      <c r="D99" s="30">
        <v>1</v>
      </c>
      <c r="E99" s="30">
        <v>118</v>
      </c>
      <c r="F99" s="30">
        <v>118</v>
      </c>
      <c r="G99" s="30" t="s">
        <v>10</v>
      </c>
      <c r="H99" s="30"/>
    </row>
    <row r="100" spans="1:8" x14ac:dyDescent="0.25">
      <c r="A100" s="78">
        <v>46116</v>
      </c>
      <c r="B100" s="68" t="s">
        <v>7</v>
      </c>
      <c r="C100" s="33" t="s">
        <v>374</v>
      </c>
      <c r="D100" s="30">
        <v>0.5</v>
      </c>
      <c r="E100" s="30">
        <v>250</v>
      </c>
      <c r="F100" s="30">
        <f t="shared" ref="F100:F211" si="3">D100*E100</f>
        <v>125</v>
      </c>
      <c r="G100" s="30" t="s">
        <v>10</v>
      </c>
      <c r="H100" s="30"/>
    </row>
    <row r="101" spans="1:8" ht="28.9" customHeight="1" x14ac:dyDescent="0.25">
      <c r="A101" s="78">
        <v>46116</v>
      </c>
      <c r="B101" s="68" t="s">
        <v>7</v>
      </c>
      <c r="C101" s="33" t="s">
        <v>372</v>
      </c>
      <c r="D101" s="30">
        <v>2</v>
      </c>
      <c r="E101" s="30">
        <v>45</v>
      </c>
      <c r="F101" s="30">
        <f t="shared" si="3"/>
        <v>90</v>
      </c>
      <c r="G101" s="30" t="s">
        <v>10</v>
      </c>
      <c r="H101" s="30"/>
    </row>
    <row r="102" spans="1:8" x14ac:dyDescent="0.25">
      <c r="A102" s="78">
        <v>46116</v>
      </c>
      <c r="B102" s="68" t="s">
        <v>7</v>
      </c>
      <c r="C102" s="28" t="s">
        <v>36</v>
      </c>
      <c r="D102" s="30">
        <v>1</v>
      </c>
      <c r="E102" s="30">
        <v>58</v>
      </c>
      <c r="F102" s="30">
        <f t="shared" si="3"/>
        <v>58</v>
      </c>
      <c r="G102" s="30" t="s">
        <v>10</v>
      </c>
      <c r="H102" s="30"/>
    </row>
    <row r="103" spans="1:8" x14ac:dyDescent="0.25">
      <c r="A103" s="78">
        <v>46116</v>
      </c>
      <c r="B103" s="68" t="s">
        <v>7</v>
      </c>
      <c r="C103" s="33" t="s">
        <v>364</v>
      </c>
      <c r="D103" s="30">
        <v>1</v>
      </c>
      <c r="E103" s="30">
        <v>35</v>
      </c>
      <c r="F103" s="30">
        <f t="shared" si="3"/>
        <v>35</v>
      </c>
      <c r="G103" s="30" t="s">
        <v>10</v>
      </c>
      <c r="H103" s="30"/>
    </row>
    <row r="104" spans="1:8" x14ac:dyDescent="0.25">
      <c r="A104" s="78">
        <v>46116</v>
      </c>
      <c r="B104" s="68" t="s">
        <v>7</v>
      </c>
      <c r="C104" s="31" t="s">
        <v>302</v>
      </c>
      <c r="D104" s="30">
        <v>2</v>
      </c>
      <c r="E104" s="30">
        <v>30</v>
      </c>
      <c r="F104" s="30">
        <f t="shared" si="3"/>
        <v>60</v>
      </c>
      <c r="G104" s="30" t="s">
        <v>10</v>
      </c>
      <c r="H104" s="30"/>
    </row>
    <row r="105" spans="1:8" x14ac:dyDescent="0.25">
      <c r="A105" s="78">
        <v>46116</v>
      </c>
      <c r="B105" s="68" t="s">
        <v>7</v>
      </c>
      <c r="C105" s="31" t="s">
        <v>152</v>
      </c>
      <c r="D105" s="30">
        <v>1</v>
      </c>
      <c r="E105" s="30">
        <v>143</v>
      </c>
      <c r="F105" s="30">
        <f t="shared" si="3"/>
        <v>143</v>
      </c>
      <c r="G105" s="30" t="s">
        <v>10</v>
      </c>
      <c r="H105" s="30"/>
    </row>
    <row r="106" spans="1:8" ht="28.9" customHeight="1" x14ac:dyDescent="0.25">
      <c r="A106" s="78">
        <v>46116</v>
      </c>
      <c r="B106" s="68" t="s">
        <v>7</v>
      </c>
      <c r="C106" s="28" t="s">
        <v>38</v>
      </c>
      <c r="D106" s="30">
        <v>1</v>
      </c>
      <c r="E106" s="30">
        <v>50</v>
      </c>
      <c r="F106" s="30">
        <f t="shared" si="3"/>
        <v>50</v>
      </c>
      <c r="G106" s="30" t="s">
        <v>10</v>
      </c>
      <c r="H106" s="30"/>
    </row>
    <row r="107" spans="1:8" x14ac:dyDescent="0.25">
      <c r="A107" s="78">
        <v>46116</v>
      </c>
      <c r="B107" s="68" t="s">
        <v>7</v>
      </c>
      <c r="C107" s="33" t="s">
        <v>395</v>
      </c>
      <c r="D107" s="30">
        <v>1</v>
      </c>
      <c r="E107" s="30">
        <v>10</v>
      </c>
      <c r="F107" s="30">
        <f t="shared" si="3"/>
        <v>10</v>
      </c>
      <c r="G107" s="30" t="s">
        <v>10</v>
      </c>
      <c r="H107" s="30"/>
    </row>
    <row r="108" spans="1:8" ht="28.9" customHeight="1" x14ac:dyDescent="0.25">
      <c r="A108" s="78">
        <v>46116</v>
      </c>
      <c r="B108" s="68" t="s">
        <v>7</v>
      </c>
      <c r="C108" s="33" t="s">
        <v>139</v>
      </c>
      <c r="D108" s="30">
        <v>1</v>
      </c>
      <c r="E108" s="30">
        <v>190</v>
      </c>
      <c r="F108" s="30">
        <f t="shared" si="3"/>
        <v>190</v>
      </c>
      <c r="G108" s="30" t="s">
        <v>10</v>
      </c>
      <c r="H108" s="30"/>
    </row>
    <row r="109" spans="1:8" x14ac:dyDescent="0.25">
      <c r="A109" s="78">
        <v>46116</v>
      </c>
      <c r="B109" s="68" t="s">
        <v>7</v>
      </c>
      <c r="C109" s="33" t="s">
        <v>305</v>
      </c>
      <c r="D109" s="30">
        <v>1</v>
      </c>
      <c r="E109" s="30">
        <v>40</v>
      </c>
      <c r="F109" s="30">
        <f t="shared" si="3"/>
        <v>40</v>
      </c>
      <c r="G109" s="30" t="s">
        <v>10</v>
      </c>
      <c r="H109" s="30"/>
    </row>
    <row r="110" spans="1:8" x14ac:dyDescent="0.25">
      <c r="A110" s="78">
        <v>46116</v>
      </c>
      <c r="B110" s="68" t="s">
        <v>7</v>
      </c>
      <c r="C110" s="33" t="s">
        <v>24</v>
      </c>
      <c r="D110" s="30">
        <v>1</v>
      </c>
      <c r="E110" s="30">
        <v>70</v>
      </c>
      <c r="F110" s="30">
        <f t="shared" si="3"/>
        <v>70</v>
      </c>
      <c r="G110" s="30" t="s">
        <v>10</v>
      </c>
      <c r="H110" s="30"/>
    </row>
    <row r="111" spans="1:8" x14ac:dyDescent="0.25">
      <c r="A111" s="78">
        <v>46116</v>
      </c>
      <c r="B111" s="68" t="s">
        <v>7</v>
      </c>
      <c r="C111" s="31" t="s">
        <v>23</v>
      </c>
      <c r="D111" s="30">
        <v>1</v>
      </c>
      <c r="E111" s="30">
        <v>60</v>
      </c>
      <c r="F111" s="30">
        <f t="shared" si="3"/>
        <v>60</v>
      </c>
      <c r="G111" s="30" t="s">
        <v>10</v>
      </c>
      <c r="H111" s="30"/>
    </row>
    <row r="112" spans="1:8" x14ac:dyDescent="0.25">
      <c r="A112" s="78">
        <v>46116</v>
      </c>
      <c r="B112" s="68" t="s">
        <v>7</v>
      </c>
      <c r="C112" s="33" t="s">
        <v>40</v>
      </c>
      <c r="D112" s="30">
        <v>1</v>
      </c>
      <c r="E112" s="30">
        <v>235</v>
      </c>
      <c r="F112" s="30">
        <f t="shared" si="3"/>
        <v>235</v>
      </c>
    </row>
    <row r="113" spans="1:9" x14ac:dyDescent="0.25">
      <c r="A113" s="78">
        <v>46116</v>
      </c>
      <c r="B113" s="68" t="s">
        <v>7</v>
      </c>
      <c r="C113" s="33" t="s">
        <v>41</v>
      </c>
      <c r="D113" s="30">
        <v>1</v>
      </c>
      <c r="E113" s="30">
        <v>75</v>
      </c>
      <c r="F113" s="30">
        <f t="shared" si="3"/>
        <v>75</v>
      </c>
      <c r="I113" s="68">
        <f>SUM(F112:F114)</f>
        <v>328</v>
      </c>
    </row>
    <row r="114" spans="1:9" x14ac:dyDescent="0.25">
      <c r="A114" s="78">
        <v>46116</v>
      </c>
      <c r="B114" s="68" t="s">
        <v>7</v>
      </c>
      <c r="C114" s="33" t="s">
        <v>42</v>
      </c>
      <c r="D114" s="30">
        <v>1</v>
      </c>
      <c r="E114" s="30">
        <v>18</v>
      </c>
      <c r="F114" s="30">
        <f t="shared" si="3"/>
        <v>18</v>
      </c>
    </row>
    <row r="115" spans="1:9" x14ac:dyDescent="0.25">
      <c r="A115" s="78">
        <v>46116</v>
      </c>
      <c r="B115" s="68" t="s">
        <v>7</v>
      </c>
      <c r="C115" s="33" t="s">
        <v>43</v>
      </c>
      <c r="D115" s="30">
        <v>2</v>
      </c>
      <c r="E115" s="30">
        <v>5</v>
      </c>
      <c r="F115" s="30">
        <f t="shared" si="3"/>
        <v>10</v>
      </c>
      <c r="G115" s="30" t="s">
        <v>10</v>
      </c>
      <c r="H115" s="30"/>
    </row>
    <row r="116" spans="1:9" ht="28.9" customHeight="1" x14ac:dyDescent="0.25">
      <c r="A116" s="78">
        <v>46117</v>
      </c>
      <c r="B116" s="68" t="s">
        <v>7</v>
      </c>
      <c r="C116" s="19" t="s">
        <v>443</v>
      </c>
      <c r="D116" s="30">
        <v>1</v>
      </c>
      <c r="E116" s="30">
        <v>115</v>
      </c>
      <c r="F116" s="30">
        <f t="shared" si="3"/>
        <v>115</v>
      </c>
      <c r="G116" s="30" t="s">
        <v>9</v>
      </c>
      <c r="H116" s="30"/>
    </row>
    <row r="117" spans="1:9" ht="28.9" customHeight="1" x14ac:dyDescent="0.25">
      <c r="A117" s="78">
        <v>46117</v>
      </c>
      <c r="B117" s="68" t="s">
        <v>7</v>
      </c>
      <c r="C117" s="33" t="s">
        <v>148</v>
      </c>
      <c r="D117" s="30">
        <v>1</v>
      </c>
      <c r="E117" s="30">
        <v>185</v>
      </c>
      <c r="F117" s="30">
        <f t="shared" si="3"/>
        <v>185</v>
      </c>
      <c r="G117" s="30" t="s">
        <v>9</v>
      </c>
      <c r="H117" s="30"/>
    </row>
    <row r="118" spans="1:9" x14ac:dyDescent="0.25">
      <c r="A118" s="78">
        <v>46117</v>
      </c>
      <c r="B118" s="68" t="s">
        <v>7</v>
      </c>
      <c r="C118" s="31" t="s">
        <v>30</v>
      </c>
      <c r="D118" s="30">
        <v>1.5</v>
      </c>
      <c r="E118" s="30">
        <v>95</v>
      </c>
      <c r="F118" s="30">
        <f t="shared" si="3"/>
        <v>142.5</v>
      </c>
      <c r="G118" s="30" t="s">
        <v>9</v>
      </c>
      <c r="H118" s="30"/>
    </row>
    <row r="119" spans="1:9" ht="28.9" customHeight="1" x14ac:dyDescent="0.25">
      <c r="A119" s="78">
        <v>46117</v>
      </c>
      <c r="B119" s="68" t="s">
        <v>7</v>
      </c>
      <c r="C119" s="31" t="s">
        <v>32</v>
      </c>
      <c r="D119" s="30">
        <v>0.5</v>
      </c>
      <c r="E119" s="30">
        <v>210</v>
      </c>
      <c r="F119" s="30">
        <f t="shared" si="3"/>
        <v>105</v>
      </c>
      <c r="G119" s="30" t="s">
        <v>9</v>
      </c>
      <c r="H119" s="30"/>
    </row>
    <row r="120" spans="1:9" x14ac:dyDescent="0.25">
      <c r="A120" s="78">
        <v>46117</v>
      </c>
      <c r="B120" s="68" t="s">
        <v>7</v>
      </c>
      <c r="C120" s="31" t="s">
        <v>44</v>
      </c>
      <c r="D120" s="30">
        <v>1</v>
      </c>
      <c r="E120" s="30">
        <v>155</v>
      </c>
      <c r="F120" s="30">
        <f t="shared" si="3"/>
        <v>155</v>
      </c>
      <c r="G120" s="30" t="s">
        <v>9</v>
      </c>
      <c r="H120" s="30"/>
    </row>
    <row r="121" spans="1:9" x14ac:dyDescent="0.25">
      <c r="A121" s="78">
        <v>46118</v>
      </c>
      <c r="B121" s="68" t="s">
        <v>7</v>
      </c>
      <c r="C121" s="33" t="s">
        <v>369</v>
      </c>
      <c r="D121" s="30">
        <v>1</v>
      </c>
      <c r="E121" s="30">
        <v>60</v>
      </c>
      <c r="F121" s="30">
        <f t="shared" si="3"/>
        <v>60</v>
      </c>
      <c r="G121" s="30" t="s">
        <v>9</v>
      </c>
      <c r="H121" s="30"/>
    </row>
    <row r="122" spans="1:9" ht="43.15" customHeight="1" x14ac:dyDescent="0.25">
      <c r="A122" s="78">
        <v>46118</v>
      </c>
      <c r="B122" s="68" t="s">
        <v>7</v>
      </c>
      <c r="C122" s="33" t="s">
        <v>363</v>
      </c>
      <c r="D122" s="30">
        <v>4</v>
      </c>
      <c r="E122" s="30">
        <v>5</v>
      </c>
      <c r="F122" s="30">
        <f t="shared" si="3"/>
        <v>20</v>
      </c>
      <c r="G122" s="30" t="s">
        <v>9</v>
      </c>
      <c r="H122" s="30"/>
    </row>
    <row r="123" spans="1:9" x14ac:dyDescent="0.25">
      <c r="A123" s="78">
        <v>46118</v>
      </c>
      <c r="B123" s="68" t="s">
        <v>7</v>
      </c>
      <c r="C123" s="31" t="s">
        <v>8</v>
      </c>
      <c r="D123" s="30">
        <v>1</v>
      </c>
      <c r="E123" s="30">
        <v>30</v>
      </c>
      <c r="F123" s="30">
        <f t="shared" si="3"/>
        <v>30</v>
      </c>
      <c r="G123" s="30" t="s">
        <v>10</v>
      </c>
      <c r="H123" s="30"/>
    </row>
    <row r="124" spans="1:9" x14ac:dyDescent="0.25">
      <c r="A124" s="78">
        <v>46118</v>
      </c>
      <c r="B124" s="68" t="s">
        <v>7</v>
      </c>
      <c r="C124" s="31" t="s">
        <v>36</v>
      </c>
      <c r="D124" s="30">
        <v>1</v>
      </c>
      <c r="E124" s="30">
        <v>58</v>
      </c>
      <c r="F124" s="30">
        <f t="shared" si="3"/>
        <v>58</v>
      </c>
      <c r="G124" s="30" t="s">
        <v>10</v>
      </c>
      <c r="H124" s="30"/>
    </row>
    <row r="125" spans="1:9" x14ac:dyDescent="0.25">
      <c r="A125" s="78">
        <v>46119</v>
      </c>
      <c r="B125" s="68" t="s">
        <v>7</v>
      </c>
      <c r="C125" s="31" t="s">
        <v>365</v>
      </c>
      <c r="D125" s="30">
        <v>2</v>
      </c>
      <c r="E125" s="30">
        <v>5</v>
      </c>
      <c r="F125" s="30">
        <f t="shared" si="3"/>
        <v>10</v>
      </c>
      <c r="G125" s="30" t="s">
        <v>9</v>
      </c>
      <c r="H125" s="30"/>
    </row>
    <row r="126" spans="1:9" x14ac:dyDescent="0.25">
      <c r="A126" s="78">
        <v>46119</v>
      </c>
      <c r="B126" s="68" t="s">
        <v>7</v>
      </c>
      <c r="C126" s="33" t="s">
        <v>375</v>
      </c>
      <c r="D126" s="30">
        <v>10</v>
      </c>
      <c r="E126" s="30">
        <v>1</v>
      </c>
      <c r="F126" s="30">
        <f t="shared" si="3"/>
        <v>10</v>
      </c>
      <c r="G126" s="30" t="s">
        <v>9</v>
      </c>
      <c r="H126" s="30"/>
    </row>
    <row r="127" spans="1:9" x14ac:dyDescent="0.25">
      <c r="A127" s="78">
        <v>46119</v>
      </c>
      <c r="B127" s="68" t="s">
        <v>7</v>
      </c>
      <c r="C127" s="28" t="s">
        <v>54</v>
      </c>
      <c r="D127" s="30">
        <v>4</v>
      </c>
      <c r="E127" s="30">
        <v>1</v>
      </c>
      <c r="F127" s="30">
        <f t="shared" si="3"/>
        <v>4</v>
      </c>
      <c r="G127" s="30" t="s">
        <v>9</v>
      </c>
      <c r="H127" s="30"/>
    </row>
    <row r="128" spans="1:9" x14ac:dyDescent="0.25">
      <c r="A128" s="78">
        <v>46119</v>
      </c>
      <c r="B128" s="68" t="s">
        <v>7</v>
      </c>
      <c r="C128" s="28" t="s">
        <v>55</v>
      </c>
      <c r="D128" s="30">
        <v>1</v>
      </c>
      <c r="E128" s="30">
        <v>1</v>
      </c>
      <c r="F128" s="30">
        <f t="shared" si="3"/>
        <v>1</v>
      </c>
      <c r="G128" s="30" t="s">
        <v>9</v>
      </c>
      <c r="H128" s="30"/>
    </row>
    <row r="129" spans="1:10" ht="30" x14ac:dyDescent="0.25">
      <c r="A129" s="78">
        <v>46119</v>
      </c>
      <c r="B129" s="68" t="s">
        <v>7</v>
      </c>
      <c r="C129" s="33" t="s">
        <v>363</v>
      </c>
      <c r="D129" s="30">
        <v>1</v>
      </c>
      <c r="E129" s="30">
        <v>5</v>
      </c>
      <c r="F129" s="30">
        <f t="shared" si="3"/>
        <v>5</v>
      </c>
      <c r="G129" s="30" t="s">
        <v>9</v>
      </c>
      <c r="H129" s="30"/>
      <c r="I129" s="68">
        <f>SUM(F125:F134)</f>
        <v>1485</v>
      </c>
    </row>
    <row r="130" spans="1:10" x14ac:dyDescent="0.25">
      <c r="A130" s="78">
        <v>46119</v>
      </c>
      <c r="B130" s="68" t="s">
        <v>7</v>
      </c>
      <c r="C130" s="28" t="s">
        <v>87</v>
      </c>
      <c r="D130" s="30">
        <v>1</v>
      </c>
      <c r="E130" s="30">
        <v>80</v>
      </c>
      <c r="F130" s="30">
        <f t="shared" si="3"/>
        <v>80</v>
      </c>
      <c r="G130" s="30" t="s">
        <v>10</v>
      </c>
      <c r="H130" s="30"/>
      <c r="I130" s="68">
        <v>1250</v>
      </c>
      <c r="J130" s="30">
        <f>I129-I130</f>
        <v>235</v>
      </c>
    </row>
    <row r="131" spans="1:10" x14ac:dyDescent="0.25">
      <c r="A131" s="78">
        <v>46119</v>
      </c>
      <c r="B131" s="68" t="s">
        <v>7</v>
      </c>
      <c r="C131" s="28" t="s">
        <v>307</v>
      </c>
      <c r="D131" s="30">
        <v>1</v>
      </c>
      <c r="E131" s="30">
        <v>1250</v>
      </c>
      <c r="F131" s="30">
        <f t="shared" si="3"/>
        <v>1250</v>
      </c>
      <c r="G131" s="30" t="s">
        <v>10</v>
      </c>
      <c r="H131" s="30"/>
    </row>
    <row r="132" spans="1:10" x14ac:dyDescent="0.25">
      <c r="A132" s="78">
        <v>46119</v>
      </c>
      <c r="B132" s="68" t="s">
        <v>7</v>
      </c>
      <c r="C132" s="33" t="s">
        <v>24</v>
      </c>
      <c r="D132" s="30">
        <v>1</v>
      </c>
      <c r="E132" s="30">
        <v>70</v>
      </c>
      <c r="F132" s="30">
        <f t="shared" si="3"/>
        <v>70</v>
      </c>
      <c r="G132" s="30" t="s">
        <v>9</v>
      </c>
      <c r="H132" s="30"/>
    </row>
    <row r="133" spans="1:10" x14ac:dyDescent="0.25">
      <c r="A133" s="78">
        <v>46119</v>
      </c>
      <c r="B133" s="68" t="s">
        <v>7</v>
      </c>
      <c r="C133" s="33" t="s">
        <v>239</v>
      </c>
      <c r="D133" s="30">
        <v>1</v>
      </c>
      <c r="E133" s="30">
        <v>45</v>
      </c>
      <c r="F133" s="30">
        <f t="shared" si="3"/>
        <v>45</v>
      </c>
      <c r="G133" s="30" t="s">
        <v>9</v>
      </c>
      <c r="H133" s="30"/>
    </row>
    <row r="134" spans="1:10" x14ac:dyDescent="0.25">
      <c r="A134" s="78">
        <v>46119</v>
      </c>
      <c r="B134" s="68" t="s">
        <v>7</v>
      </c>
      <c r="C134" s="19" t="s">
        <v>360</v>
      </c>
      <c r="D134" s="30">
        <v>1</v>
      </c>
      <c r="E134" s="30">
        <v>10</v>
      </c>
      <c r="F134" s="30">
        <f t="shared" si="3"/>
        <v>10</v>
      </c>
      <c r="G134" s="30" t="s">
        <v>10</v>
      </c>
      <c r="H134" s="30"/>
    </row>
    <row r="135" spans="1:10" x14ac:dyDescent="0.25">
      <c r="A135" s="78">
        <v>46120</v>
      </c>
      <c r="B135" s="68" t="s">
        <v>7</v>
      </c>
      <c r="C135" s="28" t="s">
        <v>159</v>
      </c>
      <c r="D135" s="30">
        <v>0.5</v>
      </c>
      <c r="E135" s="30">
        <v>155</v>
      </c>
      <c r="F135" s="30">
        <f t="shared" si="3"/>
        <v>77.5</v>
      </c>
      <c r="G135" s="30" t="s">
        <v>9</v>
      </c>
      <c r="H135" s="30"/>
    </row>
    <row r="136" spans="1:10" x14ac:dyDescent="0.25">
      <c r="A136" s="78">
        <v>46120</v>
      </c>
      <c r="B136" s="68" t="s">
        <v>7</v>
      </c>
      <c r="C136" s="33" t="s">
        <v>375</v>
      </c>
      <c r="D136" s="30">
        <v>3</v>
      </c>
      <c r="E136" s="30">
        <v>1</v>
      </c>
      <c r="F136" s="30">
        <f t="shared" si="3"/>
        <v>3</v>
      </c>
      <c r="G136" s="30" t="s">
        <v>9</v>
      </c>
      <c r="H136" s="30"/>
    </row>
    <row r="137" spans="1:10" x14ac:dyDescent="0.25">
      <c r="A137" s="78">
        <v>46120</v>
      </c>
      <c r="B137" s="68" t="s">
        <v>7</v>
      </c>
      <c r="C137" s="33" t="s">
        <v>438</v>
      </c>
      <c r="D137" s="30">
        <v>2</v>
      </c>
      <c r="E137" s="30">
        <v>10</v>
      </c>
      <c r="F137" s="30">
        <f t="shared" si="3"/>
        <v>20</v>
      </c>
      <c r="G137" s="30" t="s">
        <v>9</v>
      </c>
      <c r="H137" s="30"/>
    </row>
    <row r="138" spans="1:10" x14ac:dyDescent="0.25">
      <c r="A138" s="78">
        <v>46120</v>
      </c>
      <c r="B138" s="68" t="s">
        <v>7</v>
      </c>
      <c r="C138" s="28" t="s">
        <v>290</v>
      </c>
      <c r="D138" s="30">
        <v>3</v>
      </c>
      <c r="E138" s="30">
        <v>10</v>
      </c>
      <c r="F138" s="30">
        <f t="shared" si="3"/>
        <v>30</v>
      </c>
      <c r="G138" s="30" t="s">
        <v>9</v>
      </c>
      <c r="H138" s="30"/>
      <c r="I138" s="68">
        <f>SUM(F135:F141)</f>
        <v>160.5</v>
      </c>
    </row>
    <row r="139" spans="1:10" x14ac:dyDescent="0.25">
      <c r="A139" s="78">
        <v>46120</v>
      </c>
      <c r="C139" s="33" t="s">
        <v>119</v>
      </c>
      <c r="D139" s="30">
        <v>1</v>
      </c>
      <c r="E139" s="30">
        <v>10</v>
      </c>
      <c r="F139" s="30">
        <f t="shared" si="3"/>
        <v>10</v>
      </c>
      <c r="G139" s="30" t="s">
        <v>9</v>
      </c>
      <c r="H139" s="30"/>
    </row>
    <row r="140" spans="1:10" x14ac:dyDescent="0.25">
      <c r="A140" s="78">
        <v>46120</v>
      </c>
      <c r="C140" s="33" t="s">
        <v>81</v>
      </c>
      <c r="D140" s="30">
        <v>10</v>
      </c>
      <c r="E140" s="30">
        <v>1</v>
      </c>
      <c r="F140" s="30">
        <f t="shared" si="3"/>
        <v>10</v>
      </c>
      <c r="G140" s="30" t="s">
        <v>9</v>
      </c>
      <c r="H140" s="30"/>
    </row>
    <row r="141" spans="1:10" x14ac:dyDescent="0.25">
      <c r="A141" s="78">
        <v>46120</v>
      </c>
      <c r="C141" s="33" t="s">
        <v>119</v>
      </c>
      <c r="D141" s="30">
        <v>1</v>
      </c>
      <c r="E141" s="30">
        <v>10</v>
      </c>
      <c r="F141" s="30">
        <f t="shared" si="3"/>
        <v>10</v>
      </c>
      <c r="G141" s="30" t="s">
        <v>10</v>
      </c>
      <c r="H141" s="30"/>
    </row>
    <row r="142" spans="1:10" ht="30" x14ac:dyDescent="0.25">
      <c r="A142" s="78">
        <v>46121</v>
      </c>
      <c r="C142" s="33" t="s">
        <v>363</v>
      </c>
      <c r="D142" s="30">
        <v>2</v>
      </c>
      <c r="E142" s="30">
        <v>5</v>
      </c>
      <c r="F142" s="30">
        <f t="shared" si="3"/>
        <v>10</v>
      </c>
      <c r="G142" s="30" t="s">
        <v>9</v>
      </c>
      <c r="H142" s="30"/>
    </row>
    <row r="143" spans="1:10" x14ac:dyDescent="0.25">
      <c r="A143" s="78">
        <v>46121</v>
      </c>
      <c r="C143" s="33" t="s">
        <v>366</v>
      </c>
      <c r="D143" s="30">
        <v>1</v>
      </c>
      <c r="E143" s="30">
        <v>50</v>
      </c>
      <c r="F143" s="30">
        <f t="shared" si="3"/>
        <v>50</v>
      </c>
      <c r="G143" s="30" t="s">
        <v>9</v>
      </c>
      <c r="H143" s="30"/>
    </row>
    <row r="144" spans="1:10" x14ac:dyDescent="0.25">
      <c r="A144" s="78">
        <v>46121</v>
      </c>
      <c r="C144" s="13" t="s">
        <v>345</v>
      </c>
      <c r="D144" s="30">
        <v>10</v>
      </c>
      <c r="E144" s="30">
        <v>1</v>
      </c>
      <c r="F144" s="30">
        <f t="shared" si="3"/>
        <v>10</v>
      </c>
      <c r="G144" s="30" t="s">
        <v>9</v>
      </c>
      <c r="H144" s="30"/>
    </row>
    <row r="145" spans="1:10" x14ac:dyDescent="0.25">
      <c r="A145" s="78">
        <v>46121</v>
      </c>
      <c r="C145" s="31" t="s">
        <v>325</v>
      </c>
      <c r="D145" s="30">
        <v>0.5</v>
      </c>
      <c r="E145" s="30">
        <v>18</v>
      </c>
      <c r="F145" s="30">
        <f t="shared" si="3"/>
        <v>9</v>
      </c>
      <c r="G145" s="30" t="s">
        <v>10</v>
      </c>
      <c r="H145" s="30"/>
    </row>
    <row r="146" spans="1:10" x14ac:dyDescent="0.25">
      <c r="A146" s="78">
        <v>46121</v>
      </c>
      <c r="C146" s="13" t="s">
        <v>98</v>
      </c>
      <c r="D146" s="30">
        <v>1</v>
      </c>
      <c r="E146" s="30">
        <v>19</v>
      </c>
      <c r="F146" s="30">
        <f t="shared" si="3"/>
        <v>19</v>
      </c>
      <c r="G146" s="30" t="s">
        <v>10</v>
      </c>
      <c r="H146" s="30"/>
    </row>
    <row r="147" spans="1:10" x14ac:dyDescent="0.25">
      <c r="A147" s="78">
        <v>46121</v>
      </c>
      <c r="C147" s="13" t="s">
        <v>326</v>
      </c>
      <c r="D147" s="30">
        <v>2.5</v>
      </c>
      <c r="E147" s="30">
        <v>55</v>
      </c>
      <c r="F147" s="30">
        <f t="shared" si="3"/>
        <v>137.5</v>
      </c>
      <c r="G147" s="30" t="s">
        <v>10</v>
      </c>
      <c r="H147" s="30"/>
    </row>
    <row r="148" spans="1:10" x14ac:dyDescent="0.25">
      <c r="A148" s="78">
        <v>46121</v>
      </c>
      <c r="C148" s="13" t="s">
        <v>343</v>
      </c>
      <c r="D148" s="30">
        <v>1</v>
      </c>
      <c r="E148" s="30">
        <v>29</v>
      </c>
      <c r="F148" s="30">
        <f t="shared" si="3"/>
        <v>29</v>
      </c>
      <c r="G148" s="30" t="s">
        <v>10</v>
      </c>
      <c r="H148" s="30"/>
    </row>
    <row r="149" spans="1:10" ht="30" x14ac:dyDescent="0.25">
      <c r="A149" s="78">
        <v>46121</v>
      </c>
      <c r="C149" s="13" t="s">
        <v>342</v>
      </c>
      <c r="D149" s="30">
        <v>1</v>
      </c>
      <c r="E149" s="30">
        <v>122</v>
      </c>
      <c r="F149" s="30">
        <f t="shared" si="3"/>
        <v>122</v>
      </c>
      <c r="G149" s="30" t="s">
        <v>10</v>
      </c>
      <c r="H149" s="30"/>
    </row>
    <row r="150" spans="1:10" x14ac:dyDescent="0.25">
      <c r="A150" s="78">
        <v>46121</v>
      </c>
      <c r="C150" s="13" t="s">
        <v>344</v>
      </c>
      <c r="D150" s="30">
        <v>1</v>
      </c>
      <c r="E150" s="30">
        <v>48</v>
      </c>
      <c r="F150" s="30">
        <f t="shared" si="3"/>
        <v>48</v>
      </c>
      <c r="G150" s="30" t="s">
        <v>10</v>
      </c>
      <c r="H150" s="30"/>
    </row>
    <row r="151" spans="1:10" x14ac:dyDescent="0.25">
      <c r="A151" s="78">
        <v>46121</v>
      </c>
      <c r="C151" s="33" t="s">
        <v>379</v>
      </c>
      <c r="D151" s="30">
        <v>2</v>
      </c>
      <c r="E151" s="30">
        <v>5</v>
      </c>
      <c r="F151" s="30">
        <f t="shared" si="3"/>
        <v>10</v>
      </c>
      <c r="G151" s="30" t="s">
        <v>9</v>
      </c>
      <c r="H151" s="30"/>
      <c r="I151" s="68">
        <f>SUM(F142:F159)</f>
        <v>602.5</v>
      </c>
    </row>
    <row r="152" spans="1:10" x14ac:dyDescent="0.25">
      <c r="A152" s="78">
        <v>46121</v>
      </c>
      <c r="C152" s="33" t="s">
        <v>347</v>
      </c>
      <c r="D152" s="30">
        <v>1</v>
      </c>
      <c r="E152" s="30">
        <v>10</v>
      </c>
      <c r="F152" s="30">
        <f t="shared" si="3"/>
        <v>10</v>
      </c>
      <c r="G152" s="30" t="s">
        <v>9</v>
      </c>
      <c r="H152" s="30"/>
      <c r="I152" s="68">
        <v>365</v>
      </c>
      <c r="J152" s="30">
        <f>I151-I152</f>
        <v>237.5</v>
      </c>
    </row>
    <row r="153" spans="1:10" x14ac:dyDescent="0.25">
      <c r="A153" s="78">
        <v>46121</v>
      </c>
      <c r="C153" s="33" t="s">
        <v>360</v>
      </c>
      <c r="D153" s="30">
        <v>1</v>
      </c>
      <c r="E153" s="30">
        <v>10</v>
      </c>
      <c r="F153" s="30">
        <f t="shared" si="3"/>
        <v>10</v>
      </c>
      <c r="G153" s="30" t="s">
        <v>9</v>
      </c>
      <c r="H153" s="30"/>
    </row>
    <row r="154" spans="1:10" x14ac:dyDescent="0.25">
      <c r="A154" s="78">
        <v>46121</v>
      </c>
      <c r="C154" s="33" t="s">
        <v>356</v>
      </c>
      <c r="D154" s="30">
        <v>1</v>
      </c>
      <c r="E154" s="30">
        <v>58</v>
      </c>
      <c r="F154" s="30">
        <f t="shared" si="3"/>
        <v>58</v>
      </c>
      <c r="G154" s="30" t="s">
        <v>16</v>
      </c>
      <c r="H154" s="30"/>
    </row>
    <row r="155" spans="1:10" ht="30" x14ac:dyDescent="0.25">
      <c r="A155" s="78">
        <v>46121</v>
      </c>
      <c r="C155" s="33" t="s">
        <v>361</v>
      </c>
      <c r="D155" s="30">
        <v>2</v>
      </c>
      <c r="E155" s="30">
        <v>10</v>
      </c>
      <c r="F155" s="30">
        <f t="shared" si="3"/>
        <v>20</v>
      </c>
      <c r="G155" s="30" t="s">
        <v>16</v>
      </c>
      <c r="H155" s="30"/>
    </row>
    <row r="156" spans="1:10" x14ac:dyDescent="0.25">
      <c r="A156" s="78">
        <v>46121</v>
      </c>
      <c r="C156" s="33" t="s">
        <v>154</v>
      </c>
      <c r="D156" s="30">
        <v>5</v>
      </c>
      <c r="E156" s="30">
        <v>1</v>
      </c>
      <c r="F156" s="30">
        <f t="shared" si="3"/>
        <v>5</v>
      </c>
      <c r="G156" s="30" t="s">
        <v>9</v>
      </c>
      <c r="H156" s="30"/>
    </row>
    <row r="157" spans="1:10" x14ac:dyDescent="0.25">
      <c r="A157" s="78">
        <v>46121</v>
      </c>
      <c r="C157" s="33" t="s">
        <v>375</v>
      </c>
      <c r="D157" s="30">
        <v>5</v>
      </c>
      <c r="E157" s="30">
        <v>1</v>
      </c>
      <c r="F157" s="30">
        <f t="shared" si="3"/>
        <v>5</v>
      </c>
      <c r="G157" s="30" t="s">
        <v>9</v>
      </c>
      <c r="H157" s="30"/>
    </row>
    <row r="158" spans="1:10" x14ac:dyDescent="0.25">
      <c r="A158" s="78">
        <v>46121</v>
      </c>
      <c r="C158" s="31" t="s">
        <v>325</v>
      </c>
      <c r="D158" s="30">
        <v>2</v>
      </c>
      <c r="E158" s="30">
        <v>15</v>
      </c>
      <c r="F158" s="30">
        <f t="shared" si="3"/>
        <v>30</v>
      </c>
      <c r="G158" s="30" t="s">
        <v>9</v>
      </c>
      <c r="H158" s="30"/>
    </row>
    <row r="159" spans="1:10" ht="30" x14ac:dyDescent="0.25">
      <c r="A159" s="78">
        <v>46121</v>
      </c>
      <c r="C159" s="31" t="s">
        <v>377</v>
      </c>
      <c r="D159" s="30">
        <v>2</v>
      </c>
      <c r="E159" s="30">
        <v>10</v>
      </c>
      <c r="F159" s="30">
        <f t="shared" si="3"/>
        <v>20</v>
      </c>
      <c r="G159" s="30" t="s">
        <v>9</v>
      </c>
      <c r="H159" s="30"/>
    </row>
    <row r="160" spans="1:10" x14ac:dyDescent="0.25">
      <c r="A160" s="78">
        <v>46122</v>
      </c>
      <c r="C160" s="33" t="s">
        <v>32</v>
      </c>
      <c r="D160" s="30">
        <v>9.7000000000000003E-2</v>
      </c>
      <c r="E160" s="30">
        <v>210</v>
      </c>
      <c r="F160" s="30">
        <f t="shared" si="3"/>
        <v>20.37</v>
      </c>
      <c r="G160" s="30" t="s">
        <v>9</v>
      </c>
      <c r="H160" s="30"/>
      <c r="J160" s="30" t="s">
        <v>391</v>
      </c>
    </row>
    <row r="161" spans="3:10" x14ac:dyDescent="0.25">
      <c r="C161" s="13" t="s">
        <v>345</v>
      </c>
      <c r="D161" s="30">
        <v>10</v>
      </c>
      <c r="E161" s="30">
        <v>1</v>
      </c>
      <c r="F161" s="30">
        <f t="shared" si="3"/>
        <v>10</v>
      </c>
      <c r="G161" s="30" t="s">
        <v>9</v>
      </c>
      <c r="H161" s="30"/>
      <c r="J161" s="30" t="s">
        <v>391</v>
      </c>
    </row>
    <row r="162" spans="3:10" x14ac:dyDescent="0.25">
      <c r="C162" s="33" t="s">
        <v>380</v>
      </c>
      <c r="D162" s="30">
        <v>1</v>
      </c>
      <c r="E162" s="30">
        <v>10</v>
      </c>
      <c r="F162" s="30">
        <f t="shared" si="3"/>
        <v>10</v>
      </c>
      <c r="G162" s="30" t="s">
        <v>9</v>
      </c>
      <c r="H162" s="30"/>
      <c r="J162" s="30" t="s">
        <v>391</v>
      </c>
    </row>
    <row r="163" spans="3:10" x14ac:dyDescent="0.25">
      <c r="C163" s="33" t="s">
        <v>346</v>
      </c>
      <c r="D163" s="30">
        <v>2</v>
      </c>
      <c r="E163" s="30">
        <v>5</v>
      </c>
      <c r="F163" s="30">
        <f t="shared" si="3"/>
        <v>10</v>
      </c>
      <c r="G163" s="30" t="s">
        <v>9</v>
      </c>
      <c r="H163" s="30"/>
      <c r="J163" s="30" t="s">
        <v>391</v>
      </c>
    </row>
    <row r="164" spans="3:10" x14ac:dyDescent="0.25">
      <c r="C164" s="33" t="s">
        <v>381</v>
      </c>
      <c r="D164" s="30">
        <v>1</v>
      </c>
      <c r="E164" s="30">
        <v>18</v>
      </c>
      <c r="F164" s="30">
        <f t="shared" si="3"/>
        <v>18</v>
      </c>
      <c r="G164" s="30" t="s">
        <v>9</v>
      </c>
      <c r="H164" s="30"/>
      <c r="I164" s="139">
        <f>SUM(F160:F166)</f>
        <v>440.37</v>
      </c>
      <c r="J164" s="30" t="s">
        <v>391</v>
      </c>
    </row>
    <row r="165" spans="3:10" x14ac:dyDescent="0.25">
      <c r="C165" s="33" t="s">
        <v>154</v>
      </c>
      <c r="D165" s="30">
        <v>2</v>
      </c>
      <c r="E165" s="30">
        <v>1</v>
      </c>
      <c r="F165" s="30">
        <f t="shared" si="3"/>
        <v>2</v>
      </c>
      <c r="G165" s="30" t="s">
        <v>9</v>
      </c>
      <c r="H165" s="30"/>
      <c r="J165" s="30" t="s">
        <v>391</v>
      </c>
    </row>
    <row r="166" spans="3:10" ht="30" x14ac:dyDescent="0.25">
      <c r="C166" s="33" t="s">
        <v>382</v>
      </c>
      <c r="D166" s="30">
        <v>2</v>
      </c>
      <c r="E166" s="30">
        <v>185</v>
      </c>
      <c r="F166" s="30">
        <f t="shared" si="3"/>
        <v>370</v>
      </c>
      <c r="G166" s="30" t="s">
        <v>9</v>
      </c>
      <c r="H166" s="30"/>
      <c r="I166" s="68">
        <v>448</v>
      </c>
      <c r="J166" s="30" t="s">
        <v>391</v>
      </c>
    </row>
    <row r="167" spans="3:10" ht="30" x14ac:dyDescent="0.25">
      <c r="C167" s="33" t="s">
        <v>363</v>
      </c>
      <c r="D167" s="30">
        <v>2</v>
      </c>
      <c r="E167" s="30">
        <v>5</v>
      </c>
      <c r="F167" s="30">
        <f t="shared" si="3"/>
        <v>10</v>
      </c>
      <c r="J167" s="30" t="s">
        <v>392</v>
      </c>
    </row>
    <row r="168" spans="3:10" x14ac:dyDescent="0.25">
      <c r="C168" s="33" t="s">
        <v>390</v>
      </c>
      <c r="D168" s="30">
        <v>1</v>
      </c>
      <c r="E168" s="30">
        <v>5</v>
      </c>
      <c r="F168" s="30">
        <f t="shared" si="3"/>
        <v>5</v>
      </c>
      <c r="J168" s="30" t="s">
        <v>392</v>
      </c>
    </row>
    <row r="169" spans="3:10" x14ac:dyDescent="0.25">
      <c r="C169" s="33" t="s">
        <v>154</v>
      </c>
      <c r="D169" s="30">
        <v>5</v>
      </c>
      <c r="E169" s="30">
        <v>1</v>
      </c>
      <c r="F169" s="30">
        <f t="shared" si="3"/>
        <v>5</v>
      </c>
      <c r="I169" s="139">
        <f>SUM(F167:F169,F171,F172,F173,F174,F175,F176)</f>
        <v>375</v>
      </c>
      <c r="J169" s="30" t="s">
        <v>392</v>
      </c>
    </row>
    <row r="170" spans="3:10" x14ac:dyDescent="0.25">
      <c r="C170" s="19" t="s">
        <v>388</v>
      </c>
      <c r="D170" s="30">
        <v>30</v>
      </c>
      <c r="E170" s="30">
        <v>7.3</v>
      </c>
      <c r="F170" s="30">
        <v>210</v>
      </c>
      <c r="G170" s="30" t="s">
        <v>10</v>
      </c>
      <c r="J170" s="30" t="s">
        <v>392</v>
      </c>
    </row>
    <row r="171" spans="3:10" x14ac:dyDescent="0.25">
      <c r="C171" s="33" t="s">
        <v>324</v>
      </c>
      <c r="D171" s="30">
        <v>1</v>
      </c>
      <c r="E171" s="30">
        <v>57</v>
      </c>
      <c r="F171" s="30">
        <f t="shared" si="3"/>
        <v>57</v>
      </c>
      <c r="G171" s="30" t="s">
        <v>16</v>
      </c>
      <c r="I171" s="68">
        <v>57</v>
      </c>
      <c r="J171" s="30" t="s">
        <v>392</v>
      </c>
    </row>
    <row r="172" spans="3:10" x14ac:dyDescent="0.25">
      <c r="C172" s="33" t="s">
        <v>8</v>
      </c>
      <c r="D172" s="30">
        <v>1</v>
      </c>
      <c r="E172" s="30">
        <v>30</v>
      </c>
      <c r="F172" s="30">
        <f t="shared" si="3"/>
        <v>30</v>
      </c>
      <c r="G172" s="30" t="s">
        <v>9</v>
      </c>
      <c r="J172" s="30" t="s">
        <v>392</v>
      </c>
    </row>
    <row r="173" spans="3:10" x14ac:dyDescent="0.25">
      <c r="C173" s="33" t="s">
        <v>388</v>
      </c>
      <c r="D173" s="30">
        <v>12</v>
      </c>
      <c r="E173" s="30">
        <v>7.5</v>
      </c>
      <c r="F173" s="30">
        <f t="shared" si="3"/>
        <v>90</v>
      </c>
      <c r="G173" s="30" t="s">
        <v>9</v>
      </c>
      <c r="J173" s="30" t="s">
        <v>392</v>
      </c>
    </row>
    <row r="174" spans="3:10" x14ac:dyDescent="0.25">
      <c r="C174" s="19" t="s">
        <v>385</v>
      </c>
      <c r="D174" s="30">
        <v>1</v>
      </c>
      <c r="E174" s="30">
        <v>10</v>
      </c>
      <c r="F174" s="30">
        <f t="shared" si="3"/>
        <v>10</v>
      </c>
      <c r="G174" s="30" t="s">
        <v>9</v>
      </c>
      <c r="J174" s="30" t="s">
        <v>392</v>
      </c>
    </row>
    <row r="175" spans="3:10" x14ac:dyDescent="0.25">
      <c r="C175" s="19" t="s">
        <v>389</v>
      </c>
      <c r="D175" s="30">
        <v>12</v>
      </c>
      <c r="E175" s="30">
        <v>9</v>
      </c>
      <c r="F175" s="30">
        <f t="shared" si="3"/>
        <v>108</v>
      </c>
      <c r="G175" s="30" t="s">
        <v>9</v>
      </c>
      <c r="J175" s="30" t="s">
        <v>392</v>
      </c>
    </row>
    <row r="176" spans="3:10" x14ac:dyDescent="0.25">
      <c r="C176" s="33" t="s">
        <v>360</v>
      </c>
      <c r="D176" s="30">
        <v>6</v>
      </c>
      <c r="E176" s="30">
        <v>10</v>
      </c>
      <c r="F176" s="30">
        <f t="shared" si="3"/>
        <v>60</v>
      </c>
      <c r="G176" s="30" t="s">
        <v>9</v>
      </c>
      <c r="J176" s="30" t="s">
        <v>392</v>
      </c>
    </row>
    <row r="177" spans="1:12" s="67" customFormat="1" ht="18.75" x14ac:dyDescent="0.3">
      <c r="A177" s="261" t="s">
        <v>394</v>
      </c>
      <c r="B177" s="262"/>
      <c r="C177" s="263"/>
      <c r="D177" s="262"/>
      <c r="E177" s="262"/>
      <c r="F177" s="262"/>
      <c r="G177" s="262"/>
      <c r="H177" s="262"/>
      <c r="I177" s="64">
        <f>SUM(F160:F176)</f>
        <v>1025.3699999999999</v>
      </c>
      <c r="J177" s="65"/>
      <c r="K177" s="65"/>
      <c r="L177" s="66"/>
    </row>
    <row r="178" spans="1:12" x14ac:dyDescent="0.25">
      <c r="A178" s="78">
        <v>46123</v>
      </c>
      <c r="B178" s="68" t="s">
        <v>7</v>
      </c>
      <c r="C178" s="33" t="s">
        <v>352</v>
      </c>
      <c r="D178" s="30">
        <v>2</v>
      </c>
      <c r="E178" s="30">
        <v>10</v>
      </c>
      <c r="F178" s="30">
        <f t="shared" si="3"/>
        <v>20</v>
      </c>
      <c r="G178" s="30" t="s">
        <v>9</v>
      </c>
      <c r="J178" s="30" t="s">
        <v>391</v>
      </c>
    </row>
    <row r="179" spans="1:12" x14ac:dyDescent="0.25">
      <c r="C179" s="33" t="s">
        <v>395</v>
      </c>
      <c r="D179" s="30">
        <v>1</v>
      </c>
      <c r="E179" s="30">
        <v>4.5</v>
      </c>
      <c r="F179" s="30">
        <f t="shared" si="3"/>
        <v>4.5</v>
      </c>
      <c r="G179" s="30" t="s">
        <v>9</v>
      </c>
      <c r="J179" s="30" t="s">
        <v>391</v>
      </c>
    </row>
    <row r="180" spans="1:12" x14ac:dyDescent="0.25">
      <c r="C180" s="19" t="s">
        <v>389</v>
      </c>
      <c r="D180" s="30">
        <v>4</v>
      </c>
      <c r="E180" s="30">
        <v>9</v>
      </c>
      <c r="F180" s="30">
        <f t="shared" si="3"/>
        <v>36</v>
      </c>
      <c r="G180" s="30" t="s">
        <v>9</v>
      </c>
      <c r="J180" s="30" t="s">
        <v>391</v>
      </c>
    </row>
    <row r="181" spans="1:12" x14ac:dyDescent="0.25">
      <c r="C181" s="19" t="s">
        <v>388</v>
      </c>
      <c r="D181" s="30">
        <v>4</v>
      </c>
      <c r="E181" s="30">
        <v>7.5</v>
      </c>
      <c r="F181" s="30">
        <f t="shared" si="3"/>
        <v>30</v>
      </c>
      <c r="G181" s="30" t="s">
        <v>9</v>
      </c>
      <c r="J181" s="30" t="s">
        <v>391</v>
      </c>
    </row>
    <row r="182" spans="1:12" x14ac:dyDescent="0.25">
      <c r="C182" s="33" t="s">
        <v>348</v>
      </c>
      <c r="D182" s="30">
        <v>4</v>
      </c>
      <c r="E182" s="30">
        <v>1</v>
      </c>
      <c r="F182" s="30">
        <f t="shared" si="3"/>
        <v>4</v>
      </c>
      <c r="G182" s="30" t="s">
        <v>9</v>
      </c>
      <c r="J182" s="30" t="s">
        <v>391</v>
      </c>
    </row>
    <row r="183" spans="1:12" x14ac:dyDescent="0.25">
      <c r="C183" s="33" t="s">
        <v>322</v>
      </c>
      <c r="D183" s="30">
        <v>1</v>
      </c>
      <c r="E183" s="30">
        <v>70</v>
      </c>
      <c r="F183" s="30">
        <f t="shared" si="3"/>
        <v>70</v>
      </c>
      <c r="G183" s="30" t="s">
        <v>9</v>
      </c>
      <c r="I183" s="139">
        <f>SUM(F178:F186)</f>
        <v>214.5</v>
      </c>
      <c r="J183" s="30" t="s">
        <v>391</v>
      </c>
    </row>
    <row r="184" spans="1:12" x14ac:dyDescent="0.25">
      <c r="C184" s="33" t="s">
        <v>43</v>
      </c>
      <c r="D184" s="30">
        <v>2</v>
      </c>
      <c r="E184" s="30">
        <v>5</v>
      </c>
      <c r="F184" s="30">
        <f t="shared" si="3"/>
        <v>10</v>
      </c>
      <c r="G184" s="30" t="s">
        <v>9</v>
      </c>
      <c r="J184" s="30" t="s">
        <v>391</v>
      </c>
    </row>
    <row r="185" spans="1:12" ht="30" x14ac:dyDescent="0.25">
      <c r="C185" s="33" t="s">
        <v>396</v>
      </c>
      <c r="D185" s="30">
        <v>2</v>
      </c>
      <c r="E185" s="30">
        <v>10</v>
      </c>
      <c r="F185" s="30">
        <f t="shared" si="3"/>
        <v>20</v>
      </c>
      <c r="G185" s="30" t="s">
        <v>9</v>
      </c>
      <c r="J185" s="30" t="s">
        <v>391</v>
      </c>
    </row>
    <row r="186" spans="1:12" ht="30" x14ac:dyDescent="0.25">
      <c r="C186" s="33" t="s">
        <v>377</v>
      </c>
      <c r="D186" s="30">
        <v>2</v>
      </c>
      <c r="E186" s="30">
        <v>10</v>
      </c>
      <c r="F186" s="30">
        <f t="shared" si="3"/>
        <v>20</v>
      </c>
      <c r="G186" s="30" t="s">
        <v>9</v>
      </c>
      <c r="J186" s="30" t="s">
        <v>391</v>
      </c>
    </row>
    <row r="187" spans="1:12" x14ac:dyDescent="0.25">
      <c r="C187" s="19" t="s">
        <v>419</v>
      </c>
      <c r="D187" s="30">
        <v>4</v>
      </c>
      <c r="E187" s="30">
        <v>10</v>
      </c>
      <c r="F187" s="30">
        <f t="shared" si="3"/>
        <v>40</v>
      </c>
      <c r="G187" s="30" t="s">
        <v>9</v>
      </c>
      <c r="I187" s="139">
        <f>SUM(F187:F196)</f>
        <v>414</v>
      </c>
      <c r="J187" s="30" t="s">
        <v>392</v>
      </c>
    </row>
    <row r="188" spans="1:12" ht="30" x14ac:dyDescent="0.25">
      <c r="C188" s="33" t="s">
        <v>426</v>
      </c>
      <c r="D188" s="30">
        <v>2</v>
      </c>
      <c r="E188" s="30">
        <v>10</v>
      </c>
      <c r="F188" s="30">
        <f t="shared" si="3"/>
        <v>20</v>
      </c>
      <c r="G188" s="30" t="s">
        <v>9</v>
      </c>
      <c r="J188" s="30" t="s">
        <v>392</v>
      </c>
    </row>
    <row r="189" spans="1:12" x14ac:dyDescent="0.25">
      <c r="C189" s="19" t="s">
        <v>417</v>
      </c>
      <c r="D189" s="30">
        <v>1</v>
      </c>
      <c r="E189" s="30">
        <v>39</v>
      </c>
      <c r="F189" s="30">
        <f t="shared" si="3"/>
        <v>39</v>
      </c>
      <c r="G189" s="30" t="s">
        <v>10</v>
      </c>
      <c r="J189" s="30" t="s">
        <v>392</v>
      </c>
    </row>
    <row r="190" spans="1:12" x14ac:dyDescent="0.25">
      <c r="C190" s="19" t="s">
        <v>417</v>
      </c>
      <c r="D190" s="30">
        <v>1</v>
      </c>
      <c r="E190" s="30">
        <v>39</v>
      </c>
      <c r="F190" s="30">
        <f t="shared" si="3"/>
        <v>39</v>
      </c>
      <c r="G190" s="30" t="s">
        <v>9</v>
      </c>
      <c r="J190" s="30" t="s">
        <v>392</v>
      </c>
    </row>
    <row r="191" spans="1:12" ht="30" x14ac:dyDescent="0.25">
      <c r="C191" s="33" t="s">
        <v>434</v>
      </c>
      <c r="D191" s="30">
        <v>1</v>
      </c>
      <c r="E191" s="30">
        <v>20</v>
      </c>
      <c r="F191" s="30">
        <f t="shared" si="3"/>
        <v>20</v>
      </c>
      <c r="G191" s="30" t="s">
        <v>9</v>
      </c>
      <c r="J191" s="30" t="s">
        <v>392</v>
      </c>
    </row>
    <row r="192" spans="1:12" x14ac:dyDescent="0.25">
      <c r="C192" s="33" t="s">
        <v>435</v>
      </c>
      <c r="D192" s="30">
        <v>3</v>
      </c>
      <c r="E192" s="30">
        <v>1</v>
      </c>
      <c r="F192" s="30">
        <f t="shared" si="3"/>
        <v>3</v>
      </c>
      <c r="G192" s="30" t="s">
        <v>9</v>
      </c>
      <c r="J192" s="30" t="s">
        <v>392</v>
      </c>
    </row>
    <row r="193" spans="1:10" x14ac:dyDescent="0.25">
      <c r="C193" s="33" t="s">
        <v>436</v>
      </c>
      <c r="D193" s="30">
        <v>2</v>
      </c>
      <c r="E193" s="30">
        <v>1</v>
      </c>
      <c r="F193" s="30">
        <f t="shared" si="3"/>
        <v>2</v>
      </c>
      <c r="G193" s="30" t="s">
        <v>9</v>
      </c>
      <c r="J193" s="30" t="s">
        <v>392</v>
      </c>
    </row>
    <row r="194" spans="1:10" x14ac:dyDescent="0.25">
      <c r="C194" s="33" t="s">
        <v>436</v>
      </c>
      <c r="D194" s="30">
        <v>2</v>
      </c>
      <c r="E194" s="30">
        <v>1</v>
      </c>
      <c r="F194" s="30">
        <f t="shared" si="3"/>
        <v>2</v>
      </c>
      <c r="G194" s="30" t="s">
        <v>16</v>
      </c>
      <c r="J194" s="30" t="s">
        <v>392</v>
      </c>
    </row>
    <row r="195" spans="1:10" x14ac:dyDescent="0.25">
      <c r="C195" s="33" t="s">
        <v>369</v>
      </c>
      <c r="D195" s="30">
        <v>1</v>
      </c>
      <c r="E195" s="30">
        <v>60</v>
      </c>
      <c r="F195" s="30">
        <f t="shared" si="3"/>
        <v>60</v>
      </c>
      <c r="G195" s="30" t="s">
        <v>10</v>
      </c>
      <c r="J195" s="30" t="s">
        <v>392</v>
      </c>
    </row>
    <row r="196" spans="1:10" x14ac:dyDescent="0.25">
      <c r="C196" s="33" t="s">
        <v>388</v>
      </c>
      <c r="D196" s="30">
        <v>30</v>
      </c>
      <c r="E196" s="30">
        <v>6.3</v>
      </c>
      <c r="F196" s="30">
        <f t="shared" si="3"/>
        <v>189</v>
      </c>
      <c r="G196" s="30" t="s">
        <v>9</v>
      </c>
      <c r="J196" s="30" t="s">
        <v>392</v>
      </c>
    </row>
    <row r="197" spans="1:10" s="69" customFormat="1" ht="18.75" x14ac:dyDescent="0.3">
      <c r="A197" s="261" t="s">
        <v>437</v>
      </c>
      <c r="B197" s="262"/>
      <c r="C197" s="263"/>
      <c r="D197" s="262"/>
      <c r="E197" s="262"/>
      <c r="F197" s="262"/>
      <c r="G197" s="262"/>
      <c r="H197" s="264"/>
      <c r="I197" s="69">
        <f>SUM(I183,I187)</f>
        <v>628.5</v>
      </c>
    </row>
    <row r="198" spans="1:10" x14ac:dyDescent="0.25">
      <c r="A198" s="78">
        <v>46124</v>
      </c>
      <c r="C198" s="33" t="s">
        <v>438</v>
      </c>
      <c r="D198" s="30">
        <v>1</v>
      </c>
      <c r="E198" s="30">
        <v>10</v>
      </c>
      <c r="F198" s="30">
        <f t="shared" si="3"/>
        <v>10</v>
      </c>
      <c r="G198" s="30" t="s">
        <v>9</v>
      </c>
      <c r="J198" s="30" t="s">
        <v>391</v>
      </c>
    </row>
    <row r="199" spans="1:10" x14ac:dyDescent="0.25">
      <c r="C199" s="19" t="s">
        <v>419</v>
      </c>
      <c r="D199" s="30">
        <v>1</v>
      </c>
      <c r="E199" s="30">
        <v>10</v>
      </c>
      <c r="F199" s="30">
        <f t="shared" si="3"/>
        <v>10</v>
      </c>
      <c r="G199" s="30" t="s">
        <v>9</v>
      </c>
      <c r="J199" s="30" t="s">
        <v>391</v>
      </c>
    </row>
    <row r="200" spans="1:10" x14ac:dyDescent="0.25">
      <c r="C200" s="19" t="str">
        <f>'Stock Register'!A178</f>
        <v>SISTER RED CHILLI POWDER 40 GM</v>
      </c>
      <c r="D200" s="30">
        <v>1</v>
      </c>
      <c r="E200" s="30">
        <v>10</v>
      </c>
      <c r="F200" s="30">
        <f t="shared" si="3"/>
        <v>10</v>
      </c>
      <c r="G200" s="30" t="s">
        <v>9</v>
      </c>
      <c r="J200" s="30" t="s">
        <v>391</v>
      </c>
    </row>
    <row r="201" spans="1:10" x14ac:dyDescent="0.25">
      <c r="C201" s="19" t="s">
        <v>417</v>
      </c>
      <c r="D201" s="30">
        <v>1</v>
      </c>
      <c r="E201" s="30">
        <v>39</v>
      </c>
      <c r="F201" s="30">
        <f t="shared" si="3"/>
        <v>39</v>
      </c>
      <c r="G201" s="30" t="s">
        <v>9</v>
      </c>
      <c r="J201" s="30" t="s">
        <v>391</v>
      </c>
    </row>
    <row r="202" spans="1:10" x14ac:dyDescent="0.25">
      <c r="C202" s="33" t="s">
        <v>19</v>
      </c>
      <c r="D202" s="30">
        <v>1</v>
      </c>
      <c r="E202" s="30">
        <v>10</v>
      </c>
      <c r="F202" s="30">
        <f t="shared" si="3"/>
        <v>10</v>
      </c>
      <c r="G202" s="30" t="s">
        <v>9</v>
      </c>
      <c r="J202" s="30" t="s">
        <v>391</v>
      </c>
    </row>
    <row r="203" spans="1:10" x14ac:dyDescent="0.25">
      <c r="C203" s="33" t="s">
        <v>19</v>
      </c>
      <c r="D203" s="30">
        <v>1</v>
      </c>
      <c r="E203" s="30">
        <v>10</v>
      </c>
      <c r="F203" s="30">
        <f t="shared" si="3"/>
        <v>10</v>
      </c>
      <c r="G203" s="30" t="s">
        <v>9</v>
      </c>
      <c r="J203" s="30" t="s">
        <v>391</v>
      </c>
    </row>
    <row r="204" spans="1:10" x14ac:dyDescent="0.25">
      <c r="C204" s="33" t="s">
        <v>388</v>
      </c>
      <c r="D204" s="30">
        <v>4</v>
      </c>
      <c r="E204" s="30">
        <v>7.5</v>
      </c>
      <c r="F204" s="30">
        <f t="shared" si="3"/>
        <v>30</v>
      </c>
      <c r="G204" s="30" t="s">
        <v>9</v>
      </c>
      <c r="I204" s="139">
        <f>SUM(F198:F204)</f>
        <v>119</v>
      </c>
      <c r="J204" s="30" t="s">
        <v>391</v>
      </c>
    </row>
    <row r="205" spans="1:10" x14ac:dyDescent="0.25">
      <c r="C205" s="19" t="str">
        <f>PA!A192</f>
        <v>SISTER RED CHILLI POWDER 40 GM</v>
      </c>
      <c r="D205" s="30">
        <v>1</v>
      </c>
      <c r="E205" s="30">
        <v>10</v>
      </c>
      <c r="F205" s="30">
        <f t="shared" si="3"/>
        <v>10</v>
      </c>
      <c r="G205" s="30" t="s">
        <v>9</v>
      </c>
      <c r="J205" s="30" t="s">
        <v>392</v>
      </c>
    </row>
    <row r="206" spans="1:10" x14ac:dyDescent="0.25">
      <c r="C206" s="19" t="str">
        <f>PA!A191</f>
        <v>SISTER RED CHILLI POWDER 250 GM</v>
      </c>
      <c r="D206" s="30">
        <v>1</v>
      </c>
      <c r="E206" s="30">
        <v>10</v>
      </c>
      <c r="F206" s="30">
        <f t="shared" si="3"/>
        <v>10</v>
      </c>
      <c r="G206" s="30" t="s">
        <v>9</v>
      </c>
      <c r="J206" s="30" t="s">
        <v>392</v>
      </c>
    </row>
    <row r="207" spans="1:10" x14ac:dyDescent="0.25">
      <c r="C207" s="33" t="s">
        <v>385</v>
      </c>
      <c r="D207" s="30">
        <v>1</v>
      </c>
      <c r="E207" s="30">
        <v>10</v>
      </c>
      <c r="F207" s="30">
        <f t="shared" si="3"/>
        <v>10</v>
      </c>
      <c r="G207" s="30" t="s">
        <v>9</v>
      </c>
      <c r="J207" s="30" t="s">
        <v>392</v>
      </c>
    </row>
    <row r="208" spans="1:10" x14ac:dyDescent="0.25">
      <c r="C208" s="19" t="str">
        <f>PA!A196</f>
        <v>SISTER TURMERIC POWDER 40 GM</v>
      </c>
      <c r="D208" s="30">
        <v>1</v>
      </c>
      <c r="E208" s="30">
        <v>10</v>
      </c>
      <c r="F208" s="30">
        <f t="shared" si="3"/>
        <v>10</v>
      </c>
      <c r="G208" s="30" t="s">
        <v>9</v>
      </c>
      <c r="J208" s="30" t="s">
        <v>392</v>
      </c>
    </row>
    <row r="209" spans="3:10" x14ac:dyDescent="0.25">
      <c r="C209" s="33" t="s">
        <v>389</v>
      </c>
      <c r="D209" s="30">
        <v>5</v>
      </c>
      <c r="E209" s="30">
        <v>9</v>
      </c>
      <c r="F209" s="30">
        <f t="shared" si="3"/>
        <v>45</v>
      </c>
      <c r="G209" s="30" t="s">
        <v>9</v>
      </c>
      <c r="J209" s="30" t="s">
        <v>392</v>
      </c>
    </row>
    <row r="210" spans="3:10" x14ac:dyDescent="0.25">
      <c r="C210" s="33" t="s">
        <v>352</v>
      </c>
      <c r="D210" s="30">
        <v>1</v>
      </c>
      <c r="E210" s="30">
        <v>10</v>
      </c>
      <c r="F210" s="30">
        <f t="shared" si="3"/>
        <v>10</v>
      </c>
      <c r="G210" s="30" t="s">
        <v>9</v>
      </c>
      <c r="J210" s="30" t="s">
        <v>392</v>
      </c>
    </row>
    <row r="211" spans="3:10" x14ac:dyDescent="0.25">
      <c r="C211" s="33" t="s">
        <v>385</v>
      </c>
      <c r="D211" s="30">
        <v>1</v>
      </c>
      <c r="E211" s="30">
        <v>10</v>
      </c>
      <c r="F211" s="30">
        <f t="shared" si="3"/>
        <v>10</v>
      </c>
      <c r="G211" s="30" t="s">
        <v>9</v>
      </c>
      <c r="J211" s="30" t="s">
        <v>392</v>
      </c>
    </row>
    <row r="212" spans="3:10" x14ac:dyDescent="0.25">
      <c r="C212" s="33" t="s">
        <v>440</v>
      </c>
      <c r="D212" s="30">
        <v>1</v>
      </c>
      <c r="E212" s="30">
        <v>5</v>
      </c>
      <c r="F212" s="30">
        <f t="shared" ref="F212:F226" si="4">D212*E212</f>
        <v>5</v>
      </c>
      <c r="G212" s="30" t="s">
        <v>10</v>
      </c>
      <c r="J212" s="30" t="s">
        <v>392</v>
      </c>
    </row>
    <row r="213" spans="3:10" x14ac:dyDescent="0.25">
      <c r="C213" s="33" t="s">
        <v>438</v>
      </c>
      <c r="D213" s="30">
        <v>1</v>
      </c>
      <c r="E213" s="30">
        <v>10</v>
      </c>
      <c r="F213" s="30">
        <f t="shared" si="4"/>
        <v>10</v>
      </c>
      <c r="G213" s="30" t="s">
        <v>10</v>
      </c>
      <c r="J213" s="30" t="s">
        <v>392</v>
      </c>
    </row>
    <row r="214" spans="3:10" x14ac:dyDescent="0.25">
      <c r="C214" s="19" t="str">
        <f>PA!A197</f>
        <v>SMALL PAPER PLATE LOT 1</v>
      </c>
      <c r="D214" s="30">
        <v>1</v>
      </c>
      <c r="E214" s="30">
        <v>10</v>
      </c>
      <c r="F214" s="30">
        <f t="shared" si="4"/>
        <v>10</v>
      </c>
      <c r="G214" s="30" t="s">
        <v>10</v>
      </c>
      <c r="J214" s="30" t="s">
        <v>392</v>
      </c>
    </row>
    <row r="215" spans="3:10" x14ac:dyDescent="0.25">
      <c r="C215" s="33" t="s">
        <v>386</v>
      </c>
      <c r="D215" s="30">
        <v>1</v>
      </c>
      <c r="E215" s="30">
        <v>10</v>
      </c>
      <c r="F215" s="30">
        <f t="shared" si="4"/>
        <v>10</v>
      </c>
      <c r="G215" s="30" t="s">
        <v>10</v>
      </c>
      <c r="J215" s="30" t="s">
        <v>392</v>
      </c>
    </row>
    <row r="216" spans="3:10" x14ac:dyDescent="0.25">
      <c r="C216" s="19" t="str">
        <f>PA!A196</f>
        <v>SISTER TURMERIC POWDER 40 GM</v>
      </c>
      <c r="D216" s="30">
        <v>2</v>
      </c>
      <c r="E216" s="30">
        <v>10</v>
      </c>
      <c r="F216" s="30">
        <f t="shared" si="4"/>
        <v>20</v>
      </c>
      <c r="G216" s="30" t="s">
        <v>9</v>
      </c>
      <c r="J216" s="30" t="s">
        <v>392</v>
      </c>
    </row>
    <row r="217" spans="3:10" x14ac:dyDescent="0.25">
      <c r="C217" s="19" t="s">
        <v>420</v>
      </c>
      <c r="D217" s="30">
        <v>1</v>
      </c>
      <c r="E217" s="30">
        <v>10</v>
      </c>
      <c r="F217" s="30">
        <f t="shared" si="4"/>
        <v>10</v>
      </c>
      <c r="G217" s="30" t="s">
        <v>9</v>
      </c>
      <c r="J217" s="30" t="s">
        <v>392</v>
      </c>
    </row>
    <row r="218" spans="3:10" x14ac:dyDescent="0.25">
      <c r="C218" s="19" t="s">
        <v>424</v>
      </c>
      <c r="D218" s="30">
        <v>1</v>
      </c>
      <c r="E218" s="30">
        <v>20</v>
      </c>
      <c r="F218" s="30">
        <f t="shared" si="4"/>
        <v>20</v>
      </c>
      <c r="G218" s="30" t="s">
        <v>9</v>
      </c>
      <c r="J218" s="30" t="s">
        <v>392</v>
      </c>
    </row>
    <row r="219" spans="3:10" x14ac:dyDescent="0.25">
      <c r="C219" s="33" t="s">
        <v>441</v>
      </c>
      <c r="D219" s="30">
        <v>1</v>
      </c>
      <c r="E219" s="30">
        <v>20</v>
      </c>
      <c r="F219" s="30">
        <f t="shared" si="4"/>
        <v>20</v>
      </c>
      <c r="G219" s="30" t="s">
        <v>9</v>
      </c>
      <c r="J219" s="30" t="s">
        <v>392</v>
      </c>
    </row>
    <row r="220" spans="3:10" x14ac:dyDescent="0.25">
      <c r="C220" s="19" t="str">
        <f>PA!A187</f>
        <v>SISTER CORIANDER POWDER 40 GM</v>
      </c>
      <c r="D220" s="30">
        <v>1</v>
      </c>
      <c r="E220" s="30">
        <v>10</v>
      </c>
      <c r="F220" s="30">
        <f t="shared" si="4"/>
        <v>10</v>
      </c>
      <c r="G220" s="30" t="s">
        <v>9</v>
      </c>
      <c r="J220" s="30" t="s">
        <v>392</v>
      </c>
    </row>
    <row r="221" spans="3:10" ht="30" x14ac:dyDescent="0.25">
      <c r="C221" s="33" t="s">
        <v>376</v>
      </c>
      <c r="D221" s="30">
        <v>16</v>
      </c>
      <c r="E221" s="30">
        <v>2</v>
      </c>
      <c r="F221" s="30">
        <f t="shared" si="4"/>
        <v>32</v>
      </c>
      <c r="G221" s="30" t="s">
        <v>10</v>
      </c>
      <c r="J221" s="30" t="s">
        <v>392</v>
      </c>
    </row>
    <row r="222" spans="3:10" x14ac:dyDescent="0.25">
      <c r="C222" s="33" t="s">
        <v>389</v>
      </c>
      <c r="D222" s="30">
        <v>1</v>
      </c>
      <c r="E222" s="30">
        <v>9</v>
      </c>
      <c r="F222" s="30">
        <f t="shared" si="4"/>
        <v>9</v>
      </c>
      <c r="G222" s="30" t="s">
        <v>10</v>
      </c>
      <c r="J222" s="30" t="s">
        <v>392</v>
      </c>
    </row>
    <row r="223" spans="3:10" x14ac:dyDescent="0.25">
      <c r="C223" s="33" t="s">
        <v>385</v>
      </c>
      <c r="D223" s="30">
        <v>2</v>
      </c>
      <c r="E223" s="30">
        <v>10</v>
      </c>
      <c r="F223" s="30">
        <f t="shared" si="4"/>
        <v>20</v>
      </c>
      <c r="G223" s="30" t="s">
        <v>9</v>
      </c>
      <c r="J223" s="30" t="s">
        <v>392</v>
      </c>
    </row>
    <row r="224" spans="3:10" ht="30" x14ac:dyDescent="0.25">
      <c r="C224" s="19" t="s">
        <v>428</v>
      </c>
      <c r="D224" s="30">
        <v>2</v>
      </c>
      <c r="E224" s="30">
        <v>10</v>
      </c>
      <c r="F224" s="30">
        <f t="shared" si="4"/>
        <v>20</v>
      </c>
      <c r="G224" s="30" t="s">
        <v>9</v>
      </c>
      <c r="J224" s="30" t="s">
        <v>392</v>
      </c>
    </row>
    <row r="225" spans="1:10" ht="30" x14ac:dyDescent="0.25">
      <c r="C225" s="33" t="s">
        <v>428</v>
      </c>
      <c r="D225" s="30">
        <v>1</v>
      </c>
      <c r="E225" s="30">
        <v>10</v>
      </c>
      <c r="F225" s="30">
        <f t="shared" si="4"/>
        <v>10</v>
      </c>
      <c r="G225" s="30" t="s">
        <v>10</v>
      </c>
      <c r="J225" s="30" t="s">
        <v>392</v>
      </c>
    </row>
    <row r="226" spans="1:10" x14ac:dyDescent="0.25">
      <c r="C226" s="19" t="s">
        <v>414</v>
      </c>
      <c r="D226" s="30">
        <v>1</v>
      </c>
      <c r="E226" s="30">
        <v>35</v>
      </c>
      <c r="F226" s="30">
        <f t="shared" si="4"/>
        <v>35</v>
      </c>
      <c r="G226" s="30" t="s">
        <v>10</v>
      </c>
      <c r="J226" s="30" t="s">
        <v>392</v>
      </c>
    </row>
    <row r="227" spans="1:10" ht="30" x14ac:dyDescent="0.25">
      <c r="C227" s="33" t="s">
        <v>443</v>
      </c>
      <c r="D227" s="30">
        <v>1</v>
      </c>
      <c r="E227" s="30">
        <v>155</v>
      </c>
      <c r="F227" s="30">
        <v>154</v>
      </c>
      <c r="G227" s="30" t="s">
        <v>10</v>
      </c>
      <c r="J227" s="30" t="s">
        <v>392</v>
      </c>
    </row>
    <row r="228" spans="1:10" x14ac:dyDescent="0.25">
      <c r="C228" s="33" t="s">
        <v>389</v>
      </c>
      <c r="D228" s="30">
        <v>30</v>
      </c>
      <c r="E228" s="30">
        <v>7.7</v>
      </c>
      <c r="F228" s="30">
        <v>230</v>
      </c>
      <c r="G228" s="30" t="s">
        <v>10</v>
      </c>
      <c r="J228" s="30" t="s">
        <v>392</v>
      </c>
    </row>
    <row r="229" spans="1:10" ht="30" x14ac:dyDescent="0.25">
      <c r="C229" s="33" t="s">
        <v>444</v>
      </c>
      <c r="D229" s="30">
        <v>4</v>
      </c>
      <c r="E229" s="30">
        <v>5</v>
      </c>
      <c r="F229" s="30">
        <f>D229*E229</f>
        <v>20</v>
      </c>
      <c r="G229" s="30" t="s">
        <v>9</v>
      </c>
      <c r="J229" s="30" t="s">
        <v>392</v>
      </c>
    </row>
    <row r="230" spans="1:10" x14ac:dyDescent="0.25">
      <c r="C230" s="33" t="s">
        <v>386</v>
      </c>
      <c r="D230" s="30">
        <v>1</v>
      </c>
      <c r="E230" s="30">
        <v>10</v>
      </c>
      <c r="F230" s="30">
        <v>10</v>
      </c>
      <c r="G230" s="30" t="s">
        <v>9</v>
      </c>
      <c r="J230" s="30" t="s">
        <v>392</v>
      </c>
    </row>
    <row r="231" spans="1:10" x14ac:dyDescent="0.25">
      <c r="C231" s="33" t="s">
        <v>422</v>
      </c>
      <c r="D231" s="30">
        <v>1</v>
      </c>
      <c r="E231" s="30">
        <v>10</v>
      </c>
      <c r="F231" s="30">
        <v>10</v>
      </c>
      <c r="G231" s="30" t="s">
        <v>9</v>
      </c>
      <c r="I231" s="139">
        <f>SUM(F205:F231)</f>
        <v>770</v>
      </c>
      <c r="J231" s="30" t="s">
        <v>392</v>
      </c>
    </row>
    <row r="232" spans="1:10" s="69" customFormat="1" ht="18.75" x14ac:dyDescent="0.3">
      <c r="A232" s="261" t="s">
        <v>437</v>
      </c>
      <c r="B232" s="262"/>
      <c r="C232" s="263"/>
      <c r="D232" s="262"/>
      <c r="E232" s="262"/>
      <c r="F232" s="262"/>
      <c r="G232" s="262"/>
      <c r="H232" s="264"/>
      <c r="I232" s="69">
        <f>SUM(F198:F231)</f>
        <v>889</v>
      </c>
    </row>
    <row r="233" spans="1:10" x14ac:dyDescent="0.25">
      <c r="A233" s="78">
        <v>46125</v>
      </c>
      <c r="C233" s="33" t="s">
        <v>369</v>
      </c>
      <c r="D233" s="30">
        <v>1</v>
      </c>
      <c r="E233" s="30">
        <v>56</v>
      </c>
      <c r="F233" s="30">
        <f>D233*E233</f>
        <v>56</v>
      </c>
      <c r="G233" s="30" t="s">
        <v>9</v>
      </c>
      <c r="J233" s="30" t="s">
        <v>391</v>
      </c>
    </row>
    <row r="234" spans="1:10" x14ac:dyDescent="0.25">
      <c r="C234" s="33" t="s">
        <v>357</v>
      </c>
      <c r="D234" s="30">
        <v>1</v>
      </c>
      <c r="E234" s="30">
        <v>37</v>
      </c>
      <c r="F234" s="30">
        <f t="shared" ref="F234:F243" si="5">D234*E234</f>
        <v>37</v>
      </c>
      <c r="G234" s="30" t="s">
        <v>9</v>
      </c>
      <c r="J234" s="30" t="s">
        <v>391</v>
      </c>
    </row>
    <row r="235" spans="1:10" x14ac:dyDescent="0.25">
      <c r="C235" s="33" t="s">
        <v>22</v>
      </c>
      <c r="D235" s="30">
        <v>1</v>
      </c>
      <c r="E235" s="30">
        <v>1</v>
      </c>
      <c r="F235" s="30">
        <f t="shared" si="5"/>
        <v>1</v>
      </c>
      <c r="G235" s="30" t="s">
        <v>9</v>
      </c>
      <c r="I235" s="139">
        <f>SUM(F233:F235)</f>
        <v>94</v>
      </c>
      <c r="J235" s="30" t="s">
        <v>391</v>
      </c>
    </row>
    <row r="236" spans="1:10" x14ac:dyDescent="0.25">
      <c r="C236" s="33" t="s">
        <v>325</v>
      </c>
      <c r="D236" s="30">
        <v>2</v>
      </c>
      <c r="E236" s="30">
        <v>18</v>
      </c>
      <c r="F236" s="30">
        <f t="shared" si="5"/>
        <v>36</v>
      </c>
      <c r="G236" s="30" t="s">
        <v>9</v>
      </c>
      <c r="J236" s="30" t="s">
        <v>392</v>
      </c>
    </row>
    <row r="237" spans="1:10" x14ac:dyDescent="0.25">
      <c r="C237" s="33" t="s">
        <v>326</v>
      </c>
      <c r="D237" s="30">
        <v>1</v>
      </c>
      <c r="E237" s="30">
        <v>56</v>
      </c>
      <c r="F237" s="30">
        <f t="shared" si="5"/>
        <v>56</v>
      </c>
      <c r="G237" s="30" t="s">
        <v>9</v>
      </c>
      <c r="J237" s="30" t="s">
        <v>392</v>
      </c>
    </row>
    <row r="238" spans="1:10" x14ac:dyDescent="0.25">
      <c r="C238" s="33" t="s">
        <v>239</v>
      </c>
      <c r="D238" s="30">
        <v>1</v>
      </c>
      <c r="E238" s="30">
        <v>45</v>
      </c>
      <c r="F238" s="30">
        <f t="shared" si="5"/>
        <v>45</v>
      </c>
      <c r="G238" s="30" t="s">
        <v>9</v>
      </c>
      <c r="J238" s="30" t="s">
        <v>392</v>
      </c>
    </row>
    <row r="239" spans="1:10" x14ac:dyDescent="0.25">
      <c r="C239" s="33" t="s">
        <v>364</v>
      </c>
      <c r="D239" s="30">
        <v>1</v>
      </c>
      <c r="E239" s="30">
        <v>35</v>
      </c>
      <c r="F239" s="30">
        <f t="shared" si="5"/>
        <v>35</v>
      </c>
      <c r="G239" s="30" t="s">
        <v>9</v>
      </c>
      <c r="J239" s="30" t="s">
        <v>392</v>
      </c>
    </row>
    <row r="240" spans="1:10" x14ac:dyDescent="0.25">
      <c r="C240" s="33" t="s">
        <v>38</v>
      </c>
      <c r="D240" s="30">
        <v>1</v>
      </c>
      <c r="E240" s="30">
        <v>50</v>
      </c>
      <c r="F240" s="30">
        <f t="shared" si="5"/>
        <v>50</v>
      </c>
      <c r="G240" s="30" t="s">
        <v>9</v>
      </c>
      <c r="J240" s="30" t="s">
        <v>392</v>
      </c>
    </row>
    <row r="241" spans="1:10" x14ac:dyDescent="0.25">
      <c r="C241" s="19" t="str">
        <f>PA!A187</f>
        <v>SISTER CORIANDER POWDER 40 GM</v>
      </c>
      <c r="D241" s="30">
        <v>1</v>
      </c>
      <c r="E241" s="30">
        <v>10</v>
      </c>
      <c r="F241" s="30">
        <f t="shared" si="5"/>
        <v>10</v>
      </c>
      <c r="G241" s="30" t="s">
        <v>9</v>
      </c>
      <c r="J241" s="30" t="s">
        <v>392</v>
      </c>
    </row>
    <row r="242" spans="1:10" x14ac:dyDescent="0.25">
      <c r="C242" s="33" t="s">
        <v>303</v>
      </c>
      <c r="D242" s="30">
        <v>1</v>
      </c>
      <c r="E242" s="30">
        <v>10</v>
      </c>
      <c r="F242" s="30">
        <f t="shared" si="5"/>
        <v>10</v>
      </c>
      <c r="G242" s="30" t="s">
        <v>9</v>
      </c>
      <c r="J242" s="30" t="s">
        <v>392</v>
      </c>
    </row>
    <row r="243" spans="1:10" x14ac:dyDescent="0.25">
      <c r="C243" s="33" t="s">
        <v>381</v>
      </c>
      <c r="D243" s="30">
        <v>4</v>
      </c>
      <c r="E243" s="30">
        <v>20</v>
      </c>
      <c r="F243" s="30">
        <f t="shared" si="5"/>
        <v>80</v>
      </c>
      <c r="G243" s="30" t="s">
        <v>9</v>
      </c>
      <c r="J243" s="30" t="s">
        <v>392</v>
      </c>
    </row>
    <row r="244" spans="1:10" x14ac:dyDescent="0.25">
      <c r="C244" s="33" t="s">
        <v>29</v>
      </c>
      <c r="F244" s="30">
        <v>30</v>
      </c>
      <c r="G244" s="30" t="s">
        <v>9</v>
      </c>
      <c r="J244" s="30" t="s">
        <v>392</v>
      </c>
    </row>
    <row r="245" spans="1:10" x14ac:dyDescent="0.25">
      <c r="C245" s="33" t="s">
        <v>27</v>
      </c>
      <c r="D245" s="30">
        <v>1</v>
      </c>
      <c r="E245" s="30">
        <v>92</v>
      </c>
      <c r="F245" s="30">
        <v>30</v>
      </c>
      <c r="G245" s="30" t="s">
        <v>9</v>
      </c>
      <c r="J245" s="30" t="s">
        <v>392</v>
      </c>
    </row>
    <row r="246" spans="1:10" x14ac:dyDescent="0.25">
      <c r="C246" s="33" t="s">
        <v>378</v>
      </c>
      <c r="D246" s="30">
        <v>1</v>
      </c>
      <c r="E246" s="30">
        <v>20</v>
      </c>
      <c r="F246" s="30">
        <v>30</v>
      </c>
      <c r="G246" s="30" t="s">
        <v>9</v>
      </c>
      <c r="J246" s="30" t="s">
        <v>392</v>
      </c>
    </row>
    <row r="247" spans="1:10" x14ac:dyDescent="0.25">
      <c r="C247" s="33" t="s">
        <v>133</v>
      </c>
      <c r="D247" s="30">
        <v>1</v>
      </c>
      <c r="E247" s="30">
        <v>10</v>
      </c>
      <c r="F247" s="30">
        <v>30</v>
      </c>
      <c r="G247" s="30" t="s">
        <v>9</v>
      </c>
      <c r="J247" s="30" t="s">
        <v>392</v>
      </c>
    </row>
    <row r="248" spans="1:10" x14ac:dyDescent="0.25">
      <c r="C248" s="33" t="s">
        <v>160</v>
      </c>
      <c r="D248" s="30">
        <v>0.186</v>
      </c>
      <c r="E248" s="30">
        <v>110</v>
      </c>
      <c r="F248" s="30">
        <f>E248*D248</f>
        <v>20.46</v>
      </c>
      <c r="G248" s="30" t="s">
        <v>9</v>
      </c>
      <c r="J248" s="30" t="s">
        <v>392</v>
      </c>
    </row>
    <row r="249" spans="1:10" x14ac:dyDescent="0.25">
      <c r="C249" s="33" t="s">
        <v>139</v>
      </c>
      <c r="D249" s="30">
        <v>1</v>
      </c>
      <c r="E249" s="30">
        <v>188</v>
      </c>
      <c r="F249" s="30">
        <v>188</v>
      </c>
      <c r="G249" s="30" t="s">
        <v>9</v>
      </c>
      <c r="J249" s="30" t="s">
        <v>392</v>
      </c>
    </row>
    <row r="250" spans="1:10" x14ac:dyDescent="0.25">
      <c r="C250" s="33" t="s">
        <v>38</v>
      </c>
      <c r="D250" s="30">
        <v>1</v>
      </c>
      <c r="E250" s="30">
        <v>50</v>
      </c>
      <c r="F250" s="30">
        <v>50</v>
      </c>
      <c r="G250" s="30" t="s">
        <v>9</v>
      </c>
      <c r="J250" s="30" t="s">
        <v>392</v>
      </c>
    </row>
    <row r="251" spans="1:10" ht="30" x14ac:dyDescent="0.25">
      <c r="C251" s="19" t="s">
        <v>363</v>
      </c>
      <c r="D251" s="30">
        <v>1</v>
      </c>
      <c r="E251" s="30">
        <v>5</v>
      </c>
      <c r="F251" s="30">
        <v>5</v>
      </c>
      <c r="G251" s="30" t="s">
        <v>9</v>
      </c>
      <c r="J251" s="30" t="s">
        <v>392</v>
      </c>
    </row>
    <row r="252" spans="1:10" x14ac:dyDescent="0.25">
      <c r="C252" s="33" t="s">
        <v>389</v>
      </c>
      <c r="D252" s="30">
        <v>2</v>
      </c>
      <c r="E252" s="30">
        <v>9</v>
      </c>
      <c r="F252" s="30">
        <v>18</v>
      </c>
      <c r="G252" s="30" t="s">
        <v>9</v>
      </c>
      <c r="J252" s="30" t="s">
        <v>392</v>
      </c>
    </row>
    <row r="253" spans="1:10" ht="30" x14ac:dyDescent="0.25">
      <c r="C253" s="33" t="s">
        <v>376</v>
      </c>
      <c r="D253" s="30">
        <v>1</v>
      </c>
      <c r="E253" s="30">
        <v>2</v>
      </c>
      <c r="F253" s="30">
        <v>2</v>
      </c>
      <c r="G253" s="30" t="s">
        <v>9</v>
      </c>
      <c r="I253" s="139">
        <f>SUM(F236:F253)</f>
        <v>725.46</v>
      </c>
      <c r="J253" s="30" t="s">
        <v>392</v>
      </c>
    </row>
    <row r="254" spans="1:10" s="69" customFormat="1" ht="18.75" x14ac:dyDescent="0.3">
      <c r="A254" s="235" t="s">
        <v>437</v>
      </c>
      <c r="B254" s="236"/>
      <c r="C254" s="265"/>
      <c r="D254" s="236"/>
      <c r="E254" s="236"/>
      <c r="F254" s="236"/>
      <c r="G254" s="236"/>
      <c r="H254" s="237"/>
      <c r="I254" s="69">
        <f>SUM(I253,I235)</f>
        <v>819.46</v>
      </c>
    </row>
    <row r="255" spans="1:10" x14ac:dyDescent="0.25">
      <c r="A255" s="78">
        <v>46126</v>
      </c>
      <c r="C255" s="33" t="s">
        <v>433</v>
      </c>
      <c r="D255" s="30">
        <v>1</v>
      </c>
      <c r="E255" s="30">
        <v>10</v>
      </c>
      <c r="F255" s="30">
        <f>E255*D255</f>
        <v>10</v>
      </c>
      <c r="G255" s="30" t="s">
        <v>9</v>
      </c>
      <c r="J255" s="30" t="s">
        <v>391</v>
      </c>
    </row>
    <row r="256" spans="1:10" x14ac:dyDescent="0.25">
      <c r="C256" s="19" t="s">
        <v>419</v>
      </c>
      <c r="D256" s="30">
        <v>1</v>
      </c>
      <c r="E256" s="30">
        <v>10</v>
      </c>
      <c r="F256" s="30">
        <f t="shared" ref="F256:F272" si="6">E256*D256</f>
        <v>10</v>
      </c>
      <c r="G256" s="30" t="s">
        <v>9</v>
      </c>
      <c r="I256" s="139">
        <v>20</v>
      </c>
      <c r="J256" s="30" t="s">
        <v>391</v>
      </c>
    </row>
    <row r="257" spans="3:10" x14ac:dyDescent="0.25">
      <c r="C257" s="19" t="str">
        <f>PA!A228</f>
        <v>WHOLE DHANIA LOT 1</v>
      </c>
      <c r="D257" s="30">
        <v>1</v>
      </c>
      <c r="E257" s="30">
        <v>20</v>
      </c>
      <c r="F257" s="30">
        <f t="shared" si="6"/>
        <v>20</v>
      </c>
      <c r="G257" s="30" t="s">
        <v>9</v>
      </c>
      <c r="J257" s="30" t="s">
        <v>392</v>
      </c>
    </row>
    <row r="258" spans="3:10" x14ac:dyDescent="0.25">
      <c r="C258" s="19" t="str">
        <f>PA!A197</f>
        <v>SMALL PAPER PLATE LOT 1</v>
      </c>
      <c r="D258" s="30">
        <v>1</v>
      </c>
      <c r="E258" s="30">
        <v>10</v>
      </c>
      <c r="F258" s="30">
        <f t="shared" si="6"/>
        <v>10</v>
      </c>
      <c r="G258" s="30" t="s">
        <v>9</v>
      </c>
      <c r="J258" s="30" t="s">
        <v>392</v>
      </c>
    </row>
    <row r="259" spans="3:10" x14ac:dyDescent="0.25">
      <c r="C259" s="33" t="s">
        <v>419</v>
      </c>
      <c r="D259" s="30">
        <v>1</v>
      </c>
      <c r="E259" s="30">
        <v>10</v>
      </c>
      <c r="F259" s="30">
        <f t="shared" si="6"/>
        <v>10</v>
      </c>
      <c r="G259" s="30" t="s">
        <v>9</v>
      </c>
      <c r="J259" s="30" t="s">
        <v>392</v>
      </c>
    </row>
    <row r="260" spans="3:10" x14ac:dyDescent="0.25">
      <c r="C260" s="19" t="str">
        <f>PA!A191</f>
        <v>SISTER RED CHILLI POWDER 250 GM</v>
      </c>
      <c r="D260" s="30">
        <v>1</v>
      </c>
      <c r="E260" s="30">
        <v>10</v>
      </c>
      <c r="F260" s="30">
        <f t="shared" si="6"/>
        <v>10</v>
      </c>
      <c r="G260" s="30" t="s">
        <v>9</v>
      </c>
      <c r="J260" s="30" t="s">
        <v>392</v>
      </c>
    </row>
    <row r="261" spans="3:10" x14ac:dyDescent="0.25">
      <c r="C261" s="19" t="str">
        <f>PA!A200</f>
        <v>SUNRISE GARAM MASALA LOT 1</v>
      </c>
      <c r="D261" s="30">
        <v>2</v>
      </c>
      <c r="E261" s="30">
        <v>10</v>
      </c>
      <c r="F261" s="30">
        <f t="shared" si="6"/>
        <v>20</v>
      </c>
      <c r="G261" s="30" t="s">
        <v>9</v>
      </c>
      <c r="J261" s="30" t="s">
        <v>392</v>
      </c>
    </row>
    <row r="262" spans="3:10" x14ac:dyDescent="0.25">
      <c r="C262" s="33" t="s">
        <v>81</v>
      </c>
      <c r="D262" s="30">
        <v>2</v>
      </c>
      <c r="E262" s="30">
        <v>1</v>
      </c>
      <c r="F262" s="30">
        <f t="shared" si="6"/>
        <v>2</v>
      </c>
      <c r="G262" s="30" t="s">
        <v>9</v>
      </c>
      <c r="J262" s="30" t="s">
        <v>392</v>
      </c>
    </row>
    <row r="263" spans="3:10" x14ac:dyDescent="0.25">
      <c r="C263" s="33" t="s">
        <v>54</v>
      </c>
      <c r="D263" s="30">
        <v>3</v>
      </c>
      <c r="E263" s="30">
        <v>1</v>
      </c>
      <c r="F263" s="30">
        <f t="shared" si="6"/>
        <v>3</v>
      </c>
      <c r="G263" s="30" t="s">
        <v>9</v>
      </c>
      <c r="J263" s="30" t="s">
        <v>392</v>
      </c>
    </row>
    <row r="264" spans="3:10" x14ac:dyDescent="0.25">
      <c r="C264" s="33" t="s">
        <v>386</v>
      </c>
      <c r="D264" s="30">
        <v>1</v>
      </c>
      <c r="E264" s="30">
        <v>10</v>
      </c>
      <c r="F264" s="30">
        <f t="shared" si="6"/>
        <v>10</v>
      </c>
      <c r="G264" s="30" t="s">
        <v>10</v>
      </c>
      <c r="J264" s="30" t="s">
        <v>392</v>
      </c>
    </row>
    <row r="265" spans="3:10" x14ac:dyDescent="0.25">
      <c r="C265" s="33" t="s">
        <v>385</v>
      </c>
      <c r="D265" s="30">
        <v>1</v>
      </c>
      <c r="E265" s="30">
        <v>10</v>
      </c>
      <c r="F265" s="30">
        <f t="shared" si="6"/>
        <v>10</v>
      </c>
      <c r="G265" s="30" t="s">
        <v>9</v>
      </c>
      <c r="J265" s="30" t="s">
        <v>392</v>
      </c>
    </row>
    <row r="266" spans="3:10" x14ac:dyDescent="0.25">
      <c r="C266" s="33" t="s">
        <v>346</v>
      </c>
      <c r="D266" s="30">
        <v>2</v>
      </c>
      <c r="E266" s="30">
        <v>5</v>
      </c>
      <c r="F266" s="30">
        <f t="shared" si="6"/>
        <v>10</v>
      </c>
      <c r="G266" s="30" t="s">
        <v>9</v>
      </c>
      <c r="J266" s="30" t="s">
        <v>392</v>
      </c>
    </row>
    <row r="267" spans="3:10" x14ac:dyDescent="0.25">
      <c r="C267" s="19" t="str">
        <f>PA!A187</f>
        <v>SISTER CORIANDER POWDER 40 GM</v>
      </c>
      <c r="D267" s="30">
        <v>1</v>
      </c>
      <c r="E267" s="30">
        <v>10</v>
      </c>
      <c r="F267" s="30">
        <f t="shared" si="6"/>
        <v>10</v>
      </c>
      <c r="G267" s="30" t="s">
        <v>9</v>
      </c>
      <c r="J267" s="30" t="s">
        <v>392</v>
      </c>
    </row>
    <row r="268" spans="3:10" x14ac:dyDescent="0.25">
      <c r="C268" s="19" t="str">
        <f>PA!A202</f>
        <v>SUNSILK BLACK SHINE SATCHET</v>
      </c>
      <c r="D268" s="30">
        <v>2</v>
      </c>
      <c r="E268" s="30">
        <v>5</v>
      </c>
      <c r="F268" s="30">
        <f t="shared" si="6"/>
        <v>10</v>
      </c>
      <c r="G268" s="30" t="s">
        <v>9</v>
      </c>
      <c r="J268" s="30" t="s">
        <v>392</v>
      </c>
    </row>
    <row r="269" spans="3:10" ht="30" x14ac:dyDescent="0.25">
      <c r="C269" s="19" t="s">
        <v>478</v>
      </c>
      <c r="D269" s="30">
        <v>1</v>
      </c>
      <c r="E269" s="30">
        <v>70</v>
      </c>
      <c r="F269" s="30">
        <f t="shared" si="6"/>
        <v>70</v>
      </c>
      <c r="G269" s="30" t="s">
        <v>10</v>
      </c>
      <c r="J269" s="30" t="s">
        <v>392</v>
      </c>
    </row>
    <row r="270" spans="3:10" x14ac:dyDescent="0.25">
      <c r="C270" s="19" t="str">
        <f>PA!A200</f>
        <v>SUNRISE GARAM MASALA LOT 1</v>
      </c>
      <c r="D270" s="30">
        <v>2</v>
      </c>
      <c r="E270" s="30">
        <v>10</v>
      </c>
      <c r="F270" s="30">
        <f t="shared" si="6"/>
        <v>20</v>
      </c>
      <c r="G270" s="30" t="s">
        <v>9</v>
      </c>
      <c r="J270" s="30" t="s">
        <v>392</v>
      </c>
    </row>
    <row r="271" spans="3:10" x14ac:dyDescent="0.25">
      <c r="C271" s="19" t="str">
        <f>PA!A195</f>
        <v>SISTER TURMERIC POWDER 250 GM</v>
      </c>
      <c r="D271" s="30">
        <v>1</v>
      </c>
      <c r="E271" s="30">
        <v>10</v>
      </c>
      <c r="F271" s="30">
        <f t="shared" si="6"/>
        <v>10</v>
      </c>
      <c r="G271" s="30" t="s">
        <v>9</v>
      </c>
      <c r="J271" s="30" t="s">
        <v>392</v>
      </c>
    </row>
    <row r="272" spans="3:10" x14ac:dyDescent="0.25">
      <c r="C272" s="33" t="s">
        <v>43</v>
      </c>
      <c r="D272" s="30">
        <v>1</v>
      </c>
      <c r="E272" s="30">
        <v>5</v>
      </c>
      <c r="F272" s="30">
        <f t="shared" si="6"/>
        <v>5</v>
      </c>
      <c r="G272" s="30" t="s">
        <v>9</v>
      </c>
      <c r="I272" s="139">
        <f>SUM(F257:F272)</f>
        <v>230</v>
      </c>
      <c r="J272" s="30" t="s">
        <v>392</v>
      </c>
    </row>
    <row r="273" spans="1:10" ht="18.75" x14ac:dyDescent="0.3">
      <c r="A273" s="235" t="s">
        <v>394</v>
      </c>
      <c r="B273" s="236"/>
      <c r="C273" s="236"/>
      <c r="D273" s="236"/>
      <c r="E273" s="236"/>
      <c r="F273" s="236"/>
      <c r="G273" s="236"/>
      <c r="H273" s="237"/>
      <c r="I273" s="69">
        <f>SUM(I272,I256)</f>
        <v>250</v>
      </c>
    </row>
    <row r="274" spans="1:10" x14ac:dyDescent="0.25">
      <c r="A274" s="78">
        <v>46127</v>
      </c>
      <c r="C274" s="33" t="s">
        <v>8</v>
      </c>
      <c r="D274" s="30">
        <v>1</v>
      </c>
      <c r="E274" s="30">
        <v>30</v>
      </c>
      <c r="F274" s="30">
        <v>30</v>
      </c>
      <c r="G274" s="30" t="s">
        <v>9</v>
      </c>
      <c r="J274" s="30" t="s">
        <v>391</v>
      </c>
    </row>
    <row r="275" spans="1:10" ht="30" x14ac:dyDescent="0.25">
      <c r="C275" s="33" t="s">
        <v>427</v>
      </c>
      <c r="D275" s="30">
        <v>1</v>
      </c>
      <c r="E275" s="30">
        <v>10</v>
      </c>
      <c r="F275" s="30">
        <f>D275*E275</f>
        <v>10</v>
      </c>
      <c r="G275" s="30" t="s">
        <v>10</v>
      </c>
      <c r="J275" s="30" t="s">
        <v>391</v>
      </c>
    </row>
    <row r="276" spans="1:10" x14ac:dyDescent="0.25">
      <c r="C276" s="33" t="s">
        <v>385</v>
      </c>
      <c r="D276" s="30">
        <v>5</v>
      </c>
      <c r="E276" s="30">
        <v>10</v>
      </c>
      <c r="F276" s="30">
        <f t="shared" ref="F276:F284" si="7">D276*E276</f>
        <v>50</v>
      </c>
      <c r="G276" s="30" t="s">
        <v>10</v>
      </c>
      <c r="J276" s="30" t="s">
        <v>391</v>
      </c>
    </row>
    <row r="277" spans="1:10" x14ac:dyDescent="0.25">
      <c r="C277" s="19" t="s">
        <v>389</v>
      </c>
      <c r="D277" s="30">
        <v>30</v>
      </c>
      <c r="E277" s="30">
        <v>7.6</v>
      </c>
      <c r="F277" s="30">
        <v>230</v>
      </c>
      <c r="G277" s="30" t="s">
        <v>10</v>
      </c>
      <c r="J277" s="30" t="s">
        <v>391</v>
      </c>
    </row>
    <row r="278" spans="1:10" x14ac:dyDescent="0.25">
      <c r="C278" s="33" t="s">
        <v>352</v>
      </c>
      <c r="D278" s="30">
        <v>1</v>
      </c>
      <c r="E278" s="30">
        <v>10</v>
      </c>
      <c r="F278" s="30">
        <f t="shared" si="7"/>
        <v>10</v>
      </c>
      <c r="G278" s="30" t="s">
        <v>10</v>
      </c>
      <c r="I278" s="139">
        <f>SUM(F274:F278)</f>
        <v>330</v>
      </c>
      <c r="J278" s="30" t="s">
        <v>391</v>
      </c>
    </row>
    <row r="279" spans="1:10" ht="30" x14ac:dyDescent="0.25">
      <c r="C279" s="33" t="s">
        <v>427</v>
      </c>
      <c r="D279" s="30">
        <v>1</v>
      </c>
      <c r="E279" s="30">
        <v>10</v>
      </c>
      <c r="F279" s="30">
        <f t="shared" si="7"/>
        <v>10</v>
      </c>
      <c r="G279" s="30" t="s">
        <v>9</v>
      </c>
      <c r="J279" s="30" t="s">
        <v>392</v>
      </c>
    </row>
    <row r="280" spans="1:10" x14ac:dyDescent="0.25">
      <c r="C280" s="33" t="s">
        <v>433</v>
      </c>
      <c r="D280" s="30">
        <v>1</v>
      </c>
      <c r="E280" s="30">
        <v>10</v>
      </c>
      <c r="F280" s="30">
        <f t="shared" si="7"/>
        <v>10</v>
      </c>
      <c r="G280" s="30" t="s">
        <v>9</v>
      </c>
      <c r="J280" s="30" t="s">
        <v>392</v>
      </c>
    </row>
    <row r="281" spans="1:10" x14ac:dyDescent="0.25">
      <c r="C281" s="33" t="s">
        <v>385</v>
      </c>
      <c r="D281" s="30">
        <v>2</v>
      </c>
      <c r="E281" s="30">
        <v>10</v>
      </c>
      <c r="F281" s="30">
        <f t="shared" si="7"/>
        <v>20</v>
      </c>
      <c r="G281" s="30" t="s">
        <v>9</v>
      </c>
      <c r="J281" s="30" t="s">
        <v>392</v>
      </c>
    </row>
    <row r="282" spans="1:10" ht="30" x14ac:dyDescent="0.25">
      <c r="C282" s="33" t="s">
        <v>427</v>
      </c>
      <c r="D282" s="30">
        <v>1</v>
      </c>
      <c r="E282" s="30">
        <v>10</v>
      </c>
      <c r="F282" s="30">
        <f t="shared" si="7"/>
        <v>10</v>
      </c>
      <c r="G282" s="30" t="s">
        <v>9</v>
      </c>
      <c r="J282" s="30" t="s">
        <v>392</v>
      </c>
    </row>
    <row r="283" spans="1:10" x14ac:dyDescent="0.25">
      <c r="C283" s="19" t="str">
        <f>PA!A194</f>
        <v>SISTER TURMERIC POWDER 20 GM</v>
      </c>
      <c r="D283" s="30">
        <v>1</v>
      </c>
      <c r="E283" s="30">
        <v>10</v>
      </c>
      <c r="F283" s="30">
        <f t="shared" si="7"/>
        <v>10</v>
      </c>
      <c r="G283" s="30" t="s">
        <v>9</v>
      </c>
      <c r="J283" s="30" t="s">
        <v>392</v>
      </c>
    </row>
    <row r="284" spans="1:10" x14ac:dyDescent="0.25">
      <c r="C284" s="33" t="s">
        <v>88</v>
      </c>
      <c r="D284" s="30">
        <v>1</v>
      </c>
      <c r="E284" s="30">
        <v>105</v>
      </c>
      <c r="F284" s="30">
        <f t="shared" si="7"/>
        <v>105</v>
      </c>
      <c r="G284" s="30" t="s">
        <v>9</v>
      </c>
      <c r="J284" s="30" t="s">
        <v>392</v>
      </c>
    </row>
    <row r="285" spans="1:10" x14ac:dyDescent="0.25">
      <c r="C285" s="33" t="s">
        <v>378</v>
      </c>
      <c r="D285" s="30">
        <v>1</v>
      </c>
      <c r="E285" s="30">
        <v>20</v>
      </c>
      <c r="F285" s="30">
        <v>20</v>
      </c>
      <c r="G285" s="30" t="s">
        <v>9</v>
      </c>
      <c r="J285" s="30" t="s">
        <v>392</v>
      </c>
    </row>
    <row r="286" spans="1:10" x14ac:dyDescent="0.25">
      <c r="C286" s="19" t="str">
        <f>PA!A189</f>
        <v>SISTER RED CHILLI POWDER 100 GM</v>
      </c>
      <c r="D286" s="30">
        <v>1</v>
      </c>
      <c r="E286" s="30">
        <v>20</v>
      </c>
      <c r="F286" s="30">
        <v>20</v>
      </c>
      <c r="G286" s="30" t="s">
        <v>9</v>
      </c>
      <c r="J286" s="30" t="s">
        <v>392</v>
      </c>
    </row>
    <row r="287" spans="1:10" x14ac:dyDescent="0.25">
      <c r="C287" s="33" t="s">
        <v>43</v>
      </c>
      <c r="D287" s="30">
        <v>1</v>
      </c>
      <c r="E287" s="30">
        <v>5</v>
      </c>
      <c r="F287" s="30">
        <v>5</v>
      </c>
      <c r="G287" s="30" t="s">
        <v>9</v>
      </c>
      <c r="J287" s="30" t="s">
        <v>392</v>
      </c>
    </row>
    <row r="288" spans="1:10" x14ac:dyDescent="0.25">
      <c r="C288" s="33" t="s">
        <v>389</v>
      </c>
      <c r="D288" s="30">
        <v>5</v>
      </c>
      <c r="E288" s="30">
        <v>9</v>
      </c>
      <c r="F288" s="30">
        <v>45</v>
      </c>
      <c r="G288" s="30" t="s">
        <v>9</v>
      </c>
      <c r="I288" s="139">
        <f>SUM(F279:F288)</f>
        <v>255</v>
      </c>
      <c r="J288" s="30" t="s">
        <v>392</v>
      </c>
    </row>
    <row r="289" spans="1:10" ht="18.75" x14ac:dyDescent="0.3">
      <c r="A289" s="79"/>
      <c r="B289" s="250" t="s">
        <v>437</v>
      </c>
      <c r="C289" s="251"/>
      <c r="D289" s="251"/>
      <c r="E289" s="251"/>
      <c r="F289" s="251"/>
      <c r="G289" s="251"/>
      <c r="H289" s="252"/>
      <c r="I289" s="69">
        <f>SUM(I288,I278)</f>
        <v>585</v>
      </c>
    </row>
    <row r="290" spans="1:10" x14ac:dyDescent="0.25">
      <c r="A290" s="78">
        <v>46128</v>
      </c>
      <c r="C290" s="33" t="s">
        <v>44</v>
      </c>
      <c r="D290" s="30">
        <v>0.5</v>
      </c>
      <c r="E290" s="30">
        <v>155</v>
      </c>
      <c r="F290" s="30">
        <v>77</v>
      </c>
      <c r="G290" s="30" t="s">
        <v>9</v>
      </c>
      <c r="J290" s="30" t="s">
        <v>391</v>
      </c>
    </row>
    <row r="291" spans="1:10" x14ac:dyDescent="0.25">
      <c r="C291" s="33" t="s">
        <v>54</v>
      </c>
      <c r="D291" s="30">
        <v>3</v>
      </c>
      <c r="E291" s="30">
        <v>1</v>
      </c>
      <c r="F291" s="30">
        <f>E291*D291</f>
        <v>3</v>
      </c>
      <c r="G291" s="30" t="s">
        <v>9</v>
      </c>
      <c r="J291" s="30" t="s">
        <v>391</v>
      </c>
    </row>
    <row r="292" spans="1:10" x14ac:dyDescent="0.25">
      <c r="C292" s="33" t="s">
        <v>322</v>
      </c>
      <c r="D292" s="30">
        <v>1</v>
      </c>
      <c r="E292" s="30">
        <v>70</v>
      </c>
      <c r="F292" s="30">
        <f>E292*D292</f>
        <v>70</v>
      </c>
      <c r="G292" s="30" t="s">
        <v>9</v>
      </c>
      <c r="I292" s="139">
        <f>SUM(F290:F292)</f>
        <v>150</v>
      </c>
      <c r="J292" s="30" t="s">
        <v>391</v>
      </c>
    </row>
    <row r="293" spans="1:10" x14ac:dyDescent="0.25">
      <c r="C293" s="33" t="s">
        <v>325</v>
      </c>
      <c r="D293" s="30">
        <v>4</v>
      </c>
      <c r="E293" s="30">
        <v>94</v>
      </c>
      <c r="F293" s="30">
        <v>94</v>
      </c>
      <c r="G293" s="30" t="s">
        <v>9</v>
      </c>
      <c r="J293" s="30" t="s">
        <v>392</v>
      </c>
    </row>
    <row r="294" spans="1:10" x14ac:dyDescent="0.25">
      <c r="C294" s="33" t="s">
        <v>479</v>
      </c>
      <c r="D294" s="30">
        <v>1</v>
      </c>
      <c r="E294" s="30">
        <v>30</v>
      </c>
      <c r="F294" s="30">
        <v>30</v>
      </c>
      <c r="G294" s="30" t="s">
        <v>9</v>
      </c>
      <c r="J294" s="30" t="s">
        <v>392</v>
      </c>
    </row>
    <row r="295" spans="1:10" x14ac:dyDescent="0.25">
      <c r="C295" s="19" t="str">
        <f>PA!A201</f>
        <v xml:space="preserve">SUNRISE MUSTARD POWDER </v>
      </c>
      <c r="D295" s="30">
        <v>1</v>
      </c>
      <c r="E295" s="30">
        <v>10</v>
      </c>
      <c r="F295" s="30">
        <v>10</v>
      </c>
      <c r="G295" s="30" t="s">
        <v>9</v>
      </c>
      <c r="J295" s="30" t="s">
        <v>392</v>
      </c>
    </row>
    <row r="296" spans="1:10" x14ac:dyDescent="0.25">
      <c r="C296" s="33" t="s">
        <v>422</v>
      </c>
      <c r="D296" s="30">
        <v>1</v>
      </c>
      <c r="E296" s="30">
        <v>10</v>
      </c>
      <c r="F296" s="30">
        <v>10</v>
      </c>
      <c r="G296" s="30" t="s">
        <v>9</v>
      </c>
      <c r="J296" s="30" t="s">
        <v>392</v>
      </c>
    </row>
    <row r="297" spans="1:10" x14ac:dyDescent="0.25">
      <c r="C297" s="33" t="s">
        <v>345</v>
      </c>
      <c r="D297" s="30">
        <v>1</v>
      </c>
      <c r="E297" s="30">
        <v>1</v>
      </c>
      <c r="F297" s="30">
        <v>1</v>
      </c>
      <c r="G297" s="30" t="s">
        <v>9</v>
      </c>
      <c r="J297" s="30" t="s">
        <v>392</v>
      </c>
    </row>
    <row r="298" spans="1:10" x14ac:dyDescent="0.25">
      <c r="C298" s="33" t="s">
        <v>422</v>
      </c>
      <c r="D298" s="30">
        <v>2</v>
      </c>
      <c r="E298" s="30">
        <v>10</v>
      </c>
      <c r="F298" s="30">
        <f>E298*D298</f>
        <v>20</v>
      </c>
      <c r="G298" s="30" t="s">
        <v>9</v>
      </c>
      <c r="J298" s="30" t="s">
        <v>392</v>
      </c>
    </row>
    <row r="299" spans="1:10" x14ac:dyDescent="0.25">
      <c r="C299" s="33" t="s">
        <v>388</v>
      </c>
      <c r="D299" s="30">
        <v>2</v>
      </c>
      <c r="E299" s="30">
        <v>7.5</v>
      </c>
      <c r="F299" s="30">
        <f t="shared" ref="F299:F304" si="8">E299*D299</f>
        <v>15</v>
      </c>
      <c r="G299" s="30" t="s">
        <v>10</v>
      </c>
      <c r="J299" s="30" t="s">
        <v>392</v>
      </c>
    </row>
    <row r="300" spans="1:10" x14ac:dyDescent="0.25">
      <c r="C300" s="33" t="s">
        <v>74</v>
      </c>
      <c r="D300" s="30">
        <v>1</v>
      </c>
      <c r="E300" s="30">
        <v>20</v>
      </c>
      <c r="F300" s="30">
        <f t="shared" si="8"/>
        <v>20</v>
      </c>
      <c r="G300" s="30" t="s">
        <v>10</v>
      </c>
      <c r="J300" s="30" t="s">
        <v>392</v>
      </c>
    </row>
    <row r="301" spans="1:10" x14ac:dyDescent="0.25">
      <c r="C301" s="33" t="s">
        <v>88</v>
      </c>
      <c r="D301" s="30">
        <v>1</v>
      </c>
      <c r="E301" s="30">
        <v>105</v>
      </c>
      <c r="F301" s="30">
        <f t="shared" si="8"/>
        <v>105</v>
      </c>
      <c r="G301" s="30" t="s">
        <v>10</v>
      </c>
      <c r="J301" s="30" t="s">
        <v>392</v>
      </c>
    </row>
    <row r="302" spans="1:10" x14ac:dyDescent="0.25">
      <c r="C302" s="33" t="s">
        <v>385</v>
      </c>
      <c r="D302" s="30">
        <v>2</v>
      </c>
      <c r="E302" s="30">
        <v>10</v>
      </c>
      <c r="F302" s="30">
        <f t="shared" si="8"/>
        <v>20</v>
      </c>
      <c r="G302" s="30" t="s">
        <v>9</v>
      </c>
      <c r="J302" s="30" t="s">
        <v>392</v>
      </c>
    </row>
    <row r="303" spans="1:10" x14ac:dyDescent="0.25">
      <c r="C303" s="33" t="s">
        <v>479</v>
      </c>
      <c r="D303" s="30">
        <v>1</v>
      </c>
      <c r="E303" s="30">
        <v>30</v>
      </c>
      <c r="F303" s="30">
        <f t="shared" si="8"/>
        <v>30</v>
      </c>
      <c r="G303" s="30" t="s">
        <v>9</v>
      </c>
      <c r="J303" s="30" t="s">
        <v>392</v>
      </c>
    </row>
    <row r="304" spans="1:10" x14ac:dyDescent="0.25">
      <c r="C304" s="19" t="str">
        <f>PA!A208</f>
        <v>SURF EXCEL 70 GM</v>
      </c>
      <c r="D304" s="30">
        <v>1</v>
      </c>
      <c r="E304" s="30">
        <v>27</v>
      </c>
      <c r="F304" s="30">
        <f t="shared" si="8"/>
        <v>27</v>
      </c>
      <c r="G304" s="30" t="s">
        <v>9</v>
      </c>
      <c r="J304" s="30" t="s">
        <v>392</v>
      </c>
    </row>
    <row r="305" spans="1:10" x14ac:dyDescent="0.25">
      <c r="C305" s="33" t="s">
        <v>44</v>
      </c>
      <c r="D305" s="30">
        <v>0.5</v>
      </c>
      <c r="E305" s="30">
        <v>155</v>
      </c>
      <c r="F305" s="30">
        <v>77</v>
      </c>
      <c r="G305" s="30" t="s">
        <v>9</v>
      </c>
      <c r="J305" s="30" t="s">
        <v>392</v>
      </c>
    </row>
    <row r="306" spans="1:10" x14ac:dyDescent="0.25">
      <c r="C306" s="33" t="s">
        <v>345</v>
      </c>
      <c r="D306" s="30">
        <v>1</v>
      </c>
      <c r="E306" s="30">
        <v>1</v>
      </c>
      <c r="F306" s="30">
        <f t="shared" ref="F306:F312" si="9">E306*D306</f>
        <v>1</v>
      </c>
      <c r="G306" s="30" t="s">
        <v>9</v>
      </c>
      <c r="J306" s="30" t="s">
        <v>392</v>
      </c>
    </row>
    <row r="307" spans="1:10" x14ac:dyDescent="0.25">
      <c r="C307" s="19" t="s">
        <v>415</v>
      </c>
      <c r="D307" s="30">
        <v>1</v>
      </c>
      <c r="E307" s="30">
        <v>90</v>
      </c>
      <c r="F307" s="30">
        <f t="shared" si="9"/>
        <v>90</v>
      </c>
      <c r="G307" s="30" t="s">
        <v>9</v>
      </c>
      <c r="J307" s="30" t="s">
        <v>392</v>
      </c>
    </row>
    <row r="308" spans="1:10" ht="30" x14ac:dyDescent="0.25">
      <c r="C308" s="33" t="s">
        <v>363</v>
      </c>
      <c r="D308" s="30">
        <v>2</v>
      </c>
      <c r="E308" s="30">
        <v>5</v>
      </c>
      <c r="F308" s="30">
        <f t="shared" si="9"/>
        <v>10</v>
      </c>
      <c r="G308" s="30" t="s">
        <v>9</v>
      </c>
      <c r="J308" s="30" t="s">
        <v>392</v>
      </c>
    </row>
    <row r="309" spans="1:10" x14ac:dyDescent="0.25">
      <c r="C309" s="19" t="str">
        <f>PA!A203</f>
        <v xml:space="preserve">SUNSILK BLACK SHINE SHAMPOO </v>
      </c>
      <c r="D309" s="30">
        <v>1</v>
      </c>
      <c r="E309" s="30">
        <v>20</v>
      </c>
      <c r="F309" s="30">
        <f t="shared" si="9"/>
        <v>20</v>
      </c>
      <c r="G309" s="30" t="s">
        <v>9</v>
      </c>
      <c r="J309" s="30" t="s">
        <v>392</v>
      </c>
    </row>
    <row r="310" spans="1:10" ht="30" x14ac:dyDescent="0.25">
      <c r="C310" s="33" t="s">
        <v>430</v>
      </c>
      <c r="D310" s="30">
        <v>5</v>
      </c>
      <c r="E310" s="30">
        <v>10</v>
      </c>
      <c r="F310" s="30">
        <f t="shared" si="9"/>
        <v>50</v>
      </c>
      <c r="G310" s="30" t="s">
        <v>9</v>
      </c>
      <c r="J310" s="30" t="s">
        <v>392</v>
      </c>
    </row>
    <row r="311" spans="1:10" x14ac:dyDescent="0.25">
      <c r="C311" s="33" t="s">
        <v>54</v>
      </c>
      <c r="D311" s="30">
        <v>5</v>
      </c>
      <c r="E311" s="30">
        <v>1</v>
      </c>
      <c r="F311" s="30">
        <f t="shared" si="9"/>
        <v>5</v>
      </c>
      <c r="G311" s="30" t="s">
        <v>9</v>
      </c>
      <c r="J311" s="30" t="s">
        <v>392</v>
      </c>
    </row>
    <row r="312" spans="1:10" x14ac:dyDescent="0.25">
      <c r="C312" s="33" t="s">
        <v>55</v>
      </c>
      <c r="D312" s="30">
        <v>5</v>
      </c>
      <c r="E312" s="30">
        <v>1</v>
      </c>
      <c r="F312" s="30">
        <f t="shared" si="9"/>
        <v>5</v>
      </c>
      <c r="G312" s="30" t="s">
        <v>9</v>
      </c>
      <c r="I312" s="139">
        <f>SUM(F293:F312)</f>
        <v>640</v>
      </c>
      <c r="J312" s="30" t="s">
        <v>392</v>
      </c>
    </row>
    <row r="313" spans="1:10" s="69" customFormat="1" ht="18.75" x14ac:dyDescent="0.3">
      <c r="A313" s="235" t="s">
        <v>437</v>
      </c>
      <c r="B313" s="236"/>
      <c r="C313" s="236"/>
      <c r="D313" s="236"/>
      <c r="E313" s="236"/>
      <c r="F313" s="236"/>
      <c r="G313" s="236"/>
      <c r="H313" s="237"/>
      <c r="I313" s="69">
        <f>SUM(I312,I292)</f>
        <v>790</v>
      </c>
    </row>
    <row r="314" spans="1:10" x14ac:dyDescent="0.25">
      <c r="A314" s="78">
        <v>46129</v>
      </c>
      <c r="C314" s="33" t="s">
        <v>352</v>
      </c>
      <c r="D314" s="30">
        <v>2</v>
      </c>
      <c r="E314" s="30">
        <v>10</v>
      </c>
      <c r="F314" s="30">
        <f t="shared" ref="F314:F328" si="10">E314*D314</f>
        <v>20</v>
      </c>
      <c r="G314" s="30" t="s">
        <v>9</v>
      </c>
      <c r="J314" s="30" t="s">
        <v>391</v>
      </c>
    </row>
    <row r="315" spans="1:10" x14ac:dyDescent="0.25">
      <c r="C315" s="33" t="s">
        <v>422</v>
      </c>
      <c r="D315" s="30">
        <v>1</v>
      </c>
      <c r="E315" s="30">
        <v>10</v>
      </c>
      <c r="F315" s="30">
        <f t="shared" si="10"/>
        <v>10</v>
      </c>
      <c r="G315" s="30" t="s">
        <v>9</v>
      </c>
      <c r="J315" s="30" t="s">
        <v>391</v>
      </c>
    </row>
    <row r="316" spans="1:10" x14ac:dyDescent="0.25">
      <c r="C316" s="33" t="s">
        <v>44</v>
      </c>
      <c r="D316" s="30">
        <v>0.13</v>
      </c>
      <c r="E316" s="30">
        <v>155</v>
      </c>
      <c r="F316" s="30">
        <f t="shared" si="10"/>
        <v>20.150000000000002</v>
      </c>
      <c r="G316" s="30" t="s">
        <v>9</v>
      </c>
      <c r="J316" s="30" t="s">
        <v>391</v>
      </c>
    </row>
    <row r="317" spans="1:10" x14ac:dyDescent="0.25">
      <c r="C317" s="19" t="str">
        <f>PA!A207</f>
        <v>SURF EXCEL 500 GM</v>
      </c>
      <c r="D317" s="30">
        <v>1</v>
      </c>
      <c r="E317" s="30">
        <v>10</v>
      </c>
      <c r="F317" s="30">
        <f t="shared" si="10"/>
        <v>10</v>
      </c>
      <c r="G317" s="30" t="s">
        <v>9</v>
      </c>
      <c r="J317" s="30" t="s">
        <v>391</v>
      </c>
    </row>
    <row r="318" spans="1:10" x14ac:dyDescent="0.25">
      <c r="C318" s="33" t="s">
        <v>352</v>
      </c>
      <c r="D318" s="30">
        <v>1</v>
      </c>
      <c r="E318" s="30">
        <v>10</v>
      </c>
      <c r="F318" s="30">
        <f t="shared" si="10"/>
        <v>10</v>
      </c>
      <c r="G318" s="30" t="s">
        <v>9</v>
      </c>
      <c r="J318" s="30" t="s">
        <v>391</v>
      </c>
    </row>
    <row r="319" spans="1:10" x14ac:dyDescent="0.25">
      <c r="C319" s="33" t="s">
        <v>454</v>
      </c>
      <c r="D319" s="30">
        <v>1</v>
      </c>
      <c r="E319" s="30">
        <v>10</v>
      </c>
      <c r="F319" s="30">
        <f t="shared" si="10"/>
        <v>10</v>
      </c>
      <c r="G319" s="30" t="s">
        <v>9</v>
      </c>
      <c r="J319" s="30" t="s">
        <v>391</v>
      </c>
    </row>
    <row r="320" spans="1:10" x14ac:dyDescent="0.25">
      <c r="C320" s="33" t="s">
        <v>154</v>
      </c>
      <c r="D320" s="30">
        <v>2</v>
      </c>
      <c r="E320" s="30">
        <v>1</v>
      </c>
      <c r="F320" s="30">
        <f t="shared" si="10"/>
        <v>2</v>
      </c>
      <c r="G320" s="30" t="s">
        <v>16</v>
      </c>
      <c r="J320" s="30" t="s">
        <v>391</v>
      </c>
    </row>
    <row r="321" spans="1:10" x14ac:dyDescent="0.25">
      <c r="C321" s="33" t="s">
        <v>19</v>
      </c>
      <c r="D321" s="30">
        <v>1</v>
      </c>
      <c r="E321" s="30">
        <v>10</v>
      </c>
      <c r="F321" s="30">
        <f t="shared" si="10"/>
        <v>10</v>
      </c>
      <c r="G321" s="30" t="s">
        <v>9</v>
      </c>
      <c r="J321" s="30" t="s">
        <v>391</v>
      </c>
    </row>
    <row r="322" spans="1:10" x14ac:dyDescent="0.25">
      <c r="C322" s="33" t="s">
        <v>388</v>
      </c>
      <c r="D322" s="30">
        <v>8</v>
      </c>
      <c r="E322" s="30">
        <v>7.5</v>
      </c>
      <c r="F322" s="30">
        <f t="shared" si="10"/>
        <v>60</v>
      </c>
      <c r="G322" s="30" t="s">
        <v>9</v>
      </c>
      <c r="I322" s="139">
        <v>152.15</v>
      </c>
    </row>
    <row r="323" spans="1:10" x14ac:dyDescent="0.25">
      <c r="C323" s="19" t="s">
        <v>417</v>
      </c>
      <c r="D323" s="30">
        <v>1</v>
      </c>
      <c r="E323" s="30">
        <v>38</v>
      </c>
      <c r="F323" s="30">
        <f t="shared" si="10"/>
        <v>38</v>
      </c>
      <c r="J323" s="30" t="s">
        <v>392</v>
      </c>
    </row>
    <row r="324" spans="1:10" x14ac:dyDescent="0.25">
      <c r="C324" s="19" t="s">
        <v>445</v>
      </c>
      <c r="D324" s="30">
        <v>1</v>
      </c>
      <c r="E324" s="30">
        <v>10</v>
      </c>
      <c r="F324" s="30">
        <f t="shared" si="10"/>
        <v>10</v>
      </c>
      <c r="G324" s="30" t="s">
        <v>9</v>
      </c>
      <c r="J324" s="30" t="s">
        <v>392</v>
      </c>
    </row>
    <row r="325" spans="1:10" ht="30" x14ac:dyDescent="0.25">
      <c r="C325" s="33" t="s">
        <v>427</v>
      </c>
      <c r="D325" s="30">
        <v>2</v>
      </c>
      <c r="E325" s="30">
        <v>10</v>
      </c>
      <c r="F325" s="30">
        <f t="shared" si="10"/>
        <v>20</v>
      </c>
      <c r="G325" s="30" t="s">
        <v>9</v>
      </c>
      <c r="J325" s="30" t="s">
        <v>392</v>
      </c>
    </row>
    <row r="326" spans="1:10" x14ac:dyDescent="0.25">
      <c r="C326" s="33" t="str">
        <f>PA!A237</f>
        <v>MOUNTAIN DEW 400 ML LOT 1</v>
      </c>
      <c r="D326" s="30">
        <v>2</v>
      </c>
      <c r="E326" s="30">
        <v>20</v>
      </c>
      <c r="F326" s="30">
        <f t="shared" si="10"/>
        <v>40</v>
      </c>
      <c r="G326" s="30" t="s">
        <v>9</v>
      </c>
      <c r="J326" s="30" t="s">
        <v>392</v>
      </c>
    </row>
    <row r="327" spans="1:10" x14ac:dyDescent="0.25">
      <c r="C327" s="33" t="s">
        <v>325</v>
      </c>
      <c r="D327" s="30">
        <v>1</v>
      </c>
      <c r="E327" s="30">
        <v>18</v>
      </c>
      <c r="F327" s="30">
        <f t="shared" si="10"/>
        <v>18</v>
      </c>
      <c r="G327" s="30" t="s">
        <v>10</v>
      </c>
      <c r="J327" s="30" t="s">
        <v>392</v>
      </c>
    </row>
    <row r="328" spans="1:10" ht="30" x14ac:dyDescent="0.25">
      <c r="C328" s="33" t="s">
        <v>377</v>
      </c>
      <c r="D328" s="30">
        <v>2</v>
      </c>
      <c r="E328" s="30">
        <v>10</v>
      </c>
      <c r="F328" s="30">
        <f t="shared" si="10"/>
        <v>20</v>
      </c>
      <c r="G328" s="30" t="s">
        <v>10</v>
      </c>
      <c r="I328" s="139">
        <f>SUM(F323:F328)</f>
        <v>146</v>
      </c>
      <c r="J328" s="30" t="s">
        <v>392</v>
      </c>
    </row>
    <row r="329" spans="1:10" s="69" customFormat="1" ht="18.75" x14ac:dyDescent="0.3">
      <c r="A329" s="235" t="s">
        <v>437</v>
      </c>
      <c r="B329" s="236"/>
      <c r="C329" s="236"/>
      <c r="D329" s="236"/>
      <c r="E329" s="236"/>
      <c r="F329" s="236"/>
      <c r="G329" s="236"/>
      <c r="H329" s="237"/>
      <c r="I329" s="69">
        <f>SUM(I328,I322)</f>
        <v>298.14999999999998</v>
      </c>
    </row>
    <row r="330" spans="1:10" x14ac:dyDescent="0.25">
      <c r="A330" s="78">
        <v>46130</v>
      </c>
      <c r="C330" s="33" t="s">
        <v>159</v>
      </c>
      <c r="D330" s="30">
        <v>0.5</v>
      </c>
      <c r="E330" s="30">
        <v>155</v>
      </c>
      <c r="F330" s="30">
        <v>77</v>
      </c>
      <c r="G330" s="30" t="s">
        <v>10</v>
      </c>
      <c r="J330" s="30" t="s">
        <v>391</v>
      </c>
    </row>
    <row r="331" spans="1:10" x14ac:dyDescent="0.25">
      <c r="C331" s="19" t="s">
        <v>417</v>
      </c>
      <c r="D331" s="30">
        <v>1</v>
      </c>
      <c r="E331" s="30">
        <v>39</v>
      </c>
      <c r="F331" s="30">
        <f t="shared" ref="F331:F354" si="11">E331*D331</f>
        <v>39</v>
      </c>
      <c r="G331" s="30" t="s">
        <v>9</v>
      </c>
      <c r="J331" s="30" t="s">
        <v>391</v>
      </c>
    </row>
    <row r="332" spans="1:10" x14ac:dyDescent="0.25">
      <c r="C332" s="33" t="s">
        <v>345</v>
      </c>
      <c r="D332" s="30">
        <v>10</v>
      </c>
      <c r="E332" s="30">
        <v>1</v>
      </c>
      <c r="F332" s="30">
        <f t="shared" si="11"/>
        <v>10</v>
      </c>
      <c r="G332" s="30" t="s">
        <v>9</v>
      </c>
      <c r="J332" s="30" t="s">
        <v>391</v>
      </c>
    </row>
    <row r="333" spans="1:10" ht="30" x14ac:dyDescent="0.25">
      <c r="C333" s="33" t="s">
        <v>396</v>
      </c>
      <c r="D333" s="30">
        <v>1</v>
      </c>
      <c r="E333" s="30">
        <v>10</v>
      </c>
      <c r="F333" s="30">
        <f t="shared" si="11"/>
        <v>10</v>
      </c>
      <c r="G333" s="30" t="s">
        <v>9</v>
      </c>
      <c r="J333" s="30" t="s">
        <v>391</v>
      </c>
    </row>
    <row r="334" spans="1:10" x14ac:dyDescent="0.25">
      <c r="C334" s="33" t="s">
        <v>438</v>
      </c>
      <c r="D334" s="30">
        <v>2</v>
      </c>
      <c r="E334" s="30">
        <v>10</v>
      </c>
      <c r="F334" s="30">
        <f t="shared" si="11"/>
        <v>20</v>
      </c>
      <c r="G334" s="30" t="s">
        <v>9</v>
      </c>
      <c r="J334" s="30" t="s">
        <v>391</v>
      </c>
    </row>
    <row r="335" spans="1:10" x14ac:dyDescent="0.25">
      <c r="C335" s="33" t="s">
        <v>19</v>
      </c>
      <c r="D335" s="30">
        <v>2</v>
      </c>
      <c r="E335" s="30">
        <v>10</v>
      </c>
      <c r="F335" s="30">
        <f t="shared" si="11"/>
        <v>20</v>
      </c>
      <c r="G335" s="30" t="s">
        <v>9</v>
      </c>
      <c r="J335" s="30" t="s">
        <v>391</v>
      </c>
    </row>
    <row r="336" spans="1:10" x14ac:dyDescent="0.25">
      <c r="C336" s="33" t="s">
        <v>454</v>
      </c>
      <c r="D336" s="30">
        <v>1</v>
      </c>
      <c r="E336" s="30">
        <v>10</v>
      </c>
      <c r="F336" s="30">
        <f t="shared" si="11"/>
        <v>10</v>
      </c>
      <c r="G336" s="30" t="s">
        <v>9</v>
      </c>
      <c r="J336" s="30" t="s">
        <v>391</v>
      </c>
    </row>
    <row r="337" spans="3:10" x14ac:dyDescent="0.25">
      <c r="C337" s="33" t="s">
        <v>151</v>
      </c>
      <c r="D337" s="30">
        <v>1</v>
      </c>
      <c r="E337" s="30">
        <v>10</v>
      </c>
      <c r="F337" s="30">
        <f t="shared" si="11"/>
        <v>10</v>
      </c>
      <c r="G337" s="30" t="s">
        <v>9</v>
      </c>
      <c r="J337" s="30" t="s">
        <v>391</v>
      </c>
    </row>
    <row r="338" spans="3:10" x14ac:dyDescent="0.25">
      <c r="C338" s="33" t="s">
        <v>455</v>
      </c>
      <c r="D338" s="30">
        <v>1</v>
      </c>
      <c r="E338" s="30">
        <v>27</v>
      </c>
      <c r="F338" s="30">
        <f t="shared" si="11"/>
        <v>27</v>
      </c>
      <c r="G338" s="30" t="s">
        <v>9</v>
      </c>
      <c r="J338" s="30" t="s">
        <v>391</v>
      </c>
    </row>
    <row r="339" spans="3:10" x14ac:dyDescent="0.25">
      <c r="C339" s="33" t="s">
        <v>37</v>
      </c>
      <c r="D339" s="30">
        <v>1</v>
      </c>
      <c r="E339" s="30">
        <v>29</v>
      </c>
      <c r="F339" s="30">
        <f t="shared" si="11"/>
        <v>29</v>
      </c>
      <c r="G339" s="30" t="s">
        <v>9</v>
      </c>
      <c r="J339" s="30" t="s">
        <v>391</v>
      </c>
    </row>
    <row r="340" spans="3:10" x14ac:dyDescent="0.25">
      <c r="C340" s="33" t="s">
        <v>143</v>
      </c>
      <c r="D340" s="30">
        <v>0.1</v>
      </c>
      <c r="E340" s="30">
        <v>300</v>
      </c>
      <c r="F340" s="30">
        <f t="shared" si="11"/>
        <v>30</v>
      </c>
      <c r="G340" s="30" t="s">
        <v>9</v>
      </c>
      <c r="J340" s="30" t="s">
        <v>391</v>
      </c>
    </row>
    <row r="341" spans="3:10" x14ac:dyDescent="0.25">
      <c r="C341" s="33" t="s">
        <v>22</v>
      </c>
      <c r="D341" s="30">
        <v>4</v>
      </c>
      <c r="E341" s="30">
        <v>1</v>
      </c>
      <c r="F341" s="30">
        <f t="shared" si="11"/>
        <v>4</v>
      </c>
      <c r="G341" s="30" t="s">
        <v>9</v>
      </c>
      <c r="I341" s="139">
        <f>SUM(F330:F341)</f>
        <v>286</v>
      </c>
      <c r="J341" s="30" t="s">
        <v>391</v>
      </c>
    </row>
    <row r="342" spans="3:10" x14ac:dyDescent="0.25">
      <c r="C342" s="33" t="s">
        <v>74</v>
      </c>
      <c r="D342" s="30">
        <v>1</v>
      </c>
      <c r="E342" s="30">
        <v>20</v>
      </c>
      <c r="F342" s="30">
        <f t="shared" si="11"/>
        <v>20</v>
      </c>
      <c r="G342" s="30" t="s">
        <v>9</v>
      </c>
      <c r="J342" s="30" t="s">
        <v>392</v>
      </c>
    </row>
    <row r="343" spans="3:10" x14ac:dyDescent="0.25">
      <c r="C343" s="33" t="s">
        <v>343</v>
      </c>
      <c r="D343" s="30">
        <v>1</v>
      </c>
      <c r="E343" s="30">
        <v>29</v>
      </c>
      <c r="F343" s="30">
        <f t="shared" si="11"/>
        <v>29</v>
      </c>
      <c r="G343" s="30" t="s">
        <v>9</v>
      </c>
      <c r="J343" s="30" t="s">
        <v>392</v>
      </c>
    </row>
    <row r="344" spans="3:10" x14ac:dyDescent="0.25">
      <c r="C344" s="33" t="s">
        <v>94</v>
      </c>
      <c r="D344" s="30">
        <v>1</v>
      </c>
      <c r="E344" s="30">
        <v>19</v>
      </c>
      <c r="F344" s="30">
        <f t="shared" si="11"/>
        <v>19</v>
      </c>
      <c r="G344" s="30" t="s">
        <v>9</v>
      </c>
      <c r="J344" s="30" t="s">
        <v>392</v>
      </c>
    </row>
    <row r="345" spans="3:10" x14ac:dyDescent="0.25">
      <c r="C345" s="33" t="s">
        <v>81</v>
      </c>
      <c r="D345" s="30">
        <v>2</v>
      </c>
      <c r="E345" s="30">
        <v>1</v>
      </c>
      <c r="F345" s="30">
        <f t="shared" si="11"/>
        <v>2</v>
      </c>
      <c r="G345" s="30" t="s">
        <v>9</v>
      </c>
      <c r="J345" s="30" t="s">
        <v>392</v>
      </c>
    </row>
    <row r="346" spans="3:10" x14ac:dyDescent="0.25">
      <c r="C346" s="33" t="s">
        <v>386</v>
      </c>
      <c r="D346" s="30">
        <v>2</v>
      </c>
      <c r="E346" s="30">
        <v>10</v>
      </c>
      <c r="F346" s="30">
        <f t="shared" si="11"/>
        <v>20</v>
      </c>
      <c r="G346" s="30" t="s">
        <v>9</v>
      </c>
      <c r="J346" s="30" t="s">
        <v>392</v>
      </c>
    </row>
    <row r="347" spans="3:10" x14ac:dyDescent="0.25">
      <c r="C347" s="33" t="s">
        <v>419</v>
      </c>
      <c r="D347" s="30">
        <v>1</v>
      </c>
      <c r="E347" s="30">
        <v>10</v>
      </c>
      <c r="F347" s="30">
        <f t="shared" si="11"/>
        <v>10</v>
      </c>
      <c r="G347" s="30" t="s">
        <v>9</v>
      </c>
      <c r="J347" s="30" t="s">
        <v>392</v>
      </c>
    </row>
    <row r="348" spans="3:10" x14ac:dyDescent="0.25">
      <c r="C348" s="33" t="s">
        <v>479</v>
      </c>
      <c r="D348" s="30">
        <v>0.7</v>
      </c>
      <c r="E348" s="30">
        <v>30</v>
      </c>
      <c r="F348" s="30">
        <v>20</v>
      </c>
      <c r="G348" s="30" t="s">
        <v>9</v>
      </c>
      <c r="J348" s="30" t="s">
        <v>392</v>
      </c>
    </row>
    <row r="349" spans="3:10" x14ac:dyDescent="0.25">
      <c r="C349" s="19" t="s">
        <v>422</v>
      </c>
      <c r="D349" s="30">
        <v>2</v>
      </c>
      <c r="E349" s="30">
        <v>10</v>
      </c>
      <c r="F349" s="30">
        <f t="shared" si="11"/>
        <v>20</v>
      </c>
      <c r="G349" s="30" t="s">
        <v>9</v>
      </c>
      <c r="J349" s="30" t="s">
        <v>392</v>
      </c>
    </row>
    <row r="350" spans="3:10" x14ac:dyDescent="0.25">
      <c r="C350" s="33" t="s">
        <v>352</v>
      </c>
      <c r="D350" s="30">
        <v>2</v>
      </c>
      <c r="E350" s="30">
        <v>10</v>
      </c>
      <c r="F350" s="30">
        <f t="shared" si="11"/>
        <v>20</v>
      </c>
      <c r="G350" s="30" t="s">
        <v>9</v>
      </c>
      <c r="J350" s="30" t="s">
        <v>392</v>
      </c>
    </row>
    <row r="351" spans="3:10" x14ac:dyDescent="0.25">
      <c r="C351" s="33" t="s">
        <v>454</v>
      </c>
      <c r="D351" s="30">
        <v>1</v>
      </c>
      <c r="E351" s="30">
        <v>10</v>
      </c>
      <c r="F351" s="30">
        <f t="shared" si="11"/>
        <v>10</v>
      </c>
      <c r="G351" s="30" t="s">
        <v>9</v>
      </c>
      <c r="J351" s="30" t="s">
        <v>392</v>
      </c>
    </row>
    <row r="352" spans="3:10" x14ac:dyDescent="0.25">
      <c r="C352" s="33" t="s">
        <v>346</v>
      </c>
      <c r="D352" s="30">
        <v>2</v>
      </c>
      <c r="E352" s="30">
        <v>5</v>
      </c>
      <c r="F352" s="30">
        <f t="shared" si="11"/>
        <v>10</v>
      </c>
      <c r="G352" s="30" t="s">
        <v>9</v>
      </c>
      <c r="J352" s="30" t="s">
        <v>392</v>
      </c>
    </row>
    <row r="353" spans="1:10" x14ac:dyDescent="0.25">
      <c r="C353" s="19" t="s">
        <v>399</v>
      </c>
      <c r="D353" s="30">
        <v>1</v>
      </c>
      <c r="E353" s="30">
        <v>74</v>
      </c>
      <c r="F353" s="30">
        <f t="shared" si="11"/>
        <v>74</v>
      </c>
      <c r="G353" s="30" t="s">
        <v>9</v>
      </c>
      <c r="J353" s="30" t="s">
        <v>392</v>
      </c>
    </row>
    <row r="354" spans="1:10" x14ac:dyDescent="0.25">
      <c r="C354" s="33" t="s">
        <v>360</v>
      </c>
      <c r="D354" s="30">
        <v>4</v>
      </c>
      <c r="E354" s="30">
        <v>10</v>
      </c>
      <c r="F354" s="30">
        <f t="shared" si="11"/>
        <v>40</v>
      </c>
      <c r="G354" s="30" t="s">
        <v>9</v>
      </c>
      <c r="J354" s="30" t="s">
        <v>392</v>
      </c>
    </row>
    <row r="355" spans="1:10" x14ac:dyDescent="0.25">
      <c r="C355" s="13" t="s">
        <v>447</v>
      </c>
      <c r="D355" s="30">
        <v>3</v>
      </c>
      <c r="E355" s="30">
        <v>10</v>
      </c>
      <c r="F355" s="30">
        <v>28</v>
      </c>
      <c r="G355" s="30" t="s">
        <v>10</v>
      </c>
      <c r="J355" s="30" t="s">
        <v>392</v>
      </c>
    </row>
    <row r="356" spans="1:10" x14ac:dyDescent="0.25">
      <c r="C356" s="19" t="s">
        <v>471</v>
      </c>
      <c r="D356" s="30">
        <v>0.1</v>
      </c>
      <c r="E356" s="30">
        <v>200</v>
      </c>
      <c r="F356" s="30">
        <f t="shared" ref="F356:F361" si="12">E356*D356</f>
        <v>20</v>
      </c>
      <c r="G356" s="30" t="s">
        <v>10</v>
      </c>
      <c r="J356" s="30" t="s">
        <v>392</v>
      </c>
    </row>
    <row r="357" spans="1:10" x14ac:dyDescent="0.25">
      <c r="C357" s="33" t="s">
        <v>369</v>
      </c>
      <c r="D357" s="30">
        <v>1</v>
      </c>
      <c r="E357" s="30">
        <v>59</v>
      </c>
      <c r="F357" s="30">
        <f t="shared" si="12"/>
        <v>59</v>
      </c>
      <c r="G357" s="30" t="s">
        <v>10</v>
      </c>
      <c r="J357" s="30" t="s">
        <v>392</v>
      </c>
    </row>
    <row r="358" spans="1:10" x14ac:dyDescent="0.25">
      <c r="C358" s="33" t="s">
        <v>356</v>
      </c>
      <c r="D358" s="30">
        <v>1</v>
      </c>
      <c r="E358" s="30">
        <v>58</v>
      </c>
      <c r="F358" s="30">
        <f t="shared" si="12"/>
        <v>58</v>
      </c>
      <c r="G358" s="30" t="s">
        <v>10</v>
      </c>
      <c r="J358" s="30" t="s">
        <v>392</v>
      </c>
    </row>
    <row r="359" spans="1:10" x14ac:dyDescent="0.25">
      <c r="C359" s="33" t="s">
        <v>447</v>
      </c>
      <c r="D359" s="30">
        <v>2</v>
      </c>
      <c r="E359" s="30">
        <v>10</v>
      </c>
      <c r="F359" s="30">
        <f t="shared" si="12"/>
        <v>20</v>
      </c>
      <c r="G359" s="30" t="s">
        <v>9</v>
      </c>
      <c r="J359" s="30" t="s">
        <v>392</v>
      </c>
    </row>
    <row r="360" spans="1:10" x14ac:dyDescent="0.25">
      <c r="C360" s="33" t="s">
        <v>476</v>
      </c>
      <c r="D360" s="30">
        <v>1</v>
      </c>
      <c r="E360" s="30">
        <v>20</v>
      </c>
      <c r="F360" s="30">
        <f t="shared" si="12"/>
        <v>20</v>
      </c>
      <c r="G360" s="30" t="s">
        <v>9</v>
      </c>
      <c r="J360" s="30" t="s">
        <v>392</v>
      </c>
    </row>
    <row r="361" spans="1:10" x14ac:dyDescent="0.25">
      <c r="C361" s="33" t="s">
        <v>421</v>
      </c>
      <c r="D361" s="30">
        <v>1</v>
      </c>
      <c r="E361" s="30">
        <v>10</v>
      </c>
      <c r="F361" s="30">
        <f t="shared" si="12"/>
        <v>10</v>
      </c>
      <c r="G361" s="30" t="s">
        <v>9</v>
      </c>
      <c r="I361" s="139">
        <f>SUM(F342:F361)</f>
        <v>509</v>
      </c>
      <c r="J361" s="30" t="s">
        <v>392</v>
      </c>
    </row>
    <row r="362" spans="1:10" s="69" customFormat="1" ht="18.75" x14ac:dyDescent="0.3">
      <c r="A362" s="235" t="s">
        <v>437</v>
      </c>
      <c r="B362" s="236"/>
      <c r="C362" s="236"/>
      <c r="D362" s="236"/>
      <c r="E362" s="236"/>
      <c r="F362" s="236"/>
      <c r="G362" s="236"/>
      <c r="H362" s="237"/>
      <c r="I362" s="69">
        <f>SUM(I361,I341)</f>
        <v>795</v>
      </c>
    </row>
    <row r="363" spans="1:10" x14ac:dyDescent="0.25">
      <c r="A363" s="78">
        <v>46131</v>
      </c>
      <c r="C363" s="33" t="s">
        <v>399</v>
      </c>
      <c r="D363" s="30">
        <v>0.27100000000000002</v>
      </c>
      <c r="E363" s="30">
        <v>74</v>
      </c>
      <c r="F363" s="30">
        <v>20</v>
      </c>
      <c r="G363" s="30" t="s">
        <v>9</v>
      </c>
      <c r="J363" s="30" t="s">
        <v>391</v>
      </c>
    </row>
    <row r="364" spans="1:10" x14ac:dyDescent="0.25">
      <c r="C364" s="19" t="s">
        <v>456</v>
      </c>
      <c r="D364" s="30">
        <v>1</v>
      </c>
      <c r="E364" s="30">
        <v>27</v>
      </c>
      <c r="F364" s="30">
        <f t="shared" ref="F364:F388" si="13">E364*D364</f>
        <v>27</v>
      </c>
      <c r="G364" s="30" t="s">
        <v>10</v>
      </c>
      <c r="J364" s="30" t="s">
        <v>391</v>
      </c>
    </row>
    <row r="365" spans="1:10" x14ac:dyDescent="0.25">
      <c r="C365" s="33" t="s">
        <v>388</v>
      </c>
      <c r="D365" s="30">
        <v>8</v>
      </c>
      <c r="E365" s="30">
        <v>7.5</v>
      </c>
      <c r="F365" s="30">
        <f t="shared" si="13"/>
        <v>60</v>
      </c>
      <c r="G365" s="30" t="s">
        <v>9</v>
      </c>
      <c r="J365" s="30" t="s">
        <v>391</v>
      </c>
    </row>
    <row r="366" spans="1:10" x14ac:dyDescent="0.25">
      <c r="C366" s="33" t="s">
        <v>433</v>
      </c>
      <c r="D366" s="30">
        <v>2</v>
      </c>
      <c r="E366" s="30">
        <v>10</v>
      </c>
      <c r="F366" s="30">
        <f t="shared" si="13"/>
        <v>20</v>
      </c>
      <c r="G366" s="30" t="s">
        <v>9</v>
      </c>
      <c r="J366" s="30" t="s">
        <v>391</v>
      </c>
    </row>
    <row r="367" spans="1:10" x14ac:dyDescent="0.25">
      <c r="C367" s="33" t="s">
        <v>134</v>
      </c>
      <c r="D367" s="30">
        <v>1</v>
      </c>
      <c r="E367" s="30">
        <v>28</v>
      </c>
      <c r="F367" s="30">
        <f t="shared" si="13"/>
        <v>28</v>
      </c>
      <c r="G367" s="30" t="s">
        <v>9</v>
      </c>
      <c r="J367" s="30" t="s">
        <v>391</v>
      </c>
    </row>
    <row r="368" spans="1:10" x14ac:dyDescent="0.25">
      <c r="C368" s="33" t="s">
        <v>37</v>
      </c>
      <c r="D368" s="30">
        <v>1</v>
      </c>
      <c r="E368" s="30">
        <v>30</v>
      </c>
      <c r="F368" s="30">
        <f t="shared" si="13"/>
        <v>30</v>
      </c>
      <c r="G368" s="30" t="s">
        <v>10</v>
      </c>
      <c r="J368" s="30" t="s">
        <v>391</v>
      </c>
    </row>
    <row r="369" spans="3:10" x14ac:dyDescent="0.25">
      <c r="C369" s="19" t="s">
        <v>448</v>
      </c>
      <c r="D369" s="30">
        <v>3</v>
      </c>
      <c r="E369" s="30">
        <v>7.5</v>
      </c>
      <c r="F369" s="30">
        <v>23</v>
      </c>
      <c r="G369" s="30" t="s">
        <v>9</v>
      </c>
      <c r="J369" s="30" t="s">
        <v>391</v>
      </c>
    </row>
    <row r="370" spans="3:10" x14ac:dyDescent="0.25">
      <c r="C370" s="19" t="s">
        <v>353</v>
      </c>
      <c r="D370" s="30">
        <v>1</v>
      </c>
      <c r="E370" s="30">
        <v>96</v>
      </c>
      <c r="F370" s="30">
        <f t="shared" si="13"/>
        <v>96</v>
      </c>
      <c r="G370" s="30" t="s">
        <v>10</v>
      </c>
      <c r="J370" s="30" t="s">
        <v>391</v>
      </c>
    </row>
    <row r="371" spans="3:10" x14ac:dyDescent="0.25">
      <c r="C371" s="33" t="s">
        <v>456</v>
      </c>
      <c r="D371" s="30">
        <v>1</v>
      </c>
      <c r="E371" s="30">
        <v>27</v>
      </c>
      <c r="F371" s="30">
        <f t="shared" si="13"/>
        <v>27</v>
      </c>
      <c r="G371" s="30" t="s">
        <v>10</v>
      </c>
      <c r="J371" s="30" t="s">
        <v>391</v>
      </c>
    </row>
    <row r="372" spans="3:10" x14ac:dyDescent="0.25">
      <c r="C372" s="19" t="s">
        <v>504</v>
      </c>
      <c r="D372" s="30">
        <v>1</v>
      </c>
      <c r="E372" s="30">
        <v>1280</v>
      </c>
      <c r="F372" s="30">
        <f t="shared" si="13"/>
        <v>1280</v>
      </c>
      <c r="G372" s="30" t="s">
        <v>10</v>
      </c>
      <c r="J372" s="30" t="s">
        <v>391</v>
      </c>
    </row>
    <row r="373" spans="3:10" x14ac:dyDescent="0.25">
      <c r="C373" s="33" t="s">
        <v>496</v>
      </c>
      <c r="D373" s="30">
        <v>0.35</v>
      </c>
      <c r="E373" s="30">
        <v>280</v>
      </c>
      <c r="F373" s="30">
        <f t="shared" si="13"/>
        <v>98</v>
      </c>
      <c r="G373" s="30" t="s">
        <v>10</v>
      </c>
      <c r="I373" s="139">
        <f>SUM(F363:F373)</f>
        <v>1709</v>
      </c>
      <c r="J373" s="30" t="s">
        <v>391</v>
      </c>
    </row>
    <row r="374" spans="3:10" x14ac:dyDescent="0.25">
      <c r="C374" s="19" t="s">
        <v>471</v>
      </c>
      <c r="D374" s="30">
        <v>2.5000000000000001E-2</v>
      </c>
      <c r="E374" s="30">
        <v>200</v>
      </c>
      <c r="F374" s="30">
        <f t="shared" si="13"/>
        <v>5</v>
      </c>
      <c r="G374" s="30" t="s">
        <v>9</v>
      </c>
      <c r="J374" s="30" t="s">
        <v>392</v>
      </c>
    </row>
    <row r="375" spans="3:10" x14ac:dyDescent="0.25">
      <c r="C375" s="33" t="s">
        <v>468</v>
      </c>
      <c r="D375" s="30">
        <v>2.5000000000000001E-2</v>
      </c>
      <c r="E375" s="30">
        <v>180</v>
      </c>
      <c r="F375" s="30">
        <f t="shared" si="13"/>
        <v>4.5</v>
      </c>
      <c r="G375" s="30" t="s">
        <v>9</v>
      </c>
      <c r="J375" s="30" t="s">
        <v>392</v>
      </c>
    </row>
    <row r="376" spans="3:10" x14ac:dyDescent="0.25">
      <c r="C376" s="33" t="s">
        <v>346</v>
      </c>
      <c r="D376" s="30">
        <v>2</v>
      </c>
      <c r="E376" s="30">
        <v>5</v>
      </c>
      <c r="F376" s="30">
        <f t="shared" si="13"/>
        <v>10</v>
      </c>
      <c r="G376" s="30" t="s">
        <v>9</v>
      </c>
      <c r="J376" s="30" t="s">
        <v>392</v>
      </c>
    </row>
    <row r="377" spans="3:10" x14ac:dyDescent="0.25">
      <c r="C377" s="33" t="s">
        <v>448</v>
      </c>
      <c r="D377" s="30">
        <v>1</v>
      </c>
      <c r="E377" s="30">
        <v>10</v>
      </c>
      <c r="F377" s="30">
        <f t="shared" si="13"/>
        <v>10</v>
      </c>
      <c r="G377" s="30" t="s">
        <v>9</v>
      </c>
      <c r="J377" s="30" t="s">
        <v>392</v>
      </c>
    </row>
    <row r="378" spans="3:10" x14ac:dyDescent="0.25">
      <c r="C378" s="33" t="s">
        <v>445</v>
      </c>
      <c r="D378" s="30">
        <v>1</v>
      </c>
      <c r="E378" s="30">
        <v>10</v>
      </c>
      <c r="F378" s="30">
        <f t="shared" si="13"/>
        <v>10</v>
      </c>
      <c r="G378" s="30" t="s">
        <v>9</v>
      </c>
      <c r="J378" s="30" t="s">
        <v>392</v>
      </c>
    </row>
    <row r="379" spans="3:10" x14ac:dyDescent="0.25">
      <c r="C379" s="33" t="s">
        <v>386</v>
      </c>
      <c r="D379" s="30">
        <v>2</v>
      </c>
      <c r="E379" s="30">
        <v>10</v>
      </c>
      <c r="F379" s="30">
        <f t="shared" si="13"/>
        <v>20</v>
      </c>
      <c r="G379" s="30" t="s">
        <v>9</v>
      </c>
      <c r="J379" s="30" t="s">
        <v>392</v>
      </c>
    </row>
    <row r="380" spans="3:10" x14ac:dyDescent="0.25">
      <c r="C380" s="33" t="s">
        <v>422</v>
      </c>
      <c r="D380" s="30">
        <v>1</v>
      </c>
      <c r="E380" s="30">
        <v>10</v>
      </c>
      <c r="F380" s="30">
        <f t="shared" si="13"/>
        <v>10</v>
      </c>
      <c r="G380" s="30" t="s">
        <v>9</v>
      </c>
      <c r="J380" s="30" t="s">
        <v>392</v>
      </c>
    </row>
    <row r="381" spans="3:10" x14ac:dyDescent="0.25">
      <c r="C381" s="33" t="s">
        <v>445</v>
      </c>
      <c r="D381" s="30">
        <v>1</v>
      </c>
      <c r="E381" s="30">
        <v>10</v>
      </c>
      <c r="F381" s="30">
        <f t="shared" si="13"/>
        <v>10</v>
      </c>
      <c r="G381" s="30" t="s">
        <v>9</v>
      </c>
      <c r="J381" s="30" t="s">
        <v>392</v>
      </c>
    </row>
    <row r="382" spans="3:10" x14ac:dyDescent="0.25">
      <c r="C382" s="33" t="s">
        <v>432</v>
      </c>
      <c r="D382" s="30">
        <v>1</v>
      </c>
      <c r="E382" s="30">
        <v>10</v>
      </c>
      <c r="F382" s="30">
        <f t="shared" si="13"/>
        <v>10</v>
      </c>
      <c r="G382" s="30" t="s">
        <v>9</v>
      </c>
      <c r="J382" s="30" t="s">
        <v>392</v>
      </c>
    </row>
    <row r="383" spans="3:10" x14ac:dyDescent="0.25">
      <c r="C383" s="33" t="s">
        <v>479</v>
      </c>
      <c r="D383" s="30">
        <v>0.65</v>
      </c>
      <c r="E383" s="30">
        <v>30</v>
      </c>
      <c r="F383" s="30">
        <f t="shared" si="13"/>
        <v>19.5</v>
      </c>
      <c r="G383" s="30" t="s">
        <v>9</v>
      </c>
      <c r="J383" s="30" t="s">
        <v>392</v>
      </c>
    </row>
    <row r="384" spans="3:10" ht="30" x14ac:dyDescent="0.25">
      <c r="C384" s="33" t="s">
        <v>431</v>
      </c>
      <c r="D384" s="30">
        <v>1</v>
      </c>
      <c r="E384" s="30">
        <v>10</v>
      </c>
      <c r="F384" s="30">
        <f t="shared" si="13"/>
        <v>10</v>
      </c>
      <c r="G384" s="30" t="s">
        <v>9</v>
      </c>
      <c r="J384" s="30" t="s">
        <v>392</v>
      </c>
    </row>
    <row r="385" spans="1:10" x14ac:dyDescent="0.25">
      <c r="C385" s="33" t="s">
        <v>422</v>
      </c>
      <c r="D385" s="30">
        <v>1</v>
      </c>
      <c r="E385" s="30">
        <v>10</v>
      </c>
      <c r="F385" s="30">
        <f t="shared" si="13"/>
        <v>10</v>
      </c>
      <c r="G385" s="30" t="s">
        <v>9</v>
      </c>
      <c r="J385" s="30" t="s">
        <v>392</v>
      </c>
    </row>
    <row r="386" spans="1:10" x14ac:dyDescent="0.25">
      <c r="C386" s="33" t="s">
        <v>449</v>
      </c>
      <c r="D386" s="30">
        <v>2</v>
      </c>
      <c r="E386" s="30">
        <v>5</v>
      </c>
      <c r="F386" s="30">
        <f t="shared" si="13"/>
        <v>10</v>
      </c>
      <c r="G386" s="30" t="s">
        <v>9</v>
      </c>
      <c r="J386" s="30" t="s">
        <v>392</v>
      </c>
    </row>
    <row r="387" spans="1:10" x14ac:dyDescent="0.25">
      <c r="C387" s="33" t="s">
        <v>325</v>
      </c>
      <c r="D387" s="30">
        <v>2</v>
      </c>
      <c r="E387" s="30">
        <v>15</v>
      </c>
      <c r="F387" s="30">
        <f t="shared" si="13"/>
        <v>30</v>
      </c>
      <c r="G387" s="30" t="s">
        <v>9</v>
      </c>
      <c r="J387" s="30" t="s">
        <v>392</v>
      </c>
    </row>
    <row r="388" spans="1:10" x14ac:dyDescent="0.25">
      <c r="C388" s="33" t="s">
        <v>415</v>
      </c>
      <c r="D388" s="30">
        <v>1</v>
      </c>
      <c r="E388" s="30">
        <v>90</v>
      </c>
      <c r="F388" s="30">
        <f t="shared" si="13"/>
        <v>90</v>
      </c>
      <c r="G388" s="30" t="s">
        <v>9</v>
      </c>
      <c r="I388" s="139">
        <f>SUM(F374:F388)</f>
        <v>259</v>
      </c>
      <c r="J388" s="30" t="s">
        <v>392</v>
      </c>
    </row>
    <row r="389" spans="1:10" s="69" customFormat="1" ht="18.75" x14ac:dyDescent="0.3">
      <c r="A389" s="235" t="s">
        <v>437</v>
      </c>
      <c r="B389" s="236"/>
      <c r="C389" s="236"/>
      <c r="D389" s="236"/>
      <c r="E389" s="236"/>
      <c r="F389" s="236"/>
      <c r="G389" s="236"/>
      <c r="H389" s="237"/>
      <c r="I389" s="69">
        <f>SUM(I388,I373)</f>
        <v>1968</v>
      </c>
    </row>
    <row r="390" spans="1:10" x14ac:dyDescent="0.25">
      <c r="A390" s="78">
        <v>46132</v>
      </c>
      <c r="C390" s="33" t="s">
        <v>417</v>
      </c>
      <c r="D390" s="30">
        <v>1</v>
      </c>
      <c r="E390" s="30">
        <v>39</v>
      </c>
      <c r="F390" s="30">
        <f>E390*D390</f>
        <v>39</v>
      </c>
      <c r="G390" s="30" t="s">
        <v>9</v>
      </c>
      <c r="J390" s="30" t="s">
        <v>391</v>
      </c>
    </row>
    <row r="391" spans="1:10" x14ac:dyDescent="0.25">
      <c r="C391" s="33" t="s">
        <v>459</v>
      </c>
      <c r="D391" s="30">
        <v>1</v>
      </c>
      <c r="E391" s="30">
        <v>45</v>
      </c>
      <c r="F391" s="30">
        <v>45</v>
      </c>
      <c r="G391" s="30" t="s">
        <v>9</v>
      </c>
      <c r="J391" s="30" t="s">
        <v>391</v>
      </c>
    </row>
    <row r="392" spans="1:10" x14ac:dyDescent="0.25">
      <c r="C392" s="19" t="s">
        <v>381</v>
      </c>
      <c r="D392" s="30">
        <v>1</v>
      </c>
      <c r="E392" s="30">
        <v>15</v>
      </c>
      <c r="F392" s="30">
        <v>15</v>
      </c>
      <c r="G392" s="30" t="s">
        <v>9</v>
      </c>
      <c r="J392" s="30" t="s">
        <v>391</v>
      </c>
    </row>
    <row r="393" spans="1:10" x14ac:dyDescent="0.25">
      <c r="C393" s="33" t="s">
        <v>345</v>
      </c>
      <c r="D393" s="30">
        <v>1</v>
      </c>
      <c r="E393" s="30">
        <v>1</v>
      </c>
      <c r="F393" s="30">
        <f t="shared" ref="F393:F410" si="14">E393*D393</f>
        <v>1</v>
      </c>
      <c r="G393" s="30" t="s">
        <v>9</v>
      </c>
      <c r="J393" s="30" t="s">
        <v>391</v>
      </c>
    </row>
    <row r="394" spans="1:10" x14ac:dyDescent="0.25">
      <c r="C394" s="33" t="s">
        <v>81</v>
      </c>
      <c r="D394" s="30">
        <v>2</v>
      </c>
      <c r="E394" s="30">
        <v>1</v>
      </c>
      <c r="F394" s="30">
        <f t="shared" si="14"/>
        <v>2</v>
      </c>
      <c r="G394" s="30" t="s">
        <v>9</v>
      </c>
      <c r="J394" s="30" t="s">
        <v>391</v>
      </c>
    </row>
    <row r="395" spans="1:10" x14ac:dyDescent="0.25">
      <c r="C395" s="33" t="s">
        <v>343</v>
      </c>
      <c r="D395" s="30">
        <v>1</v>
      </c>
      <c r="E395" s="30">
        <v>29</v>
      </c>
      <c r="F395" s="30">
        <f t="shared" si="14"/>
        <v>29</v>
      </c>
      <c r="G395" s="30" t="s">
        <v>10</v>
      </c>
      <c r="J395" s="30" t="s">
        <v>391</v>
      </c>
    </row>
    <row r="396" spans="1:10" x14ac:dyDescent="0.25">
      <c r="C396" s="33" t="s">
        <v>433</v>
      </c>
      <c r="D396" s="30">
        <v>1</v>
      </c>
      <c r="E396" s="30">
        <v>10</v>
      </c>
      <c r="F396" s="30">
        <f t="shared" si="14"/>
        <v>10</v>
      </c>
      <c r="G396" s="30" t="s">
        <v>9</v>
      </c>
      <c r="J396" s="30" t="s">
        <v>391</v>
      </c>
    </row>
    <row r="397" spans="1:10" x14ac:dyDescent="0.25">
      <c r="C397" s="33" t="s">
        <v>385</v>
      </c>
      <c r="D397" s="30">
        <v>1</v>
      </c>
      <c r="E397" s="30">
        <v>10</v>
      </c>
      <c r="F397" s="30">
        <f t="shared" si="14"/>
        <v>10</v>
      </c>
      <c r="G397" s="30" t="s">
        <v>9</v>
      </c>
      <c r="J397" s="30" t="s">
        <v>391</v>
      </c>
    </row>
    <row r="398" spans="1:10" x14ac:dyDescent="0.25">
      <c r="C398" s="33" t="s">
        <v>41</v>
      </c>
      <c r="D398" s="30">
        <v>1</v>
      </c>
      <c r="E398" s="30">
        <v>75</v>
      </c>
      <c r="F398" s="30">
        <f t="shared" si="14"/>
        <v>75</v>
      </c>
      <c r="G398" s="30" t="s">
        <v>10</v>
      </c>
      <c r="J398" s="30" t="s">
        <v>391</v>
      </c>
    </row>
    <row r="399" spans="1:10" x14ac:dyDescent="0.25">
      <c r="C399" s="33" t="s">
        <v>43</v>
      </c>
      <c r="D399" s="30">
        <v>1</v>
      </c>
      <c r="E399" s="30">
        <v>5</v>
      </c>
      <c r="F399" s="30">
        <f t="shared" si="14"/>
        <v>5</v>
      </c>
      <c r="G399" s="30" t="s">
        <v>10</v>
      </c>
      <c r="J399" s="30" t="s">
        <v>391</v>
      </c>
    </row>
    <row r="400" spans="1:10" ht="30" x14ac:dyDescent="0.25">
      <c r="C400" s="33" t="s">
        <v>506</v>
      </c>
      <c r="D400" s="30">
        <v>1</v>
      </c>
      <c r="E400" s="30">
        <v>5</v>
      </c>
      <c r="F400" s="30">
        <f t="shared" si="14"/>
        <v>5</v>
      </c>
      <c r="G400" s="30" t="s">
        <v>10</v>
      </c>
      <c r="J400" s="30" t="s">
        <v>391</v>
      </c>
    </row>
    <row r="401" spans="1:10" x14ac:dyDescent="0.25">
      <c r="C401" s="33" t="s">
        <v>476</v>
      </c>
      <c r="D401" s="30">
        <v>1</v>
      </c>
      <c r="E401" s="30">
        <v>20</v>
      </c>
      <c r="F401" s="30">
        <f t="shared" si="14"/>
        <v>20</v>
      </c>
      <c r="G401" s="30" t="s">
        <v>9</v>
      </c>
      <c r="I401" s="139">
        <f>SUM(F390:F401)</f>
        <v>256</v>
      </c>
      <c r="J401" s="30" t="s">
        <v>391</v>
      </c>
    </row>
    <row r="402" spans="1:10" x14ac:dyDescent="0.25">
      <c r="C402" s="19" t="s">
        <v>348</v>
      </c>
      <c r="D402" s="30">
        <v>11</v>
      </c>
      <c r="E402" s="30">
        <v>1</v>
      </c>
      <c r="F402" s="30">
        <f t="shared" si="14"/>
        <v>11</v>
      </c>
      <c r="G402" s="30" t="s">
        <v>9</v>
      </c>
      <c r="J402" s="30" t="s">
        <v>392</v>
      </c>
    </row>
    <row r="403" spans="1:10" x14ac:dyDescent="0.25">
      <c r="C403" s="33" t="s">
        <v>449</v>
      </c>
      <c r="D403" s="30">
        <v>1</v>
      </c>
      <c r="E403" s="30">
        <v>5</v>
      </c>
      <c r="F403" s="30">
        <f t="shared" si="14"/>
        <v>5</v>
      </c>
      <c r="G403" s="30" t="s">
        <v>9</v>
      </c>
      <c r="J403" s="30" t="s">
        <v>392</v>
      </c>
    </row>
    <row r="404" spans="1:10" x14ac:dyDescent="0.25">
      <c r="C404" s="33" t="s">
        <v>55</v>
      </c>
      <c r="D404" s="30">
        <v>5</v>
      </c>
      <c r="E404" s="30">
        <v>1</v>
      </c>
      <c r="F404" s="30">
        <f t="shared" si="14"/>
        <v>5</v>
      </c>
      <c r="G404" s="30" t="s">
        <v>9</v>
      </c>
      <c r="J404" s="30" t="s">
        <v>392</v>
      </c>
    </row>
    <row r="405" spans="1:10" x14ac:dyDescent="0.25">
      <c r="C405" s="33" t="s">
        <v>433</v>
      </c>
      <c r="D405" s="30">
        <v>1</v>
      </c>
      <c r="E405" s="30">
        <v>10</v>
      </c>
      <c r="F405" s="30">
        <f t="shared" si="14"/>
        <v>10</v>
      </c>
      <c r="G405" s="30" t="s">
        <v>9</v>
      </c>
      <c r="J405" s="30" t="s">
        <v>392</v>
      </c>
    </row>
    <row r="406" spans="1:10" x14ac:dyDescent="0.25">
      <c r="C406" s="33" t="s">
        <v>432</v>
      </c>
      <c r="D406" s="30">
        <v>1</v>
      </c>
      <c r="E406" s="30">
        <v>10</v>
      </c>
      <c r="F406" s="30">
        <f t="shared" si="14"/>
        <v>10</v>
      </c>
      <c r="G406" s="30" t="s">
        <v>9</v>
      </c>
      <c r="J406" s="30" t="s">
        <v>392</v>
      </c>
    </row>
    <row r="407" spans="1:10" x14ac:dyDescent="0.25">
      <c r="C407" s="33" t="s">
        <v>352</v>
      </c>
      <c r="D407" s="30">
        <v>1</v>
      </c>
      <c r="E407" s="30">
        <v>10</v>
      </c>
      <c r="F407" s="30">
        <f t="shared" si="14"/>
        <v>10</v>
      </c>
      <c r="G407" s="30" t="s">
        <v>9</v>
      </c>
      <c r="J407" s="30" t="s">
        <v>392</v>
      </c>
    </row>
    <row r="408" spans="1:10" x14ac:dyDescent="0.25">
      <c r="C408" s="33" t="s">
        <v>454</v>
      </c>
      <c r="D408" s="30">
        <v>1</v>
      </c>
      <c r="E408" s="30">
        <v>10</v>
      </c>
      <c r="F408" s="30">
        <f t="shared" si="14"/>
        <v>10</v>
      </c>
      <c r="G408" s="30" t="s">
        <v>9</v>
      </c>
      <c r="J408" s="30" t="s">
        <v>392</v>
      </c>
    </row>
    <row r="409" spans="1:10" x14ac:dyDescent="0.25">
      <c r="C409" s="33" t="s">
        <v>399</v>
      </c>
      <c r="D409" s="30">
        <v>0.27100000000000002</v>
      </c>
      <c r="E409" s="30">
        <v>74</v>
      </c>
      <c r="F409" s="30">
        <v>20</v>
      </c>
      <c r="J409" s="30" t="s">
        <v>392</v>
      </c>
    </row>
    <row r="410" spans="1:10" x14ac:dyDescent="0.25">
      <c r="C410" s="33" t="s">
        <v>433</v>
      </c>
      <c r="D410" s="30">
        <v>2</v>
      </c>
      <c r="E410" s="30">
        <v>10</v>
      </c>
      <c r="F410" s="30">
        <f t="shared" si="14"/>
        <v>20</v>
      </c>
      <c r="I410" s="139">
        <f>SUM(F402:F410)</f>
        <v>101</v>
      </c>
      <c r="J410" s="30" t="s">
        <v>392</v>
      </c>
    </row>
    <row r="411" spans="1:10" s="69" customFormat="1" ht="18.75" x14ac:dyDescent="0.3">
      <c r="A411" s="235" t="s">
        <v>437</v>
      </c>
      <c r="B411" s="236"/>
      <c r="C411" s="236"/>
      <c r="D411" s="236"/>
      <c r="E411" s="236"/>
      <c r="F411" s="236"/>
      <c r="G411" s="236"/>
      <c r="H411" s="237"/>
      <c r="I411" s="69">
        <f>SUM(I410,I401)</f>
        <v>357</v>
      </c>
    </row>
    <row r="412" spans="1:10" x14ac:dyDescent="0.25">
      <c r="A412" s="78">
        <v>46133</v>
      </c>
      <c r="C412" s="33" t="s">
        <v>352</v>
      </c>
      <c r="D412" s="30">
        <v>2</v>
      </c>
      <c r="E412" s="30">
        <v>10</v>
      </c>
      <c r="F412" s="30">
        <f>E412*D412</f>
        <v>20</v>
      </c>
      <c r="G412" s="30" t="s">
        <v>9</v>
      </c>
      <c r="J412" s="30" t="s">
        <v>392</v>
      </c>
    </row>
    <row r="413" spans="1:10" x14ac:dyDescent="0.25">
      <c r="C413" s="33" t="s">
        <v>454</v>
      </c>
      <c r="D413" s="30">
        <v>1</v>
      </c>
      <c r="E413" s="30">
        <v>10</v>
      </c>
      <c r="F413" s="30">
        <f t="shared" ref="F413:F423" si="15">E413*D413</f>
        <v>10</v>
      </c>
      <c r="G413" s="30" t="s">
        <v>9</v>
      </c>
      <c r="J413" s="30" t="s">
        <v>392</v>
      </c>
    </row>
    <row r="414" spans="1:10" x14ac:dyDescent="0.25">
      <c r="C414" s="19" t="s">
        <v>424</v>
      </c>
      <c r="D414" s="30">
        <v>1</v>
      </c>
      <c r="E414" s="30">
        <v>20</v>
      </c>
      <c r="F414" s="30">
        <f t="shared" si="15"/>
        <v>20</v>
      </c>
      <c r="G414" s="30" t="s">
        <v>9</v>
      </c>
      <c r="J414" s="30" t="s">
        <v>392</v>
      </c>
    </row>
    <row r="415" spans="1:10" x14ac:dyDescent="0.25">
      <c r="C415" s="33" t="s">
        <v>388</v>
      </c>
      <c r="D415" s="30">
        <v>10</v>
      </c>
      <c r="E415" s="30">
        <v>7.5</v>
      </c>
      <c r="F415" s="30">
        <f t="shared" si="15"/>
        <v>75</v>
      </c>
      <c r="H415" s="68" t="s">
        <v>507</v>
      </c>
      <c r="J415" s="30" t="s">
        <v>392</v>
      </c>
    </row>
    <row r="416" spans="1:10" ht="30" x14ac:dyDescent="0.25">
      <c r="C416" s="33" t="s">
        <v>377</v>
      </c>
      <c r="D416" s="30">
        <v>2</v>
      </c>
      <c r="E416" s="30">
        <v>9</v>
      </c>
      <c r="F416" s="30">
        <f t="shared" si="15"/>
        <v>18</v>
      </c>
      <c r="G416" s="30" t="s">
        <v>9</v>
      </c>
      <c r="J416" s="30" t="s">
        <v>392</v>
      </c>
    </row>
    <row r="417" spans="3:10" x14ac:dyDescent="0.25">
      <c r="C417" s="33" t="s">
        <v>479</v>
      </c>
      <c r="D417" s="30">
        <v>1</v>
      </c>
      <c r="E417" s="30">
        <v>30</v>
      </c>
      <c r="F417" s="30">
        <f t="shared" si="15"/>
        <v>30</v>
      </c>
      <c r="G417" s="30" t="s">
        <v>9</v>
      </c>
      <c r="J417" s="30" t="s">
        <v>392</v>
      </c>
    </row>
    <row r="418" spans="3:10" x14ac:dyDescent="0.25">
      <c r="C418" s="33" t="s">
        <v>508</v>
      </c>
      <c r="D418" s="30">
        <v>0.1</v>
      </c>
      <c r="E418" s="30">
        <v>300</v>
      </c>
      <c r="F418" s="30">
        <f t="shared" si="15"/>
        <v>30</v>
      </c>
      <c r="G418" s="30" t="s">
        <v>9</v>
      </c>
      <c r="J418" s="30" t="s">
        <v>392</v>
      </c>
    </row>
    <row r="419" spans="3:10" x14ac:dyDescent="0.25">
      <c r="C419" s="19" t="s">
        <v>143</v>
      </c>
      <c r="D419" s="30">
        <v>0.05</v>
      </c>
      <c r="E419" s="30">
        <v>300</v>
      </c>
      <c r="F419" s="30">
        <f t="shared" si="15"/>
        <v>15</v>
      </c>
      <c r="G419" s="30" t="s">
        <v>9</v>
      </c>
      <c r="J419" s="30" t="s">
        <v>392</v>
      </c>
    </row>
    <row r="420" spans="3:10" x14ac:dyDescent="0.25">
      <c r="C420" s="19" t="s">
        <v>347</v>
      </c>
      <c r="D420" s="30">
        <v>1</v>
      </c>
      <c r="E420" s="30">
        <v>10</v>
      </c>
      <c r="F420" s="30">
        <f t="shared" si="15"/>
        <v>10</v>
      </c>
      <c r="G420" s="30" t="s">
        <v>9</v>
      </c>
      <c r="J420" s="30" t="s">
        <v>392</v>
      </c>
    </row>
    <row r="421" spans="3:10" x14ac:dyDescent="0.25">
      <c r="C421" s="33" t="s">
        <v>345</v>
      </c>
      <c r="D421" s="30">
        <v>1</v>
      </c>
      <c r="E421" s="30">
        <v>1</v>
      </c>
      <c r="F421" s="30">
        <f t="shared" si="15"/>
        <v>1</v>
      </c>
      <c r="G421" s="30" t="s">
        <v>9</v>
      </c>
      <c r="J421" s="30" t="s">
        <v>392</v>
      </c>
    </row>
    <row r="422" spans="3:10" x14ac:dyDescent="0.25">
      <c r="C422" s="33" t="s">
        <v>479</v>
      </c>
      <c r="D422" s="30">
        <v>0.57999999999999996</v>
      </c>
      <c r="E422" s="30">
        <v>30</v>
      </c>
      <c r="F422" s="30">
        <v>18</v>
      </c>
      <c r="G422" s="30" t="s">
        <v>9</v>
      </c>
      <c r="J422" s="30" t="s">
        <v>392</v>
      </c>
    </row>
    <row r="423" spans="3:10" x14ac:dyDescent="0.25">
      <c r="C423" s="33" t="s">
        <v>455</v>
      </c>
      <c r="D423" s="30">
        <v>1</v>
      </c>
      <c r="E423" s="30">
        <v>27</v>
      </c>
      <c r="F423" s="30">
        <f t="shared" si="15"/>
        <v>27</v>
      </c>
      <c r="G423" s="30" t="s">
        <v>9</v>
      </c>
      <c r="J423" s="30" t="s">
        <v>392</v>
      </c>
    </row>
    <row r="424" spans="3:10" x14ac:dyDescent="0.25">
      <c r="C424" s="19" t="s">
        <v>414</v>
      </c>
      <c r="D424" s="30">
        <v>1</v>
      </c>
      <c r="E424" s="30">
        <v>35</v>
      </c>
      <c r="F424" s="30">
        <v>35</v>
      </c>
      <c r="G424" s="30" t="s">
        <v>9</v>
      </c>
      <c r="J424" s="30" t="s">
        <v>392</v>
      </c>
    </row>
    <row r="425" spans="3:10" x14ac:dyDescent="0.25">
      <c r="C425" s="33" t="s">
        <v>22</v>
      </c>
      <c r="D425" s="30">
        <v>13</v>
      </c>
      <c r="E425" s="30">
        <v>1</v>
      </c>
      <c r="F425" s="30">
        <f>E425*D425</f>
        <v>13</v>
      </c>
      <c r="G425" s="30" t="s">
        <v>9</v>
      </c>
      <c r="J425" s="30" t="s">
        <v>392</v>
      </c>
    </row>
    <row r="426" spans="3:10" x14ac:dyDescent="0.25">
      <c r="C426" s="33" t="s">
        <v>388</v>
      </c>
      <c r="D426" s="30">
        <v>3</v>
      </c>
      <c r="E426" s="30">
        <v>7.5</v>
      </c>
      <c r="F426" s="30">
        <v>22</v>
      </c>
      <c r="G426" s="30" t="s">
        <v>9</v>
      </c>
      <c r="J426" s="30" t="s">
        <v>392</v>
      </c>
    </row>
    <row r="427" spans="3:10" x14ac:dyDescent="0.25">
      <c r="C427" s="33" t="s">
        <v>29</v>
      </c>
      <c r="D427" s="30">
        <v>0.1</v>
      </c>
      <c r="E427" s="30">
        <v>900</v>
      </c>
      <c r="F427" s="30">
        <f>E427*D427</f>
        <v>90</v>
      </c>
      <c r="G427" s="30" t="s">
        <v>9</v>
      </c>
      <c r="J427" s="30" t="s">
        <v>392</v>
      </c>
    </row>
    <row r="428" spans="3:10" x14ac:dyDescent="0.25">
      <c r="C428" s="13" t="s">
        <v>513</v>
      </c>
      <c r="D428" s="30">
        <v>2</v>
      </c>
      <c r="E428" s="30">
        <v>1150</v>
      </c>
      <c r="F428" s="30">
        <f>E428*D428</f>
        <v>2300</v>
      </c>
      <c r="G428" s="30" t="s">
        <v>10</v>
      </c>
      <c r="J428" s="30" t="s">
        <v>392</v>
      </c>
    </row>
    <row r="429" spans="3:10" ht="30" x14ac:dyDescent="0.25">
      <c r="C429" s="13" t="s">
        <v>509</v>
      </c>
      <c r="D429" s="30">
        <v>2</v>
      </c>
      <c r="E429" s="30">
        <v>140</v>
      </c>
      <c r="F429" s="30">
        <f t="shared" ref="F429:F435" si="16">E429*D429</f>
        <v>280</v>
      </c>
      <c r="G429" s="30" t="s">
        <v>10</v>
      </c>
      <c r="J429" s="30" t="s">
        <v>392</v>
      </c>
    </row>
    <row r="430" spans="3:10" ht="30" x14ac:dyDescent="0.25">
      <c r="C430" s="61" t="s">
        <v>382</v>
      </c>
      <c r="D430" s="30">
        <v>2</v>
      </c>
      <c r="E430" s="30">
        <v>185</v>
      </c>
      <c r="F430" s="30">
        <f t="shared" si="16"/>
        <v>370</v>
      </c>
      <c r="G430" s="30" t="s">
        <v>10</v>
      </c>
      <c r="J430" s="30" t="s">
        <v>392</v>
      </c>
    </row>
    <row r="431" spans="3:10" ht="30" x14ac:dyDescent="0.25">
      <c r="C431" s="33" t="s">
        <v>452</v>
      </c>
      <c r="D431" s="30">
        <v>2</v>
      </c>
      <c r="E431" s="30">
        <v>155</v>
      </c>
      <c r="F431" s="30">
        <f t="shared" si="16"/>
        <v>310</v>
      </c>
      <c r="G431" s="30" t="s">
        <v>10</v>
      </c>
      <c r="J431" s="30" t="s">
        <v>392</v>
      </c>
    </row>
    <row r="432" spans="3:10" x14ac:dyDescent="0.25">
      <c r="C432" s="33" t="s">
        <v>463</v>
      </c>
      <c r="D432" s="30">
        <v>2</v>
      </c>
      <c r="E432" s="30">
        <v>56</v>
      </c>
      <c r="F432" s="30">
        <f t="shared" si="16"/>
        <v>112</v>
      </c>
      <c r="G432" s="30" t="s">
        <v>10</v>
      </c>
      <c r="J432" s="30" t="s">
        <v>392</v>
      </c>
    </row>
    <row r="433" spans="1:10" x14ac:dyDescent="0.25">
      <c r="C433" s="33" t="s">
        <v>496</v>
      </c>
      <c r="D433" s="30">
        <v>0.5</v>
      </c>
      <c r="E433" s="30">
        <v>280</v>
      </c>
      <c r="F433" s="30">
        <f t="shared" si="16"/>
        <v>140</v>
      </c>
      <c r="G433" s="30" t="s">
        <v>10</v>
      </c>
      <c r="J433" s="30" t="s">
        <v>392</v>
      </c>
    </row>
    <row r="434" spans="1:10" x14ac:dyDescent="0.25">
      <c r="C434" s="19" t="s">
        <v>359</v>
      </c>
      <c r="D434" s="30">
        <v>2</v>
      </c>
      <c r="E434" s="30">
        <v>205</v>
      </c>
      <c r="F434" s="30">
        <f t="shared" si="16"/>
        <v>410</v>
      </c>
      <c r="G434" s="30" t="s">
        <v>10</v>
      </c>
      <c r="J434" s="30" t="s">
        <v>392</v>
      </c>
    </row>
    <row r="435" spans="1:10" ht="30" x14ac:dyDescent="0.25">
      <c r="C435" s="13" t="s">
        <v>511</v>
      </c>
      <c r="D435" s="30">
        <v>1</v>
      </c>
      <c r="E435" s="30">
        <v>85</v>
      </c>
      <c r="F435" s="30">
        <f t="shared" si="16"/>
        <v>85</v>
      </c>
      <c r="G435" s="30" t="s">
        <v>10</v>
      </c>
      <c r="J435" s="30" t="s">
        <v>392</v>
      </c>
    </row>
    <row r="436" spans="1:10" x14ac:dyDescent="0.25">
      <c r="C436" s="33" t="s">
        <v>388</v>
      </c>
      <c r="D436" s="30">
        <v>7</v>
      </c>
      <c r="E436" s="30">
        <v>7.5</v>
      </c>
      <c r="F436" s="30">
        <v>52</v>
      </c>
      <c r="G436" s="30" t="s">
        <v>9</v>
      </c>
      <c r="I436" s="139">
        <f>SUM(F412:F436)</f>
        <v>4493</v>
      </c>
      <c r="J436" s="30" t="s">
        <v>392</v>
      </c>
    </row>
    <row r="437" spans="1:10" s="69" customFormat="1" ht="18.75" x14ac:dyDescent="0.3">
      <c r="A437" s="235" t="s">
        <v>437</v>
      </c>
      <c r="B437" s="236"/>
      <c r="C437" s="236"/>
      <c r="D437" s="236"/>
      <c r="E437" s="236"/>
      <c r="F437" s="236"/>
      <c r="G437" s="236"/>
      <c r="H437" s="237"/>
      <c r="I437" s="69">
        <f>I436</f>
        <v>4493</v>
      </c>
    </row>
    <row r="438" spans="1:10" ht="30" x14ac:dyDescent="0.25">
      <c r="A438" s="78">
        <v>46134</v>
      </c>
      <c r="C438" s="19" t="s">
        <v>434</v>
      </c>
      <c r="D438" s="30">
        <v>1</v>
      </c>
      <c r="E438" s="30">
        <v>20</v>
      </c>
      <c r="F438" s="30">
        <f>E438*D438</f>
        <v>20</v>
      </c>
      <c r="G438" s="30" t="s">
        <v>9</v>
      </c>
      <c r="J438" s="30" t="s">
        <v>391</v>
      </c>
    </row>
    <row r="439" spans="1:10" x14ac:dyDescent="0.25">
      <c r="C439" s="33" t="s">
        <v>476</v>
      </c>
      <c r="D439" s="30">
        <v>1</v>
      </c>
      <c r="E439" s="30">
        <v>20</v>
      </c>
      <c r="F439" s="30">
        <f>E439*D439</f>
        <v>20</v>
      </c>
      <c r="G439" s="30" t="s">
        <v>9</v>
      </c>
      <c r="J439" s="30" t="s">
        <v>391</v>
      </c>
    </row>
    <row r="440" spans="1:10" ht="30" x14ac:dyDescent="0.25">
      <c r="C440" s="19" t="s">
        <v>86</v>
      </c>
      <c r="D440" s="30">
        <v>1</v>
      </c>
      <c r="E440" s="30">
        <v>10</v>
      </c>
      <c r="F440" s="30">
        <f>E440*D440</f>
        <v>10</v>
      </c>
      <c r="G440" s="30" t="s">
        <v>9</v>
      </c>
      <c r="J440" s="30" t="s">
        <v>391</v>
      </c>
    </row>
    <row r="441" spans="1:10" x14ac:dyDescent="0.25">
      <c r="C441" s="33" t="s">
        <v>8</v>
      </c>
      <c r="D441" s="30">
        <v>1</v>
      </c>
      <c r="E441" s="30">
        <v>30</v>
      </c>
      <c r="F441" s="30">
        <v>30</v>
      </c>
      <c r="G441" s="30" t="s">
        <v>9</v>
      </c>
      <c r="I441" s="68">
        <f>SUM(F438:F441)</f>
        <v>80</v>
      </c>
      <c r="J441" s="30" t="s">
        <v>391</v>
      </c>
    </row>
    <row r="442" spans="1:10" x14ac:dyDescent="0.25">
      <c r="A442" s="83"/>
      <c r="B442" s="133"/>
      <c r="C442" s="85" t="s">
        <v>421</v>
      </c>
      <c r="D442" s="84">
        <v>2</v>
      </c>
      <c r="E442" s="84">
        <v>10</v>
      </c>
      <c r="F442" s="84">
        <v>20</v>
      </c>
      <c r="G442" s="30" t="s">
        <v>9</v>
      </c>
      <c r="H442" s="86"/>
      <c r="J442" s="30" t="s">
        <v>392</v>
      </c>
    </row>
    <row r="443" spans="1:10" x14ac:dyDescent="0.25">
      <c r="A443" s="83"/>
      <c r="B443" s="133"/>
      <c r="C443" s="13" t="s">
        <v>532</v>
      </c>
      <c r="D443" s="84">
        <v>1</v>
      </c>
      <c r="E443" s="84">
        <v>5</v>
      </c>
      <c r="F443" s="84">
        <v>5</v>
      </c>
      <c r="G443" s="30" t="s">
        <v>9</v>
      </c>
      <c r="H443" s="86"/>
      <c r="I443" s="68">
        <v>25</v>
      </c>
      <c r="J443" s="30" t="s">
        <v>392</v>
      </c>
    </row>
    <row r="444" spans="1:10" s="69" customFormat="1" ht="18.75" x14ac:dyDescent="0.3">
      <c r="A444" s="235" t="s">
        <v>437</v>
      </c>
      <c r="B444" s="236"/>
      <c r="C444" s="236"/>
      <c r="D444" s="236"/>
      <c r="E444" s="236"/>
      <c r="F444" s="236"/>
      <c r="G444" s="236"/>
      <c r="H444" s="237"/>
      <c r="I444" s="69">
        <v>105</v>
      </c>
    </row>
    <row r="445" spans="1:10" x14ac:dyDescent="0.25">
      <c r="A445" s="78">
        <v>46135</v>
      </c>
      <c r="C445" s="33" t="s">
        <v>369</v>
      </c>
      <c r="D445" s="30">
        <v>1</v>
      </c>
      <c r="E445" s="30">
        <v>56</v>
      </c>
      <c r="F445" s="30">
        <f>E445*D445</f>
        <v>56</v>
      </c>
      <c r="J445" s="30" t="s">
        <v>391</v>
      </c>
    </row>
    <row r="446" spans="1:10" x14ac:dyDescent="0.25">
      <c r="C446" s="19" t="s">
        <v>139</v>
      </c>
      <c r="D446" s="30">
        <v>1</v>
      </c>
      <c r="E446" s="30">
        <v>162</v>
      </c>
      <c r="F446" s="30">
        <f t="shared" ref="F446:F470" si="17">E446*D446</f>
        <v>162</v>
      </c>
      <c r="J446" s="30" t="s">
        <v>391</v>
      </c>
    </row>
    <row r="447" spans="1:10" x14ac:dyDescent="0.25">
      <c r="C447" s="33" t="s">
        <v>455</v>
      </c>
      <c r="D447" s="30">
        <v>1</v>
      </c>
      <c r="E447" s="30">
        <v>27</v>
      </c>
      <c r="F447" s="30">
        <f t="shared" si="17"/>
        <v>27</v>
      </c>
      <c r="G447" s="30" t="s">
        <v>9</v>
      </c>
      <c r="J447" s="30" t="s">
        <v>391</v>
      </c>
    </row>
    <row r="448" spans="1:10" x14ac:dyDescent="0.25">
      <c r="C448" s="19" t="s">
        <v>30</v>
      </c>
      <c r="D448" s="30">
        <v>0.30199999999999999</v>
      </c>
      <c r="E448" s="30">
        <v>98</v>
      </c>
      <c r="F448" s="30">
        <f t="shared" si="17"/>
        <v>29.596</v>
      </c>
      <c r="G448" s="30" t="s">
        <v>9</v>
      </c>
      <c r="J448" s="30" t="s">
        <v>391</v>
      </c>
    </row>
    <row r="449" spans="3:10" x14ac:dyDescent="0.25">
      <c r="C449" s="33" t="s">
        <v>454</v>
      </c>
      <c r="D449" s="30">
        <v>1</v>
      </c>
      <c r="E449" s="30">
        <v>10</v>
      </c>
      <c r="F449" s="30">
        <f t="shared" si="17"/>
        <v>10</v>
      </c>
      <c r="G449" s="30" t="s">
        <v>9</v>
      </c>
      <c r="J449" s="30" t="s">
        <v>391</v>
      </c>
    </row>
    <row r="450" spans="3:10" x14ac:dyDescent="0.25">
      <c r="C450" s="61" t="s">
        <v>22</v>
      </c>
      <c r="D450" s="30">
        <v>10</v>
      </c>
      <c r="E450" s="30">
        <v>1</v>
      </c>
      <c r="F450" s="30">
        <f t="shared" si="17"/>
        <v>10</v>
      </c>
      <c r="G450" s="30" t="s">
        <v>9</v>
      </c>
      <c r="J450" s="30" t="s">
        <v>391</v>
      </c>
    </row>
    <row r="451" spans="3:10" x14ac:dyDescent="0.25">
      <c r="C451" s="33" t="s">
        <v>345</v>
      </c>
      <c r="D451" s="30">
        <v>1</v>
      </c>
      <c r="E451" s="30">
        <v>1</v>
      </c>
      <c r="F451" s="30">
        <f t="shared" si="17"/>
        <v>1</v>
      </c>
      <c r="G451" s="30" t="s">
        <v>9</v>
      </c>
      <c r="J451" s="30" t="s">
        <v>391</v>
      </c>
    </row>
    <row r="452" spans="3:10" x14ac:dyDescent="0.25">
      <c r="C452" s="19" t="s">
        <v>399</v>
      </c>
      <c r="D452" s="30">
        <v>0.27100000000000002</v>
      </c>
      <c r="E452" s="30">
        <v>74</v>
      </c>
      <c r="F452" s="30">
        <f t="shared" si="17"/>
        <v>20.054000000000002</v>
      </c>
      <c r="G452" s="30" t="s">
        <v>9</v>
      </c>
      <c r="J452" s="30" t="s">
        <v>391</v>
      </c>
    </row>
    <row r="453" spans="3:10" x14ac:dyDescent="0.25">
      <c r="C453" s="33" t="s">
        <v>451</v>
      </c>
      <c r="D453" s="30">
        <v>1</v>
      </c>
      <c r="E453" s="30">
        <v>40</v>
      </c>
      <c r="F453" s="30">
        <f t="shared" si="17"/>
        <v>40</v>
      </c>
      <c r="G453" s="30" t="s">
        <v>9</v>
      </c>
      <c r="J453" s="30" t="s">
        <v>391</v>
      </c>
    </row>
    <row r="454" spans="3:10" x14ac:dyDescent="0.25">
      <c r="C454" s="13" t="s">
        <v>537</v>
      </c>
      <c r="D454" s="30">
        <v>1</v>
      </c>
      <c r="E454" s="30">
        <v>35</v>
      </c>
      <c r="F454" s="30">
        <f t="shared" si="17"/>
        <v>35</v>
      </c>
      <c r="G454" s="30" t="s">
        <v>9</v>
      </c>
      <c r="I454" s="139">
        <v>390</v>
      </c>
      <c r="J454" s="30" t="s">
        <v>391</v>
      </c>
    </row>
    <row r="455" spans="3:10" x14ac:dyDescent="0.25">
      <c r="C455" s="33" t="s">
        <v>326</v>
      </c>
      <c r="D455" s="30">
        <v>2</v>
      </c>
      <c r="E455" s="30">
        <v>55</v>
      </c>
      <c r="F455" s="30">
        <f t="shared" si="17"/>
        <v>110</v>
      </c>
      <c r="G455" s="30" t="s">
        <v>9</v>
      </c>
      <c r="J455" s="30" t="s">
        <v>392</v>
      </c>
    </row>
    <row r="456" spans="3:10" ht="30" x14ac:dyDescent="0.25">
      <c r="C456" s="33" t="s">
        <v>431</v>
      </c>
      <c r="D456" s="30">
        <v>1</v>
      </c>
      <c r="E456" s="30">
        <v>10</v>
      </c>
      <c r="F456" s="30">
        <f t="shared" si="17"/>
        <v>10</v>
      </c>
      <c r="G456" s="30" t="s">
        <v>9</v>
      </c>
      <c r="J456" s="30" t="s">
        <v>392</v>
      </c>
    </row>
    <row r="457" spans="3:10" x14ac:dyDescent="0.25">
      <c r="C457" s="13" t="s">
        <v>529</v>
      </c>
      <c r="D457" s="30">
        <v>1</v>
      </c>
      <c r="E457" s="30">
        <v>10</v>
      </c>
      <c r="F457" s="30">
        <f t="shared" si="17"/>
        <v>10</v>
      </c>
      <c r="G457" s="30" t="s">
        <v>9</v>
      </c>
      <c r="J457" s="30" t="s">
        <v>392</v>
      </c>
    </row>
    <row r="458" spans="3:10" ht="30" x14ac:dyDescent="0.25">
      <c r="C458" s="33" t="s">
        <v>429</v>
      </c>
      <c r="D458" s="30">
        <v>1</v>
      </c>
      <c r="E458" s="30">
        <v>10</v>
      </c>
      <c r="F458" s="30">
        <f t="shared" si="17"/>
        <v>10</v>
      </c>
      <c r="G458" s="30" t="s">
        <v>9</v>
      </c>
      <c r="J458" s="30" t="s">
        <v>392</v>
      </c>
    </row>
    <row r="459" spans="3:10" x14ac:dyDescent="0.25">
      <c r="C459" s="33" t="s">
        <v>325</v>
      </c>
      <c r="D459" s="30">
        <v>2</v>
      </c>
      <c r="E459" s="30">
        <v>15</v>
      </c>
      <c r="F459" s="30">
        <f t="shared" si="17"/>
        <v>30</v>
      </c>
      <c r="G459" s="30" t="s">
        <v>9</v>
      </c>
      <c r="J459" s="30" t="s">
        <v>392</v>
      </c>
    </row>
    <row r="460" spans="3:10" x14ac:dyDescent="0.25">
      <c r="C460" s="19" t="s">
        <v>502</v>
      </c>
      <c r="D460" s="30">
        <v>5</v>
      </c>
      <c r="E460" s="30">
        <v>10</v>
      </c>
      <c r="F460" s="30">
        <f t="shared" si="17"/>
        <v>50</v>
      </c>
      <c r="G460" s="30" t="s">
        <v>9</v>
      </c>
      <c r="J460" s="30" t="s">
        <v>392</v>
      </c>
    </row>
    <row r="461" spans="3:10" x14ac:dyDescent="0.25">
      <c r="C461" s="33" t="s">
        <v>460</v>
      </c>
      <c r="D461" s="30">
        <v>2</v>
      </c>
      <c r="E461" s="30">
        <v>10</v>
      </c>
      <c r="F461" s="30">
        <f t="shared" si="17"/>
        <v>20</v>
      </c>
      <c r="G461" s="30" t="s">
        <v>9</v>
      </c>
      <c r="J461" s="30" t="s">
        <v>392</v>
      </c>
    </row>
    <row r="462" spans="3:10" x14ac:dyDescent="0.25">
      <c r="C462" s="81" t="s">
        <v>385</v>
      </c>
      <c r="D462" s="80">
        <v>1</v>
      </c>
      <c r="E462" s="80">
        <v>10</v>
      </c>
      <c r="F462" s="80">
        <f t="shared" si="17"/>
        <v>10</v>
      </c>
      <c r="G462" s="80"/>
      <c r="H462" s="82" t="s">
        <v>550</v>
      </c>
      <c r="I462" s="82"/>
      <c r="J462" s="30" t="s">
        <v>392</v>
      </c>
    </row>
    <row r="463" spans="3:10" ht="30" x14ac:dyDescent="0.25">
      <c r="C463" s="19" t="s">
        <v>426</v>
      </c>
      <c r="D463" s="30">
        <v>2</v>
      </c>
      <c r="E463" s="30">
        <v>10</v>
      </c>
      <c r="F463" s="30">
        <f t="shared" si="17"/>
        <v>20</v>
      </c>
      <c r="G463" s="30" t="s">
        <v>9</v>
      </c>
      <c r="J463" s="30" t="s">
        <v>392</v>
      </c>
    </row>
    <row r="464" spans="3:10" x14ac:dyDescent="0.25">
      <c r="C464" s="19" t="s">
        <v>119</v>
      </c>
      <c r="D464" s="30">
        <v>1</v>
      </c>
      <c r="E464" s="30">
        <v>10</v>
      </c>
      <c r="F464" s="30">
        <f t="shared" si="17"/>
        <v>10</v>
      </c>
      <c r="G464" s="30" t="s">
        <v>9</v>
      </c>
      <c r="J464" s="30" t="s">
        <v>392</v>
      </c>
    </row>
    <row r="465" spans="1:10" x14ac:dyDescent="0.25">
      <c r="C465" s="19" t="s">
        <v>531</v>
      </c>
      <c r="D465" s="30">
        <v>1</v>
      </c>
      <c r="E465" s="30">
        <v>5</v>
      </c>
      <c r="F465" s="30">
        <f t="shared" si="17"/>
        <v>5</v>
      </c>
      <c r="G465" s="30" t="s">
        <v>9</v>
      </c>
      <c r="J465" s="30" t="s">
        <v>392</v>
      </c>
    </row>
    <row r="466" spans="1:10" x14ac:dyDescent="0.25">
      <c r="C466" s="19" t="s">
        <v>551</v>
      </c>
      <c r="D466" s="30">
        <v>1</v>
      </c>
      <c r="E466" s="30">
        <v>5</v>
      </c>
      <c r="F466" s="30">
        <f t="shared" si="17"/>
        <v>5</v>
      </c>
      <c r="G466" s="30" t="s">
        <v>9</v>
      </c>
      <c r="J466" s="30" t="s">
        <v>392</v>
      </c>
    </row>
    <row r="467" spans="1:10" x14ac:dyDescent="0.25">
      <c r="C467" s="19" t="s">
        <v>502</v>
      </c>
      <c r="D467" s="30">
        <v>1</v>
      </c>
      <c r="E467" s="30">
        <v>10</v>
      </c>
      <c r="F467" s="30">
        <f t="shared" si="17"/>
        <v>10</v>
      </c>
      <c r="G467" s="30" t="s">
        <v>9</v>
      </c>
      <c r="J467" s="30" t="s">
        <v>392</v>
      </c>
    </row>
    <row r="468" spans="1:10" ht="30" x14ac:dyDescent="0.25">
      <c r="C468" s="19" t="s">
        <v>377</v>
      </c>
      <c r="D468" s="30">
        <v>1</v>
      </c>
      <c r="E468" s="30">
        <v>10</v>
      </c>
      <c r="F468" s="30">
        <f t="shared" si="17"/>
        <v>10</v>
      </c>
      <c r="G468" s="30" t="s">
        <v>9</v>
      </c>
      <c r="J468" s="30" t="s">
        <v>392</v>
      </c>
    </row>
    <row r="469" spans="1:10" x14ac:dyDescent="0.25">
      <c r="C469" s="33" t="s">
        <v>325</v>
      </c>
      <c r="D469" s="30">
        <v>0.66700000000000004</v>
      </c>
      <c r="E469" s="30">
        <v>15</v>
      </c>
      <c r="F469" s="30">
        <f t="shared" si="17"/>
        <v>10.005000000000001</v>
      </c>
      <c r="G469" s="30" t="s">
        <v>9</v>
      </c>
      <c r="J469" s="30" t="s">
        <v>392</v>
      </c>
    </row>
    <row r="470" spans="1:10" x14ac:dyDescent="0.25">
      <c r="C470" s="19" t="s">
        <v>192</v>
      </c>
      <c r="D470" s="30">
        <v>5</v>
      </c>
      <c r="E470" s="30">
        <v>1</v>
      </c>
      <c r="F470" s="30">
        <f t="shared" si="17"/>
        <v>5</v>
      </c>
      <c r="G470" s="30" t="s">
        <v>9</v>
      </c>
      <c r="J470" s="30" t="s">
        <v>392</v>
      </c>
    </row>
    <row r="471" spans="1:10" x14ac:dyDescent="0.25">
      <c r="C471" s="19" t="s">
        <v>57</v>
      </c>
      <c r="D471" s="30">
        <v>5</v>
      </c>
      <c r="E471" s="30">
        <v>1</v>
      </c>
      <c r="F471" s="30">
        <f t="shared" ref="F471:F478" si="18">E471*D471</f>
        <v>5</v>
      </c>
      <c r="G471" s="30" t="s">
        <v>9</v>
      </c>
      <c r="J471" s="30" t="s">
        <v>392</v>
      </c>
    </row>
    <row r="472" spans="1:10" x14ac:dyDescent="0.25">
      <c r="C472" s="33" t="s">
        <v>547</v>
      </c>
      <c r="D472" s="30">
        <v>2</v>
      </c>
      <c r="E472" s="30">
        <v>7.5</v>
      </c>
      <c r="F472" s="30">
        <f t="shared" si="18"/>
        <v>15</v>
      </c>
      <c r="G472" s="30" t="s">
        <v>10</v>
      </c>
      <c r="J472" s="30" t="s">
        <v>392</v>
      </c>
    </row>
    <row r="473" spans="1:10" ht="30" x14ac:dyDescent="0.25">
      <c r="C473" s="61" t="s">
        <v>12</v>
      </c>
      <c r="D473" s="30">
        <v>1</v>
      </c>
      <c r="E473" s="30">
        <v>5</v>
      </c>
      <c r="F473" s="30">
        <f t="shared" si="18"/>
        <v>5</v>
      </c>
      <c r="G473" s="30" t="s">
        <v>10</v>
      </c>
      <c r="J473" s="30" t="s">
        <v>392</v>
      </c>
    </row>
    <row r="474" spans="1:10" x14ac:dyDescent="0.25">
      <c r="C474" s="33" t="s">
        <v>448</v>
      </c>
      <c r="D474" s="30">
        <v>1</v>
      </c>
      <c r="E474" s="30">
        <v>10</v>
      </c>
      <c r="F474" s="30">
        <f t="shared" si="18"/>
        <v>10</v>
      </c>
      <c r="G474" s="30" t="s">
        <v>9</v>
      </c>
      <c r="J474" s="30" t="s">
        <v>392</v>
      </c>
    </row>
    <row r="475" spans="1:10" x14ac:dyDescent="0.25">
      <c r="C475" s="33" t="s">
        <v>8</v>
      </c>
      <c r="D475" s="30">
        <v>2</v>
      </c>
      <c r="E475" s="30">
        <v>30</v>
      </c>
      <c r="F475" s="30">
        <f t="shared" si="18"/>
        <v>60</v>
      </c>
      <c r="G475" s="30" t="s">
        <v>9</v>
      </c>
      <c r="J475" s="30" t="s">
        <v>392</v>
      </c>
    </row>
    <row r="476" spans="1:10" x14ac:dyDescent="0.25">
      <c r="C476" s="33" t="s">
        <v>432</v>
      </c>
      <c r="D476" s="30">
        <v>1</v>
      </c>
      <c r="E476" s="30">
        <v>10</v>
      </c>
      <c r="F476" s="30">
        <f t="shared" si="18"/>
        <v>10</v>
      </c>
      <c r="G476" s="30" t="s">
        <v>9</v>
      </c>
      <c r="J476" s="30" t="s">
        <v>392</v>
      </c>
    </row>
    <row r="477" spans="1:10" ht="30" x14ac:dyDescent="0.25">
      <c r="C477" s="33" t="s">
        <v>431</v>
      </c>
      <c r="D477" s="30">
        <v>1</v>
      </c>
      <c r="E477" s="30">
        <v>10</v>
      </c>
      <c r="F477" s="30">
        <f t="shared" si="18"/>
        <v>10</v>
      </c>
      <c r="G477" s="30" t="s">
        <v>9</v>
      </c>
      <c r="J477" s="30" t="s">
        <v>392</v>
      </c>
    </row>
    <row r="478" spans="1:10" ht="30" x14ac:dyDescent="0.25">
      <c r="C478" s="19" t="s">
        <v>70</v>
      </c>
      <c r="D478" s="30">
        <v>1</v>
      </c>
      <c r="E478" s="30">
        <v>10</v>
      </c>
      <c r="F478" s="30">
        <f t="shared" si="18"/>
        <v>10</v>
      </c>
      <c r="G478" s="30" t="s">
        <v>9</v>
      </c>
      <c r="I478" s="68">
        <v>450</v>
      </c>
      <c r="J478" s="30" t="s">
        <v>392</v>
      </c>
    </row>
    <row r="479" spans="1:10" s="69" customFormat="1" ht="18.75" x14ac:dyDescent="0.3">
      <c r="A479" s="235" t="s">
        <v>437</v>
      </c>
      <c r="B479" s="236"/>
      <c r="C479" s="236"/>
      <c r="D479" s="236"/>
      <c r="E479" s="236"/>
      <c r="F479" s="236"/>
      <c r="G479" s="236"/>
      <c r="H479" s="237"/>
      <c r="I479" s="69">
        <f>SUM(I478,I454)</f>
        <v>840</v>
      </c>
    </row>
    <row r="480" spans="1:10" x14ac:dyDescent="0.25">
      <c r="A480" s="78">
        <v>46136</v>
      </c>
      <c r="C480" s="33" t="s">
        <v>19</v>
      </c>
      <c r="D480" s="30">
        <v>1</v>
      </c>
      <c r="E480" s="30">
        <v>10</v>
      </c>
      <c r="F480" s="30">
        <f t="shared" ref="F480:F487" si="19">E480*D480</f>
        <v>10</v>
      </c>
      <c r="G480" s="30" t="s">
        <v>9</v>
      </c>
      <c r="J480" s="30" t="s">
        <v>391</v>
      </c>
    </row>
    <row r="481" spans="3:10" x14ac:dyDescent="0.25">
      <c r="C481" s="33" t="s">
        <v>399</v>
      </c>
      <c r="D481" s="30">
        <v>0.28999999999999998</v>
      </c>
      <c r="E481" s="30">
        <v>70</v>
      </c>
      <c r="F481" s="30">
        <f t="shared" si="19"/>
        <v>20.299999999999997</v>
      </c>
      <c r="G481" s="30" t="s">
        <v>9</v>
      </c>
      <c r="J481" s="30" t="s">
        <v>391</v>
      </c>
    </row>
    <row r="482" spans="3:10" x14ac:dyDescent="0.25">
      <c r="C482" s="33" t="s">
        <v>496</v>
      </c>
      <c r="D482" s="30">
        <v>7.4099999999999999E-2</v>
      </c>
      <c r="E482" s="30">
        <v>280</v>
      </c>
      <c r="F482" s="30">
        <f t="shared" si="19"/>
        <v>20.748000000000001</v>
      </c>
      <c r="G482" s="30" t="s">
        <v>9</v>
      </c>
      <c r="J482" s="30" t="s">
        <v>391</v>
      </c>
    </row>
    <row r="483" spans="3:10" x14ac:dyDescent="0.25">
      <c r="C483" s="33" t="s">
        <v>463</v>
      </c>
      <c r="D483" s="30">
        <v>0.312</v>
      </c>
      <c r="E483" s="30">
        <v>56</v>
      </c>
      <c r="F483" s="30">
        <f t="shared" si="19"/>
        <v>17.472000000000001</v>
      </c>
      <c r="G483" s="30" t="s">
        <v>9</v>
      </c>
      <c r="J483" s="30" t="s">
        <v>391</v>
      </c>
    </row>
    <row r="484" spans="3:10" x14ac:dyDescent="0.25">
      <c r="C484" s="33" t="s">
        <v>422</v>
      </c>
      <c r="D484" s="30">
        <v>1</v>
      </c>
      <c r="E484" s="30">
        <v>10</v>
      </c>
      <c r="F484" s="30">
        <f t="shared" si="19"/>
        <v>10</v>
      </c>
      <c r="G484" s="30" t="s">
        <v>9</v>
      </c>
      <c r="J484" s="30" t="s">
        <v>391</v>
      </c>
    </row>
    <row r="485" spans="3:10" x14ac:dyDescent="0.25">
      <c r="C485" s="19" t="s">
        <v>551</v>
      </c>
      <c r="D485" s="30">
        <v>10</v>
      </c>
      <c r="E485" s="30">
        <v>5</v>
      </c>
      <c r="F485" s="30">
        <f t="shared" si="19"/>
        <v>50</v>
      </c>
      <c r="G485" s="30" t="s">
        <v>9</v>
      </c>
      <c r="J485" s="30" t="s">
        <v>391</v>
      </c>
    </row>
    <row r="486" spans="3:10" x14ac:dyDescent="0.25">
      <c r="C486" s="33" t="s">
        <v>364</v>
      </c>
      <c r="D486" s="30">
        <v>1</v>
      </c>
      <c r="E486" s="30">
        <v>35</v>
      </c>
      <c r="F486" s="30">
        <f t="shared" si="19"/>
        <v>35</v>
      </c>
      <c r="G486" s="30" t="s">
        <v>9</v>
      </c>
      <c r="J486" s="30" t="s">
        <v>391</v>
      </c>
    </row>
    <row r="487" spans="3:10" x14ac:dyDescent="0.25">
      <c r="C487" s="19" t="s">
        <v>98</v>
      </c>
      <c r="D487" s="30">
        <v>1</v>
      </c>
      <c r="E487" s="30">
        <v>17</v>
      </c>
      <c r="F487" s="30">
        <f t="shared" si="19"/>
        <v>17</v>
      </c>
      <c r="G487" s="30" t="s">
        <v>9</v>
      </c>
      <c r="J487" s="30" t="s">
        <v>391</v>
      </c>
    </row>
    <row r="488" spans="3:10" x14ac:dyDescent="0.25">
      <c r="C488" s="19" t="s">
        <v>102</v>
      </c>
      <c r="D488" s="30">
        <v>1</v>
      </c>
      <c r="E488" s="30">
        <v>22</v>
      </c>
      <c r="F488" s="30">
        <f t="shared" ref="F488:F521" si="20">E488*D488</f>
        <v>22</v>
      </c>
      <c r="G488" s="30" t="s">
        <v>9</v>
      </c>
      <c r="J488" s="30" t="s">
        <v>391</v>
      </c>
    </row>
    <row r="489" spans="3:10" x14ac:dyDescent="0.25">
      <c r="C489" s="19" t="s">
        <v>94</v>
      </c>
      <c r="D489" s="30">
        <v>1</v>
      </c>
      <c r="E489" s="30">
        <v>17</v>
      </c>
      <c r="F489" s="30">
        <f t="shared" si="20"/>
        <v>17</v>
      </c>
      <c r="G489" s="30" t="s">
        <v>9</v>
      </c>
      <c r="J489" s="30" t="s">
        <v>391</v>
      </c>
    </row>
    <row r="490" spans="3:10" x14ac:dyDescent="0.25">
      <c r="C490" s="19" t="s">
        <v>525</v>
      </c>
      <c r="D490" s="30">
        <v>1</v>
      </c>
      <c r="E490" s="30">
        <v>24</v>
      </c>
      <c r="F490" s="30">
        <f t="shared" si="20"/>
        <v>24</v>
      </c>
      <c r="G490" s="30" t="s">
        <v>9</v>
      </c>
      <c r="J490" s="30" t="s">
        <v>391</v>
      </c>
    </row>
    <row r="491" spans="3:10" ht="30" x14ac:dyDescent="0.25">
      <c r="C491" s="19" t="s">
        <v>509</v>
      </c>
      <c r="D491" s="30">
        <v>0.217</v>
      </c>
      <c r="E491" s="30">
        <v>140</v>
      </c>
      <c r="F491" s="30">
        <f t="shared" si="20"/>
        <v>30.38</v>
      </c>
      <c r="G491" s="30" t="s">
        <v>9</v>
      </c>
      <c r="J491" s="30" t="s">
        <v>391</v>
      </c>
    </row>
    <row r="492" spans="3:10" x14ac:dyDescent="0.25">
      <c r="C492" s="33" t="s">
        <v>326</v>
      </c>
      <c r="D492" s="30">
        <v>2</v>
      </c>
      <c r="E492" s="30">
        <v>56</v>
      </c>
      <c r="F492" s="30">
        <f t="shared" si="20"/>
        <v>112</v>
      </c>
      <c r="G492" s="30" t="s">
        <v>9</v>
      </c>
      <c r="J492" s="30" t="s">
        <v>391</v>
      </c>
    </row>
    <row r="493" spans="3:10" ht="30" x14ac:dyDescent="0.25">
      <c r="C493" s="33" t="s">
        <v>382</v>
      </c>
      <c r="D493" s="30">
        <v>1</v>
      </c>
      <c r="E493" s="30">
        <v>185</v>
      </c>
      <c r="F493" s="30">
        <f t="shared" si="20"/>
        <v>185</v>
      </c>
      <c r="G493" s="30" t="s">
        <v>9</v>
      </c>
      <c r="J493" s="30" t="s">
        <v>391</v>
      </c>
    </row>
    <row r="494" spans="3:10" x14ac:dyDescent="0.25">
      <c r="C494" s="19" t="s">
        <v>547</v>
      </c>
      <c r="D494" s="30">
        <v>4</v>
      </c>
      <c r="E494" s="30">
        <v>7.5</v>
      </c>
      <c r="F494" s="30">
        <f t="shared" si="20"/>
        <v>30</v>
      </c>
      <c r="G494" s="30" t="s">
        <v>9</v>
      </c>
      <c r="J494" s="30" t="s">
        <v>391</v>
      </c>
    </row>
    <row r="495" spans="3:10" x14ac:dyDescent="0.25">
      <c r="C495" s="33" t="s">
        <v>325</v>
      </c>
      <c r="D495" s="30">
        <v>1</v>
      </c>
      <c r="E495" s="30">
        <v>15</v>
      </c>
      <c r="F495" s="30">
        <f t="shared" si="20"/>
        <v>15</v>
      </c>
      <c r="G495" s="30" t="s">
        <v>9</v>
      </c>
      <c r="I495" s="139">
        <f>SUM(F480:F495)</f>
        <v>615.90000000000009</v>
      </c>
      <c r="J495" s="30" t="s">
        <v>391</v>
      </c>
    </row>
    <row r="496" spans="3:10" x14ac:dyDescent="0.25">
      <c r="C496" s="19" t="s">
        <v>421</v>
      </c>
      <c r="D496" s="30">
        <v>3</v>
      </c>
      <c r="E496" s="30">
        <v>9.5</v>
      </c>
      <c r="F496" s="30">
        <f t="shared" si="20"/>
        <v>28.5</v>
      </c>
      <c r="G496" s="30" t="s">
        <v>9</v>
      </c>
      <c r="J496" s="30" t="s">
        <v>392</v>
      </c>
    </row>
    <row r="497" spans="3:10" x14ac:dyDescent="0.25">
      <c r="C497" s="33" t="s">
        <v>347</v>
      </c>
      <c r="D497" s="30">
        <v>2</v>
      </c>
      <c r="E497" s="30">
        <v>10</v>
      </c>
      <c r="F497" s="30">
        <f t="shared" si="20"/>
        <v>20</v>
      </c>
      <c r="G497" s="30" t="s">
        <v>9</v>
      </c>
      <c r="J497" s="30" t="s">
        <v>392</v>
      </c>
    </row>
    <row r="498" spans="3:10" x14ac:dyDescent="0.25">
      <c r="C498" s="33" t="s">
        <v>422</v>
      </c>
      <c r="D498" s="30">
        <v>1</v>
      </c>
      <c r="E498" s="30">
        <v>10</v>
      </c>
      <c r="F498" s="30">
        <f t="shared" si="20"/>
        <v>10</v>
      </c>
      <c r="G498" s="30" t="s">
        <v>9</v>
      </c>
      <c r="J498" s="30" t="s">
        <v>392</v>
      </c>
    </row>
    <row r="499" spans="3:10" x14ac:dyDescent="0.25">
      <c r="C499" s="33" t="s">
        <v>399</v>
      </c>
      <c r="D499" s="30">
        <v>0.5</v>
      </c>
      <c r="E499" s="30">
        <v>70</v>
      </c>
      <c r="F499" s="30">
        <f t="shared" si="20"/>
        <v>35</v>
      </c>
      <c r="G499" s="30" t="s">
        <v>9</v>
      </c>
      <c r="J499" s="30" t="s">
        <v>392</v>
      </c>
    </row>
    <row r="500" spans="3:10" x14ac:dyDescent="0.25">
      <c r="C500" s="33" t="s">
        <v>23</v>
      </c>
      <c r="D500" s="30">
        <v>1</v>
      </c>
      <c r="E500" s="30">
        <v>60</v>
      </c>
      <c r="F500" s="30">
        <f t="shared" si="20"/>
        <v>60</v>
      </c>
      <c r="G500" s="30" t="s">
        <v>9</v>
      </c>
      <c r="J500" s="30" t="s">
        <v>392</v>
      </c>
    </row>
    <row r="501" spans="3:10" x14ac:dyDescent="0.25">
      <c r="C501" s="33" t="s">
        <v>496</v>
      </c>
      <c r="D501" s="30">
        <v>7.0999999999999994E-2</v>
      </c>
      <c r="E501" s="30">
        <v>280</v>
      </c>
      <c r="F501" s="30">
        <f t="shared" si="20"/>
        <v>19.88</v>
      </c>
      <c r="G501" s="30" t="s">
        <v>9</v>
      </c>
      <c r="J501" s="30" t="s">
        <v>392</v>
      </c>
    </row>
    <row r="502" spans="3:10" x14ac:dyDescent="0.25">
      <c r="C502" s="33" t="s">
        <v>463</v>
      </c>
      <c r="D502" s="30">
        <v>0.53600000000000003</v>
      </c>
      <c r="E502" s="30">
        <v>56</v>
      </c>
      <c r="F502" s="30">
        <f t="shared" si="20"/>
        <v>30.016000000000002</v>
      </c>
      <c r="G502" s="30" t="s">
        <v>9</v>
      </c>
      <c r="J502" s="30" t="s">
        <v>392</v>
      </c>
    </row>
    <row r="503" spans="3:10" x14ac:dyDescent="0.25">
      <c r="C503" s="33" t="s">
        <v>143</v>
      </c>
      <c r="D503" s="30">
        <v>6.6000000000000003E-2</v>
      </c>
      <c r="E503" s="30">
        <v>300</v>
      </c>
      <c r="F503" s="30">
        <f t="shared" si="20"/>
        <v>19.8</v>
      </c>
      <c r="G503" s="30" t="s">
        <v>9</v>
      </c>
      <c r="J503" s="30" t="s">
        <v>392</v>
      </c>
    </row>
    <row r="504" spans="3:10" x14ac:dyDescent="0.25">
      <c r="C504" s="33" t="s">
        <v>345</v>
      </c>
      <c r="D504" s="30">
        <v>1</v>
      </c>
      <c r="E504" s="30">
        <v>10</v>
      </c>
      <c r="F504" s="30">
        <f t="shared" si="20"/>
        <v>10</v>
      </c>
      <c r="G504" s="30" t="s">
        <v>9</v>
      </c>
      <c r="J504" s="30" t="s">
        <v>392</v>
      </c>
    </row>
    <row r="505" spans="3:10" x14ac:dyDescent="0.25">
      <c r="C505" s="33" t="s">
        <v>547</v>
      </c>
      <c r="D505" s="30">
        <v>6</v>
      </c>
      <c r="E505" s="30">
        <v>7.5</v>
      </c>
      <c r="F505" s="30">
        <f t="shared" si="20"/>
        <v>45</v>
      </c>
      <c r="G505" s="30" t="s">
        <v>9</v>
      </c>
      <c r="J505" s="30" t="s">
        <v>392</v>
      </c>
    </row>
    <row r="506" spans="3:10" ht="30" x14ac:dyDescent="0.25">
      <c r="C506" s="33" t="s">
        <v>12</v>
      </c>
      <c r="D506" s="30">
        <v>1</v>
      </c>
      <c r="E506" s="30">
        <v>5</v>
      </c>
      <c r="F506" s="30">
        <f t="shared" si="20"/>
        <v>5</v>
      </c>
      <c r="G506" s="30" t="s">
        <v>9</v>
      </c>
      <c r="J506" s="30" t="s">
        <v>392</v>
      </c>
    </row>
    <row r="507" spans="3:10" x14ac:dyDescent="0.25">
      <c r="C507" s="19" t="s">
        <v>521</v>
      </c>
      <c r="D507" s="30">
        <v>1</v>
      </c>
      <c r="E507" s="30">
        <v>10</v>
      </c>
      <c r="F507" s="30">
        <f t="shared" si="20"/>
        <v>10</v>
      </c>
      <c r="G507" s="30" t="s">
        <v>9</v>
      </c>
      <c r="J507" s="30" t="s">
        <v>392</v>
      </c>
    </row>
    <row r="508" spans="3:10" x14ac:dyDescent="0.25">
      <c r="C508" s="19" t="s">
        <v>519</v>
      </c>
      <c r="D508" s="30">
        <v>1</v>
      </c>
      <c r="E508" s="30">
        <v>10</v>
      </c>
      <c r="F508" s="30">
        <f t="shared" si="20"/>
        <v>10</v>
      </c>
      <c r="G508" s="30" t="s">
        <v>9</v>
      </c>
      <c r="J508" s="30" t="s">
        <v>392</v>
      </c>
    </row>
    <row r="509" spans="3:10" x14ac:dyDescent="0.25">
      <c r="C509" s="33" t="s">
        <v>448</v>
      </c>
      <c r="D509" s="30">
        <v>1</v>
      </c>
      <c r="E509" s="30">
        <v>10</v>
      </c>
      <c r="F509" s="30">
        <f t="shared" si="20"/>
        <v>10</v>
      </c>
      <c r="G509" s="30" t="s">
        <v>9</v>
      </c>
      <c r="J509" s="30" t="s">
        <v>392</v>
      </c>
    </row>
    <row r="510" spans="3:10" x14ac:dyDescent="0.25">
      <c r="C510" s="33" t="s">
        <v>326</v>
      </c>
      <c r="D510" s="30">
        <v>3</v>
      </c>
      <c r="E510" s="30">
        <v>56</v>
      </c>
      <c r="F510" s="30">
        <f t="shared" si="20"/>
        <v>168</v>
      </c>
      <c r="G510" s="30" t="s">
        <v>9</v>
      </c>
      <c r="J510" s="30" t="s">
        <v>392</v>
      </c>
    </row>
    <row r="511" spans="3:10" x14ac:dyDescent="0.25">
      <c r="C511" s="61" t="s">
        <v>22</v>
      </c>
      <c r="D511" s="30">
        <v>2</v>
      </c>
      <c r="E511" s="30">
        <v>1</v>
      </c>
      <c r="F511" s="30">
        <f t="shared" si="20"/>
        <v>2</v>
      </c>
      <c r="G511" s="30" t="s">
        <v>9</v>
      </c>
      <c r="J511" s="30" t="s">
        <v>392</v>
      </c>
    </row>
    <row r="512" spans="3:10" ht="30" x14ac:dyDescent="0.25">
      <c r="C512" s="33" t="s">
        <v>431</v>
      </c>
      <c r="D512" s="30">
        <v>1</v>
      </c>
      <c r="E512" s="30">
        <v>10</v>
      </c>
      <c r="F512" s="30">
        <f t="shared" si="20"/>
        <v>10</v>
      </c>
      <c r="G512" s="30" t="s">
        <v>9</v>
      </c>
      <c r="J512" s="30" t="s">
        <v>392</v>
      </c>
    </row>
    <row r="513" spans="1:10" x14ac:dyDescent="0.25">
      <c r="C513" s="33" t="s">
        <v>422</v>
      </c>
      <c r="D513" s="30">
        <v>1</v>
      </c>
      <c r="E513" s="30">
        <v>10</v>
      </c>
      <c r="F513" s="30">
        <f t="shared" si="20"/>
        <v>10</v>
      </c>
      <c r="G513" s="30" t="s">
        <v>9</v>
      </c>
      <c r="J513" s="30" t="s">
        <v>392</v>
      </c>
    </row>
    <row r="514" spans="1:10" x14ac:dyDescent="0.25">
      <c r="C514" s="33" t="s">
        <v>325</v>
      </c>
      <c r="D514" s="30">
        <v>1</v>
      </c>
      <c r="E514" s="30">
        <v>15</v>
      </c>
      <c r="F514" s="30">
        <f t="shared" si="20"/>
        <v>15</v>
      </c>
      <c r="G514" s="30" t="s">
        <v>9</v>
      </c>
      <c r="J514" s="30" t="s">
        <v>392</v>
      </c>
    </row>
    <row r="515" spans="1:10" x14ac:dyDescent="0.25">
      <c r="C515" s="19" t="s">
        <v>512</v>
      </c>
      <c r="D515" s="30">
        <v>1</v>
      </c>
      <c r="E515" s="30">
        <v>10</v>
      </c>
      <c r="F515" s="30">
        <f t="shared" si="20"/>
        <v>10</v>
      </c>
      <c r="G515" s="30" t="s">
        <v>9</v>
      </c>
      <c r="J515" s="30" t="s">
        <v>392</v>
      </c>
    </row>
    <row r="516" spans="1:10" x14ac:dyDescent="0.25">
      <c r="C516" s="61" t="s">
        <v>43</v>
      </c>
      <c r="D516" s="30">
        <v>1</v>
      </c>
      <c r="E516" s="30">
        <v>5</v>
      </c>
      <c r="F516" s="30">
        <f t="shared" si="20"/>
        <v>5</v>
      </c>
      <c r="G516" s="30" t="s">
        <v>9</v>
      </c>
      <c r="I516" s="139">
        <f>SUM(F496:F521)</f>
        <v>623.19600000000003</v>
      </c>
      <c r="J516" s="30" t="s">
        <v>392</v>
      </c>
    </row>
    <row r="517" spans="1:10" x14ac:dyDescent="0.25">
      <c r="C517" s="19" t="s">
        <v>133</v>
      </c>
      <c r="D517" s="30">
        <v>1</v>
      </c>
      <c r="E517" s="30">
        <v>10</v>
      </c>
      <c r="F517" s="30">
        <f t="shared" si="20"/>
        <v>10</v>
      </c>
      <c r="G517" s="30" t="s">
        <v>9</v>
      </c>
      <c r="J517" s="30" t="s">
        <v>392</v>
      </c>
    </row>
    <row r="518" spans="1:10" x14ac:dyDescent="0.25">
      <c r="C518" s="33" t="s">
        <v>433</v>
      </c>
      <c r="D518" s="30">
        <v>1</v>
      </c>
      <c r="E518" s="30">
        <v>10</v>
      </c>
      <c r="F518" s="30">
        <f t="shared" si="20"/>
        <v>10</v>
      </c>
      <c r="G518" s="30" t="s">
        <v>9</v>
      </c>
      <c r="J518" s="30" t="s">
        <v>392</v>
      </c>
    </row>
    <row r="519" spans="1:10" ht="30" x14ac:dyDescent="0.25">
      <c r="C519" s="33" t="s">
        <v>430</v>
      </c>
      <c r="D519" s="30">
        <v>5</v>
      </c>
      <c r="E519" s="30">
        <v>10</v>
      </c>
      <c r="F519" s="30">
        <f t="shared" si="20"/>
        <v>50</v>
      </c>
      <c r="G519" s="30" t="s">
        <v>9</v>
      </c>
      <c r="J519" s="30" t="s">
        <v>392</v>
      </c>
    </row>
    <row r="520" spans="1:10" x14ac:dyDescent="0.25">
      <c r="C520" s="33" t="s">
        <v>447</v>
      </c>
      <c r="D520" s="30">
        <v>1</v>
      </c>
      <c r="E520" s="30">
        <v>10</v>
      </c>
      <c r="F520" s="30">
        <f t="shared" si="20"/>
        <v>10</v>
      </c>
      <c r="G520" s="30" t="s">
        <v>9</v>
      </c>
      <c r="J520" s="30" t="s">
        <v>392</v>
      </c>
    </row>
    <row r="521" spans="1:10" x14ac:dyDescent="0.25">
      <c r="C521" s="33" t="s">
        <v>448</v>
      </c>
      <c r="D521" s="30">
        <v>1</v>
      </c>
      <c r="E521" s="30">
        <v>10</v>
      </c>
      <c r="F521" s="30">
        <f t="shared" si="20"/>
        <v>10</v>
      </c>
      <c r="G521" s="30" t="s">
        <v>9</v>
      </c>
      <c r="J521" s="30" t="s">
        <v>392</v>
      </c>
    </row>
    <row r="522" spans="1:10" s="69" customFormat="1" ht="18.75" x14ac:dyDescent="0.3">
      <c r="A522" s="235" t="s">
        <v>437</v>
      </c>
      <c r="B522" s="236"/>
      <c r="C522" s="236"/>
      <c r="D522" s="236"/>
      <c r="E522" s="236"/>
      <c r="F522" s="236"/>
      <c r="G522" s="236"/>
      <c r="H522" s="237"/>
      <c r="I522" s="69">
        <v>1239</v>
      </c>
    </row>
    <row r="523" spans="1:10" x14ac:dyDescent="0.25">
      <c r="A523" s="78">
        <v>46137</v>
      </c>
      <c r="C523" s="33" t="s">
        <v>547</v>
      </c>
      <c r="D523" s="30">
        <v>4</v>
      </c>
      <c r="E523" s="30">
        <v>7.5</v>
      </c>
      <c r="F523" s="30">
        <f t="shared" ref="F523:F552" si="21">E523*D523</f>
        <v>30</v>
      </c>
      <c r="G523" s="30" t="s">
        <v>10</v>
      </c>
      <c r="J523" s="30" t="s">
        <v>391</v>
      </c>
    </row>
    <row r="524" spans="1:10" x14ac:dyDescent="0.25">
      <c r="C524" s="33" t="s">
        <v>419</v>
      </c>
      <c r="D524" s="30">
        <v>1</v>
      </c>
      <c r="E524" s="30">
        <v>10</v>
      </c>
      <c r="F524" s="30">
        <f t="shared" si="21"/>
        <v>10</v>
      </c>
      <c r="G524" s="30" t="s">
        <v>10</v>
      </c>
      <c r="J524" s="30" t="s">
        <v>391</v>
      </c>
    </row>
    <row r="525" spans="1:10" ht="30" x14ac:dyDescent="0.25">
      <c r="C525" s="33" t="s">
        <v>428</v>
      </c>
      <c r="D525" s="30">
        <v>1</v>
      </c>
      <c r="E525" s="30">
        <v>10</v>
      </c>
      <c r="F525" s="30">
        <f t="shared" si="21"/>
        <v>10</v>
      </c>
      <c r="G525" s="30" t="s">
        <v>10</v>
      </c>
      <c r="J525" s="30" t="s">
        <v>391</v>
      </c>
    </row>
    <row r="526" spans="1:10" x14ac:dyDescent="0.25">
      <c r="C526" s="19" t="s">
        <v>421</v>
      </c>
      <c r="D526" s="30">
        <v>3</v>
      </c>
      <c r="E526" s="30">
        <v>10</v>
      </c>
      <c r="F526" s="30">
        <f t="shared" si="21"/>
        <v>30</v>
      </c>
      <c r="G526" s="30" t="s">
        <v>9</v>
      </c>
      <c r="J526" s="30" t="s">
        <v>391</v>
      </c>
    </row>
    <row r="527" spans="1:10" x14ac:dyDescent="0.25">
      <c r="C527" s="33" t="s">
        <v>529</v>
      </c>
      <c r="D527" s="30">
        <v>1</v>
      </c>
      <c r="E527" s="30">
        <v>10</v>
      </c>
      <c r="F527" s="30">
        <f t="shared" si="21"/>
        <v>10</v>
      </c>
      <c r="G527" s="30" t="s">
        <v>9</v>
      </c>
      <c r="J527" s="30" t="s">
        <v>391</v>
      </c>
    </row>
    <row r="528" spans="1:10" x14ac:dyDescent="0.25">
      <c r="C528" s="33" t="s">
        <v>551</v>
      </c>
      <c r="D528" s="30">
        <v>4</v>
      </c>
      <c r="E528" s="30">
        <v>5</v>
      </c>
      <c r="F528" s="30">
        <f t="shared" si="21"/>
        <v>20</v>
      </c>
      <c r="G528" s="30" t="s">
        <v>9</v>
      </c>
      <c r="J528" s="30" t="s">
        <v>391</v>
      </c>
    </row>
    <row r="529" spans="3:10" x14ac:dyDescent="0.25">
      <c r="C529" s="33" t="s">
        <v>422</v>
      </c>
      <c r="D529" s="30">
        <v>1</v>
      </c>
      <c r="E529" s="30">
        <v>10</v>
      </c>
      <c r="F529" s="30">
        <f t="shared" si="21"/>
        <v>10</v>
      </c>
      <c r="G529" s="30" t="s">
        <v>9</v>
      </c>
      <c r="J529" s="30" t="s">
        <v>391</v>
      </c>
    </row>
    <row r="530" spans="3:10" x14ac:dyDescent="0.25">
      <c r="C530" s="19" t="s">
        <v>500</v>
      </c>
      <c r="D530" s="30">
        <v>1</v>
      </c>
      <c r="E530" s="30">
        <v>162</v>
      </c>
      <c r="F530" s="30">
        <f t="shared" si="21"/>
        <v>162</v>
      </c>
      <c r="G530" s="30" t="s">
        <v>16</v>
      </c>
      <c r="H530" s="68" t="s">
        <v>507</v>
      </c>
      <c r="J530" s="30" t="s">
        <v>391</v>
      </c>
    </row>
    <row r="531" spans="3:10" ht="30" x14ac:dyDescent="0.25">
      <c r="C531" s="33" t="s">
        <v>509</v>
      </c>
      <c r="D531" s="30">
        <v>1</v>
      </c>
      <c r="E531" s="30">
        <v>138</v>
      </c>
      <c r="F531" s="30">
        <f t="shared" si="21"/>
        <v>138</v>
      </c>
      <c r="G531" s="30" t="s">
        <v>9</v>
      </c>
      <c r="I531" s="139">
        <f>SUM(F523:F532)</f>
        <v>505</v>
      </c>
      <c r="J531" s="30" t="s">
        <v>391</v>
      </c>
    </row>
    <row r="532" spans="3:10" x14ac:dyDescent="0.25">
      <c r="C532" s="33" t="s">
        <v>415</v>
      </c>
      <c r="D532" s="30">
        <v>1</v>
      </c>
      <c r="E532" s="30">
        <v>85</v>
      </c>
      <c r="F532" s="30">
        <f t="shared" si="21"/>
        <v>85</v>
      </c>
      <c r="G532" s="30" t="s">
        <v>9</v>
      </c>
      <c r="J532" s="30" t="s">
        <v>392</v>
      </c>
    </row>
    <row r="533" spans="3:10" x14ac:dyDescent="0.25">
      <c r="C533" s="33" t="s">
        <v>463</v>
      </c>
      <c r="D533" s="30">
        <v>0.33200000000000002</v>
      </c>
      <c r="E533" s="30">
        <v>56</v>
      </c>
      <c r="F533" s="30">
        <f t="shared" si="21"/>
        <v>18.592000000000002</v>
      </c>
      <c r="G533" s="30" t="s">
        <v>9</v>
      </c>
      <c r="J533" s="30" t="s">
        <v>392</v>
      </c>
    </row>
    <row r="534" spans="3:10" x14ac:dyDescent="0.25">
      <c r="C534" s="33" t="s">
        <v>551</v>
      </c>
      <c r="D534" s="30">
        <v>2</v>
      </c>
      <c r="E534" s="30">
        <v>5</v>
      </c>
      <c r="F534" s="30">
        <f t="shared" si="21"/>
        <v>10</v>
      </c>
      <c r="G534" s="30" t="s">
        <v>9</v>
      </c>
      <c r="J534" s="30" t="s">
        <v>392</v>
      </c>
    </row>
    <row r="535" spans="3:10" ht="30" x14ac:dyDescent="0.25">
      <c r="C535" s="19" t="s">
        <v>501</v>
      </c>
      <c r="D535" s="30">
        <v>1</v>
      </c>
      <c r="E535" s="30">
        <v>10</v>
      </c>
      <c r="F535" s="30">
        <f t="shared" si="21"/>
        <v>10</v>
      </c>
      <c r="G535" s="30" t="s">
        <v>9</v>
      </c>
      <c r="J535" s="30" t="s">
        <v>392</v>
      </c>
    </row>
    <row r="536" spans="3:10" x14ac:dyDescent="0.25">
      <c r="C536" s="19" t="s">
        <v>565</v>
      </c>
      <c r="D536" s="30">
        <v>2</v>
      </c>
      <c r="E536" s="30">
        <v>10</v>
      </c>
      <c r="F536" s="30">
        <f t="shared" si="21"/>
        <v>20</v>
      </c>
      <c r="G536" s="30" t="s">
        <v>9</v>
      </c>
      <c r="J536" s="30" t="s">
        <v>392</v>
      </c>
    </row>
    <row r="537" spans="3:10" x14ac:dyDescent="0.25">
      <c r="C537" s="33" t="s">
        <v>422</v>
      </c>
      <c r="D537" s="30">
        <v>1</v>
      </c>
      <c r="E537" s="30">
        <v>10</v>
      </c>
      <c r="F537" s="30">
        <f t="shared" si="21"/>
        <v>10</v>
      </c>
      <c r="G537" s="30" t="s">
        <v>9</v>
      </c>
      <c r="J537" s="30" t="s">
        <v>392</v>
      </c>
    </row>
    <row r="538" spans="3:10" x14ac:dyDescent="0.25">
      <c r="C538" s="33" t="s">
        <v>565</v>
      </c>
      <c r="D538" s="30">
        <v>1</v>
      </c>
      <c r="E538" s="30">
        <v>10</v>
      </c>
      <c r="F538" s="30">
        <f t="shared" si="21"/>
        <v>10</v>
      </c>
      <c r="G538" s="30" t="s">
        <v>9</v>
      </c>
      <c r="J538" s="30" t="s">
        <v>392</v>
      </c>
    </row>
    <row r="539" spans="3:10" x14ac:dyDescent="0.25">
      <c r="C539" s="33" t="s">
        <v>326</v>
      </c>
      <c r="D539" s="30">
        <v>5</v>
      </c>
      <c r="E539" s="30">
        <v>58</v>
      </c>
      <c r="F539" s="30">
        <f t="shared" si="21"/>
        <v>290</v>
      </c>
      <c r="G539" s="30" t="s">
        <v>16</v>
      </c>
      <c r="H539" s="68" t="s">
        <v>566</v>
      </c>
      <c r="J539" s="30" t="s">
        <v>392</v>
      </c>
    </row>
    <row r="540" spans="3:10" ht="30" x14ac:dyDescent="0.25">
      <c r="C540" s="19" t="s">
        <v>382</v>
      </c>
      <c r="D540" s="30">
        <v>1</v>
      </c>
      <c r="E540" s="30">
        <v>185</v>
      </c>
      <c r="F540" s="30">
        <f t="shared" si="21"/>
        <v>185</v>
      </c>
      <c r="G540" s="30" t="s">
        <v>16</v>
      </c>
      <c r="H540" s="68" t="s">
        <v>566</v>
      </c>
      <c r="J540" s="30" t="s">
        <v>392</v>
      </c>
    </row>
    <row r="541" spans="3:10" x14ac:dyDescent="0.25">
      <c r="C541" s="19" t="s">
        <v>158</v>
      </c>
      <c r="D541" s="30">
        <v>5.8000000000000003E-2</v>
      </c>
      <c r="E541" s="30">
        <v>170</v>
      </c>
      <c r="F541" s="30">
        <f t="shared" si="21"/>
        <v>9.8600000000000012</v>
      </c>
      <c r="G541" s="30" t="s">
        <v>16</v>
      </c>
      <c r="H541" s="68" t="s">
        <v>566</v>
      </c>
      <c r="J541" s="30" t="s">
        <v>392</v>
      </c>
    </row>
    <row r="542" spans="3:10" x14ac:dyDescent="0.25">
      <c r="C542" s="33" t="s">
        <v>325</v>
      </c>
      <c r="D542" s="30">
        <v>1</v>
      </c>
      <c r="E542" s="30">
        <v>15</v>
      </c>
      <c r="F542" s="30">
        <f t="shared" si="21"/>
        <v>15</v>
      </c>
      <c r="G542" s="30" t="s">
        <v>16</v>
      </c>
      <c r="H542" s="68" t="s">
        <v>566</v>
      </c>
      <c r="J542" s="30" t="s">
        <v>392</v>
      </c>
    </row>
    <row r="543" spans="3:10" x14ac:dyDescent="0.25">
      <c r="C543" s="19" t="s">
        <v>74</v>
      </c>
      <c r="D543" s="30">
        <v>1</v>
      </c>
      <c r="E543" s="30">
        <v>20</v>
      </c>
      <c r="F543" s="30">
        <f t="shared" si="21"/>
        <v>20</v>
      </c>
      <c r="G543" s="30" t="s">
        <v>9</v>
      </c>
      <c r="J543" s="30" t="s">
        <v>392</v>
      </c>
    </row>
    <row r="544" spans="3:10" x14ac:dyDescent="0.25">
      <c r="C544" s="33" t="s">
        <v>44</v>
      </c>
      <c r="D544" s="30">
        <v>0.219</v>
      </c>
      <c r="E544" s="30">
        <v>140</v>
      </c>
      <c r="F544" s="30">
        <f t="shared" si="21"/>
        <v>30.66</v>
      </c>
      <c r="G544" s="30" t="s">
        <v>9</v>
      </c>
      <c r="J544" s="30" t="s">
        <v>392</v>
      </c>
    </row>
    <row r="545" spans="3:10" x14ac:dyDescent="0.25">
      <c r="C545" s="19" t="s">
        <v>547</v>
      </c>
      <c r="D545" s="30">
        <v>4</v>
      </c>
      <c r="E545" s="30">
        <v>7.5</v>
      </c>
      <c r="F545" s="30">
        <f t="shared" si="21"/>
        <v>30</v>
      </c>
      <c r="G545" s="30" t="s">
        <v>9</v>
      </c>
      <c r="J545" s="30" t="s">
        <v>392</v>
      </c>
    </row>
    <row r="546" spans="3:10" x14ac:dyDescent="0.25">
      <c r="C546" s="33" t="s">
        <v>508</v>
      </c>
      <c r="D546" s="30">
        <v>6.9000000000000006E-2</v>
      </c>
      <c r="E546" s="30">
        <v>300</v>
      </c>
      <c r="F546" s="30">
        <f t="shared" si="21"/>
        <v>20.700000000000003</v>
      </c>
      <c r="G546" s="30" t="s">
        <v>9</v>
      </c>
      <c r="J546" s="30" t="s">
        <v>392</v>
      </c>
    </row>
    <row r="547" spans="3:10" x14ac:dyDescent="0.25">
      <c r="C547" s="33" t="s">
        <v>386</v>
      </c>
      <c r="D547" s="30">
        <v>1</v>
      </c>
      <c r="E547" s="30">
        <v>10</v>
      </c>
      <c r="F547" s="30">
        <f t="shared" si="21"/>
        <v>10</v>
      </c>
      <c r="G547" s="30" t="s">
        <v>9</v>
      </c>
      <c r="J547" s="30" t="s">
        <v>392</v>
      </c>
    </row>
    <row r="548" spans="3:10" x14ac:dyDescent="0.25">
      <c r="C548" s="33" t="s">
        <v>326</v>
      </c>
      <c r="D548" s="30">
        <v>3</v>
      </c>
      <c r="E548" s="30">
        <v>56</v>
      </c>
      <c r="F548" s="30">
        <f t="shared" si="21"/>
        <v>168</v>
      </c>
      <c r="G548" s="30" t="s">
        <v>9</v>
      </c>
      <c r="J548" s="30" t="s">
        <v>392</v>
      </c>
    </row>
    <row r="549" spans="3:10" x14ac:dyDescent="0.25">
      <c r="C549" s="19" t="s">
        <v>95</v>
      </c>
      <c r="D549" s="30">
        <v>1</v>
      </c>
      <c r="E549" s="30">
        <v>13</v>
      </c>
      <c r="F549" s="30">
        <f t="shared" si="21"/>
        <v>13</v>
      </c>
      <c r="G549" s="30" t="s">
        <v>9</v>
      </c>
      <c r="J549" s="30" t="s">
        <v>392</v>
      </c>
    </row>
    <row r="550" spans="3:10" x14ac:dyDescent="0.25">
      <c r="C550" s="19" t="s">
        <v>103</v>
      </c>
      <c r="D550" s="30">
        <v>1</v>
      </c>
      <c r="E550" s="30">
        <v>9</v>
      </c>
      <c r="F550" s="30">
        <f t="shared" si="21"/>
        <v>9</v>
      </c>
      <c r="G550" s="30" t="s">
        <v>9</v>
      </c>
      <c r="J550" s="30" t="s">
        <v>392</v>
      </c>
    </row>
    <row r="551" spans="3:10" x14ac:dyDescent="0.25">
      <c r="C551" s="33" t="s">
        <v>498</v>
      </c>
      <c r="D551" s="30">
        <v>0.5</v>
      </c>
      <c r="E551" s="30">
        <v>200</v>
      </c>
      <c r="F551" s="30">
        <f t="shared" si="21"/>
        <v>100</v>
      </c>
      <c r="G551" s="30" t="s">
        <v>16</v>
      </c>
      <c r="H551" s="68" t="s">
        <v>507</v>
      </c>
      <c r="J551" s="30" t="s">
        <v>392</v>
      </c>
    </row>
    <row r="552" spans="3:10" x14ac:dyDescent="0.25">
      <c r="C552" s="19" t="s">
        <v>103</v>
      </c>
      <c r="D552" s="30">
        <v>1</v>
      </c>
      <c r="E552" s="30">
        <v>13</v>
      </c>
      <c r="F552" s="30">
        <f t="shared" si="21"/>
        <v>13</v>
      </c>
      <c r="G552" s="30" t="s">
        <v>9</v>
      </c>
      <c r="J552" s="30" t="s">
        <v>392</v>
      </c>
    </row>
    <row r="553" spans="3:10" x14ac:dyDescent="0.25">
      <c r="C553" s="19" t="s">
        <v>549</v>
      </c>
      <c r="D553" s="30">
        <v>1</v>
      </c>
      <c r="E553" s="30">
        <v>25</v>
      </c>
      <c r="F553" s="30">
        <f t="shared" ref="F553:F565" si="22">E553*D553</f>
        <v>25</v>
      </c>
      <c r="G553" s="30" t="s">
        <v>9</v>
      </c>
      <c r="J553" s="30" t="s">
        <v>392</v>
      </c>
    </row>
    <row r="554" spans="3:10" x14ac:dyDescent="0.25">
      <c r="C554" s="19" t="s">
        <v>57</v>
      </c>
      <c r="D554" s="30">
        <v>2</v>
      </c>
      <c r="E554" s="30">
        <v>1</v>
      </c>
      <c r="F554" s="30">
        <f t="shared" si="22"/>
        <v>2</v>
      </c>
      <c r="G554" s="30" t="s">
        <v>9</v>
      </c>
      <c r="J554" s="30" t="s">
        <v>392</v>
      </c>
    </row>
    <row r="555" spans="3:10" x14ac:dyDescent="0.25">
      <c r="C555" s="33" t="s">
        <v>386</v>
      </c>
      <c r="D555" s="30">
        <v>1</v>
      </c>
      <c r="E555" s="30">
        <v>10</v>
      </c>
      <c r="F555" s="30">
        <f t="shared" si="22"/>
        <v>10</v>
      </c>
      <c r="G555" s="30" t="s">
        <v>9</v>
      </c>
      <c r="J555" s="30" t="s">
        <v>392</v>
      </c>
    </row>
    <row r="556" spans="3:10" ht="30" x14ac:dyDescent="0.25">
      <c r="C556" s="19" t="s">
        <v>427</v>
      </c>
      <c r="D556" s="30">
        <v>1</v>
      </c>
      <c r="E556" s="30">
        <v>10</v>
      </c>
      <c r="F556" s="30">
        <f t="shared" si="22"/>
        <v>10</v>
      </c>
      <c r="G556" s="30" t="s">
        <v>9</v>
      </c>
      <c r="J556" s="30" t="s">
        <v>392</v>
      </c>
    </row>
    <row r="557" spans="3:10" x14ac:dyDescent="0.25">
      <c r="C557" s="19" t="s">
        <v>532</v>
      </c>
      <c r="D557" s="30">
        <v>1</v>
      </c>
      <c r="E557" s="30">
        <v>5</v>
      </c>
      <c r="F557" s="30">
        <f t="shared" si="22"/>
        <v>5</v>
      </c>
      <c r="G557" s="30" t="s">
        <v>9</v>
      </c>
      <c r="J557" s="30" t="s">
        <v>392</v>
      </c>
    </row>
    <row r="558" spans="3:10" x14ac:dyDescent="0.25">
      <c r="C558" s="19" t="s">
        <v>401</v>
      </c>
      <c r="D558" s="30">
        <v>1</v>
      </c>
      <c r="E558" s="30">
        <v>20</v>
      </c>
      <c r="F558" s="30">
        <f t="shared" si="22"/>
        <v>20</v>
      </c>
      <c r="G558" s="30" t="s">
        <v>9</v>
      </c>
      <c r="J558" s="30" t="s">
        <v>392</v>
      </c>
    </row>
    <row r="559" spans="3:10" x14ac:dyDescent="0.25">
      <c r="C559" s="19" t="s">
        <v>515</v>
      </c>
      <c r="D559" s="30">
        <v>0.125</v>
      </c>
      <c r="E559" s="30">
        <v>80</v>
      </c>
      <c r="F559" s="30">
        <f t="shared" si="22"/>
        <v>10</v>
      </c>
      <c r="G559" s="30" t="s">
        <v>9</v>
      </c>
      <c r="J559" s="30" t="s">
        <v>392</v>
      </c>
    </row>
    <row r="560" spans="3:10" ht="30" x14ac:dyDescent="0.25">
      <c r="C560" s="19" t="s">
        <v>376</v>
      </c>
      <c r="D560" s="30">
        <v>10</v>
      </c>
      <c r="E560" s="30">
        <v>2</v>
      </c>
      <c r="F560" s="30">
        <f t="shared" si="22"/>
        <v>20</v>
      </c>
      <c r="G560" s="30" t="s">
        <v>9</v>
      </c>
      <c r="J560" s="30" t="s">
        <v>392</v>
      </c>
    </row>
    <row r="561" spans="1:10" ht="30" x14ac:dyDescent="0.25">
      <c r="C561" s="19" t="s">
        <v>444</v>
      </c>
      <c r="D561" s="30">
        <v>4</v>
      </c>
      <c r="E561" s="30">
        <v>5</v>
      </c>
      <c r="F561" s="30">
        <f t="shared" si="22"/>
        <v>20</v>
      </c>
      <c r="G561" s="30" t="s">
        <v>9</v>
      </c>
      <c r="J561" s="30" t="s">
        <v>392</v>
      </c>
    </row>
    <row r="562" spans="1:10" x14ac:dyDescent="0.25">
      <c r="C562" s="19" t="s">
        <v>326</v>
      </c>
      <c r="D562" s="30">
        <v>10</v>
      </c>
      <c r="E562" s="30">
        <v>55</v>
      </c>
      <c r="F562" s="30">
        <f t="shared" si="22"/>
        <v>550</v>
      </c>
      <c r="G562" s="30" t="s">
        <v>9</v>
      </c>
      <c r="J562" s="30" t="s">
        <v>392</v>
      </c>
    </row>
    <row r="563" spans="1:10" x14ac:dyDescent="0.25">
      <c r="C563" s="33" t="s">
        <v>532</v>
      </c>
      <c r="D563" s="30">
        <v>1</v>
      </c>
      <c r="E563" s="30">
        <v>5</v>
      </c>
      <c r="F563" s="30">
        <f t="shared" si="22"/>
        <v>5</v>
      </c>
      <c r="G563" s="30" t="s">
        <v>9</v>
      </c>
      <c r="J563" s="30" t="s">
        <v>392</v>
      </c>
    </row>
    <row r="564" spans="1:10" ht="30" x14ac:dyDescent="0.25">
      <c r="C564" s="19" t="s">
        <v>555</v>
      </c>
      <c r="D564" s="30">
        <v>1</v>
      </c>
      <c r="E564" s="30">
        <v>99</v>
      </c>
      <c r="F564" s="30">
        <f t="shared" si="22"/>
        <v>99</v>
      </c>
      <c r="G564" s="30" t="s">
        <v>9</v>
      </c>
      <c r="J564" s="30" t="s">
        <v>392</v>
      </c>
    </row>
    <row r="565" spans="1:10" x14ac:dyDescent="0.25">
      <c r="C565" s="33" t="s">
        <v>346</v>
      </c>
      <c r="D565" s="30">
        <v>10</v>
      </c>
      <c r="E565" s="30">
        <v>5</v>
      </c>
      <c r="F565" s="30">
        <f t="shared" si="22"/>
        <v>50</v>
      </c>
      <c r="G565" s="30" t="s">
        <v>9</v>
      </c>
      <c r="I565" s="68">
        <f>SUM(F532:F565)</f>
        <v>1903.8119999999999</v>
      </c>
      <c r="J565" s="30" t="s">
        <v>392</v>
      </c>
    </row>
    <row r="566" spans="1:10" s="69" customFormat="1" ht="18.75" x14ac:dyDescent="0.3">
      <c r="A566" s="235" t="s">
        <v>394</v>
      </c>
      <c r="B566" s="236"/>
      <c r="C566" s="236"/>
      <c r="D566" s="236"/>
      <c r="E566" s="236"/>
      <c r="F566" s="236"/>
      <c r="G566" s="236"/>
      <c r="H566" s="237"/>
      <c r="I566" s="69">
        <f>SUM(I565,I531)</f>
        <v>2408.8119999999999</v>
      </c>
    </row>
    <row r="567" spans="1:10" x14ac:dyDescent="0.25">
      <c r="A567" s="78">
        <v>46138</v>
      </c>
      <c r="C567" s="33" t="s">
        <v>529</v>
      </c>
      <c r="D567" s="30">
        <v>1</v>
      </c>
      <c r="E567" s="30">
        <v>10</v>
      </c>
      <c r="F567" s="30">
        <f t="shared" ref="F567:F615" si="23">E567*D567</f>
        <v>10</v>
      </c>
      <c r="G567" s="30" t="s">
        <v>9</v>
      </c>
      <c r="J567" s="30" t="s">
        <v>391</v>
      </c>
    </row>
    <row r="568" spans="1:10" x14ac:dyDescent="0.25">
      <c r="C568" s="33" t="s">
        <v>547</v>
      </c>
      <c r="D568" s="30">
        <v>8</v>
      </c>
      <c r="E568" s="30">
        <v>7.5</v>
      </c>
      <c r="F568" s="30">
        <f t="shared" si="23"/>
        <v>60</v>
      </c>
      <c r="G568" s="30" t="s">
        <v>9</v>
      </c>
      <c r="J568" s="30" t="s">
        <v>391</v>
      </c>
    </row>
    <row r="569" spans="1:10" x14ac:dyDescent="0.25">
      <c r="C569" s="33" t="s">
        <v>421</v>
      </c>
      <c r="D569" s="30">
        <v>2</v>
      </c>
      <c r="E569" s="30">
        <v>10</v>
      </c>
      <c r="F569" s="30">
        <f t="shared" si="23"/>
        <v>20</v>
      </c>
      <c r="G569" s="30" t="s">
        <v>9</v>
      </c>
      <c r="J569" s="30" t="s">
        <v>391</v>
      </c>
    </row>
    <row r="570" spans="1:10" x14ac:dyDescent="0.25">
      <c r="C570" s="33" t="s">
        <v>551</v>
      </c>
      <c r="D570" s="30">
        <v>12</v>
      </c>
      <c r="E570" s="30">
        <v>5</v>
      </c>
      <c r="F570" s="30">
        <f t="shared" si="23"/>
        <v>60</v>
      </c>
      <c r="G570" s="30" t="s">
        <v>9</v>
      </c>
      <c r="J570" s="30" t="s">
        <v>391</v>
      </c>
    </row>
    <row r="571" spans="1:10" x14ac:dyDescent="0.25">
      <c r="C571" s="33" t="s">
        <v>135</v>
      </c>
      <c r="D571" s="30">
        <v>2</v>
      </c>
      <c r="E571" s="30">
        <v>14</v>
      </c>
      <c r="F571" s="30">
        <f t="shared" si="23"/>
        <v>28</v>
      </c>
      <c r="G571" s="30" t="s">
        <v>9</v>
      </c>
      <c r="J571" s="30" t="s">
        <v>391</v>
      </c>
    </row>
    <row r="572" spans="1:10" x14ac:dyDescent="0.25">
      <c r="C572" s="33" t="s">
        <v>537</v>
      </c>
      <c r="D572" s="30">
        <v>1</v>
      </c>
      <c r="E572" s="30">
        <v>35</v>
      </c>
      <c r="F572" s="30">
        <f t="shared" si="23"/>
        <v>35</v>
      </c>
      <c r="G572" s="30" t="s">
        <v>9</v>
      </c>
      <c r="J572" s="30" t="s">
        <v>391</v>
      </c>
    </row>
    <row r="573" spans="1:10" x14ac:dyDescent="0.25">
      <c r="C573" s="33" t="s">
        <v>447</v>
      </c>
      <c r="D573" s="30">
        <v>2</v>
      </c>
      <c r="E573" s="30">
        <v>10</v>
      </c>
      <c r="F573" s="30">
        <f t="shared" si="23"/>
        <v>20</v>
      </c>
      <c r="G573" s="30" t="s">
        <v>9</v>
      </c>
      <c r="J573" s="30" t="s">
        <v>391</v>
      </c>
    </row>
    <row r="574" spans="1:10" x14ac:dyDescent="0.25">
      <c r="C574" s="19" t="s">
        <v>563</v>
      </c>
      <c r="D574" s="30">
        <v>1</v>
      </c>
      <c r="E574" s="30">
        <v>28</v>
      </c>
      <c r="F574" s="30">
        <f t="shared" si="23"/>
        <v>28</v>
      </c>
      <c r="G574" s="30" t="s">
        <v>9</v>
      </c>
      <c r="J574" s="30" t="s">
        <v>391</v>
      </c>
    </row>
    <row r="575" spans="1:10" ht="30" x14ac:dyDescent="0.25">
      <c r="C575" s="19" t="s">
        <v>434</v>
      </c>
      <c r="D575" s="30">
        <v>1</v>
      </c>
      <c r="E575" s="30">
        <v>20</v>
      </c>
      <c r="F575" s="30">
        <f t="shared" si="23"/>
        <v>20</v>
      </c>
      <c r="G575" s="30" t="s">
        <v>9</v>
      </c>
      <c r="J575" s="30" t="s">
        <v>391</v>
      </c>
    </row>
    <row r="576" spans="1:10" x14ac:dyDescent="0.25">
      <c r="C576" s="19" t="s">
        <v>548</v>
      </c>
      <c r="D576" s="30">
        <v>30</v>
      </c>
      <c r="E576" s="30">
        <v>7.5</v>
      </c>
      <c r="F576" s="30">
        <f t="shared" si="23"/>
        <v>225</v>
      </c>
      <c r="G576" s="30" t="s">
        <v>9</v>
      </c>
      <c r="J576" s="30" t="s">
        <v>391</v>
      </c>
    </row>
    <row r="577" spans="3:10" x14ac:dyDescent="0.25">
      <c r="C577" s="33" t="s">
        <v>419</v>
      </c>
      <c r="D577" s="30">
        <v>1</v>
      </c>
      <c r="E577" s="30">
        <v>10</v>
      </c>
      <c r="F577" s="30">
        <f t="shared" si="23"/>
        <v>10</v>
      </c>
      <c r="G577" s="30" t="s">
        <v>9</v>
      </c>
      <c r="J577" s="30" t="s">
        <v>391</v>
      </c>
    </row>
    <row r="578" spans="3:10" x14ac:dyDescent="0.25">
      <c r="C578" s="33" t="s">
        <v>8</v>
      </c>
      <c r="D578" s="30">
        <v>2</v>
      </c>
      <c r="E578" s="30">
        <v>30</v>
      </c>
      <c r="F578" s="30">
        <f t="shared" si="23"/>
        <v>60</v>
      </c>
      <c r="G578" s="30" t="s">
        <v>9</v>
      </c>
      <c r="J578" s="30" t="s">
        <v>391</v>
      </c>
    </row>
    <row r="579" spans="3:10" x14ac:dyDescent="0.25">
      <c r="C579" s="33" t="s">
        <v>583</v>
      </c>
      <c r="D579" s="30">
        <v>1</v>
      </c>
      <c r="E579" s="30">
        <v>130</v>
      </c>
      <c r="F579" s="30">
        <f t="shared" si="23"/>
        <v>130</v>
      </c>
      <c r="G579" s="30" t="s">
        <v>9</v>
      </c>
      <c r="J579" s="30" t="s">
        <v>391</v>
      </c>
    </row>
    <row r="580" spans="3:10" x14ac:dyDescent="0.25">
      <c r="C580" s="33" t="s">
        <v>385</v>
      </c>
      <c r="D580" s="30">
        <v>1</v>
      </c>
      <c r="E580" s="30">
        <v>10</v>
      </c>
      <c r="F580" s="30">
        <f t="shared" si="23"/>
        <v>10</v>
      </c>
      <c r="G580" s="30" t="s">
        <v>9</v>
      </c>
      <c r="J580" s="30" t="s">
        <v>391</v>
      </c>
    </row>
    <row r="581" spans="3:10" x14ac:dyDescent="0.25">
      <c r="C581" s="33" t="s">
        <v>44</v>
      </c>
      <c r="D581" s="30">
        <v>0.14499999999999999</v>
      </c>
      <c r="E581" s="30">
        <v>138</v>
      </c>
      <c r="F581" s="30">
        <f t="shared" si="23"/>
        <v>20.009999999999998</v>
      </c>
      <c r="G581" s="30" t="s">
        <v>9</v>
      </c>
      <c r="J581" s="30" t="s">
        <v>391</v>
      </c>
    </row>
    <row r="582" spans="3:10" x14ac:dyDescent="0.25">
      <c r="C582" s="33" t="s">
        <v>585</v>
      </c>
      <c r="D582" s="30">
        <v>4</v>
      </c>
      <c r="E582" s="30">
        <v>9</v>
      </c>
      <c r="F582" s="30">
        <f t="shared" si="23"/>
        <v>36</v>
      </c>
      <c r="G582" s="30" t="s">
        <v>9</v>
      </c>
      <c r="J582" s="30" t="s">
        <v>391</v>
      </c>
    </row>
    <row r="583" spans="3:10" x14ac:dyDescent="0.25">
      <c r="C583" s="33" t="s">
        <v>325</v>
      </c>
      <c r="D583" s="30">
        <v>1</v>
      </c>
      <c r="E583" s="30">
        <v>18</v>
      </c>
      <c r="F583" s="30">
        <f t="shared" si="23"/>
        <v>18</v>
      </c>
      <c r="G583" s="30" t="s">
        <v>9</v>
      </c>
      <c r="J583" s="30" t="s">
        <v>391</v>
      </c>
    </row>
    <row r="584" spans="3:10" x14ac:dyDescent="0.25">
      <c r="C584" s="19" t="s">
        <v>143</v>
      </c>
      <c r="D584" s="30">
        <v>3.4000000000000002E-2</v>
      </c>
      <c r="E584" s="30">
        <v>300</v>
      </c>
      <c r="F584" s="30">
        <f t="shared" si="23"/>
        <v>10.200000000000001</v>
      </c>
      <c r="G584" s="30" t="s">
        <v>9</v>
      </c>
      <c r="I584" s="139">
        <f>SUM(F567:F584)</f>
        <v>800.21</v>
      </c>
      <c r="J584" s="30" t="s">
        <v>391</v>
      </c>
    </row>
    <row r="585" spans="3:10" x14ac:dyDescent="0.25">
      <c r="C585" s="19" t="s">
        <v>74</v>
      </c>
      <c r="D585" s="30">
        <v>1</v>
      </c>
      <c r="E585" s="30">
        <v>20</v>
      </c>
      <c r="F585" s="30">
        <f t="shared" si="23"/>
        <v>20</v>
      </c>
      <c r="G585" s="30" t="s">
        <v>9</v>
      </c>
      <c r="J585" s="30" t="s">
        <v>392</v>
      </c>
    </row>
    <row r="586" spans="3:10" x14ac:dyDescent="0.25">
      <c r="C586" s="33" t="s">
        <v>422</v>
      </c>
      <c r="D586" s="30">
        <v>4</v>
      </c>
      <c r="E586" s="30">
        <v>10</v>
      </c>
      <c r="F586" s="30">
        <f t="shared" si="23"/>
        <v>40</v>
      </c>
      <c r="G586" s="30" t="s">
        <v>9</v>
      </c>
      <c r="J586" s="30" t="s">
        <v>392</v>
      </c>
    </row>
    <row r="587" spans="3:10" x14ac:dyDescent="0.25">
      <c r="C587" s="33" t="s">
        <v>420</v>
      </c>
      <c r="D587" s="30">
        <v>1</v>
      </c>
      <c r="E587" s="30">
        <v>10</v>
      </c>
      <c r="F587" s="30">
        <f t="shared" si="23"/>
        <v>10</v>
      </c>
      <c r="G587" s="30" t="s">
        <v>9</v>
      </c>
      <c r="J587" s="30" t="s">
        <v>392</v>
      </c>
    </row>
    <row r="588" spans="3:10" x14ac:dyDescent="0.25">
      <c r="C588" s="33" t="s">
        <v>547</v>
      </c>
      <c r="D588" s="30">
        <v>2</v>
      </c>
      <c r="E588" s="30">
        <v>7.5</v>
      </c>
      <c r="F588" s="30">
        <f t="shared" si="23"/>
        <v>15</v>
      </c>
      <c r="G588" s="30" t="s">
        <v>9</v>
      </c>
      <c r="J588" s="30" t="s">
        <v>392</v>
      </c>
    </row>
    <row r="589" spans="3:10" x14ac:dyDescent="0.25">
      <c r="C589" s="33" t="s">
        <v>422</v>
      </c>
      <c r="D589" s="30">
        <v>1</v>
      </c>
      <c r="E589" s="30">
        <v>10</v>
      </c>
      <c r="F589" s="30">
        <f t="shared" si="23"/>
        <v>10</v>
      </c>
      <c r="G589" s="30" t="s">
        <v>9</v>
      </c>
      <c r="J589" s="30" t="s">
        <v>392</v>
      </c>
    </row>
    <row r="590" spans="3:10" x14ac:dyDescent="0.25">
      <c r="C590" s="19" t="s">
        <v>28</v>
      </c>
      <c r="D590" s="30">
        <v>0.75</v>
      </c>
      <c r="E590" s="30">
        <v>120</v>
      </c>
      <c r="F590" s="30">
        <f t="shared" si="23"/>
        <v>90</v>
      </c>
      <c r="G590" s="30" t="s">
        <v>9</v>
      </c>
      <c r="J590" s="30" t="s">
        <v>392</v>
      </c>
    </row>
    <row r="591" spans="3:10" x14ac:dyDescent="0.25">
      <c r="C591" s="19" t="s">
        <v>578</v>
      </c>
      <c r="D591" s="30">
        <v>2</v>
      </c>
      <c r="E591" s="30">
        <v>5</v>
      </c>
      <c r="F591" s="30">
        <f t="shared" si="23"/>
        <v>10</v>
      </c>
      <c r="G591" s="30" t="s">
        <v>9</v>
      </c>
      <c r="J591" s="30" t="s">
        <v>392</v>
      </c>
    </row>
    <row r="592" spans="3:10" x14ac:dyDescent="0.25">
      <c r="C592" s="33" t="s">
        <v>420</v>
      </c>
      <c r="D592" s="30">
        <v>1</v>
      </c>
      <c r="E592" s="30">
        <v>10</v>
      </c>
      <c r="F592" s="30">
        <f t="shared" si="23"/>
        <v>10</v>
      </c>
      <c r="G592" s="30" t="s">
        <v>9</v>
      </c>
      <c r="J592" s="30" t="s">
        <v>392</v>
      </c>
    </row>
    <row r="593" spans="3:10" x14ac:dyDescent="0.25">
      <c r="C593" s="19" t="s">
        <v>568</v>
      </c>
      <c r="D593" s="30">
        <v>5</v>
      </c>
      <c r="E593" s="30">
        <v>1</v>
      </c>
      <c r="F593" s="30">
        <f t="shared" si="23"/>
        <v>5</v>
      </c>
      <c r="G593" s="30" t="s">
        <v>9</v>
      </c>
      <c r="J593" s="30" t="s">
        <v>392</v>
      </c>
    </row>
    <row r="594" spans="3:10" x14ac:dyDescent="0.25">
      <c r="C594" s="19" t="s">
        <v>541</v>
      </c>
      <c r="D594" s="30">
        <v>0.14299999999999999</v>
      </c>
      <c r="E594" s="30">
        <v>70</v>
      </c>
      <c r="F594" s="30">
        <f t="shared" si="23"/>
        <v>10.01</v>
      </c>
      <c r="G594" s="30" t="s">
        <v>9</v>
      </c>
      <c r="J594" s="30" t="s">
        <v>392</v>
      </c>
    </row>
    <row r="595" spans="3:10" x14ac:dyDescent="0.25">
      <c r="C595" s="19" t="s">
        <v>534</v>
      </c>
      <c r="D595" s="30">
        <v>2</v>
      </c>
      <c r="E595" s="30">
        <v>5</v>
      </c>
      <c r="F595" s="30">
        <f t="shared" si="23"/>
        <v>10</v>
      </c>
      <c r="G595" s="30" t="s">
        <v>9</v>
      </c>
      <c r="J595" s="30" t="s">
        <v>392</v>
      </c>
    </row>
    <row r="596" spans="3:10" x14ac:dyDescent="0.25">
      <c r="C596" s="19" t="s">
        <v>192</v>
      </c>
      <c r="D596" s="30">
        <v>5</v>
      </c>
      <c r="E596" s="30">
        <v>1</v>
      </c>
      <c r="F596" s="30">
        <f t="shared" si="23"/>
        <v>5</v>
      </c>
      <c r="G596" s="30" t="s">
        <v>9</v>
      </c>
      <c r="J596" s="30" t="s">
        <v>392</v>
      </c>
    </row>
    <row r="597" spans="3:10" x14ac:dyDescent="0.25">
      <c r="C597" s="33" t="s">
        <v>568</v>
      </c>
      <c r="D597" s="30">
        <v>5</v>
      </c>
      <c r="E597" s="30">
        <v>1</v>
      </c>
      <c r="F597" s="30">
        <f t="shared" si="23"/>
        <v>5</v>
      </c>
      <c r="G597" s="30" t="s">
        <v>9</v>
      </c>
      <c r="J597" s="30" t="s">
        <v>392</v>
      </c>
    </row>
    <row r="598" spans="3:10" x14ac:dyDescent="0.25">
      <c r="C598" s="33" t="s">
        <v>464</v>
      </c>
      <c r="D598" s="30">
        <v>2</v>
      </c>
      <c r="E598" s="30">
        <v>44</v>
      </c>
      <c r="F598" s="30">
        <f t="shared" si="23"/>
        <v>88</v>
      </c>
      <c r="G598" s="30" t="s">
        <v>9</v>
      </c>
      <c r="J598" s="30" t="s">
        <v>392</v>
      </c>
    </row>
    <row r="599" spans="3:10" x14ac:dyDescent="0.25">
      <c r="C599" s="33" t="s">
        <v>345</v>
      </c>
      <c r="D599" s="30">
        <v>2</v>
      </c>
      <c r="E599" s="30">
        <v>1</v>
      </c>
      <c r="F599" s="30">
        <f t="shared" si="23"/>
        <v>2</v>
      </c>
      <c r="G599" s="30" t="s">
        <v>9</v>
      </c>
      <c r="J599" s="30" t="s">
        <v>392</v>
      </c>
    </row>
    <row r="600" spans="3:10" x14ac:dyDescent="0.25">
      <c r="C600" s="19" t="s">
        <v>351</v>
      </c>
      <c r="D600" s="30">
        <v>1</v>
      </c>
      <c r="E600" s="30">
        <v>106</v>
      </c>
      <c r="F600" s="30">
        <f t="shared" si="23"/>
        <v>106</v>
      </c>
      <c r="G600" s="30" t="s">
        <v>9</v>
      </c>
      <c r="J600" s="30" t="s">
        <v>392</v>
      </c>
    </row>
    <row r="601" spans="3:10" x14ac:dyDescent="0.25">
      <c r="C601" s="33" t="s">
        <v>586</v>
      </c>
      <c r="D601" s="30">
        <v>0.03</v>
      </c>
      <c r="E601" s="30">
        <v>300</v>
      </c>
      <c r="F601" s="30">
        <f t="shared" si="23"/>
        <v>9</v>
      </c>
      <c r="J601" s="30" t="s">
        <v>392</v>
      </c>
    </row>
    <row r="602" spans="3:10" x14ac:dyDescent="0.25">
      <c r="C602" s="33" t="s">
        <v>466</v>
      </c>
      <c r="D602" s="30">
        <v>1E-3</v>
      </c>
      <c r="E602" s="30">
        <v>3400</v>
      </c>
      <c r="F602" s="30">
        <f t="shared" si="23"/>
        <v>3.4</v>
      </c>
      <c r="J602" s="30" t="s">
        <v>392</v>
      </c>
    </row>
    <row r="603" spans="3:10" x14ac:dyDescent="0.25">
      <c r="C603" s="19" t="s">
        <v>563</v>
      </c>
      <c r="D603" s="30">
        <v>0.5</v>
      </c>
      <c r="E603" s="30">
        <v>30</v>
      </c>
      <c r="F603" s="30">
        <f t="shared" si="23"/>
        <v>15</v>
      </c>
      <c r="J603" s="30" t="s">
        <v>392</v>
      </c>
    </row>
    <row r="604" spans="3:10" x14ac:dyDescent="0.25">
      <c r="C604" s="19" t="s">
        <v>584</v>
      </c>
      <c r="D604" s="30">
        <v>4</v>
      </c>
      <c r="E604" s="30">
        <v>7.5</v>
      </c>
      <c r="F604" s="30">
        <f t="shared" si="23"/>
        <v>30</v>
      </c>
      <c r="J604" s="30" t="s">
        <v>392</v>
      </c>
    </row>
    <row r="605" spans="3:10" x14ac:dyDescent="0.25">
      <c r="C605" s="19" t="s">
        <v>571</v>
      </c>
      <c r="D605" s="30">
        <v>1</v>
      </c>
      <c r="E605" s="30">
        <v>20</v>
      </c>
      <c r="F605" s="30">
        <f t="shared" si="23"/>
        <v>20</v>
      </c>
      <c r="J605" s="30" t="s">
        <v>392</v>
      </c>
    </row>
    <row r="606" spans="3:10" x14ac:dyDescent="0.25">
      <c r="C606" s="33" t="s">
        <v>472</v>
      </c>
      <c r="D606" s="30">
        <v>7.0000000000000001E-3</v>
      </c>
      <c r="E606" s="30">
        <v>1450</v>
      </c>
      <c r="F606" s="30">
        <f t="shared" si="23"/>
        <v>10.15</v>
      </c>
      <c r="J606" s="30" t="s">
        <v>392</v>
      </c>
    </row>
    <row r="607" spans="3:10" x14ac:dyDescent="0.25">
      <c r="C607" s="19" t="s">
        <v>515</v>
      </c>
      <c r="D607" s="30">
        <v>0.125</v>
      </c>
      <c r="E607" s="30">
        <v>80</v>
      </c>
      <c r="F607" s="30">
        <f t="shared" si="23"/>
        <v>10</v>
      </c>
      <c r="J607" s="30" t="s">
        <v>392</v>
      </c>
    </row>
    <row r="608" spans="3:10" ht="30" x14ac:dyDescent="0.25">
      <c r="C608" s="33" t="s">
        <v>427</v>
      </c>
      <c r="D608" s="30">
        <v>1</v>
      </c>
      <c r="E608" s="30">
        <v>10</v>
      </c>
      <c r="F608" s="30">
        <f t="shared" si="23"/>
        <v>10</v>
      </c>
      <c r="J608" s="30" t="s">
        <v>392</v>
      </c>
    </row>
    <row r="609" spans="1:10" x14ac:dyDescent="0.25">
      <c r="C609" s="33" t="s">
        <v>422</v>
      </c>
      <c r="D609" s="30">
        <v>1</v>
      </c>
      <c r="E609" s="30">
        <v>10</v>
      </c>
      <c r="F609" s="30">
        <f t="shared" si="23"/>
        <v>10</v>
      </c>
      <c r="J609" s="30" t="s">
        <v>392</v>
      </c>
    </row>
    <row r="610" spans="1:10" x14ac:dyDescent="0.25">
      <c r="C610" s="19" t="s">
        <v>365</v>
      </c>
      <c r="D610" s="30">
        <v>2</v>
      </c>
      <c r="E610" s="30">
        <v>5</v>
      </c>
      <c r="F610" s="30">
        <f t="shared" si="23"/>
        <v>10</v>
      </c>
      <c r="J610" s="30" t="s">
        <v>392</v>
      </c>
    </row>
    <row r="611" spans="1:10" x14ac:dyDescent="0.25">
      <c r="C611" s="33" t="s">
        <v>446</v>
      </c>
      <c r="D611" s="30">
        <v>2</v>
      </c>
      <c r="E611" s="30">
        <v>39</v>
      </c>
      <c r="F611" s="30">
        <f t="shared" si="23"/>
        <v>78</v>
      </c>
      <c r="J611" s="30" t="s">
        <v>392</v>
      </c>
    </row>
    <row r="612" spans="1:10" x14ac:dyDescent="0.25">
      <c r="C612" s="33" t="s">
        <v>445</v>
      </c>
      <c r="D612" s="30">
        <v>1</v>
      </c>
      <c r="E612" s="30">
        <v>10</v>
      </c>
      <c r="F612" s="30">
        <f t="shared" si="23"/>
        <v>10</v>
      </c>
      <c r="J612" s="30" t="s">
        <v>392</v>
      </c>
    </row>
    <row r="613" spans="1:10" x14ac:dyDescent="0.25">
      <c r="C613" s="33" t="s">
        <v>421</v>
      </c>
      <c r="D613" s="30">
        <v>1</v>
      </c>
      <c r="E613" s="30">
        <v>10</v>
      </c>
      <c r="F613" s="30">
        <f t="shared" si="23"/>
        <v>10</v>
      </c>
      <c r="J613" s="30" t="s">
        <v>392</v>
      </c>
    </row>
    <row r="614" spans="1:10" x14ac:dyDescent="0.25">
      <c r="C614" s="33" t="s">
        <v>57</v>
      </c>
      <c r="D614" s="30">
        <v>2</v>
      </c>
      <c r="E614" s="30">
        <v>1</v>
      </c>
      <c r="F614" s="30">
        <f t="shared" si="23"/>
        <v>2</v>
      </c>
      <c r="J614" s="30" t="s">
        <v>392</v>
      </c>
    </row>
    <row r="615" spans="1:10" x14ac:dyDescent="0.25">
      <c r="C615" s="33" t="s">
        <v>13</v>
      </c>
      <c r="D615" s="30">
        <v>1</v>
      </c>
      <c r="E615" s="30">
        <v>15</v>
      </c>
      <c r="F615" s="30">
        <f t="shared" si="23"/>
        <v>15</v>
      </c>
      <c r="I615" s="68">
        <f>SUM(F585:F615)</f>
        <v>678.56</v>
      </c>
      <c r="J615" s="30" t="s">
        <v>392</v>
      </c>
    </row>
    <row r="616" spans="1:10" s="69" customFormat="1" ht="18.75" x14ac:dyDescent="0.3">
      <c r="A616" s="250" t="s">
        <v>437</v>
      </c>
      <c r="B616" s="251"/>
      <c r="C616" s="251"/>
      <c r="D616" s="251"/>
      <c r="E616" s="251"/>
      <c r="F616" s="251"/>
      <c r="G616" s="251"/>
      <c r="H616" s="252"/>
      <c r="I616" s="69">
        <f>SUM(I615,I584)</f>
        <v>1478.77</v>
      </c>
    </row>
    <row r="617" spans="1:10" x14ac:dyDescent="0.25">
      <c r="A617" s="78">
        <v>46139</v>
      </c>
      <c r="C617" s="19" t="s">
        <v>541</v>
      </c>
      <c r="D617" s="30">
        <v>0.28799999999999998</v>
      </c>
      <c r="E617" s="30">
        <v>70</v>
      </c>
      <c r="F617" s="30">
        <f t="shared" ref="F617:F635" si="24">E617*D617</f>
        <v>20.16</v>
      </c>
      <c r="G617" s="30" t="s">
        <v>9</v>
      </c>
      <c r="J617" s="30" t="s">
        <v>391</v>
      </c>
    </row>
    <row r="618" spans="1:10" x14ac:dyDescent="0.25">
      <c r="C618" s="19" t="s">
        <v>502</v>
      </c>
      <c r="D618" s="30">
        <v>1</v>
      </c>
      <c r="E618" s="30">
        <v>10</v>
      </c>
      <c r="F618" s="30">
        <f t="shared" si="24"/>
        <v>10</v>
      </c>
      <c r="G618" s="30" t="s">
        <v>9</v>
      </c>
      <c r="J618" s="30" t="s">
        <v>391</v>
      </c>
    </row>
    <row r="619" spans="1:10" x14ac:dyDescent="0.25">
      <c r="C619" s="33" t="s">
        <v>422</v>
      </c>
      <c r="D619" s="30">
        <v>1</v>
      </c>
      <c r="E619" s="30">
        <v>10</v>
      </c>
      <c r="F619" s="30">
        <f t="shared" si="24"/>
        <v>10</v>
      </c>
      <c r="G619" s="30" t="s">
        <v>9</v>
      </c>
      <c r="J619" s="30" t="s">
        <v>391</v>
      </c>
    </row>
    <row r="620" spans="1:10" x14ac:dyDescent="0.25">
      <c r="C620" s="33" t="s">
        <v>420</v>
      </c>
      <c r="D620" s="30">
        <v>1</v>
      </c>
      <c r="E620" s="30">
        <v>10</v>
      </c>
      <c r="F620" s="30">
        <f t="shared" si="24"/>
        <v>10</v>
      </c>
      <c r="G620" s="30" t="s">
        <v>9</v>
      </c>
      <c r="J620" s="30" t="s">
        <v>391</v>
      </c>
    </row>
    <row r="621" spans="1:10" ht="30" x14ac:dyDescent="0.25">
      <c r="C621" s="19" t="s">
        <v>444</v>
      </c>
      <c r="D621" s="30">
        <v>2</v>
      </c>
      <c r="E621" s="30">
        <v>5</v>
      </c>
      <c r="F621" s="30">
        <f t="shared" si="24"/>
        <v>10</v>
      </c>
      <c r="G621" s="30" t="s">
        <v>9</v>
      </c>
      <c r="J621" s="30" t="s">
        <v>391</v>
      </c>
    </row>
    <row r="622" spans="1:10" x14ac:dyDescent="0.25">
      <c r="C622" s="19" t="s">
        <v>554</v>
      </c>
      <c r="D622" s="30">
        <v>1</v>
      </c>
      <c r="E622" s="30">
        <v>10</v>
      </c>
      <c r="F622" s="30">
        <f t="shared" si="24"/>
        <v>10</v>
      </c>
      <c r="G622" s="30" t="s">
        <v>9</v>
      </c>
      <c r="J622" s="30" t="s">
        <v>391</v>
      </c>
    </row>
    <row r="623" spans="1:10" x14ac:dyDescent="0.25">
      <c r="C623" s="19" t="s">
        <v>529</v>
      </c>
      <c r="D623" s="30">
        <v>1</v>
      </c>
      <c r="E623" s="30">
        <v>10</v>
      </c>
      <c r="F623" s="30">
        <f t="shared" si="24"/>
        <v>10</v>
      </c>
      <c r="G623" s="30" t="s">
        <v>9</v>
      </c>
      <c r="J623" s="30" t="s">
        <v>391</v>
      </c>
    </row>
    <row r="624" spans="1:10" x14ac:dyDescent="0.25">
      <c r="C624" s="61" t="s">
        <v>27</v>
      </c>
      <c r="D624" s="30">
        <v>1</v>
      </c>
      <c r="E624" s="30">
        <v>95</v>
      </c>
      <c r="F624" s="30">
        <f t="shared" si="24"/>
        <v>95</v>
      </c>
      <c r="G624" s="30" t="s">
        <v>9</v>
      </c>
      <c r="J624" s="30" t="s">
        <v>391</v>
      </c>
    </row>
    <row r="625" spans="1:10" x14ac:dyDescent="0.25">
      <c r="C625" s="19" t="s">
        <v>73</v>
      </c>
      <c r="D625" s="30">
        <v>1</v>
      </c>
      <c r="E625" s="30">
        <v>10</v>
      </c>
      <c r="F625" s="30">
        <f t="shared" si="24"/>
        <v>10</v>
      </c>
      <c r="G625" s="30" t="s">
        <v>9</v>
      </c>
      <c r="I625" s="139">
        <f>SUM(F617:F625)</f>
        <v>185.16</v>
      </c>
      <c r="J625" s="30" t="s">
        <v>391</v>
      </c>
    </row>
    <row r="626" spans="1:10" x14ac:dyDescent="0.25">
      <c r="C626" s="19" t="s">
        <v>68</v>
      </c>
      <c r="D626" s="30">
        <v>1</v>
      </c>
      <c r="E626" s="30">
        <v>10</v>
      </c>
      <c r="F626" s="30">
        <f t="shared" si="24"/>
        <v>10</v>
      </c>
      <c r="G626" s="30" t="s">
        <v>9</v>
      </c>
      <c r="J626" s="30" t="s">
        <v>392</v>
      </c>
    </row>
    <row r="627" spans="1:10" x14ac:dyDescent="0.25">
      <c r="C627" s="19" t="s">
        <v>551</v>
      </c>
      <c r="D627" s="30">
        <v>2</v>
      </c>
      <c r="E627" s="30">
        <v>5</v>
      </c>
      <c r="F627" s="30">
        <f t="shared" si="24"/>
        <v>10</v>
      </c>
      <c r="J627" s="30" t="s">
        <v>392</v>
      </c>
    </row>
    <row r="628" spans="1:10" x14ac:dyDescent="0.25">
      <c r="C628" s="19" t="s">
        <v>523</v>
      </c>
      <c r="D628" s="30">
        <v>0.107</v>
      </c>
      <c r="E628" s="30">
        <v>280</v>
      </c>
      <c r="F628" s="30">
        <f t="shared" si="24"/>
        <v>29.96</v>
      </c>
      <c r="J628" s="30" t="s">
        <v>392</v>
      </c>
    </row>
    <row r="629" spans="1:10" x14ac:dyDescent="0.25">
      <c r="C629" s="19" t="s">
        <v>565</v>
      </c>
      <c r="D629" s="30">
        <v>1</v>
      </c>
      <c r="E629" s="30">
        <v>10</v>
      </c>
      <c r="F629" s="30">
        <f t="shared" si="24"/>
        <v>10</v>
      </c>
      <c r="J629" s="30" t="s">
        <v>392</v>
      </c>
    </row>
    <row r="630" spans="1:10" x14ac:dyDescent="0.25">
      <c r="C630" s="19" t="s">
        <v>561</v>
      </c>
      <c r="D630" s="30">
        <v>1</v>
      </c>
      <c r="E630" s="30">
        <v>10</v>
      </c>
      <c r="F630" s="30">
        <f t="shared" si="24"/>
        <v>10</v>
      </c>
      <c r="J630" s="30" t="s">
        <v>392</v>
      </c>
    </row>
    <row r="631" spans="1:10" x14ac:dyDescent="0.25">
      <c r="C631" s="19" t="s">
        <v>157</v>
      </c>
      <c r="D631" s="30">
        <v>0.25</v>
      </c>
      <c r="E631" s="30">
        <v>210</v>
      </c>
      <c r="F631" s="30">
        <f t="shared" si="24"/>
        <v>52.5</v>
      </c>
      <c r="J631" s="30" t="s">
        <v>392</v>
      </c>
    </row>
    <row r="632" spans="1:10" x14ac:dyDescent="0.25">
      <c r="C632" s="19" t="s">
        <v>349</v>
      </c>
      <c r="D632" s="30">
        <v>1</v>
      </c>
      <c r="E632" s="30">
        <v>99</v>
      </c>
      <c r="F632" s="30">
        <f t="shared" si="24"/>
        <v>99</v>
      </c>
      <c r="J632" s="30" t="s">
        <v>392</v>
      </c>
    </row>
    <row r="633" spans="1:10" x14ac:dyDescent="0.25">
      <c r="C633" s="19" t="s">
        <v>563</v>
      </c>
      <c r="D633" s="30">
        <v>0.65</v>
      </c>
      <c r="E633" s="30">
        <v>30</v>
      </c>
      <c r="F633" s="30">
        <f t="shared" si="24"/>
        <v>19.5</v>
      </c>
      <c r="J633" s="30" t="s">
        <v>392</v>
      </c>
    </row>
    <row r="634" spans="1:10" x14ac:dyDescent="0.25">
      <c r="C634" s="33" t="s">
        <v>325</v>
      </c>
      <c r="D634" s="30">
        <v>1.1000000000000001</v>
      </c>
      <c r="E634" s="30">
        <v>18</v>
      </c>
      <c r="F634" s="30">
        <f t="shared" si="24"/>
        <v>19.8</v>
      </c>
      <c r="J634" s="30" t="s">
        <v>392</v>
      </c>
    </row>
    <row r="635" spans="1:10" ht="30" x14ac:dyDescent="0.25">
      <c r="C635" s="33" t="s">
        <v>427</v>
      </c>
      <c r="D635" s="30">
        <v>1</v>
      </c>
      <c r="E635" s="30">
        <v>10</v>
      </c>
      <c r="F635" s="30">
        <f t="shared" si="24"/>
        <v>10</v>
      </c>
      <c r="J635" s="30" t="s">
        <v>392</v>
      </c>
    </row>
    <row r="636" spans="1:10" ht="30" x14ac:dyDescent="0.25">
      <c r="C636" s="33" t="s">
        <v>431</v>
      </c>
      <c r="D636" s="30">
        <v>1</v>
      </c>
      <c r="E636" s="30">
        <v>10</v>
      </c>
      <c r="F636" s="30">
        <v>10</v>
      </c>
      <c r="I636" s="139">
        <f>SUM(F626:F636)</f>
        <v>280.76</v>
      </c>
      <c r="J636" s="30" t="s">
        <v>392</v>
      </c>
    </row>
    <row r="637" spans="1:10" s="69" customFormat="1" ht="18.75" x14ac:dyDescent="0.3">
      <c r="A637" s="235" t="s">
        <v>437</v>
      </c>
      <c r="B637" s="236"/>
      <c r="C637" s="236"/>
      <c r="D637" s="236"/>
      <c r="E637" s="236"/>
      <c r="F637" s="236"/>
      <c r="G637" s="236"/>
      <c r="H637" s="237"/>
      <c r="I637" s="69">
        <f>SUM(I636,I625)</f>
        <v>465.91999999999996</v>
      </c>
    </row>
    <row r="638" spans="1:10" x14ac:dyDescent="0.25">
      <c r="A638" s="78">
        <v>46140</v>
      </c>
      <c r="C638" s="33" t="s">
        <v>563</v>
      </c>
      <c r="D638" s="30">
        <v>0.71</v>
      </c>
      <c r="E638" s="30">
        <v>28</v>
      </c>
      <c r="F638" s="30">
        <f>E638*D638</f>
        <v>19.88</v>
      </c>
      <c r="G638" s="30" t="s">
        <v>9</v>
      </c>
      <c r="J638" s="30" t="s">
        <v>391</v>
      </c>
    </row>
    <row r="639" spans="1:10" x14ac:dyDescent="0.25">
      <c r="C639" s="33" t="s">
        <v>541</v>
      </c>
      <c r="D639" s="30">
        <v>0.214</v>
      </c>
      <c r="E639" s="30">
        <v>70</v>
      </c>
      <c r="F639" s="30">
        <f t="shared" ref="F639:F682" si="25">E639*D639</f>
        <v>14.98</v>
      </c>
      <c r="G639" s="30" t="s">
        <v>9</v>
      </c>
      <c r="J639" s="30" t="s">
        <v>391</v>
      </c>
    </row>
    <row r="640" spans="1:10" x14ac:dyDescent="0.25">
      <c r="C640" s="33" t="s">
        <v>422</v>
      </c>
      <c r="D640" s="30">
        <v>1</v>
      </c>
      <c r="E640" s="30">
        <v>10</v>
      </c>
      <c r="F640" s="30">
        <f t="shared" si="25"/>
        <v>10</v>
      </c>
      <c r="G640" s="30" t="s">
        <v>9</v>
      </c>
      <c r="J640" s="30" t="s">
        <v>391</v>
      </c>
    </row>
    <row r="641" spans="3:10" x14ac:dyDescent="0.25">
      <c r="C641" s="33" t="s">
        <v>541</v>
      </c>
      <c r="D641" s="30">
        <v>0.28599999999999998</v>
      </c>
      <c r="E641" s="30">
        <v>70</v>
      </c>
      <c r="F641" s="30">
        <f t="shared" si="25"/>
        <v>20.02</v>
      </c>
      <c r="G641" s="30" t="s">
        <v>9</v>
      </c>
      <c r="J641" s="30" t="s">
        <v>391</v>
      </c>
    </row>
    <row r="642" spans="3:10" x14ac:dyDescent="0.25">
      <c r="C642" s="19" t="s">
        <v>582</v>
      </c>
      <c r="D642" s="30">
        <v>1</v>
      </c>
      <c r="E642" s="30">
        <v>10</v>
      </c>
      <c r="F642" s="30">
        <f t="shared" si="25"/>
        <v>10</v>
      </c>
      <c r="G642" s="30" t="s">
        <v>9</v>
      </c>
      <c r="J642" s="30" t="s">
        <v>391</v>
      </c>
    </row>
    <row r="643" spans="3:10" x14ac:dyDescent="0.25">
      <c r="C643" s="19" t="s">
        <v>498</v>
      </c>
      <c r="D643" s="30">
        <v>0.1</v>
      </c>
      <c r="E643" s="30">
        <v>200</v>
      </c>
      <c r="F643" s="30">
        <f t="shared" si="25"/>
        <v>20</v>
      </c>
      <c r="G643" s="30" t="s">
        <v>9</v>
      </c>
      <c r="J643" s="30" t="s">
        <v>391</v>
      </c>
    </row>
    <row r="644" spans="3:10" x14ac:dyDescent="0.25">
      <c r="C644" s="33" t="s">
        <v>143</v>
      </c>
      <c r="D644" s="30">
        <v>0.1</v>
      </c>
      <c r="E644" s="30">
        <v>300</v>
      </c>
      <c r="F644" s="30">
        <f t="shared" si="25"/>
        <v>30</v>
      </c>
      <c r="G644" s="30" t="s">
        <v>9</v>
      </c>
      <c r="J644" s="30" t="s">
        <v>391</v>
      </c>
    </row>
    <row r="645" spans="3:10" x14ac:dyDescent="0.25">
      <c r="C645" s="33" t="s">
        <v>400</v>
      </c>
      <c r="D645" s="30">
        <v>0.25</v>
      </c>
      <c r="E645" s="30">
        <v>58</v>
      </c>
      <c r="F645" s="30">
        <f t="shared" si="25"/>
        <v>14.5</v>
      </c>
      <c r="G645" s="30" t="s">
        <v>9</v>
      </c>
      <c r="J645" s="30" t="s">
        <v>391</v>
      </c>
    </row>
    <row r="646" spans="3:10" x14ac:dyDescent="0.25">
      <c r="C646" s="33" t="s">
        <v>364</v>
      </c>
      <c r="D646" s="30">
        <v>1</v>
      </c>
      <c r="E646" s="30">
        <v>5</v>
      </c>
      <c r="F646" s="30">
        <f t="shared" si="25"/>
        <v>5</v>
      </c>
      <c r="G646" s="30" t="s">
        <v>9</v>
      </c>
      <c r="J646" s="30" t="s">
        <v>391</v>
      </c>
    </row>
    <row r="647" spans="3:10" x14ac:dyDescent="0.25">
      <c r="C647" s="33" t="s">
        <v>364</v>
      </c>
      <c r="D647" s="30">
        <v>2</v>
      </c>
      <c r="E647" s="30">
        <v>5</v>
      </c>
      <c r="F647" s="30">
        <f t="shared" si="25"/>
        <v>10</v>
      </c>
      <c r="G647" s="30" t="s">
        <v>9</v>
      </c>
      <c r="J647" s="30" t="s">
        <v>391</v>
      </c>
    </row>
    <row r="648" spans="3:10" x14ac:dyDescent="0.25">
      <c r="C648" s="19" t="s">
        <v>523</v>
      </c>
      <c r="D648" s="30">
        <v>3.5999999999999997E-2</v>
      </c>
      <c r="E648" s="30">
        <v>280</v>
      </c>
      <c r="F648" s="30">
        <f t="shared" si="25"/>
        <v>10.08</v>
      </c>
      <c r="G648" s="30" t="s">
        <v>9</v>
      </c>
      <c r="J648" s="30" t="s">
        <v>391</v>
      </c>
    </row>
    <row r="649" spans="3:10" x14ac:dyDescent="0.25">
      <c r="C649" s="33" t="s">
        <v>541</v>
      </c>
      <c r="D649" s="30">
        <v>0.28599999999999998</v>
      </c>
      <c r="E649" s="30">
        <v>70</v>
      </c>
      <c r="F649" s="30">
        <f t="shared" si="25"/>
        <v>20.02</v>
      </c>
      <c r="G649" s="30" t="s">
        <v>9</v>
      </c>
      <c r="J649" s="30" t="s">
        <v>391</v>
      </c>
    </row>
    <row r="650" spans="3:10" x14ac:dyDescent="0.25">
      <c r="C650" s="33" t="s">
        <v>474</v>
      </c>
      <c r="D650" s="30">
        <v>1</v>
      </c>
      <c r="E650" s="30">
        <v>35</v>
      </c>
      <c r="F650" s="30">
        <f t="shared" si="25"/>
        <v>35</v>
      </c>
      <c r="G650" s="30" t="s">
        <v>9</v>
      </c>
      <c r="J650" s="30" t="s">
        <v>391</v>
      </c>
    </row>
    <row r="651" spans="3:10" x14ac:dyDescent="0.25">
      <c r="C651" s="19" t="s">
        <v>73</v>
      </c>
      <c r="D651" s="30">
        <v>1</v>
      </c>
      <c r="E651" s="30">
        <v>10</v>
      </c>
      <c r="F651" s="30">
        <f t="shared" si="25"/>
        <v>10</v>
      </c>
      <c r="G651" s="30" t="s">
        <v>9</v>
      </c>
      <c r="J651" s="30" t="s">
        <v>391</v>
      </c>
    </row>
    <row r="652" spans="3:10" x14ac:dyDescent="0.25">
      <c r="C652" s="61" t="s">
        <v>43</v>
      </c>
      <c r="D652" s="30">
        <v>1</v>
      </c>
      <c r="E652" s="30">
        <v>5</v>
      </c>
      <c r="F652" s="30">
        <f t="shared" si="25"/>
        <v>5</v>
      </c>
      <c r="G652" s="30" t="s">
        <v>9</v>
      </c>
      <c r="J652" s="30" t="s">
        <v>391</v>
      </c>
    </row>
    <row r="653" spans="3:10" x14ac:dyDescent="0.25">
      <c r="C653" s="33" t="s">
        <v>541</v>
      </c>
      <c r="D653" s="30">
        <v>1</v>
      </c>
      <c r="E653" s="30">
        <v>70</v>
      </c>
      <c r="F653" s="30">
        <f t="shared" si="25"/>
        <v>70</v>
      </c>
      <c r="G653" s="30" t="s">
        <v>9</v>
      </c>
      <c r="I653" s="139">
        <f>SUM(F638:F653)</f>
        <v>304.48</v>
      </c>
      <c r="J653" s="30" t="s">
        <v>391</v>
      </c>
    </row>
    <row r="654" spans="3:10" x14ac:dyDescent="0.25">
      <c r="C654" s="19" t="s">
        <v>356</v>
      </c>
      <c r="D654" s="30">
        <v>1</v>
      </c>
      <c r="E654" s="30">
        <v>58</v>
      </c>
      <c r="F654" s="30">
        <f t="shared" si="25"/>
        <v>58</v>
      </c>
      <c r="J654" s="30" t="s">
        <v>392</v>
      </c>
    </row>
    <row r="655" spans="3:10" x14ac:dyDescent="0.25">
      <c r="C655" s="33" t="s">
        <v>422</v>
      </c>
      <c r="D655" s="30">
        <v>1</v>
      </c>
      <c r="E655" s="30">
        <v>10</v>
      </c>
      <c r="F655" s="30">
        <f t="shared" si="25"/>
        <v>10</v>
      </c>
      <c r="J655" s="30" t="s">
        <v>392</v>
      </c>
    </row>
    <row r="656" spans="3:10" ht="30" x14ac:dyDescent="0.25">
      <c r="C656" s="33" t="s">
        <v>431</v>
      </c>
      <c r="D656" s="30">
        <v>1</v>
      </c>
      <c r="E656" s="30">
        <v>10</v>
      </c>
      <c r="F656" s="30">
        <f t="shared" si="25"/>
        <v>10</v>
      </c>
      <c r="J656" s="30" t="s">
        <v>392</v>
      </c>
    </row>
    <row r="657" spans="3:10" x14ac:dyDescent="0.25">
      <c r="C657" s="33" t="s">
        <v>8</v>
      </c>
      <c r="D657" s="30">
        <v>1</v>
      </c>
      <c r="E657" s="30">
        <v>30</v>
      </c>
      <c r="F657" s="30">
        <f t="shared" si="25"/>
        <v>30</v>
      </c>
      <c r="J657" s="30" t="s">
        <v>392</v>
      </c>
    </row>
    <row r="658" spans="3:10" x14ac:dyDescent="0.25">
      <c r="C658" s="19" t="s">
        <v>369</v>
      </c>
      <c r="D658" s="30">
        <v>1</v>
      </c>
      <c r="E658" s="30">
        <v>60</v>
      </c>
      <c r="F658" s="30">
        <f t="shared" si="25"/>
        <v>60</v>
      </c>
      <c r="J658" s="30" t="s">
        <v>392</v>
      </c>
    </row>
    <row r="659" spans="3:10" x14ac:dyDescent="0.25">
      <c r="C659" s="33" t="s">
        <v>422</v>
      </c>
      <c r="D659" s="30">
        <v>2</v>
      </c>
      <c r="E659" s="30">
        <v>10</v>
      </c>
      <c r="F659" s="30">
        <f t="shared" si="25"/>
        <v>20</v>
      </c>
      <c r="J659" s="30" t="s">
        <v>392</v>
      </c>
    </row>
    <row r="660" spans="3:10" x14ac:dyDescent="0.25">
      <c r="C660" s="19" t="s">
        <v>529</v>
      </c>
      <c r="D660" s="30">
        <v>1</v>
      </c>
      <c r="E660" s="30">
        <v>10</v>
      </c>
      <c r="F660" s="30">
        <f t="shared" si="25"/>
        <v>10</v>
      </c>
      <c r="J660" s="30" t="s">
        <v>392</v>
      </c>
    </row>
    <row r="661" spans="3:10" x14ac:dyDescent="0.25">
      <c r="C661" s="19" t="s">
        <v>565</v>
      </c>
      <c r="D661" s="30">
        <v>1</v>
      </c>
      <c r="E661" s="30">
        <v>10</v>
      </c>
      <c r="F661" s="30">
        <f t="shared" si="25"/>
        <v>10</v>
      </c>
      <c r="J661" s="30" t="s">
        <v>392</v>
      </c>
    </row>
    <row r="662" spans="3:10" x14ac:dyDescent="0.25">
      <c r="C662" s="33" t="s">
        <v>448</v>
      </c>
      <c r="D662" s="30">
        <v>1</v>
      </c>
      <c r="E662" s="30">
        <v>10</v>
      </c>
      <c r="F662" s="30">
        <f t="shared" si="25"/>
        <v>10</v>
      </c>
      <c r="J662" s="30" t="s">
        <v>392</v>
      </c>
    </row>
    <row r="663" spans="3:10" x14ac:dyDescent="0.25">
      <c r="C663" s="33" t="s">
        <v>325</v>
      </c>
      <c r="D663" s="30">
        <v>1</v>
      </c>
      <c r="E663" s="30">
        <v>18</v>
      </c>
      <c r="F663" s="30">
        <f t="shared" si="25"/>
        <v>18</v>
      </c>
      <c r="J663" s="30" t="s">
        <v>392</v>
      </c>
    </row>
    <row r="664" spans="3:10" x14ac:dyDescent="0.25">
      <c r="C664" s="33" t="s">
        <v>345</v>
      </c>
      <c r="D664" s="30">
        <v>2</v>
      </c>
      <c r="E664" s="30">
        <v>1</v>
      </c>
      <c r="F664" s="30">
        <f t="shared" si="25"/>
        <v>2</v>
      </c>
      <c r="J664" s="30" t="s">
        <v>392</v>
      </c>
    </row>
    <row r="665" spans="3:10" x14ac:dyDescent="0.25">
      <c r="C665" s="19" t="s">
        <v>157</v>
      </c>
      <c r="D665" s="30">
        <v>0.1</v>
      </c>
      <c r="E665" s="30">
        <v>200</v>
      </c>
      <c r="F665" s="30">
        <f t="shared" si="25"/>
        <v>20</v>
      </c>
      <c r="J665" s="30" t="s">
        <v>392</v>
      </c>
    </row>
    <row r="666" spans="3:10" x14ac:dyDescent="0.25">
      <c r="C666" s="33" t="s">
        <v>420</v>
      </c>
      <c r="D666" s="30">
        <v>1</v>
      </c>
      <c r="E666" s="30">
        <v>10</v>
      </c>
      <c r="F666" s="30">
        <f t="shared" si="25"/>
        <v>10</v>
      </c>
      <c r="J666" s="30" t="s">
        <v>392</v>
      </c>
    </row>
    <row r="667" spans="3:10" x14ac:dyDescent="0.25">
      <c r="C667" s="19" t="s">
        <v>584</v>
      </c>
      <c r="D667" s="30">
        <v>4</v>
      </c>
      <c r="E667" s="30">
        <v>7.5</v>
      </c>
      <c r="F667" s="30">
        <f t="shared" si="25"/>
        <v>30</v>
      </c>
      <c r="G667" s="30" t="s">
        <v>10</v>
      </c>
      <c r="J667" s="30" t="s">
        <v>392</v>
      </c>
    </row>
    <row r="668" spans="3:10" x14ac:dyDescent="0.25">
      <c r="C668" s="19" t="s">
        <v>117</v>
      </c>
      <c r="D668" s="30">
        <v>1</v>
      </c>
      <c r="E668" s="30">
        <v>10</v>
      </c>
      <c r="F668" s="30">
        <f t="shared" si="25"/>
        <v>10</v>
      </c>
      <c r="J668" s="30" t="s">
        <v>392</v>
      </c>
    </row>
    <row r="669" spans="3:10" x14ac:dyDescent="0.25">
      <c r="C669" s="19" t="s">
        <v>565</v>
      </c>
      <c r="D669" s="30">
        <v>3</v>
      </c>
      <c r="E669" s="30">
        <v>10</v>
      </c>
      <c r="F669" s="30">
        <f t="shared" si="25"/>
        <v>30</v>
      </c>
      <c r="J669" s="30" t="s">
        <v>392</v>
      </c>
    </row>
    <row r="670" spans="3:10" x14ac:dyDescent="0.25">
      <c r="C670" s="19" t="s">
        <v>348</v>
      </c>
      <c r="D670" s="30">
        <v>3</v>
      </c>
      <c r="E670" s="30">
        <v>1</v>
      </c>
      <c r="F670" s="30">
        <f t="shared" si="25"/>
        <v>3</v>
      </c>
      <c r="J670" s="30" t="s">
        <v>392</v>
      </c>
    </row>
    <row r="671" spans="3:10" x14ac:dyDescent="0.25">
      <c r="C671" s="19" t="s">
        <v>532</v>
      </c>
      <c r="D671" s="30">
        <v>1</v>
      </c>
      <c r="E671" s="30">
        <v>5</v>
      </c>
      <c r="F671" s="30">
        <f t="shared" si="25"/>
        <v>5</v>
      </c>
      <c r="J671" s="30" t="s">
        <v>392</v>
      </c>
    </row>
    <row r="672" spans="3:10" x14ac:dyDescent="0.25">
      <c r="C672" s="33" t="s">
        <v>593</v>
      </c>
      <c r="D672" s="30">
        <v>2</v>
      </c>
      <c r="E672" s="30">
        <v>1</v>
      </c>
      <c r="F672" s="30">
        <f t="shared" si="25"/>
        <v>2</v>
      </c>
      <c r="J672" s="30" t="s">
        <v>392</v>
      </c>
    </row>
    <row r="673" spans="1:10" x14ac:dyDescent="0.25">
      <c r="C673" s="33" t="s">
        <v>386</v>
      </c>
      <c r="D673" s="30">
        <v>1</v>
      </c>
      <c r="E673" s="30">
        <v>20</v>
      </c>
      <c r="F673" s="30">
        <f t="shared" si="25"/>
        <v>20</v>
      </c>
      <c r="J673" s="30" t="s">
        <v>392</v>
      </c>
    </row>
    <row r="674" spans="1:10" x14ac:dyDescent="0.25">
      <c r="C674" s="19" t="s">
        <v>580</v>
      </c>
      <c r="D674" s="30">
        <v>10</v>
      </c>
      <c r="E674" s="30">
        <v>1</v>
      </c>
      <c r="F674" s="30">
        <f t="shared" si="25"/>
        <v>10</v>
      </c>
      <c r="J674" s="30" t="s">
        <v>392</v>
      </c>
    </row>
    <row r="675" spans="1:10" x14ac:dyDescent="0.25">
      <c r="C675" s="19" t="s">
        <v>551</v>
      </c>
      <c r="D675" s="30">
        <v>2</v>
      </c>
      <c r="E675" s="30">
        <v>5</v>
      </c>
      <c r="F675" s="30">
        <f t="shared" si="25"/>
        <v>10</v>
      </c>
      <c r="J675" s="30" t="s">
        <v>392</v>
      </c>
    </row>
    <row r="676" spans="1:10" x14ac:dyDescent="0.25">
      <c r="C676" s="33" t="s">
        <v>422</v>
      </c>
      <c r="D676" s="30">
        <v>1</v>
      </c>
      <c r="E676" s="30">
        <v>10</v>
      </c>
      <c r="F676" s="30">
        <f t="shared" si="25"/>
        <v>10</v>
      </c>
      <c r="J676" s="30" t="s">
        <v>392</v>
      </c>
    </row>
    <row r="677" spans="1:10" x14ac:dyDescent="0.25">
      <c r="C677" s="33" t="s">
        <v>594</v>
      </c>
      <c r="D677" s="30">
        <v>0.14299999999999999</v>
      </c>
      <c r="E677" s="30">
        <v>70</v>
      </c>
      <c r="F677" s="30">
        <f t="shared" si="25"/>
        <v>10.01</v>
      </c>
      <c r="J677" s="30" t="s">
        <v>392</v>
      </c>
    </row>
    <row r="678" spans="1:10" x14ac:dyDescent="0.25">
      <c r="C678" s="19" t="s">
        <v>579</v>
      </c>
      <c r="D678" s="30">
        <v>2</v>
      </c>
      <c r="E678" s="30">
        <v>5</v>
      </c>
      <c r="F678" s="30">
        <f t="shared" si="25"/>
        <v>10</v>
      </c>
      <c r="J678" s="30" t="s">
        <v>392</v>
      </c>
    </row>
    <row r="679" spans="1:10" x14ac:dyDescent="0.25">
      <c r="C679" s="19" t="s">
        <v>529</v>
      </c>
      <c r="D679" s="30">
        <v>2</v>
      </c>
      <c r="E679" s="30">
        <v>10</v>
      </c>
      <c r="F679" s="30">
        <f t="shared" si="25"/>
        <v>20</v>
      </c>
      <c r="J679" s="30" t="s">
        <v>392</v>
      </c>
    </row>
    <row r="680" spans="1:10" x14ac:dyDescent="0.25">
      <c r="C680" s="33" t="s">
        <v>67</v>
      </c>
      <c r="D680" s="30">
        <v>2</v>
      </c>
      <c r="E680" s="30">
        <v>10</v>
      </c>
      <c r="F680" s="30">
        <f t="shared" si="25"/>
        <v>20</v>
      </c>
      <c r="J680" s="30" t="s">
        <v>392</v>
      </c>
    </row>
    <row r="681" spans="1:10" x14ac:dyDescent="0.25">
      <c r="C681" s="33" t="s">
        <v>13</v>
      </c>
      <c r="D681" s="30">
        <v>4</v>
      </c>
      <c r="E681" s="30">
        <v>15</v>
      </c>
      <c r="F681" s="30">
        <f t="shared" si="25"/>
        <v>60</v>
      </c>
      <c r="J681" s="30" t="s">
        <v>392</v>
      </c>
    </row>
    <row r="682" spans="1:10" x14ac:dyDescent="0.25">
      <c r="C682" s="33" t="s">
        <v>34</v>
      </c>
      <c r="D682" s="30">
        <v>1</v>
      </c>
      <c r="E682" s="30">
        <v>35</v>
      </c>
      <c r="F682" s="30">
        <f t="shared" si="25"/>
        <v>35</v>
      </c>
      <c r="I682" s="68">
        <f>SUM(F654:F682)</f>
        <v>553.01</v>
      </c>
      <c r="J682" s="30" t="s">
        <v>392</v>
      </c>
    </row>
    <row r="683" spans="1:10" ht="18.75" x14ac:dyDescent="0.3">
      <c r="A683" s="235" t="s">
        <v>437</v>
      </c>
      <c r="B683" s="236"/>
      <c r="C683" s="236"/>
      <c r="D683" s="236"/>
      <c r="E683" s="236"/>
      <c r="F683" s="236"/>
      <c r="G683" s="236"/>
      <c r="H683" s="237"/>
      <c r="I683" s="69">
        <f>SUM(I682,I653)</f>
        <v>857.49</v>
      </c>
    </row>
    <row r="684" spans="1:10" x14ac:dyDescent="0.25">
      <c r="A684" s="78">
        <v>46141</v>
      </c>
      <c r="C684" s="19" t="s">
        <v>159</v>
      </c>
      <c r="D684" s="30">
        <v>0.3</v>
      </c>
      <c r="E684" s="30">
        <v>138</v>
      </c>
      <c r="F684" s="30">
        <f>E684*D684</f>
        <v>41.4</v>
      </c>
      <c r="G684" s="30" t="s">
        <v>9</v>
      </c>
      <c r="J684" s="30" t="s">
        <v>391</v>
      </c>
    </row>
    <row r="685" spans="1:10" x14ac:dyDescent="0.25">
      <c r="C685" s="19" t="s">
        <v>564</v>
      </c>
      <c r="D685" s="30">
        <v>6.5000000000000002E-2</v>
      </c>
      <c r="E685" s="30">
        <v>300</v>
      </c>
      <c r="F685" s="30">
        <f>E685*D685</f>
        <v>19.5</v>
      </c>
      <c r="G685" s="30" t="s">
        <v>9</v>
      </c>
      <c r="J685" s="30" t="s">
        <v>391</v>
      </c>
    </row>
    <row r="686" spans="1:10" x14ac:dyDescent="0.25">
      <c r="C686" s="19" t="s">
        <v>502</v>
      </c>
      <c r="D686" s="30">
        <v>2</v>
      </c>
      <c r="E686" s="30">
        <v>10</v>
      </c>
      <c r="F686" s="30">
        <f>E686*D686</f>
        <v>20</v>
      </c>
      <c r="G686" s="30" t="s">
        <v>9</v>
      </c>
      <c r="J686" s="30" t="s">
        <v>391</v>
      </c>
    </row>
    <row r="687" spans="1:10" x14ac:dyDescent="0.25">
      <c r="C687" s="19" t="s">
        <v>523</v>
      </c>
      <c r="D687" s="30">
        <f>F687/E687</f>
        <v>7.1428571428571425E-2</v>
      </c>
      <c r="E687" s="30">
        <v>280</v>
      </c>
      <c r="F687" s="30">
        <v>20</v>
      </c>
      <c r="G687" s="30" t="s">
        <v>9</v>
      </c>
      <c r="J687" s="30" t="s">
        <v>391</v>
      </c>
    </row>
    <row r="688" spans="1:10" x14ac:dyDescent="0.25">
      <c r="C688" s="33" t="s">
        <v>563</v>
      </c>
      <c r="D688" s="30">
        <f>F688/E688</f>
        <v>1</v>
      </c>
      <c r="E688" s="30">
        <v>28</v>
      </c>
      <c r="F688" s="30">
        <v>28</v>
      </c>
      <c r="G688" s="30" t="s">
        <v>9</v>
      </c>
      <c r="J688" s="30" t="s">
        <v>391</v>
      </c>
    </row>
    <row r="689" spans="3:10" x14ac:dyDescent="0.25">
      <c r="C689" s="19" t="s">
        <v>522</v>
      </c>
      <c r="D689" s="30">
        <v>1</v>
      </c>
      <c r="E689" s="30">
        <v>58</v>
      </c>
      <c r="F689" s="30">
        <v>58</v>
      </c>
      <c r="G689" s="30" t="s">
        <v>9</v>
      </c>
      <c r="J689" s="30" t="s">
        <v>391</v>
      </c>
    </row>
    <row r="690" spans="3:10" ht="30" x14ac:dyDescent="0.25">
      <c r="C690" s="33" t="s">
        <v>342</v>
      </c>
      <c r="D690" s="30">
        <v>1</v>
      </c>
      <c r="E690" s="30">
        <v>124</v>
      </c>
      <c r="F690" s="30">
        <f t="shared" ref="F690:F713" si="26">E690*D690</f>
        <v>124</v>
      </c>
      <c r="G690" s="30" t="s">
        <v>9</v>
      </c>
      <c r="J690" s="30" t="s">
        <v>391</v>
      </c>
    </row>
    <row r="691" spans="3:10" x14ac:dyDescent="0.25">
      <c r="C691" s="33" t="s">
        <v>386</v>
      </c>
      <c r="D691" s="30">
        <v>1</v>
      </c>
      <c r="E691" s="30">
        <v>10</v>
      </c>
      <c r="F691" s="30">
        <f t="shared" si="26"/>
        <v>10</v>
      </c>
      <c r="G691" s="30" t="s">
        <v>9</v>
      </c>
      <c r="J691" s="30" t="s">
        <v>391</v>
      </c>
    </row>
    <row r="692" spans="3:10" x14ac:dyDescent="0.25">
      <c r="C692" s="19" t="s">
        <v>541</v>
      </c>
      <c r="D692" s="30">
        <v>1</v>
      </c>
      <c r="E692" s="30">
        <v>70</v>
      </c>
      <c r="F692" s="30">
        <f t="shared" si="26"/>
        <v>70</v>
      </c>
      <c r="G692" s="30" t="s">
        <v>9</v>
      </c>
      <c r="J692" s="30" t="s">
        <v>391</v>
      </c>
    </row>
    <row r="693" spans="3:10" x14ac:dyDescent="0.25">
      <c r="C693" s="19" t="s">
        <v>532</v>
      </c>
      <c r="D693" s="30">
        <v>1</v>
      </c>
      <c r="E693" s="30">
        <v>5</v>
      </c>
      <c r="F693" s="30">
        <f t="shared" si="26"/>
        <v>5</v>
      </c>
      <c r="G693" s="30" t="s">
        <v>9</v>
      </c>
      <c r="J693" s="30" t="s">
        <v>391</v>
      </c>
    </row>
    <row r="694" spans="3:10" x14ac:dyDescent="0.25">
      <c r="C694" s="19" t="s">
        <v>348</v>
      </c>
      <c r="D694" s="30">
        <v>1</v>
      </c>
      <c r="E694" s="30">
        <v>1</v>
      </c>
      <c r="F694" s="30">
        <f t="shared" si="26"/>
        <v>1</v>
      </c>
      <c r="G694" s="30" t="s">
        <v>9</v>
      </c>
      <c r="J694" s="30" t="s">
        <v>391</v>
      </c>
    </row>
    <row r="695" spans="3:10" x14ac:dyDescent="0.25">
      <c r="C695" s="19" t="s">
        <v>585</v>
      </c>
      <c r="D695" s="30">
        <v>10</v>
      </c>
      <c r="E695" s="30">
        <v>9</v>
      </c>
      <c r="F695" s="30">
        <f t="shared" si="26"/>
        <v>90</v>
      </c>
      <c r="G695" s="30" t="s">
        <v>9</v>
      </c>
      <c r="J695" s="30" t="s">
        <v>391</v>
      </c>
    </row>
    <row r="696" spans="3:10" x14ac:dyDescent="0.25">
      <c r="C696" s="19" t="s">
        <v>512</v>
      </c>
      <c r="D696" s="30">
        <v>1</v>
      </c>
      <c r="E696" s="30">
        <v>10</v>
      </c>
      <c r="F696" s="30">
        <f t="shared" si="26"/>
        <v>10</v>
      </c>
      <c r="G696" s="30" t="s">
        <v>9</v>
      </c>
      <c r="J696" s="30" t="s">
        <v>391</v>
      </c>
    </row>
    <row r="697" spans="3:10" ht="30" x14ac:dyDescent="0.25">
      <c r="C697" s="19" t="s">
        <v>377</v>
      </c>
      <c r="D697" s="30">
        <v>3</v>
      </c>
      <c r="E697" s="30">
        <v>10</v>
      </c>
      <c r="F697" s="30">
        <f t="shared" si="26"/>
        <v>30</v>
      </c>
      <c r="G697" s="30" t="s">
        <v>9</v>
      </c>
      <c r="J697" s="30" t="s">
        <v>391</v>
      </c>
    </row>
    <row r="698" spans="3:10" x14ac:dyDescent="0.25">
      <c r="C698" s="33" t="s">
        <v>424</v>
      </c>
      <c r="D698" s="30">
        <v>1</v>
      </c>
      <c r="E698" s="30">
        <v>20</v>
      </c>
      <c r="F698" s="30">
        <f t="shared" si="26"/>
        <v>20</v>
      </c>
      <c r="G698" s="30" t="s">
        <v>9</v>
      </c>
      <c r="J698" s="30" t="s">
        <v>391</v>
      </c>
    </row>
    <row r="699" spans="3:10" x14ac:dyDescent="0.25">
      <c r="C699" s="19" t="s">
        <v>502</v>
      </c>
      <c r="D699" s="30">
        <v>1</v>
      </c>
      <c r="E699" s="30">
        <v>10</v>
      </c>
      <c r="F699" s="30">
        <f t="shared" si="26"/>
        <v>10</v>
      </c>
      <c r="G699" s="30" t="s">
        <v>9</v>
      </c>
      <c r="J699" s="30" t="s">
        <v>391</v>
      </c>
    </row>
    <row r="700" spans="3:10" x14ac:dyDescent="0.25">
      <c r="C700" s="19" t="s">
        <v>585</v>
      </c>
      <c r="D700" s="30">
        <v>6</v>
      </c>
      <c r="E700" s="30">
        <v>9</v>
      </c>
      <c r="F700" s="30">
        <f t="shared" si="26"/>
        <v>54</v>
      </c>
      <c r="G700" s="30" t="s">
        <v>9</v>
      </c>
      <c r="I700" s="139">
        <f>SUM(F684:F700)</f>
        <v>610.9</v>
      </c>
      <c r="J700" s="30" t="s">
        <v>391</v>
      </c>
    </row>
    <row r="701" spans="3:10" x14ac:dyDescent="0.25">
      <c r="C701" s="33" t="s">
        <v>551</v>
      </c>
      <c r="D701" s="30">
        <v>2</v>
      </c>
      <c r="E701" s="30">
        <v>5</v>
      </c>
      <c r="F701" s="30">
        <f t="shared" si="26"/>
        <v>10</v>
      </c>
      <c r="G701" s="30" t="s">
        <v>9</v>
      </c>
      <c r="J701" s="30" t="s">
        <v>392</v>
      </c>
    </row>
    <row r="702" spans="3:10" x14ac:dyDescent="0.25">
      <c r="C702" s="33" t="s">
        <v>422</v>
      </c>
      <c r="D702" s="30">
        <v>1</v>
      </c>
      <c r="E702" s="30">
        <v>10</v>
      </c>
      <c r="F702" s="30">
        <f t="shared" si="26"/>
        <v>10</v>
      </c>
      <c r="G702" s="30" t="s">
        <v>9</v>
      </c>
      <c r="J702" s="30" t="s">
        <v>392</v>
      </c>
    </row>
    <row r="703" spans="3:10" x14ac:dyDescent="0.25">
      <c r="C703" s="19" t="s">
        <v>133</v>
      </c>
      <c r="D703" s="30">
        <v>1</v>
      </c>
      <c r="E703" s="30">
        <v>10</v>
      </c>
      <c r="F703" s="30">
        <f t="shared" si="26"/>
        <v>10</v>
      </c>
      <c r="G703" s="30" t="s">
        <v>9</v>
      </c>
      <c r="J703" s="30" t="s">
        <v>392</v>
      </c>
    </row>
    <row r="704" spans="3:10" x14ac:dyDescent="0.25">
      <c r="C704" s="19" t="s">
        <v>565</v>
      </c>
      <c r="D704" s="30">
        <v>1</v>
      </c>
      <c r="E704" s="30">
        <v>10</v>
      </c>
      <c r="F704" s="30">
        <f t="shared" si="26"/>
        <v>10</v>
      </c>
      <c r="G704" s="30" t="s">
        <v>9</v>
      </c>
      <c r="J704" s="30" t="s">
        <v>392</v>
      </c>
    </row>
    <row r="705" spans="1:10" x14ac:dyDescent="0.25">
      <c r="C705" s="33" t="s">
        <v>420</v>
      </c>
      <c r="D705" s="30">
        <v>1</v>
      </c>
      <c r="E705" s="30">
        <v>10</v>
      </c>
      <c r="F705" s="30">
        <f t="shared" si="26"/>
        <v>10</v>
      </c>
      <c r="G705" s="30" t="s">
        <v>9</v>
      </c>
      <c r="J705" s="30" t="s">
        <v>392</v>
      </c>
    </row>
    <row r="706" spans="1:10" x14ac:dyDescent="0.25">
      <c r="C706" s="33" t="s">
        <v>508</v>
      </c>
      <c r="D706" s="30">
        <v>0.04</v>
      </c>
      <c r="E706" s="30">
        <v>250</v>
      </c>
      <c r="F706" s="30">
        <f t="shared" si="26"/>
        <v>10</v>
      </c>
      <c r="G706" s="30" t="s">
        <v>10</v>
      </c>
      <c r="J706" s="30" t="s">
        <v>392</v>
      </c>
    </row>
    <row r="707" spans="1:10" x14ac:dyDescent="0.25">
      <c r="C707" s="33" t="s">
        <v>476</v>
      </c>
      <c r="D707" s="30">
        <v>1</v>
      </c>
      <c r="E707" s="30">
        <v>20</v>
      </c>
      <c r="F707" s="30">
        <f t="shared" si="26"/>
        <v>20</v>
      </c>
      <c r="G707" s="30" t="s">
        <v>9</v>
      </c>
      <c r="J707" s="30" t="s">
        <v>392</v>
      </c>
    </row>
    <row r="708" spans="1:10" x14ac:dyDescent="0.25">
      <c r="C708" s="61" t="s">
        <v>87</v>
      </c>
      <c r="D708" s="30">
        <v>1</v>
      </c>
      <c r="E708" s="30">
        <v>85</v>
      </c>
      <c r="F708" s="30">
        <f t="shared" si="26"/>
        <v>85</v>
      </c>
      <c r="G708" s="30" t="s">
        <v>10</v>
      </c>
      <c r="J708" s="30" t="s">
        <v>392</v>
      </c>
    </row>
    <row r="709" spans="1:10" x14ac:dyDescent="0.25">
      <c r="C709" s="19" t="s">
        <v>584</v>
      </c>
      <c r="D709" s="30">
        <v>4</v>
      </c>
      <c r="E709" s="30">
        <v>7.5</v>
      </c>
      <c r="F709" s="30">
        <f t="shared" si="26"/>
        <v>30</v>
      </c>
      <c r="G709" s="30" t="s">
        <v>10</v>
      </c>
      <c r="J709" s="30" t="s">
        <v>392</v>
      </c>
    </row>
    <row r="710" spans="1:10" ht="30" x14ac:dyDescent="0.25">
      <c r="C710" s="19" t="s">
        <v>589</v>
      </c>
      <c r="D710" s="30">
        <v>0.50800000000000001</v>
      </c>
      <c r="E710" s="30">
        <v>138</v>
      </c>
      <c r="F710" s="30">
        <f t="shared" si="26"/>
        <v>70.103999999999999</v>
      </c>
      <c r="G710" s="30" t="s">
        <v>10</v>
      </c>
      <c r="J710" s="30" t="s">
        <v>392</v>
      </c>
    </row>
    <row r="711" spans="1:10" x14ac:dyDescent="0.25">
      <c r="C711" s="61" t="s">
        <v>23</v>
      </c>
      <c r="D711" s="30">
        <v>1</v>
      </c>
      <c r="E711" s="30">
        <v>60</v>
      </c>
      <c r="F711" s="30">
        <f t="shared" si="26"/>
        <v>60</v>
      </c>
    </row>
    <row r="712" spans="1:10" x14ac:dyDescent="0.25">
      <c r="C712" s="19" t="s">
        <v>348</v>
      </c>
      <c r="D712" s="30">
        <v>2</v>
      </c>
      <c r="E712" s="30">
        <v>1</v>
      </c>
      <c r="F712" s="30">
        <f t="shared" si="26"/>
        <v>2</v>
      </c>
      <c r="G712" s="30" t="s">
        <v>10</v>
      </c>
      <c r="J712" s="30" t="s">
        <v>392</v>
      </c>
    </row>
    <row r="713" spans="1:10" ht="30" x14ac:dyDescent="0.25">
      <c r="C713" s="19" t="s">
        <v>562</v>
      </c>
      <c r="D713" s="30">
        <v>3</v>
      </c>
      <c r="E713" s="30">
        <v>1</v>
      </c>
      <c r="F713" s="30">
        <f t="shared" si="26"/>
        <v>3</v>
      </c>
      <c r="G713" s="30" t="s">
        <v>10</v>
      </c>
      <c r="I713" s="139">
        <f>SUM(F701:F713)</f>
        <v>330.10399999999998</v>
      </c>
      <c r="J713" s="30" t="s">
        <v>392</v>
      </c>
    </row>
    <row r="714" spans="1:10" s="69" customFormat="1" ht="18.75" x14ac:dyDescent="0.3">
      <c r="A714" s="235" t="s">
        <v>437</v>
      </c>
      <c r="B714" s="236"/>
      <c r="C714" s="236"/>
      <c r="D714" s="236"/>
      <c r="E714" s="236"/>
      <c r="F714" s="236"/>
      <c r="G714" s="236"/>
      <c r="H714" s="237"/>
      <c r="I714" s="69">
        <f>SUM(I713,I700)</f>
        <v>941.00399999999991</v>
      </c>
    </row>
    <row r="715" spans="1:10" ht="30" x14ac:dyDescent="0.25">
      <c r="A715" s="78">
        <v>46142</v>
      </c>
      <c r="C715" s="33" t="s">
        <v>63</v>
      </c>
      <c r="D715" s="30">
        <v>5</v>
      </c>
      <c r="E715" s="30">
        <v>4</v>
      </c>
      <c r="F715" s="30">
        <f t="shared" ref="F715:F741" si="27">E715*D715</f>
        <v>20</v>
      </c>
      <c r="G715" s="30" t="s">
        <v>9</v>
      </c>
      <c r="J715" s="30" t="s">
        <v>391</v>
      </c>
    </row>
    <row r="716" spans="1:10" x14ac:dyDescent="0.25">
      <c r="C716" s="36" t="s">
        <v>288</v>
      </c>
      <c r="D716" s="30">
        <v>1</v>
      </c>
      <c r="E716" s="30">
        <v>55</v>
      </c>
      <c r="F716" s="30">
        <f t="shared" si="27"/>
        <v>55</v>
      </c>
      <c r="G716" s="30" t="s">
        <v>9</v>
      </c>
      <c r="J716" s="30" t="s">
        <v>391</v>
      </c>
    </row>
    <row r="717" spans="1:10" x14ac:dyDescent="0.25">
      <c r="C717" s="19" t="s">
        <v>541</v>
      </c>
      <c r="D717" s="30">
        <v>0.5</v>
      </c>
      <c r="E717" s="30">
        <v>70</v>
      </c>
      <c r="F717" s="30">
        <f t="shared" si="27"/>
        <v>35</v>
      </c>
      <c r="G717" s="30" t="s">
        <v>9</v>
      </c>
      <c r="J717" s="30" t="s">
        <v>391</v>
      </c>
    </row>
    <row r="718" spans="1:10" x14ac:dyDescent="0.25">
      <c r="C718" s="33" t="s">
        <v>596</v>
      </c>
      <c r="D718" s="30">
        <v>1</v>
      </c>
      <c r="E718" s="30">
        <v>35</v>
      </c>
      <c r="F718" s="30">
        <f t="shared" si="27"/>
        <v>35</v>
      </c>
      <c r="G718" s="30" t="s">
        <v>9</v>
      </c>
      <c r="J718" s="30" t="s">
        <v>391</v>
      </c>
    </row>
    <row r="719" spans="1:10" ht="30" x14ac:dyDescent="0.25">
      <c r="C719" s="19" t="s">
        <v>363</v>
      </c>
      <c r="D719" s="30">
        <v>2</v>
      </c>
      <c r="E719" s="30">
        <v>5</v>
      </c>
      <c r="F719" s="30">
        <f t="shared" si="27"/>
        <v>10</v>
      </c>
      <c r="G719" s="30" t="s">
        <v>9</v>
      </c>
      <c r="J719" s="30" t="s">
        <v>391</v>
      </c>
    </row>
    <row r="720" spans="1:10" x14ac:dyDescent="0.25">
      <c r="C720" s="33" t="s">
        <v>584</v>
      </c>
      <c r="D720" s="30">
        <v>2</v>
      </c>
      <c r="E720" s="30">
        <v>7.5</v>
      </c>
      <c r="F720" s="30">
        <f t="shared" si="27"/>
        <v>15</v>
      </c>
      <c r="G720" s="30" t="s">
        <v>9</v>
      </c>
      <c r="I720" s="139">
        <f>SUM(F715:F720)</f>
        <v>170</v>
      </c>
      <c r="J720" s="30" t="s">
        <v>391</v>
      </c>
    </row>
    <row r="721" spans="3:10" x14ac:dyDescent="0.25">
      <c r="C721" s="33" t="s">
        <v>421</v>
      </c>
      <c r="D721" s="30">
        <v>4</v>
      </c>
      <c r="E721" s="30">
        <v>10</v>
      </c>
      <c r="F721" s="30">
        <f t="shared" si="27"/>
        <v>40</v>
      </c>
      <c r="G721" s="30" t="s">
        <v>10</v>
      </c>
      <c r="J721" s="30" t="s">
        <v>392</v>
      </c>
    </row>
    <row r="722" spans="3:10" x14ac:dyDescent="0.25">
      <c r="C722" s="33" t="s">
        <v>584</v>
      </c>
      <c r="D722" s="30">
        <v>4</v>
      </c>
      <c r="E722" s="30">
        <v>7.5</v>
      </c>
      <c r="F722" s="30">
        <f t="shared" si="27"/>
        <v>30</v>
      </c>
      <c r="G722" s="30" t="s">
        <v>10</v>
      </c>
      <c r="J722" s="30" t="s">
        <v>392</v>
      </c>
    </row>
    <row r="723" spans="3:10" x14ac:dyDescent="0.25">
      <c r="C723" s="33" t="s">
        <v>385</v>
      </c>
      <c r="D723" s="30">
        <v>1</v>
      </c>
      <c r="E723" s="30">
        <v>10</v>
      </c>
      <c r="F723" s="30">
        <f t="shared" si="27"/>
        <v>10</v>
      </c>
      <c r="G723" s="30" t="s">
        <v>9</v>
      </c>
      <c r="J723" s="30" t="s">
        <v>392</v>
      </c>
    </row>
    <row r="724" spans="3:10" x14ac:dyDescent="0.25">
      <c r="C724" s="33" t="s">
        <v>512</v>
      </c>
      <c r="D724" s="30">
        <v>1</v>
      </c>
      <c r="E724" s="30">
        <v>10</v>
      </c>
      <c r="F724" s="30">
        <f t="shared" si="27"/>
        <v>10</v>
      </c>
      <c r="G724" s="30" t="s">
        <v>9</v>
      </c>
      <c r="J724" s="30" t="s">
        <v>392</v>
      </c>
    </row>
    <row r="725" spans="3:10" x14ac:dyDescent="0.25">
      <c r="C725" s="19" t="s">
        <v>517</v>
      </c>
      <c r="D725" s="30">
        <v>1</v>
      </c>
      <c r="E725" s="30">
        <v>27</v>
      </c>
      <c r="F725" s="30">
        <f t="shared" si="27"/>
        <v>27</v>
      </c>
      <c r="G725" s="30" t="s">
        <v>9</v>
      </c>
      <c r="J725" s="30" t="s">
        <v>392</v>
      </c>
    </row>
    <row r="726" spans="3:10" x14ac:dyDescent="0.25">
      <c r="C726" s="61" t="s">
        <v>154</v>
      </c>
      <c r="D726" s="30">
        <v>2</v>
      </c>
      <c r="E726" s="30">
        <v>1</v>
      </c>
      <c r="F726" s="30">
        <f t="shared" si="27"/>
        <v>2</v>
      </c>
      <c r="G726" s="30" t="s">
        <v>9</v>
      </c>
      <c r="J726" s="30" t="s">
        <v>392</v>
      </c>
    </row>
    <row r="727" spans="3:10" x14ac:dyDescent="0.25">
      <c r="C727" s="61" t="s">
        <v>22</v>
      </c>
      <c r="D727" s="30">
        <v>1</v>
      </c>
      <c r="E727" s="30">
        <v>1</v>
      </c>
      <c r="F727" s="30">
        <f t="shared" si="27"/>
        <v>1</v>
      </c>
      <c r="G727" s="30" t="s">
        <v>9</v>
      </c>
      <c r="J727" s="30" t="s">
        <v>392</v>
      </c>
    </row>
    <row r="728" spans="3:10" x14ac:dyDescent="0.25">
      <c r="C728" s="19" t="s">
        <v>564</v>
      </c>
      <c r="D728" s="30">
        <v>2E-3</v>
      </c>
      <c r="E728" s="30">
        <v>300</v>
      </c>
      <c r="F728" s="30">
        <f t="shared" si="27"/>
        <v>0.6</v>
      </c>
      <c r="G728" s="30" t="s">
        <v>9</v>
      </c>
      <c r="J728" s="30" t="s">
        <v>392</v>
      </c>
    </row>
    <row r="729" spans="3:10" x14ac:dyDescent="0.25">
      <c r="C729" s="19" t="s">
        <v>99</v>
      </c>
      <c r="D729" s="30">
        <v>1</v>
      </c>
      <c r="E729" s="30">
        <v>9</v>
      </c>
      <c r="F729" s="30">
        <f t="shared" si="27"/>
        <v>9</v>
      </c>
      <c r="G729" s="30" t="s">
        <v>9</v>
      </c>
      <c r="J729" s="30" t="s">
        <v>392</v>
      </c>
    </row>
    <row r="730" spans="3:10" x14ac:dyDescent="0.25">
      <c r="C730" s="19" t="s">
        <v>540</v>
      </c>
      <c r="D730" s="30">
        <v>1</v>
      </c>
      <c r="E730" s="30">
        <v>15</v>
      </c>
      <c r="F730" s="30">
        <f t="shared" si="27"/>
        <v>15</v>
      </c>
      <c r="G730" s="30" t="s">
        <v>9</v>
      </c>
      <c r="J730" s="30" t="s">
        <v>392</v>
      </c>
    </row>
    <row r="731" spans="3:10" ht="30" x14ac:dyDescent="0.25">
      <c r="C731" s="33" t="s">
        <v>416</v>
      </c>
      <c r="D731" s="30">
        <v>2</v>
      </c>
      <c r="E731" s="30">
        <v>5</v>
      </c>
      <c r="F731" s="30">
        <f t="shared" si="27"/>
        <v>10</v>
      </c>
      <c r="G731" s="30" t="s">
        <v>9</v>
      </c>
      <c r="J731" s="30" t="s">
        <v>392</v>
      </c>
    </row>
    <row r="732" spans="3:10" x14ac:dyDescent="0.25">
      <c r="C732" s="33" t="s">
        <v>325</v>
      </c>
      <c r="D732" s="30">
        <v>1</v>
      </c>
      <c r="E732" s="30">
        <v>18</v>
      </c>
      <c r="F732" s="30">
        <f t="shared" si="27"/>
        <v>18</v>
      </c>
      <c r="G732" s="30" t="s">
        <v>9</v>
      </c>
      <c r="J732" s="30" t="s">
        <v>392</v>
      </c>
    </row>
    <row r="733" spans="3:10" x14ac:dyDescent="0.25">
      <c r="C733" s="33" t="s">
        <v>55</v>
      </c>
      <c r="D733" s="30">
        <v>2</v>
      </c>
      <c r="E733" s="30">
        <v>1</v>
      </c>
      <c r="F733" s="30">
        <f t="shared" si="27"/>
        <v>2</v>
      </c>
      <c r="G733" s="30" t="s">
        <v>9</v>
      </c>
      <c r="J733" s="30" t="s">
        <v>392</v>
      </c>
    </row>
    <row r="734" spans="3:10" x14ac:dyDescent="0.25">
      <c r="C734" s="19" t="s">
        <v>502</v>
      </c>
      <c r="D734" s="30">
        <v>2</v>
      </c>
      <c r="E734" s="30">
        <v>10</v>
      </c>
      <c r="F734" s="30">
        <f t="shared" si="27"/>
        <v>20</v>
      </c>
      <c r="G734" s="30" t="s">
        <v>9</v>
      </c>
      <c r="J734" s="30" t="s">
        <v>392</v>
      </c>
    </row>
    <row r="735" spans="3:10" x14ac:dyDescent="0.25">
      <c r="C735" s="33" t="s">
        <v>464</v>
      </c>
      <c r="D735" s="30">
        <v>0.34100000000000003</v>
      </c>
      <c r="E735" s="30">
        <v>44</v>
      </c>
      <c r="F735" s="30">
        <f t="shared" si="27"/>
        <v>15.004000000000001</v>
      </c>
      <c r="G735" s="30" t="s">
        <v>9</v>
      </c>
      <c r="J735" s="30" t="s">
        <v>392</v>
      </c>
    </row>
    <row r="736" spans="3:10" x14ac:dyDescent="0.25">
      <c r="C736" s="19" t="s">
        <v>544</v>
      </c>
      <c r="D736" s="30">
        <v>1</v>
      </c>
      <c r="E736" s="30">
        <v>27</v>
      </c>
      <c r="F736" s="30">
        <f t="shared" si="27"/>
        <v>27</v>
      </c>
      <c r="G736" s="30" t="s">
        <v>9</v>
      </c>
      <c r="J736" s="30" t="s">
        <v>392</v>
      </c>
    </row>
    <row r="737" spans="1:10" ht="30" x14ac:dyDescent="0.25">
      <c r="C737" s="33" t="s">
        <v>452</v>
      </c>
      <c r="D737" s="30">
        <v>1</v>
      </c>
      <c r="E737" s="30">
        <v>155</v>
      </c>
      <c r="F737" s="30">
        <f t="shared" si="27"/>
        <v>155</v>
      </c>
      <c r="G737" s="30" t="s">
        <v>9</v>
      </c>
      <c r="J737" s="30" t="s">
        <v>392</v>
      </c>
    </row>
    <row r="738" spans="1:10" x14ac:dyDescent="0.25">
      <c r="C738" s="33" t="s">
        <v>523</v>
      </c>
      <c r="D738" s="30">
        <v>0.107</v>
      </c>
      <c r="E738" s="30">
        <v>280</v>
      </c>
      <c r="F738" s="30">
        <f t="shared" si="27"/>
        <v>29.96</v>
      </c>
      <c r="G738" s="30" t="s">
        <v>9</v>
      </c>
      <c r="J738" s="30" t="s">
        <v>392</v>
      </c>
    </row>
    <row r="739" spans="1:10" x14ac:dyDescent="0.25">
      <c r="C739" s="33" t="s">
        <v>345</v>
      </c>
      <c r="D739" s="30">
        <v>3</v>
      </c>
      <c r="E739" s="30">
        <v>1</v>
      </c>
      <c r="F739" s="30">
        <f t="shared" si="27"/>
        <v>3</v>
      </c>
      <c r="G739" s="30" t="s">
        <v>9</v>
      </c>
      <c r="J739" s="30" t="s">
        <v>392</v>
      </c>
    </row>
    <row r="740" spans="1:10" x14ac:dyDescent="0.25">
      <c r="C740" s="33" t="s">
        <v>325</v>
      </c>
      <c r="D740" s="30">
        <v>1</v>
      </c>
      <c r="E740" s="30">
        <v>18</v>
      </c>
      <c r="F740" s="30">
        <f t="shared" si="27"/>
        <v>18</v>
      </c>
      <c r="G740" s="30" t="s">
        <v>9</v>
      </c>
      <c r="J740" s="30" t="s">
        <v>392</v>
      </c>
    </row>
    <row r="741" spans="1:10" x14ac:dyDescent="0.25">
      <c r="C741" s="19" t="s">
        <v>565</v>
      </c>
      <c r="D741" s="30">
        <v>2</v>
      </c>
      <c r="E741" s="30">
        <v>10</v>
      </c>
      <c r="F741" s="30">
        <f t="shared" si="27"/>
        <v>20</v>
      </c>
      <c r="G741" s="30" t="s">
        <v>9</v>
      </c>
      <c r="I741" s="68">
        <f>SUM(F721:F741)</f>
        <v>462.56399999999996</v>
      </c>
      <c r="J741" s="30" t="s">
        <v>392</v>
      </c>
    </row>
    <row r="742" spans="1:10" s="69" customFormat="1" ht="18.75" x14ac:dyDescent="0.3">
      <c r="A742" s="235" t="s">
        <v>437</v>
      </c>
      <c r="B742" s="236"/>
      <c r="C742" s="236"/>
      <c r="D742" s="236"/>
      <c r="E742" s="236"/>
      <c r="F742" s="236"/>
      <c r="G742" s="236"/>
      <c r="H742" s="237"/>
      <c r="I742" s="69">
        <f>SUM(I741,I720)</f>
        <v>632.56399999999996</v>
      </c>
    </row>
    <row r="743" spans="1:10" x14ac:dyDescent="0.25">
      <c r="A743" s="78">
        <v>46143</v>
      </c>
      <c r="C743" s="19" t="s">
        <v>523</v>
      </c>
      <c r="D743" s="30">
        <v>3.5999999999999997E-2</v>
      </c>
      <c r="E743" s="30">
        <v>280</v>
      </c>
      <c r="F743" s="30">
        <f t="shared" ref="F743:F822" si="28">E743*D743</f>
        <v>10.08</v>
      </c>
      <c r="G743" s="30" t="s">
        <v>9</v>
      </c>
      <c r="J743" s="30" t="s">
        <v>391</v>
      </c>
    </row>
    <row r="744" spans="1:10" x14ac:dyDescent="0.25">
      <c r="C744" s="33" t="s">
        <v>502</v>
      </c>
      <c r="D744" s="30">
        <v>1</v>
      </c>
      <c r="E744" s="30">
        <v>10</v>
      </c>
      <c r="F744" s="30">
        <f t="shared" si="28"/>
        <v>10</v>
      </c>
      <c r="G744" s="30" t="s">
        <v>9</v>
      </c>
      <c r="J744" s="30" t="s">
        <v>391</v>
      </c>
    </row>
    <row r="745" spans="1:10" x14ac:dyDescent="0.25">
      <c r="C745" s="19" t="s">
        <v>498</v>
      </c>
      <c r="D745" s="30">
        <v>0.25</v>
      </c>
      <c r="E745" s="30">
        <v>180</v>
      </c>
      <c r="F745" s="30">
        <f t="shared" si="28"/>
        <v>45</v>
      </c>
      <c r="G745" s="30" t="s">
        <v>9</v>
      </c>
      <c r="J745" s="30" t="s">
        <v>391</v>
      </c>
    </row>
    <row r="746" spans="1:10" ht="30" x14ac:dyDescent="0.25">
      <c r="C746" s="33" t="s">
        <v>443</v>
      </c>
      <c r="D746" s="30">
        <v>1</v>
      </c>
      <c r="E746" s="30">
        <v>153</v>
      </c>
      <c r="F746" s="30">
        <f t="shared" si="28"/>
        <v>153</v>
      </c>
      <c r="G746" s="30" t="s">
        <v>9</v>
      </c>
      <c r="J746" s="30" t="s">
        <v>391</v>
      </c>
    </row>
    <row r="747" spans="1:10" ht="30" x14ac:dyDescent="0.25">
      <c r="C747" s="33" t="s">
        <v>382</v>
      </c>
      <c r="D747" s="30">
        <v>2</v>
      </c>
      <c r="E747" s="30">
        <v>185</v>
      </c>
      <c r="F747" s="30">
        <f t="shared" si="28"/>
        <v>370</v>
      </c>
      <c r="G747" s="30" t="s">
        <v>9</v>
      </c>
      <c r="J747" s="30" t="s">
        <v>391</v>
      </c>
    </row>
    <row r="748" spans="1:10" x14ac:dyDescent="0.25">
      <c r="C748" s="33" t="s">
        <v>421</v>
      </c>
      <c r="D748" s="30">
        <v>2</v>
      </c>
      <c r="E748" s="30">
        <v>10</v>
      </c>
      <c r="F748" s="30">
        <f t="shared" si="28"/>
        <v>20</v>
      </c>
      <c r="G748" s="30" t="s">
        <v>9</v>
      </c>
      <c r="J748" s="30" t="s">
        <v>391</v>
      </c>
    </row>
    <row r="749" spans="1:10" x14ac:dyDescent="0.25">
      <c r="C749" s="81" t="s">
        <v>425</v>
      </c>
      <c r="D749" s="80">
        <v>1</v>
      </c>
      <c r="E749" s="80">
        <v>60</v>
      </c>
      <c r="F749" s="80">
        <f t="shared" si="28"/>
        <v>60</v>
      </c>
      <c r="G749" s="30" t="s">
        <v>16</v>
      </c>
      <c r="H749" s="36" t="s">
        <v>598</v>
      </c>
      <c r="J749" s="30" t="s">
        <v>391</v>
      </c>
    </row>
    <row r="750" spans="1:10" ht="30" x14ac:dyDescent="0.25">
      <c r="C750" s="87" t="s">
        <v>109</v>
      </c>
      <c r="D750" s="80">
        <v>1</v>
      </c>
      <c r="E750" s="80">
        <v>15</v>
      </c>
      <c r="F750" s="80">
        <f t="shared" si="28"/>
        <v>15</v>
      </c>
      <c r="G750" s="30" t="s">
        <v>16</v>
      </c>
      <c r="H750" s="36" t="s">
        <v>598</v>
      </c>
      <c r="J750" s="30" t="s">
        <v>391</v>
      </c>
    </row>
    <row r="751" spans="1:10" x14ac:dyDescent="0.25">
      <c r="C751" s="87" t="s">
        <v>289</v>
      </c>
      <c r="D751" s="80">
        <v>1</v>
      </c>
      <c r="E751" s="80">
        <v>120</v>
      </c>
      <c r="F751" s="80">
        <f t="shared" si="28"/>
        <v>120</v>
      </c>
      <c r="G751" s="30" t="s">
        <v>16</v>
      </c>
      <c r="H751" s="36" t="s">
        <v>598</v>
      </c>
      <c r="J751" s="30" t="s">
        <v>391</v>
      </c>
    </row>
    <row r="752" spans="1:10" x14ac:dyDescent="0.25">
      <c r="C752" s="81" t="s">
        <v>364</v>
      </c>
      <c r="D752" s="80">
        <v>1</v>
      </c>
      <c r="E752" s="80">
        <v>30</v>
      </c>
      <c r="F752" s="80">
        <f t="shared" si="28"/>
        <v>30</v>
      </c>
      <c r="G752" s="30" t="s">
        <v>16</v>
      </c>
      <c r="H752" s="36" t="s">
        <v>598</v>
      </c>
      <c r="J752" s="30" t="s">
        <v>391</v>
      </c>
    </row>
    <row r="753" spans="3:10" x14ac:dyDescent="0.25">
      <c r="C753" s="87" t="s">
        <v>74</v>
      </c>
      <c r="D753" s="80">
        <v>1</v>
      </c>
      <c r="E753" s="80">
        <v>20</v>
      </c>
      <c r="F753" s="80">
        <f t="shared" si="28"/>
        <v>20</v>
      </c>
      <c r="G753" s="30" t="s">
        <v>16</v>
      </c>
      <c r="H753" s="36" t="s">
        <v>598</v>
      </c>
      <c r="J753" s="30" t="s">
        <v>391</v>
      </c>
    </row>
    <row r="754" spans="3:10" x14ac:dyDescent="0.25">
      <c r="C754" s="87" t="s">
        <v>24</v>
      </c>
      <c r="D754" s="80">
        <v>1</v>
      </c>
      <c r="E754" s="80">
        <v>70</v>
      </c>
      <c r="F754" s="80">
        <f t="shared" si="28"/>
        <v>70</v>
      </c>
      <c r="G754" s="30" t="s">
        <v>16</v>
      </c>
      <c r="H754" s="36" t="s">
        <v>598</v>
      </c>
      <c r="J754" s="30" t="s">
        <v>391</v>
      </c>
    </row>
    <row r="755" spans="3:10" ht="30" x14ac:dyDescent="0.25">
      <c r="C755" s="87" t="s">
        <v>97</v>
      </c>
      <c r="D755" s="80">
        <v>1</v>
      </c>
      <c r="E755" s="80">
        <v>35</v>
      </c>
      <c r="F755" s="80">
        <f t="shared" si="28"/>
        <v>35</v>
      </c>
      <c r="G755" s="30" t="s">
        <v>16</v>
      </c>
      <c r="H755" s="36" t="s">
        <v>598</v>
      </c>
      <c r="J755" s="30" t="s">
        <v>391</v>
      </c>
    </row>
    <row r="756" spans="3:10" x14ac:dyDescent="0.25">
      <c r="C756" s="87" t="s">
        <v>101</v>
      </c>
      <c r="D756" s="80">
        <v>1</v>
      </c>
      <c r="E756" s="80">
        <v>58</v>
      </c>
      <c r="F756" s="80">
        <f t="shared" si="28"/>
        <v>58</v>
      </c>
      <c r="G756" s="30" t="s">
        <v>16</v>
      </c>
      <c r="H756" s="36" t="s">
        <v>598</v>
      </c>
      <c r="J756" s="30" t="s">
        <v>391</v>
      </c>
    </row>
    <row r="757" spans="3:10" x14ac:dyDescent="0.25">
      <c r="C757" s="87" t="s">
        <v>33</v>
      </c>
      <c r="D757" s="80">
        <v>1</v>
      </c>
      <c r="E757" s="80">
        <v>85</v>
      </c>
      <c r="F757" s="80">
        <f t="shared" si="28"/>
        <v>85</v>
      </c>
      <c r="G757" s="30" t="s">
        <v>16</v>
      </c>
      <c r="H757" s="36" t="s">
        <v>598</v>
      </c>
      <c r="J757" s="30" t="s">
        <v>391</v>
      </c>
    </row>
    <row r="758" spans="3:10" ht="30" x14ac:dyDescent="0.25">
      <c r="C758" s="87" t="s">
        <v>526</v>
      </c>
      <c r="D758" s="80">
        <v>1</v>
      </c>
      <c r="E758" s="80">
        <v>65</v>
      </c>
      <c r="F758" s="80">
        <f t="shared" si="28"/>
        <v>65</v>
      </c>
      <c r="G758" s="30" t="s">
        <v>16</v>
      </c>
      <c r="H758" s="36" t="s">
        <v>598</v>
      </c>
      <c r="J758" s="30" t="s">
        <v>391</v>
      </c>
    </row>
    <row r="759" spans="3:10" x14ac:dyDescent="0.25">
      <c r="C759" s="87" t="s">
        <v>351</v>
      </c>
      <c r="D759" s="80">
        <v>1</v>
      </c>
      <c r="E759" s="80">
        <v>107</v>
      </c>
      <c r="F759" s="80">
        <f t="shared" si="28"/>
        <v>107</v>
      </c>
      <c r="G759" s="30" t="s">
        <v>16</v>
      </c>
      <c r="H759" s="36" t="s">
        <v>598</v>
      </c>
      <c r="J759" s="30" t="s">
        <v>391</v>
      </c>
    </row>
    <row r="760" spans="3:10" x14ac:dyDescent="0.25">
      <c r="C760" s="81" t="s">
        <v>157</v>
      </c>
      <c r="D760" s="80">
        <v>1</v>
      </c>
      <c r="E760" s="80">
        <v>200</v>
      </c>
      <c r="F760" s="80">
        <f t="shared" si="28"/>
        <v>200</v>
      </c>
      <c r="G760" s="30" t="s">
        <v>16</v>
      </c>
      <c r="H760" s="36" t="s">
        <v>598</v>
      </c>
      <c r="J760" s="30" t="s">
        <v>391</v>
      </c>
    </row>
    <row r="761" spans="3:10" x14ac:dyDescent="0.25">
      <c r="C761" s="81" t="s">
        <v>463</v>
      </c>
      <c r="D761" s="80">
        <v>1</v>
      </c>
      <c r="E761" s="80">
        <v>56</v>
      </c>
      <c r="F761" s="80">
        <f t="shared" si="28"/>
        <v>56</v>
      </c>
      <c r="G761" s="30" t="s">
        <v>16</v>
      </c>
      <c r="H761" s="36" t="s">
        <v>598</v>
      </c>
      <c r="J761" s="30" t="s">
        <v>391</v>
      </c>
    </row>
    <row r="762" spans="3:10" x14ac:dyDescent="0.25">
      <c r="C762" s="87" t="s">
        <v>30</v>
      </c>
      <c r="D762" s="80">
        <v>0.5</v>
      </c>
      <c r="E762" s="80">
        <v>94</v>
      </c>
      <c r="F762" s="80">
        <f t="shared" si="28"/>
        <v>47</v>
      </c>
      <c r="G762" s="30" t="s">
        <v>16</v>
      </c>
      <c r="H762" s="36" t="s">
        <v>598</v>
      </c>
      <c r="J762" s="30" t="s">
        <v>391</v>
      </c>
    </row>
    <row r="763" spans="3:10" ht="30" x14ac:dyDescent="0.25">
      <c r="C763" s="87" t="s">
        <v>452</v>
      </c>
      <c r="D763" s="80">
        <v>1</v>
      </c>
      <c r="E763" s="80">
        <v>153</v>
      </c>
      <c r="F763" s="80">
        <f t="shared" si="28"/>
        <v>153</v>
      </c>
      <c r="G763" s="30" t="s">
        <v>16</v>
      </c>
      <c r="H763" s="36" t="s">
        <v>598</v>
      </c>
      <c r="J763" s="30" t="s">
        <v>391</v>
      </c>
    </row>
    <row r="764" spans="3:10" ht="30" x14ac:dyDescent="0.25">
      <c r="C764" s="87" t="s">
        <v>382</v>
      </c>
      <c r="D764" s="80">
        <v>1</v>
      </c>
      <c r="E764" s="80">
        <v>185</v>
      </c>
      <c r="F764" s="80">
        <f t="shared" si="28"/>
        <v>185</v>
      </c>
      <c r="G764" s="30" t="s">
        <v>16</v>
      </c>
      <c r="H764" s="36" t="s">
        <v>598</v>
      </c>
      <c r="J764" s="30" t="s">
        <v>391</v>
      </c>
    </row>
    <row r="765" spans="3:10" x14ac:dyDescent="0.25">
      <c r="C765" s="81" t="s">
        <v>597</v>
      </c>
      <c r="D765" s="80">
        <v>8</v>
      </c>
      <c r="E765" s="80">
        <v>45</v>
      </c>
      <c r="F765" s="80">
        <f t="shared" si="28"/>
        <v>360</v>
      </c>
      <c r="G765" s="30" t="s">
        <v>16</v>
      </c>
      <c r="H765" s="82">
        <f>SUM(F749:F765)</f>
        <v>1666</v>
      </c>
      <c r="J765" s="30" t="s">
        <v>391</v>
      </c>
    </row>
    <row r="766" spans="3:10" x14ac:dyDescent="0.25">
      <c r="C766" s="19" t="s">
        <v>345</v>
      </c>
      <c r="D766" s="30">
        <v>0.1</v>
      </c>
      <c r="E766" s="30">
        <v>100</v>
      </c>
      <c r="F766" s="30">
        <f t="shared" si="28"/>
        <v>10</v>
      </c>
      <c r="G766" s="30" t="s">
        <v>9</v>
      </c>
      <c r="J766" s="30" t="s">
        <v>391</v>
      </c>
    </row>
    <row r="767" spans="3:10" x14ac:dyDescent="0.25">
      <c r="C767" s="19" t="s">
        <v>81</v>
      </c>
      <c r="D767" s="30">
        <v>3</v>
      </c>
      <c r="E767" s="30">
        <v>1</v>
      </c>
      <c r="F767" s="30">
        <f t="shared" si="28"/>
        <v>3</v>
      </c>
      <c r="G767" s="30" t="s">
        <v>9</v>
      </c>
      <c r="J767" s="30" t="s">
        <v>391</v>
      </c>
    </row>
    <row r="768" spans="3:10" x14ac:dyDescent="0.25">
      <c r="C768" s="33" t="s">
        <v>325</v>
      </c>
      <c r="D768" s="30">
        <v>1</v>
      </c>
      <c r="E768" s="30">
        <v>18</v>
      </c>
      <c r="F768" s="30">
        <f t="shared" si="28"/>
        <v>18</v>
      </c>
      <c r="G768" s="30" t="s">
        <v>9</v>
      </c>
      <c r="J768" s="30" t="s">
        <v>391</v>
      </c>
    </row>
    <row r="769" spans="3:10" x14ac:dyDescent="0.25">
      <c r="C769" s="33" t="s">
        <v>8</v>
      </c>
      <c r="D769" s="30">
        <v>1</v>
      </c>
      <c r="E769" s="30">
        <v>30</v>
      </c>
      <c r="F769" s="30">
        <f t="shared" si="28"/>
        <v>30</v>
      </c>
      <c r="G769" s="30" t="s">
        <v>9</v>
      </c>
      <c r="J769" s="30" t="s">
        <v>391</v>
      </c>
    </row>
    <row r="770" spans="3:10" x14ac:dyDescent="0.25">
      <c r="C770" s="33" t="s">
        <v>540</v>
      </c>
      <c r="D770" s="30">
        <v>1</v>
      </c>
      <c r="E770" s="30">
        <v>15</v>
      </c>
      <c r="F770" s="30">
        <f t="shared" si="28"/>
        <v>15</v>
      </c>
      <c r="G770" s="30" t="s">
        <v>9</v>
      </c>
      <c r="J770" s="30" t="s">
        <v>391</v>
      </c>
    </row>
    <row r="771" spans="3:10" x14ac:dyDescent="0.25">
      <c r="C771" s="33" t="s">
        <v>585</v>
      </c>
      <c r="D771" s="30">
        <v>4</v>
      </c>
      <c r="E771" s="30">
        <v>9</v>
      </c>
      <c r="F771" s="30">
        <f t="shared" si="28"/>
        <v>36</v>
      </c>
      <c r="G771" s="30" t="s">
        <v>9</v>
      </c>
      <c r="J771" s="30" t="s">
        <v>391</v>
      </c>
    </row>
    <row r="772" spans="3:10" x14ac:dyDescent="0.25">
      <c r="C772" s="19" t="s">
        <v>288</v>
      </c>
      <c r="D772" s="30">
        <v>1</v>
      </c>
      <c r="E772" s="30">
        <v>66</v>
      </c>
      <c r="F772" s="30">
        <f t="shared" si="28"/>
        <v>66</v>
      </c>
      <c r="G772" s="30" t="s">
        <v>9</v>
      </c>
      <c r="J772" s="30" t="s">
        <v>391</v>
      </c>
    </row>
    <row r="773" spans="3:10" x14ac:dyDescent="0.25">
      <c r="C773" s="19" t="s">
        <v>159</v>
      </c>
      <c r="D773" s="30">
        <v>0.5</v>
      </c>
      <c r="E773" s="30">
        <v>138</v>
      </c>
      <c r="F773" s="30">
        <f t="shared" si="28"/>
        <v>69</v>
      </c>
      <c r="G773" s="30" t="s">
        <v>9</v>
      </c>
      <c r="J773" s="30" t="s">
        <v>391</v>
      </c>
    </row>
    <row r="774" spans="3:10" x14ac:dyDescent="0.25">
      <c r="C774" s="19" t="s">
        <v>159</v>
      </c>
      <c r="D774" s="30">
        <v>0.5</v>
      </c>
      <c r="E774" s="30">
        <v>138</v>
      </c>
      <c r="F774" s="30">
        <f t="shared" si="28"/>
        <v>69</v>
      </c>
      <c r="G774" s="30" t="s">
        <v>9</v>
      </c>
      <c r="J774" s="30" t="s">
        <v>391</v>
      </c>
    </row>
    <row r="775" spans="3:10" x14ac:dyDescent="0.25">
      <c r="C775" s="19" t="s">
        <v>541</v>
      </c>
      <c r="D775" s="30">
        <v>1</v>
      </c>
      <c r="E775" s="30">
        <v>70</v>
      </c>
      <c r="F775" s="30">
        <f t="shared" si="28"/>
        <v>70</v>
      </c>
      <c r="G775" s="30" t="s">
        <v>9</v>
      </c>
      <c r="J775" s="30" t="s">
        <v>391</v>
      </c>
    </row>
    <row r="776" spans="3:10" x14ac:dyDescent="0.25">
      <c r="C776" s="33" t="s">
        <v>422</v>
      </c>
      <c r="D776" s="30">
        <v>2</v>
      </c>
      <c r="E776" s="30">
        <v>10</v>
      </c>
      <c r="F776" s="30">
        <f t="shared" si="28"/>
        <v>20</v>
      </c>
      <c r="G776" s="30" t="s">
        <v>9</v>
      </c>
      <c r="I776" s="139">
        <f>SUM(F743:F778)</f>
        <v>2690.08</v>
      </c>
      <c r="J776" s="30" t="s">
        <v>391</v>
      </c>
    </row>
    <row r="777" spans="3:10" x14ac:dyDescent="0.25">
      <c r="C777" s="19" t="s">
        <v>585</v>
      </c>
      <c r="D777" s="30">
        <v>1</v>
      </c>
      <c r="E777" s="30">
        <v>9</v>
      </c>
      <c r="F777" s="30">
        <f t="shared" si="28"/>
        <v>9</v>
      </c>
      <c r="G777" s="30" t="s">
        <v>9</v>
      </c>
      <c r="J777" s="30" t="s">
        <v>391</v>
      </c>
    </row>
    <row r="778" spans="3:10" x14ac:dyDescent="0.25">
      <c r="C778" s="33" t="s">
        <v>81</v>
      </c>
      <c r="D778" s="30">
        <v>1</v>
      </c>
      <c r="E778" s="30">
        <v>1</v>
      </c>
      <c r="F778" s="30">
        <f t="shared" si="28"/>
        <v>1</v>
      </c>
      <c r="G778" s="30" t="s">
        <v>9</v>
      </c>
      <c r="J778" s="30" t="s">
        <v>391</v>
      </c>
    </row>
    <row r="779" spans="3:10" x14ac:dyDescent="0.25">
      <c r="C779" s="33" t="s">
        <v>24</v>
      </c>
      <c r="D779" s="30">
        <v>1</v>
      </c>
      <c r="E779" s="30">
        <v>70</v>
      </c>
      <c r="F779" s="30">
        <f t="shared" si="28"/>
        <v>70</v>
      </c>
    </row>
    <row r="780" spans="3:10" x14ac:dyDescent="0.25">
      <c r="C780" s="33" t="s">
        <v>33</v>
      </c>
      <c r="D780" s="30">
        <v>1</v>
      </c>
      <c r="E780" s="30">
        <v>85</v>
      </c>
      <c r="F780" s="30">
        <f t="shared" si="28"/>
        <v>85</v>
      </c>
    </row>
    <row r="781" spans="3:10" ht="30" x14ac:dyDescent="0.25">
      <c r="C781" s="33" t="s">
        <v>526</v>
      </c>
      <c r="D781" s="30">
        <v>1</v>
      </c>
      <c r="E781" s="30">
        <v>65</v>
      </c>
      <c r="F781" s="30">
        <f t="shared" si="28"/>
        <v>65</v>
      </c>
    </row>
    <row r="782" spans="3:10" ht="30" x14ac:dyDescent="0.25">
      <c r="C782" s="33" t="s">
        <v>631</v>
      </c>
      <c r="D782" s="30">
        <v>1</v>
      </c>
      <c r="E782" s="30">
        <v>35</v>
      </c>
      <c r="F782" s="30">
        <f t="shared" si="28"/>
        <v>35</v>
      </c>
    </row>
    <row r="783" spans="3:10" ht="30" x14ac:dyDescent="0.25">
      <c r="C783" s="33" t="s">
        <v>501</v>
      </c>
      <c r="D783" s="30">
        <v>2</v>
      </c>
      <c r="E783" s="30">
        <v>5</v>
      </c>
      <c r="F783" s="30">
        <f t="shared" si="28"/>
        <v>10</v>
      </c>
    </row>
    <row r="784" spans="3:10" x14ac:dyDescent="0.25">
      <c r="C784" s="33" t="s">
        <v>634</v>
      </c>
      <c r="D784" s="30">
        <v>1</v>
      </c>
      <c r="E784" s="30">
        <v>5</v>
      </c>
      <c r="F784" s="30">
        <f t="shared" si="28"/>
        <v>5</v>
      </c>
    </row>
    <row r="785" spans="3:7" x14ac:dyDescent="0.25">
      <c r="C785" s="33" t="s">
        <v>8</v>
      </c>
      <c r="D785" s="30">
        <v>1</v>
      </c>
      <c r="E785" s="30">
        <v>30</v>
      </c>
      <c r="F785" s="30">
        <f t="shared" si="28"/>
        <v>30</v>
      </c>
    </row>
    <row r="786" spans="3:7" x14ac:dyDescent="0.25">
      <c r="C786" s="33" t="s">
        <v>446</v>
      </c>
      <c r="D786" s="30">
        <v>1</v>
      </c>
      <c r="E786" s="30">
        <v>39</v>
      </c>
      <c r="F786" s="30">
        <f t="shared" si="28"/>
        <v>39</v>
      </c>
    </row>
    <row r="787" spans="3:7" x14ac:dyDescent="0.25">
      <c r="C787" s="33" t="s">
        <v>43</v>
      </c>
      <c r="D787" s="30">
        <v>2</v>
      </c>
      <c r="E787" s="30">
        <v>5</v>
      </c>
      <c r="F787" s="30">
        <f t="shared" si="28"/>
        <v>10</v>
      </c>
    </row>
    <row r="788" spans="3:7" ht="30" x14ac:dyDescent="0.25">
      <c r="C788" s="61" t="s">
        <v>382</v>
      </c>
      <c r="D788" s="30">
        <v>1</v>
      </c>
      <c r="E788" s="30">
        <v>185</v>
      </c>
      <c r="F788" s="30">
        <f t="shared" si="28"/>
        <v>185</v>
      </c>
    </row>
    <row r="789" spans="3:7" x14ac:dyDescent="0.25">
      <c r="C789" s="81" t="s">
        <v>326</v>
      </c>
      <c r="D789" s="80">
        <v>1</v>
      </c>
      <c r="E789" s="80">
        <v>50</v>
      </c>
      <c r="F789" s="80">
        <f t="shared" si="28"/>
        <v>50</v>
      </c>
      <c r="G789" s="80"/>
    </row>
    <row r="790" spans="3:7" x14ac:dyDescent="0.25">
      <c r="C790" s="33" t="s">
        <v>446</v>
      </c>
      <c r="D790" s="30">
        <v>1</v>
      </c>
      <c r="E790" s="30">
        <v>39</v>
      </c>
      <c r="F790" s="30">
        <f t="shared" si="28"/>
        <v>39</v>
      </c>
    </row>
    <row r="791" spans="3:7" x14ac:dyDescent="0.25">
      <c r="C791" s="33" t="s">
        <v>512</v>
      </c>
      <c r="D791" s="30">
        <v>1</v>
      </c>
      <c r="E791" s="30">
        <v>10</v>
      </c>
      <c r="F791" s="30">
        <f t="shared" si="28"/>
        <v>10</v>
      </c>
    </row>
    <row r="792" spans="3:7" x14ac:dyDescent="0.25">
      <c r="C792" s="33" t="s">
        <v>529</v>
      </c>
      <c r="D792" s="30">
        <v>1</v>
      </c>
      <c r="E792" s="30">
        <v>10</v>
      </c>
      <c r="F792" s="30">
        <f t="shared" si="28"/>
        <v>10</v>
      </c>
    </row>
    <row r="793" spans="3:7" x14ac:dyDescent="0.25">
      <c r="C793" s="33" t="s">
        <v>422</v>
      </c>
      <c r="D793" s="30">
        <v>1</v>
      </c>
      <c r="E793" s="30">
        <v>10</v>
      </c>
      <c r="F793" s="30">
        <f t="shared" si="28"/>
        <v>10</v>
      </c>
    </row>
    <row r="794" spans="3:7" x14ac:dyDescent="0.25">
      <c r="C794" s="33" t="s">
        <v>348</v>
      </c>
      <c r="D794" s="30">
        <v>1</v>
      </c>
      <c r="E794" s="30">
        <v>1</v>
      </c>
      <c r="F794" s="30">
        <f t="shared" si="28"/>
        <v>1</v>
      </c>
    </row>
    <row r="795" spans="3:7" x14ac:dyDescent="0.25">
      <c r="C795" s="33" t="s">
        <v>446</v>
      </c>
      <c r="D795" s="30">
        <v>1</v>
      </c>
      <c r="E795" s="30">
        <v>39</v>
      </c>
      <c r="F795" s="30">
        <f t="shared" si="28"/>
        <v>39</v>
      </c>
    </row>
    <row r="796" spans="3:7" x14ac:dyDescent="0.25">
      <c r="C796" s="61" t="s">
        <v>37</v>
      </c>
      <c r="D796" s="30">
        <v>1</v>
      </c>
      <c r="E796" s="30">
        <v>30</v>
      </c>
      <c r="F796" s="30">
        <f t="shared" si="28"/>
        <v>30</v>
      </c>
    </row>
    <row r="797" spans="3:7" x14ac:dyDescent="0.25">
      <c r="C797" s="19" t="s">
        <v>585</v>
      </c>
      <c r="D797" s="30">
        <v>4</v>
      </c>
      <c r="E797" s="30">
        <v>9</v>
      </c>
      <c r="F797" s="30">
        <f t="shared" si="28"/>
        <v>36</v>
      </c>
    </row>
    <row r="798" spans="3:7" x14ac:dyDescent="0.25">
      <c r="C798" s="19" t="s">
        <v>565</v>
      </c>
      <c r="D798" s="30">
        <v>1</v>
      </c>
      <c r="E798" s="30">
        <v>10</v>
      </c>
      <c r="F798" s="30">
        <f t="shared" si="28"/>
        <v>10</v>
      </c>
    </row>
    <row r="799" spans="3:7" x14ac:dyDescent="0.25">
      <c r="C799" s="33" t="s">
        <v>422</v>
      </c>
      <c r="D799" s="30">
        <v>2</v>
      </c>
      <c r="E799" s="30">
        <v>10</v>
      </c>
      <c r="F799" s="30">
        <f t="shared" si="28"/>
        <v>20</v>
      </c>
    </row>
    <row r="800" spans="3:7" x14ac:dyDescent="0.25">
      <c r="C800" s="33" t="s">
        <v>632</v>
      </c>
      <c r="D800" s="30">
        <v>1</v>
      </c>
      <c r="E800" s="30">
        <v>20</v>
      </c>
      <c r="F800" s="30">
        <f t="shared" si="28"/>
        <v>20</v>
      </c>
    </row>
    <row r="801" spans="3:6" x14ac:dyDescent="0.25">
      <c r="C801" s="19" t="s">
        <v>606</v>
      </c>
      <c r="D801" s="30">
        <v>2</v>
      </c>
      <c r="E801" s="30">
        <v>5</v>
      </c>
      <c r="F801" s="30">
        <f t="shared" si="28"/>
        <v>10</v>
      </c>
    </row>
    <row r="802" spans="3:6" x14ac:dyDescent="0.25">
      <c r="C802" s="33" t="s">
        <v>633</v>
      </c>
      <c r="D802" s="30">
        <v>2</v>
      </c>
      <c r="E802" s="30">
        <v>10</v>
      </c>
      <c r="F802" s="30">
        <f t="shared" si="28"/>
        <v>20</v>
      </c>
    </row>
    <row r="803" spans="3:6" x14ac:dyDescent="0.25">
      <c r="C803" s="19" t="s">
        <v>532</v>
      </c>
      <c r="D803" s="30">
        <v>1</v>
      </c>
      <c r="E803" s="30">
        <v>4.5</v>
      </c>
      <c r="F803" s="30">
        <f t="shared" si="28"/>
        <v>4.5</v>
      </c>
    </row>
    <row r="804" spans="3:6" x14ac:dyDescent="0.25">
      <c r="C804" s="33" t="s">
        <v>351</v>
      </c>
      <c r="D804" s="30">
        <v>1</v>
      </c>
      <c r="E804" s="30">
        <v>106</v>
      </c>
      <c r="F804" s="30">
        <f t="shared" si="28"/>
        <v>106</v>
      </c>
    </row>
    <row r="805" spans="3:6" x14ac:dyDescent="0.25">
      <c r="C805" s="33" t="s">
        <v>633</v>
      </c>
      <c r="D805" s="30">
        <v>1</v>
      </c>
      <c r="E805" s="30">
        <v>9.5</v>
      </c>
      <c r="F805" s="30">
        <f t="shared" si="28"/>
        <v>9.5</v>
      </c>
    </row>
    <row r="806" spans="3:6" x14ac:dyDescent="0.25">
      <c r="C806" s="33" t="s">
        <v>584</v>
      </c>
      <c r="D806" s="30">
        <v>4</v>
      </c>
      <c r="E806" s="30">
        <v>7.5</v>
      </c>
      <c r="F806" s="30">
        <f t="shared" si="28"/>
        <v>30</v>
      </c>
    </row>
    <row r="807" spans="3:6" x14ac:dyDescent="0.25">
      <c r="C807" s="19" t="s">
        <v>347</v>
      </c>
      <c r="D807" s="30">
        <v>2</v>
      </c>
      <c r="E807" s="30">
        <v>10</v>
      </c>
      <c r="F807" s="30">
        <f t="shared" si="28"/>
        <v>20</v>
      </c>
    </row>
    <row r="808" spans="3:6" x14ac:dyDescent="0.25">
      <c r="C808" s="33" t="s">
        <v>633</v>
      </c>
      <c r="D808" s="30">
        <v>3</v>
      </c>
      <c r="E808" s="30">
        <v>10</v>
      </c>
      <c r="F808" s="30">
        <f t="shared" si="28"/>
        <v>30</v>
      </c>
    </row>
    <row r="809" spans="3:6" x14ac:dyDescent="0.25">
      <c r="C809" s="33" t="s">
        <v>529</v>
      </c>
      <c r="D809" s="30">
        <v>2</v>
      </c>
      <c r="E809" s="30">
        <v>10</v>
      </c>
      <c r="F809" s="30">
        <f t="shared" si="28"/>
        <v>20</v>
      </c>
    </row>
    <row r="810" spans="3:6" x14ac:dyDescent="0.25">
      <c r="C810" s="19" t="s">
        <v>54</v>
      </c>
      <c r="D810" s="30">
        <v>2</v>
      </c>
      <c r="E810" s="30">
        <v>1</v>
      </c>
      <c r="F810" s="30">
        <f t="shared" si="28"/>
        <v>2</v>
      </c>
    </row>
    <row r="811" spans="3:6" x14ac:dyDescent="0.25">
      <c r="C811" s="33" t="s">
        <v>37</v>
      </c>
      <c r="D811" s="30">
        <v>1</v>
      </c>
      <c r="E811" s="30">
        <v>30</v>
      </c>
      <c r="F811" s="30">
        <f t="shared" si="28"/>
        <v>30</v>
      </c>
    </row>
    <row r="812" spans="3:6" x14ac:dyDescent="0.25">
      <c r="C812" s="33" t="s">
        <v>37</v>
      </c>
      <c r="D812" s="30">
        <v>1</v>
      </c>
      <c r="E812" s="30">
        <v>30</v>
      </c>
      <c r="F812" s="30">
        <f t="shared" si="28"/>
        <v>30</v>
      </c>
    </row>
    <row r="813" spans="3:6" x14ac:dyDescent="0.25">
      <c r="C813" s="19" t="s">
        <v>354</v>
      </c>
      <c r="D813" s="30">
        <v>2</v>
      </c>
      <c r="E813" s="30">
        <v>10</v>
      </c>
      <c r="F813" s="30">
        <f t="shared" si="28"/>
        <v>20</v>
      </c>
    </row>
    <row r="814" spans="3:6" x14ac:dyDescent="0.25">
      <c r="C814" s="19" t="s">
        <v>11</v>
      </c>
      <c r="D814" s="30">
        <v>1</v>
      </c>
      <c r="E814" s="30">
        <v>10</v>
      </c>
      <c r="F814" s="30">
        <f t="shared" si="28"/>
        <v>10</v>
      </c>
    </row>
    <row r="815" spans="3:6" x14ac:dyDescent="0.25">
      <c r="C815" s="33" t="s">
        <v>633</v>
      </c>
      <c r="D815" s="30">
        <v>1</v>
      </c>
      <c r="E815" s="30">
        <v>10</v>
      </c>
      <c r="F815" s="30">
        <f t="shared" si="28"/>
        <v>10</v>
      </c>
    </row>
    <row r="816" spans="3:6" ht="30" x14ac:dyDescent="0.25">
      <c r="C816" s="33" t="s">
        <v>342</v>
      </c>
      <c r="D816" s="30">
        <v>1</v>
      </c>
      <c r="E816" s="30">
        <v>124</v>
      </c>
      <c r="F816" s="30">
        <f t="shared" si="28"/>
        <v>124</v>
      </c>
    </row>
    <row r="817" spans="1:10" x14ac:dyDescent="0.25">
      <c r="C817" s="33" t="s">
        <v>55</v>
      </c>
      <c r="D817" s="30">
        <v>1</v>
      </c>
      <c r="E817" s="30">
        <v>1</v>
      </c>
      <c r="F817" s="30">
        <f t="shared" si="28"/>
        <v>1</v>
      </c>
    </row>
    <row r="818" spans="1:10" x14ac:dyDescent="0.25">
      <c r="C818" s="33" t="s">
        <v>345</v>
      </c>
      <c r="D818" s="30">
        <v>10</v>
      </c>
      <c r="E818" s="30">
        <v>1</v>
      </c>
      <c r="F818" s="30">
        <f t="shared" si="28"/>
        <v>10</v>
      </c>
    </row>
    <row r="819" spans="1:10" x14ac:dyDescent="0.25">
      <c r="C819" s="33" t="s">
        <v>37</v>
      </c>
      <c r="D819" s="30">
        <v>3</v>
      </c>
      <c r="E819" s="30">
        <v>30</v>
      </c>
      <c r="F819" s="30">
        <f t="shared" si="28"/>
        <v>90</v>
      </c>
    </row>
    <row r="820" spans="1:10" x14ac:dyDescent="0.25">
      <c r="C820" s="19" t="s">
        <v>510</v>
      </c>
      <c r="D820" s="30">
        <v>1</v>
      </c>
      <c r="E820" s="30">
        <v>200</v>
      </c>
      <c r="F820" s="30">
        <f t="shared" si="28"/>
        <v>200</v>
      </c>
    </row>
    <row r="821" spans="1:10" x14ac:dyDescent="0.25">
      <c r="C821" s="61" t="s">
        <v>207</v>
      </c>
      <c r="D821" s="30">
        <v>1</v>
      </c>
      <c r="E821" s="30">
        <v>40</v>
      </c>
      <c r="F821" s="30">
        <f t="shared" si="28"/>
        <v>40</v>
      </c>
    </row>
    <row r="822" spans="1:10" ht="30" x14ac:dyDescent="0.25">
      <c r="C822" s="33" t="s">
        <v>501</v>
      </c>
      <c r="D822" s="30">
        <v>4</v>
      </c>
      <c r="E822" s="30">
        <v>5</v>
      </c>
      <c r="F822" s="30">
        <f t="shared" si="28"/>
        <v>20</v>
      </c>
    </row>
    <row r="823" spans="1:10" x14ac:dyDescent="0.25">
      <c r="C823" s="33" t="s">
        <v>24</v>
      </c>
      <c r="D823" s="30">
        <v>1</v>
      </c>
      <c r="E823" s="30">
        <v>65</v>
      </c>
      <c r="F823" s="30">
        <f t="shared" ref="F823:F829" si="29">E823*D823</f>
        <v>65</v>
      </c>
    </row>
    <row r="824" spans="1:10" x14ac:dyDescent="0.25">
      <c r="C824" s="33" t="s">
        <v>43</v>
      </c>
      <c r="D824" s="30">
        <v>1</v>
      </c>
      <c r="E824" s="30">
        <v>10</v>
      </c>
      <c r="F824" s="30">
        <f t="shared" si="29"/>
        <v>10</v>
      </c>
    </row>
    <row r="825" spans="1:10" x14ac:dyDescent="0.25">
      <c r="C825" s="33" t="s">
        <v>33</v>
      </c>
      <c r="D825" s="30">
        <v>1</v>
      </c>
      <c r="E825" s="30">
        <v>70</v>
      </c>
      <c r="F825" s="30">
        <f t="shared" si="29"/>
        <v>70</v>
      </c>
    </row>
    <row r="826" spans="1:10" ht="30" x14ac:dyDescent="0.25">
      <c r="C826" s="33" t="s">
        <v>526</v>
      </c>
      <c r="D826" s="30">
        <v>1</v>
      </c>
      <c r="E826" s="30">
        <v>60</v>
      </c>
      <c r="F826" s="30">
        <f t="shared" si="29"/>
        <v>60</v>
      </c>
    </row>
    <row r="827" spans="1:10" ht="30" x14ac:dyDescent="0.25">
      <c r="C827" s="33" t="s">
        <v>631</v>
      </c>
      <c r="D827" s="30">
        <v>1</v>
      </c>
      <c r="E827" s="30">
        <v>30</v>
      </c>
      <c r="F827" s="30">
        <f t="shared" si="29"/>
        <v>30</v>
      </c>
    </row>
    <row r="828" spans="1:10" x14ac:dyDescent="0.25">
      <c r="C828" s="33" t="s">
        <v>157</v>
      </c>
      <c r="D828" s="30">
        <v>0.5</v>
      </c>
      <c r="E828" s="30">
        <v>200</v>
      </c>
      <c r="F828" s="30">
        <f t="shared" si="29"/>
        <v>100</v>
      </c>
    </row>
    <row r="829" spans="1:10" x14ac:dyDescent="0.25">
      <c r="C829" s="33" t="s">
        <v>160</v>
      </c>
      <c r="D829" s="30">
        <v>2</v>
      </c>
      <c r="E829" s="30">
        <v>90</v>
      </c>
      <c r="F829" s="30">
        <f t="shared" si="29"/>
        <v>180</v>
      </c>
    </row>
    <row r="830" spans="1:10" x14ac:dyDescent="0.25">
      <c r="C830" s="33" t="s">
        <v>523</v>
      </c>
      <c r="D830" s="30">
        <v>0.5</v>
      </c>
      <c r="E830" s="30">
        <v>280</v>
      </c>
      <c r="F830" s="30">
        <f>E830*D830</f>
        <v>140</v>
      </c>
      <c r="I830" s="139">
        <f>SUM(F779:F830)</f>
        <v>2301</v>
      </c>
    </row>
    <row r="831" spans="1:10" s="69" customFormat="1" ht="18.75" x14ac:dyDescent="0.3">
      <c r="A831" s="235" t="s">
        <v>437</v>
      </c>
      <c r="B831" s="236"/>
      <c r="C831" s="236"/>
      <c r="D831" s="236"/>
      <c r="E831" s="236"/>
      <c r="F831" s="236"/>
      <c r="G831" s="236"/>
      <c r="H831" s="237"/>
      <c r="I831" s="69">
        <f>SUM(I830,I776)</f>
        <v>4991.08</v>
      </c>
    </row>
    <row r="832" spans="1:10" x14ac:dyDescent="0.25">
      <c r="A832" s="78">
        <v>46144</v>
      </c>
      <c r="C832" s="19" t="s">
        <v>119</v>
      </c>
      <c r="D832" s="30">
        <v>1</v>
      </c>
      <c r="E832" s="30">
        <v>10</v>
      </c>
      <c r="F832" s="30">
        <f t="shared" ref="F832:F882" si="30">E832*D832</f>
        <v>10</v>
      </c>
      <c r="G832" s="30" t="s">
        <v>9</v>
      </c>
      <c r="H832" s="36"/>
      <c r="J832" s="30" t="s">
        <v>391</v>
      </c>
    </row>
    <row r="833" spans="3:10" ht="30" x14ac:dyDescent="0.25">
      <c r="C833" s="19" t="s">
        <v>601</v>
      </c>
      <c r="D833" s="30">
        <v>10</v>
      </c>
      <c r="E833" s="30">
        <v>68</v>
      </c>
      <c r="F833" s="30">
        <f t="shared" si="30"/>
        <v>680</v>
      </c>
      <c r="G833" s="30" t="s">
        <v>9</v>
      </c>
      <c r="J833" s="30" t="s">
        <v>391</v>
      </c>
    </row>
    <row r="834" spans="3:10" x14ac:dyDescent="0.25">
      <c r="C834" s="33" t="s">
        <v>451</v>
      </c>
      <c r="D834" s="30">
        <v>1</v>
      </c>
      <c r="E834" s="30">
        <v>40</v>
      </c>
      <c r="F834" s="30">
        <f t="shared" si="30"/>
        <v>40</v>
      </c>
      <c r="G834" s="30" t="s">
        <v>9</v>
      </c>
      <c r="J834" s="30" t="s">
        <v>391</v>
      </c>
    </row>
    <row r="835" spans="3:10" x14ac:dyDescent="0.25">
      <c r="C835" s="19" t="s">
        <v>615</v>
      </c>
      <c r="D835" s="30">
        <v>3</v>
      </c>
      <c r="E835" s="30">
        <v>30</v>
      </c>
      <c r="F835" s="30">
        <f t="shared" si="30"/>
        <v>90</v>
      </c>
      <c r="J835" s="30" t="s">
        <v>391</v>
      </c>
    </row>
    <row r="836" spans="3:10" x14ac:dyDescent="0.25">
      <c r="C836" s="33" t="s">
        <v>448</v>
      </c>
      <c r="D836" s="30">
        <v>3</v>
      </c>
      <c r="E836" s="30">
        <v>10</v>
      </c>
      <c r="F836" s="30">
        <f t="shared" si="30"/>
        <v>30</v>
      </c>
      <c r="J836" s="30" t="s">
        <v>391</v>
      </c>
    </row>
    <row r="837" spans="3:10" ht="30" x14ac:dyDescent="0.25">
      <c r="C837" s="33" t="s">
        <v>444</v>
      </c>
      <c r="D837" s="30">
        <v>4</v>
      </c>
      <c r="E837" s="30">
        <v>5</v>
      </c>
      <c r="F837" s="30">
        <f t="shared" si="30"/>
        <v>20</v>
      </c>
      <c r="J837" s="30" t="s">
        <v>391</v>
      </c>
    </row>
    <row r="838" spans="3:10" x14ac:dyDescent="0.25">
      <c r="C838" s="33" t="s">
        <v>420</v>
      </c>
      <c r="D838" s="30">
        <v>1</v>
      </c>
      <c r="E838" s="30">
        <v>10</v>
      </c>
      <c r="F838" s="30">
        <f t="shared" si="30"/>
        <v>10</v>
      </c>
      <c r="J838" s="30" t="s">
        <v>391</v>
      </c>
    </row>
    <row r="839" spans="3:10" x14ac:dyDescent="0.25">
      <c r="C839" s="19" t="s">
        <v>94</v>
      </c>
      <c r="D839" s="30">
        <v>1</v>
      </c>
      <c r="E839" s="30">
        <v>18</v>
      </c>
      <c r="F839" s="30">
        <f t="shared" si="30"/>
        <v>18</v>
      </c>
      <c r="J839" s="30" t="s">
        <v>391</v>
      </c>
    </row>
    <row r="840" spans="3:10" x14ac:dyDescent="0.25">
      <c r="C840" s="19" t="s">
        <v>98</v>
      </c>
      <c r="D840" s="30">
        <v>1</v>
      </c>
      <c r="E840" s="30">
        <v>18</v>
      </c>
      <c r="F840" s="30">
        <f t="shared" si="30"/>
        <v>18</v>
      </c>
      <c r="J840" s="30" t="s">
        <v>391</v>
      </c>
    </row>
    <row r="841" spans="3:10" x14ac:dyDescent="0.25">
      <c r="C841" s="19" t="s">
        <v>525</v>
      </c>
      <c r="D841" s="30">
        <v>1</v>
      </c>
      <c r="E841" s="30">
        <v>28</v>
      </c>
      <c r="F841" s="30">
        <f t="shared" si="30"/>
        <v>28</v>
      </c>
      <c r="J841" s="30" t="s">
        <v>391</v>
      </c>
    </row>
    <row r="842" spans="3:10" x14ac:dyDescent="0.25">
      <c r="C842" s="19" t="s">
        <v>102</v>
      </c>
      <c r="D842" s="30">
        <v>1</v>
      </c>
      <c r="E842" s="30">
        <v>23</v>
      </c>
      <c r="F842" s="30">
        <f t="shared" si="30"/>
        <v>23</v>
      </c>
      <c r="J842" s="30" t="s">
        <v>391</v>
      </c>
    </row>
    <row r="843" spans="3:10" x14ac:dyDescent="0.25">
      <c r="C843" s="33" t="s">
        <v>345</v>
      </c>
      <c r="D843" s="30">
        <v>3</v>
      </c>
      <c r="E843" s="30">
        <v>1</v>
      </c>
      <c r="F843" s="30">
        <f t="shared" si="30"/>
        <v>3</v>
      </c>
      <c r="J843" s="30" t="s">
        <v>391</v>
      </c>
    </row>
    <row r="844" spans="3:10" x14ac:dyDescent="0.25">
      <c r="C844" s="19" t="s">
        <v>634</v>
      </c>
      <c r="D844" s="30">
        <v>1</v>
      </c>
      <c r="E844" s="30">
        <v>5</v>
      </c>
      <c r="F844" s="30">
        <f t="shared" si="30"/>
        <v>5</v>
      </c>
      <c r="J844" s="30" t="s">
        <v>391</v>
      </c>
    </row>
    <row r="845" spans="3:10" x14ac:dyDescent="0.25">
      <c r="C845" s="19" t="s">
        <v>395</v>
      </c>
      <c r="D845" s="30">
        <v>1</v>
      </c>
      <c r="E845" s="30">
        <v>5</v>
      </c>
      <c r="F845" s="30">
        <f t="shared" si="30"/>
        <v>5</v>
      </c>
      <c r="J845" s="30" t="s">
        <v>391</v>
      </c>
    </row>
    <row r="846" spans="3:10" x14ac:dyDescent="0.25">
      <c r="C846" s="61" t="s">
        <v>60</v>
      </c>
      <c r="D846" s="30">
        <v>2</v>
      </c>
      <c r="E846" s="30">
        <v>10</v>
      </c>
      <c r="F846" s="30">
        <f t="shared" si="30"/>
        <v>20</v>
      </c>
      <c r="J846" s="30" t="s">
        <v>391</v>
      </c>
    </row>
    <row r="847" spans="3:10" ht="30" x14ac:dyDescent="0.25">
      <c r="C847" s="61" t="s">
        <v>12</v>
      </c>
      <c r="D847" s="30">
        <v>2</v>
      </c>
      <c r="E847" s="30">
        <v>5</v>
      </c>
      <c r="F847" s="30">
        <f t="shared" si="30"/>
        <v>10</v>
      </c>
      <c r="J847" s="30" t="s">
        <v>391</v>
      </c>
    </row>
    <row r="848" spans="3:10" x14ac:dyDescent="0.25">
      <c r="C848" s="19" t="s">
        <v>536</v>
      </c>
      <c r="D848" s="30">
        <v>1</v>
      </c>
      <c r="E848" s="30">
        <v>1</v>
      </c>
      <c r="F848" s="30">
        <f t="shared" si="30"/>
        <v>1</v>
      </c>
      <c r="I848" s="139">
        <f>SUM(F832:F850)</f>
        <v>1036</v>
      </c>
      <c r="J848" s="30" t="s">
        <v>391</v>
      </c>
    </row>
    <row r="849" spans="3:10" x14ac:dyDescent="0.25">
      <c r="C849" s="19" t="s">
        <v>192</v>
      </c>
      <c r="D849" s="30">
        <v>10</v>
      </c>
      <c r="E849" s="30">
        <v>1</v>
      </c>
      <c r="F849" s="30">
        <f t="shared" si="30"/>
        <v>10</v>
      </c>
      <c r="J849" s="30" t="s">
        <v>391</v>
      </c>
    </row>
    <row r="850" spans="3:10" x14ac:dyDescent="0.25">
      <c r="C850" s="19" t="s">
        <v>13</v>
      </c>
      <c r="D850" s="30">
        <v>1</v>
      </c>
      <c r="E850" s="30">
        <v>15</v>
      </c>
      <c r="F850" s="30">
        <f t="shared" si="30"/>
        <v>15</v>
      </c>
      <c r="J850" s="30" t="s">
        <v>391</v>
      </c>
    </row>
    <row r="851" spans="3:10" x14ac:dyDescent="0.25">
      <c r="C851" s="19" t="s">
        <v>574</v>
      </c>
      <c r="D851" s="30">
        <v>10</v>
      </c>
      <c r="E851" s="30">
        <v>1</v>
      </c>
      <c r="F851" s="30">
        <f t="shared" si="30"/>
        <v>10</v>
      </c>
      <c r="J851" s="30" t="s">
        <v>392</v>
      </c>
    </row>
    <row r="852" spans="3:10" x14ac:dyDescent="0.25">
      <c r="C852" s="19" t="s">
        <v>606</v>
      </c>
      <c r="D852" s="30">
        <v>1</v>
      </c>
      <c r="E852" s="30">
        <v>5</v>
      </c>
      <c r="F852" s="30">
        <f t="shared" si="30"/>
        <v>5</v>
      </c>
      <c r="J852" s="30" t="s">
        <v>392</v>
      </c>
    </row>
    <row r="853" spans="3:10" ht="30" x14ac:dyDescent="0.25">
      <c r="C853" s="19" t="s">
        <v>577</v>
      </c>
      <c r="D853" s="30">
        <v>1</v>
      </c>
      <c r="E853" s="30">
        <v>5</v>
      </c>
      <c r="F853" s="30">
        <f t="shared" si="30"/>
        <v>5</v>
      </c>
      <c r="J853" s="30" t="s">
        <v>392</v>
      </c>
    </row>
    <row r="854" spans="3:10" x14ac:dyDescent="0.25">
      <c r="C854" s="19" t="s">
        <v>326</v>
      </c>
      <c r="D854" s="30">
        <v>10</v>
      </c>
      <c r="E854" s="30">
        <v>50</v>
      </c>
      <c r="F854" s="30">
        <f t="shared" si="30"/>
        <v>500</v>
      </c>
      <c r="J854" s="30" t="s">
        <v>392</v>
      </c>
    </row>
    <row r="855" spans="3:10" x14ac:dyDescent="0.25">
      <c r="C855" s="19" t="s">
        <v>522</v>
      </c>
      <c r="D855" s="30">
        <v>1</v>
      </c>
      <c r="E855" s="30">
        <v>60</v>
      </c>
      <c r="F855" s="30">
        <f t="shared" si="30"/>
        <v>60</v>
      </c>
      <c r="J855" s="30" t="s">
        <v>392</v>
      </c>
    </row>
    <row r="856" spans="3:10" x14ac:dyDescent="0.25">
      <c r="C856" s="19" t="s">
        <v>522</v>
      </c>
      <c r="D856" s="30">
        <v>1</v>
      </c>
      <c r="E856" s="30">
        <v>60</v>
      </c>
      <c r="F856" s="30">
        <f t="shared" si="30"/>
        <v>60</v>
      </c>
      <c r="J856" s="30" t="s">
        <v>392</v>
      </c>
    </row>
    <row r="857" spans="3:10" x14ac:dyDescent="0.25">
      <c r="C857" s="33" t="s">
        <v>421</v>
      </c>
      <c r="D857" s="30">
        <v>2</v>
      </c>
      <c r="E857" s="30">
        <v>10</v>
      </c>
      <c r="F857" s="30">
        <f t="shared" si="30"/>
        <v>20</v>
      </c>
      <c r="J857" s="30" t="s">
        <v>392</v>
      </c>
    </row>
    <row r="858" spans="3:10" x14ac:dyDescent="0.25">
      <c r="C858" s="33" t="s">
        <v>424</v>
      </c>
      <c r="D858" s="30">
        <v>1</v>
      </c>
      <c r="E858" s="30">
        <v>20</v>
      </c>
      <c r="F858" s="30">
        <f t="shared" si="30"/>
        <v>20</v>
      </c>
      <c r="J858" s="30" t="s">
        <v>392</v>
      </c>
    </row>
    <row r="859" spans="3:10" x14ac:dyDescent="0.25">
      <c r="C859" s="33" t="s">
        <v>633</v>
      </c>
      <c r="D859" s="30">
        <v>1</v>
      </c>
      <c r="E859" s="30">
        <v>10</v>
      </c>
      <c r="F859" s="30">
        <f t="shared" si="30"/>
        <v>10</v>
      </c>
      <c r="J859" s="30" t="s">
        <v>392</v>
      </c>
    </row>
    <row r="860" spans="3:10" x14ac:dyDescent="0.25">
      <c r="C860" s="33" t="s">
        <v>422</v>
      </c>
      <c r="D860" s="30">
        <v>4</v>
      </c>
      <c r="E860" s="30">
        <v>10</v>
      </c>
      <c r="F860" s="30">
        <f t="shared" si="30"/>
        <v>40</v>
      </c>
      <c r="J860" s="30" t="s">
        <v>392</v>
      </c>
    </row>
    <row r="861" spans="3:10" x14ac:dyDescent="0.25">
      <c r="C861" s="33" t="s">
        <v>657</v>
      </c>
      <c r="D861" s="30">
        <v>1</v>
      </c>
      <c r="E861" s="30">
        <v>10</v>
      </c>
      <c r="F861" s="30">
        <f t="shared" si="30"/>
        <v>10</v>
      </c>
      <c r="J861" s="30" t="s">
        <v>392</v>
      </c>
    </row>
    <row r="862" spans="3:10" x14ac:dyDescent="0.25">
      <c r="C862" s="33" t="s">
        <v>633</v>
      </c>
      <c r="D862" s="30">
        <v>1</v>
      </c>
      <c r="E862" s="30">
        <v>10</v>
      </c>
      <c r="F862" s="30">
        <f t="shared" si="30"/>
        <v>10</v>
      </c>
      <c r="J862" s="30" t="s">
        <v>392</v>
      </c>
    </row>
    <row r="863" spans="3:10" x14ac:dyDescent="0.25">
      <c r="C863" s="33" t="s">
        <v>192</v>
      </c>
      <c r="D863" s="30">
        <v>5</v>
      </c>
      <c r="E863" s="30">
        <v>1</v>
      </c>
      <c r="F863" s="30">
        <f t="shared" si="30"/>
        <v>5</v>
      </c>
      <c r="J863" s="30" t="s">
        <v>392</v>
      </c>
    </row>
    <row r="864" spans="3:10" x14ac:dyDescent="0.25">
      <c r="C864" s="19" t="s">
        <v>57</v>
      </c>
      <c r="D864" s="30">
        <v>5</v>
      </c>
      <c r="E864" s="30">
        <v>1</v>
      </c>
      <c r="F864" s="30">
        <f t="shared" si="30"/>
        <v>5</v>
      </c>
      <c r="J864" s="30" t="s">
        <v>392</v>
      </c>
    </row>
    <row r="865" spans="3:10" x14ac:dyDescent="0.25">
      <c r="C865" s="33" t="s">
        <v>584</v>
      </c>
      <c r="D865" s="30">
        <v>4</v>
      </c>
      <c r="E865" s="30">
        <v>7.5</v>
      </c>
      <c r="F865" s="30">
        <f t="shared" si="30"/>
        <v>30</v>
      </c>
      <c r="J865" s="30" t="s">
        <v>392</v>
      </c>
    </row>
    <row r="866" spans="3:10" x14ac:dyDescent="0.25">
      <c r="C866" s="76" t="s">
        <v>544</v>
      </c>
      <c r="D866" s="30">
        <v>1</v>
      </c>
      <c r="E866" s="30">
        <v>27</v>
      </c>
      <c r="F866" s="30">
        <f t="shared" si="30"/>
        <v>27</v>
      </c>
      <c r="J866" s="30" t="s">
        <v>392</v>
      </c>
    </row>
    <row r="867" spans="3:10" x14ac:dyDescent="0.25">
      <c r="C867" s="19" t="s">
        <v>587</v>
      </c>
      <c r="D867" s="30">
        <v>0.505</v>
      </c>
      <c r="E867" s="30">
        <v>56</v>
      </c>
      <c r="F867" s="30">
        <f t="shared" si="30"/>
        <v>28.28</v>
      </c>
      <c r="J867" s="30" t="s">
        <v>392</v>
      </c>
    </row>
    <row r="868" spans="3:10" x14ac:dyDescent="0.25">
      <c r="C868" s="33" t="s">
        <v>424</v>
      </c>
      <c r="D868" s="30">
        <v>1</v>
      </c>
      <c r="E868" s="30">
        <v>20</v>
      </c>
      <c r="F868" s="30">
        <f t="shared" si="30"/>
        <v>20</v>
      </c>
      <c r="J868" s="30" t="s">
        <v>392</v>
      </c>
    </row>
    <row r="869" spans="3:10" x14ac:dyDescent="0.25">
      <c r="C869" s="33" t="s">
        <v>502</v>
      </c>
      <c r="D869" s="30">
        <v>1</v>
      </c>
      <c r="E869" s="30">
        <v>10</v>
      </c>
      <c r="F869" s="30">
        <f t="shared" si="30"/>
        <v>10</v>
      </c>
      <c r="J869" s="30" t="s">
        <v>392</v>
      </c>
    </row>
    <row r="870" spans="3:10" x14ac:dyDescent="0.25">
      <c r="C870" s="19" t="s">
        <v>525</v>
      </c>
      <c r="D870" s="30">
        <v>1</v>
      </c>
      <c r="E870" s="30">
        <v>28</v>
      </c>
      <c r="F870" s="30">
        <f t="shared" si="30"/>
        <v>28</v>
      </c>
      <c r="J870" s="30" t="s">
        <v>392</v>
      </c>
    </row>
    <row r="871" spans="3:10" ht="30" x14ac:dyDescent="0.25">
      <c r="C871" s="33" t="s">
        <v>601</v>
      </c>
      <c r="D871" s="30">
        <v>4</v>
      </c>
      <c r="E871" s="30">
        <v>68</v>
      </c>
      <c r="F871" s="30">
        <f t="shared" si="30"/>
        <v>272</v>
      </c>
      <c r="J871" s="30" t="s">
        <v>392</v>
      </c>
    </row>
    <row r="872" spans="3:10" x14ac:dyDescent="0.25">
      <c r="C872" s="61" t="s">
        <v>87</v>
      </c>
      <c r="D872" s="30">
        <v>1</v>
      </c>
      <c r="E872" s="30">
        <v>85</v>
      </c>
      <c r="F872" s="30">
        <f t="shared" si="30"/>
        <v>85</v>
      </c>
      <c r="J872" s="30" t="s">
        <v>392</v>
      </c>
    </row>
    <row r="873" spans="3:10" x14ac:dyDescent="0.25">
      <c r="C873" s="61" t="s">
        <v>154</v>
      </c>
      <c r="D873" s="30">
        <v>10</v>
      </c>
      <c r="E873" s="30">
        <v>1</v>
      </c>
      <c r="F873" s="30">
        <f t="shared" si="30"/>
        <v>10</v>
      </c>
      <c r="J873" s="30" t="s">
        <v>392</v>
      </c>
    </row>
    <row r="874" spans="3:10" x14ac:dyDescent="0.25">
      <c r="C874" s="19" t="s">
        <v>541</v>
      </c>
      <c r="D874" s="30">
        <v>1</v>
      </c>
      <c r="E874" s="30">
        <v>70</v>
      </c>
      <c r="F874" s="30">
        <f t="shared" si="30"/>
        <v>70</v>
      </c>
      <c r="J874" s="30" t="s">
        <v>392</v>
      </c>
    </row>
    <row r="875" spans="3:10" x14ac:dyDescent="0.25">
      <c r="C875" s="33" t="s">
        <v>541</v>
      </c>
      <c r="D875" s="30">
        <v>0.28599999999999998</v>
      </c>
      <c r="E875" s="30">
        <v>70</v>
      </c>
      <c r="F875" s="30">
        <f t="shared" si="30"/>
        <v>20.02</v>
      </c>
      <c r="J875" s="30" t="s">
        <v>392</v>
      </c>
    </row>
    <row r="876" spans="3:10" x14ac:dyDescent="0.25">
      <c r="C876" s="33" t="s">
        <v>424</v>
      </c>
      <c r="D876" s="30">
        <v>1</v>
      </c>
      <c r="E876" s="30">
        <v>20</v>
      </c>
      <c r="F876" s="30">
        <f t="shared" si="30"/>
        <v>20</v>
      </c>
      <c r="J876" s="30" t="s">
        <v>392</v>
      </c>
    </row>
    <row r="877" spans="3:10" x14ac:dyDescent="0.25">
      <c r="C877" s="33" t="s">
        <v>606</v>
      </c>
      <c r="D877" s="30">
        <v>1</v>
      </c>
      <c r="E877" s="30">
        <v>5</v>
      </c>
      <c r="F877" s="30">
        <f t="shared" si="30"/>
        <v>5</v>
      </c>
      <c r="J877" s="30" t="s">
        <v>392</v>
      </c>
    </row>
    <row r="878" spans="3:10" x14ac:dyDescent="0.25">
      <c r="C878" s="19" t="s">
        <v>582</v>
      </c>
      <c r="D878" s="30">
        <v>1</v>
      </c>
      <c r="E878" s="30">
        <v>10</v>
      </c>
      <c r="F878" s="30">
        <f t="shared" si="30"/>
        <v>10</v>
      </c>
      <c r="J878" s="30" t="s">
        <v>392</v>
      </c>
    </row>
    <row r="879" spans="3:10" x14ac:dyDescent="0.25">
      <c r="C879" s="19" t="s">
        <v>635</v>
      </c>
      <c r="D879" s="30">
        <v>1</v>
      </c>
      <c r="E879" s="30">
        <v>10</v>
      </c>
      <c r="F879" s="30">
        <f t="shared" si="30"/>
        <v>10</v>
      </c>
      <c r="J879" s="30" t="s">
        <v>392</v>
      </c>
    </row>
    <row r="880" spans="3:10" x14ac:dyDescent="0.25">
      <c r="C880" s="33" t="s">
        <v>81</v>
      </c>
      <c r="D880" s="30">
        <v>10</v>
      </c>
      <c r="E880" s="30">
        <v>1</v>
      </c>
      <c r="F880" s="30">
        <f t="shared" si="30"/>
        <v>10</v>
      </c>
      <c r="J880" s="30" t="s">
        <v>392</v>
      </c>
    </row>
    <row r="881" spans="1:10" x14ac:dyDescent="0.25">
      <c r="C881" s="19" t="s">
        <v>571</v>
      </c>
      <c r="D881" s="30">
        <v>2</v>
      </c>
      <c r="E881" s="30">
        <v>10</v>
      </c>
      <c r="F881" s="30">
        <f t="shared" si="30"/>
        <v>20</v>
      </c>
      <c r="J881" s="30" t="s">
        <v>392</v>
      </c>
    </row>
    <row r="882" spans="1:10" x14ac:dyDescent="0.25">
      <c r="C882" s="19" t="s">
        <v>610</v>
      </c>
      <c r="D882" s="30">
        <v>2</v>
      </c>
      <c r="E882" s="30">
        <v>5</v>
      </c>
      <c r="F882" s="30">
        <f t="shared" si="30"/>
        <v>10</v>
      </c>
      <c r="I882" s="139">
        <f>SUM(F851:F882)</f>
        <v>1445.3</v>
      </c>
      <c r="J882" s="30" t="s">
        <v>392</v>
      </c>
    </row>
    <row r="883" spans="1:10" s="69" customFormat="1" ht="18.75" x14ac:dyDescent="0.3">
      <c r="A883" s="235" t="s">
        <v>437</v>
      </c>
      <c r="B883" s="236"/>
      <c r="C883" s="236"/>
      <c r="D883" s="236"/>
      <c r="E883" s="236"/>
      <c r="F883" s="236"/>
      <c r="G883" s="236"/>
      <c r="H883" s="237"/>
      <c r="I883" s="69">
        <f>SUM(I882,I848)</f>
        <v>2481.3000000000002</v>
      </c>
    </row>
    <row r="884" spans="1:10" x14ac:dyDescent="0.25">
      <c r="A884" s="78">
        <v>46145</v>
      </c>
      <c r="C884" s="33" t="s">
        <v>325</v>
      </c>
      <c r="D884" s="30">
        <v>1</v>
      </c>
      <c r="E884" s="30">
        <v>18</v>
      </c>
      <c r="F884" s="30">
        <f t="shared" ref="F884:F928" si="31">E884*D884</f>
        <v>18</v>
      </c>
      <c r="G884" s="30" t="s">
        <v>9</v>
      </c>
      <c r="J884" s="30" t="s">
        <v>391</v>
      </c>
    </row>
    <row r="885" spans="1:10" x14ac:dyDescent="0.25">
      <c r="C885" s="33" t="s">
        <v>348</v>
      </c>
      <c r="D885" s="30">
        <v>2</v>
      </c>
      <c r="E885" s="30">
        <v>1</v>
      </c>
      <c r="F885" s="30">
        <f t="shared" si="31"/>
        <v>2</v>
      </c>
      <c r="G885" s="30" t="s">
        <v>9</v>
      </c>
      <c r="J885" s="30" t="s">
        <v>391</v>
      </c>
    </row>
    <row r="886" spans="1:10" x14ac:dyDescent="0.25">
      <c r="C886" s="33" t="s">
        <v>325</v>
      </c>
      <c r="D886" s="30">
        <v>2.5</v>
      </c>
      <c r="E886" s="30">
        <v>15</v>
      </c>
      <c r="F886" s="30">
        <f t="shared" si="31"/>
        <v>37.5</v>
      </c>
      <c r="J886" s="30" t="s">
        <v>391</v>
      </c>
    </row>
    <row r="887" spans="1:10" x14ac:dyDescent="0.25">
      <c r="C887" s="33" t="s">
        <v>563</v>
      </c>
      <c r="D887" s="30">
        <v>1</v>
      </c>
      <c r="E887" s="30">
        <v>28</v>
      </c>
      <c r="F887" s="30">
        <f t="shared" si="31"/>
        <v>28</v>
      </c>
      <c r="J887" s="30" t="s">
        <v>391</v>
      </c>
    </row>
    <row r="888" spans="1:10" x14ac:dyDescent="0.25">
      <c r="C888" s="33" t="s">
        <v>636</v>
      </c>
      <c r="D888" s="30">
        <v>0.125</v>
      </c>
      <c r="E888" s="30">
        <v>80</v>
      </c>
      <c r="F888" s="30">
        <f t="shared" si="31"/>
        <v>10</v>
      </c>
      <c r="J888" s="30" t="s">
        <v>391</v>
      </c>
    </row>
    <row r="889" spans="1:10" x14ac:dyDescent="0.25">
      <c r="C889" s="33" t="s">
        <v>508</v>
      </c>
      <c r="D889" s="30">
        <v>0.125</v>
      </c>
      <c r="E889" s="30">
        <v>80</v>
      </c>
      <c r="F889" s="30">
        <f t="shared" si="31"/>
        <v>10</v>
      </c>
      <c r="J889" s="30" t="s">
        <v>391</v>
      </c>
    </row>
    <row r="890" spans="1:10" x14ac:dyDescent="0.25">
      <c r="C890" s="33" t="s">
        <v>325</v>
      </c>
      <c r="D890" s="30">
        <v>2</v>
      </c>
      <c r="E890" s="30">
        <v>18</v>
      </c>
      <c r="F890" s="30">
        <f t="shared" si="31"/>
        <v>36</v>
      </c>
      <c r="J890" s="30" t="s">
        <v>391</v>
      </c>
    </row>
    <row r="891" spans="1:10" x14ac:dyDescent="0.25">
      <c r="C891" s="33" t="s">
        <v>23</v>
      </c>
      <c r="D891" s="30">
        <v>1</v>
      </c>
      <c r="E891" s="30">
        <v>62</v>
      </c>
      <c r="F891" s="30">
        <f t="shared" si="31"/>
        <v>62</v>
      </c>
      <c r="J891" s="30" t="s">
        <v>391</v>
      </c>
    </row>
    <row r="892" spans="1:10" ht="30" x14ac:dyDescent="0.25">
      <c r="C892" s="19" t="s">
        <v>363</v>
      </c>
      <c r="D892" s="30">
        <v>2</v>
      </c>
      <c r="E892" s="30">
        <v>5</v>
      </c>
      <c r="F892" s="30">
        <f t="shared" si="31"/>
        <v>10</v>
      </c>
      <c r="I892" s="139">
        <f>SUM(F884:F892)</f>
        <v>213.5</v>
      </c>
      <c r="J892" s="30" t="s">
        <v>391</v>
      </c>
    </row>
    <row r="893" spans="1:10" x14ac:dyDescent="0.25">
      <c r="C893" s="33" t="s">
        <v>517</v>
      </c>
      <c r="D893" s="30">
        <v>1</v>
      </c>
      <c r="E893" s="30">
        <v>27</v>
      </c>
      <c r="F893" s="30">
        <f t="shared" si="31"/>
        <v>27</v>
      </c>
      <c r="J893" s="30" t="s">
        <v>392</v>
      </c>
    </row>
    <row r="894" spans="1:10" x14ac:dyDescent="0.25">
      <c r="C894" s="33" t="s">
        <v>633</v>
      </c>
      <c r="D894" s="30">
        <v>1</v>
      </c>
      <c r="E894" s="30">
        <v>10</v>
      </c>
      <c r="F894" s="30">
        <f t="shared" si="31"/>
        <v>10</v>
      </c>
      <c r="J894" s="30" t="s">
        <v>392</v>
      </c>
    </row>
    <row r="895" spans="1:10" x14ac:dyDescent="0.25">
      <c r="C895" s="33" t="s">
        <v>603</v>
      </c>
      <c r="D895" s="30">
        <v>4</v>
      </c>
      <c r="E895" s="30">
        <v>7.5</v>
      </c>
      <c r="F895" s="30">
        <f t="shared" si="31"/>
        <v>30</v>
      </c>
      <c r="J895" s="30" t="s">
        <v>392</v>
      </c>
    </row>
    <row r="896" spans="1:10" x14ac:dyDescent="0.25">
      <c r="C896" s="19" t="s">
        <v>527</v>
      </c>
      <c r="D896" s="30">
        <v>1</v>
      </c>
      <c r="E896" s="30">
        <v>58</v>
      </c>
      <c r="F896" s="30">
        <f t="shared" si="31"/>
        <v>58</v>
      </c>
      <c r="J896" s="30" t="s">
        <v>392</v>
      </c>
    </row>
    <row r="897" spans="3:10" x14ac:dyDescent="0.25">
      <c r="C897" s="33" t="s">
        <v>81</v>
      </c>
      <c r="D897" s="30">
        <v>4</v>
      </c>
      <c r="E897" s="30">
        <v>1</v>
      </c>
      <c r="F897" s="30">
        <f t="shared" si="31"/>
        <v>4</v>
      </c>
      <c r="J897" s="30" t="s">
        <v>392</v>
      </c>
    </row>
    <row r="898" spans="3:10" x14ac:dyDescent="0.25">
      <c r="C898" s="33" t="s">
        <v>580</v>
      </c>
      <c r="D898" s="30">
        <v>3</v>
      </c>
      <c r="E898" s="30">
        <v>1</v>
      </c>
      <c r="F898" s="30">
        <f t="shared" si="31"/>
        <v>3</v>
      </c>
      <c r="J898" s="30" t="s">
        <v>392</v>
      </c>
    </row>
    <row r="899" spans="3:10" x14ac:dyDescent="0.25">
      <c r="C899" s="33" t="s">
        <v>522</v>
      </c>
      <c r="D899" s="30">
        <v>1</v>
      </c>
      <c r="E899" s="30">
        <v>58</v>
      </c>
      <c r="F899" s="30">
        <f t="shared" si="31"/>
        <v>58</v>
      </c>
      <c r="J899" s="30" t="s">
        <v>392</v>
      </c>
    </row>
    <row r="900" spans="3:10" x14ac:dyDescent="0.25">
      <c r="C900" s="33" t="s">
        <v>633</v>
      </c>
      <c r="D900" s="30">
        <v>3</v>
      </c>
      <c r="E900" s="30">
        <v>10</v>
      </c>
      <c r="F900" s="30">
        <f t="shared" si="31"/>
        <v>30</v>
      </c>
      <c r="J900" s="30" t="s">
        <v>392</v>
      </c>
    </row>
    <row r="901" spans="3:10" x14ac:dyDescent="0.25">
      <c r="C901" s="33" t="s">
        <v>563</v>
      </c>
      <c r="D901" s="30">
        <v>0.71499999999999997</v>
      </c>
      <c r="E901" s="30">
        <v>28</v>
      </c>
      <c r="F901" s="30">
        <f t="shared" si="31"/>
        <v>20.02</v>
      </c>
      <c r="J901" s="30" t="s">
        <v>392</v>
      </c>
    </row>
    <row r="902" spans="3:10" x14ac:dyDescent="0.25">
      <c r="C902" s="33" t="s">
        <v>476</v>
      </c>
      <c r="D902" s="30">
        <v>1</v>
      </c>
      <c r="E902" s="30">
        <v>20</v>
      </c>
      <c r="F902" s="30">
        <f t="shared" si="31"/>
        <v>20</v>
      </c>
      <c r="J902" s="30" t="s">
        <v>392</v>
      </c>
    </row>
    <row r="903" spans="3:10" x14ac:dyDescent="0.25">
      <c r="C903" s="33" t="s">
        <v>582</v>
      </c>
      <c r="D903" s="30">
        <v>1</v>
      </c>
      <c r="E903" s="30">
        <v>10</v>
      </c>
      <c r="F903" s="30">
        <f t="shared" si="31"/>
        <v>10</v>
      </c>
      <c r="J903" s="30" t="s">
        <v>392</v>
      </c>
    </row>
    <row r="904" spans="3:10" x14ac:dyDescent="0.25">
      <c r="C904" s="33" t="s">
        <v>541</v>
      </c>
      <c r="D904" s="30">
        <v>0.28599999999999998</v>
      </c>
      <c r="E904" s="30">
        <v>70</v>
      </c>
      <c r="F904" s="30">
        <f t="shared" si="31"/>
        <v>20.02</v>
      </c>
      <c r="J904" s="30" t="s">
        <v>392</v>
      </c>
    </row>
    <row r="905" spans="3:10" x14ac:dyDescent="0.25">
      <c r="C905" s="19" t="s">
        <v>515</v>
      </c>
      <c r="D905" s="30">
        <v>0.125</v>
      </c>
      <c r="E905" s="30">
        <v>80</v>
      </c>
      <c r="F905" s="30">
        <f t="shared" si="31"/>
        <v>10</v>
      </c>
      <c r="J905" s="30" t="s">
        <v>392</v>
      </c>
    </row>
    <row r="906" spans="3:10" x14ac:dyDescent="0.25">
      <c r="C906" s="33" t="s">
        <v>24</v>
      </c>
      <c r="D906" s="30">
        <v>1</v>
      </c>
      <c r="E906" s="30">
        <v>70</v>
      </c>
      <c r="F906" s="30">
        <f t="shared" si="31"/>
        <v>70</v>
      </c>
      <c r="J906" s="30" t="s">
        <v>392</v>
      </c>
    </row>
    <row r="907" spans="3:10" x14ac:dyDescent="0.25">
      <c r="C907" s="33" t="s">
        <v>597</v>
      </c>
      <c r="D907" s="30">
        <v>10</v>
      </c>
      <c r="E907" s="30">
        <v>45</v>
      </c>
      <c r="F907" s="30">
        <f t="shared" si="31"/>
        <v>450</v>
      </c>
      <c r="J907" s="30" t="s">
        <v>392</v>
      </c>
    </row>
    <row r="908" spans="3:10" x14ac:dyDescent="0.25">
      <c r="C908" s="19" t="s">
        <v>404</v>
      </c>
      <c r="D908" s="30">
        <v>1</v>
      </c>
      <c r="E908" s="30">
        <v>25</v>
      </c>
      <c r="F908" s="30">
        <f t="shared" si="31"/>
        <v>25</v>
      </c>
      <c r="J908" s="30" t="s">
        <v>392</v>
      </c>
    </row>
    <row r="909" spans="3:10" x14ac:dyDescent="0.25">
      <c r="C909" s="33" t="s">
        <v>551</v>
      </c>
      <c r="D909" s="30">
        <v>2</v>
      </c>
      <c r="E909" s="30">
        <v>5</v>
      </c>
      <c r="F909" s="30">
        <f t="shared" si="31"/>
        <v>10</v>
      </c>
      <c r="J909" s="30" t="s">
        <v>392</v>
      </c>
    </row>
    <row r="910" spans="3:10" x14ac:dyDescent="0.25">
      <c r="C910" s="33" t="s">
        <v>541</v>
      </c>
      <c r="D910" s="30">
        <v>0.5</v>
      </c>
      <c r="E910" s="30">
        <v>70</v>
      </c>
      <c r="F910" s="30">
        <f t="shared" si="31"/>
        <v>35</v>
      </c>
      <c r="J910" s="30" t="s">
        <v>392</v>
      </c>
    </row>
    <row r="911" spans="3:10" x14ac:dyDescent="0.25">
      <c r="C911" s="33" t="s">
        <v>424</v>
      </c>
      <c r="D911" s="30">
        <v>1</v>
      </c>
      <c r="E911" s="30">
        <v>20</v>
      </c>
      <c r="F911" s="30">
        <f t="shared" si="31"/>
        <v>20</v>
      </c>
      <c r="J911" s="30" t="s">
        <v>392</v>
      </c>
    </row>
    <row r="912" spans="3:10" x14ac:dyDescent="0.25">
      <c r="C912" s="33" t="s">
        <v>423</v>
      </c>
      <c r="D912" s="30">
        <v>1</v>
      </c>
      <c r="E912" s="30">
        <v>5</v>
      </c>
      <c r="F912" s="30">
        <f t="shared" si="31"/>
        <v>5</v>
      </c>
      <c r="J912" s="30" t="s">
        <v>392</v>
      </c>
    </row>
    <row r="913" spans="3:10" x14ac:dyDescent="0.25">
      <c r="C913" s="33" t="s">
        <v>422</v>
      </c>
      <c r="D913" s="30">
        <v>1</v>
      </c>
      <c r="E913" s="30">
        <v>10</v>
      </c>
      <c r="F913" s="30">
        <f t="shared" si="31"/>
        <v>10</v>
      </c>
      <c r="J913" s="30" t="s">
        <v>392</v>
      </c>
    </row>
    <row r="914" spans="3:10" x14ac:dyDescent="0.25">
      <c r="C914" s="19" t="s">
        <v>94</v>
      </c>
      <c r="D914" s="30">
        <v>1</v>
      </c>
      <c r="E914" s="30">
        <v>19</v>
      </c>
      <c r="F914" s="30">
        <f t="shared" si="31"/>
        <v>19</v>
      </c>
      <c r="J914" s="30" t="s">
        <v>392</v>
      </c>
    </row>
    <row r="915" spans="3:10" ht="30" x14ac:dyDescent="0.25">
      <c r="C915" s="33" t="s">
        <v>501</v>
      </c>
      <c r="D915" s="30">
        <v>1</v>
      </c>
      <c r="E915" s="30">
        <v>5</v>
      </c>
      <c r="F915" s="30">
        <f t="shared" si="31"/>
        <v>5</v>
      </c>
      <c r="J915" s="30" t="s">
        <v>392</v>
      </c>
    </row>
    <row r="916" spans="3:10" x14ac:dyDescent="0.25">
      <c r="C916" s="33" t="s">
        <v>348</v>
      </c>
      <c r="D916" s="30">
        <v>1</v>
      </c>
      <c r="E916" s="30">
        <v>1</v>
      </c>
      <c r="F916" s="30">
        <f t="shared" si="31"/>
        <v>1</v>
      </c>
      <c r="J916" s="30" t="s">
        <v>392</v>
      </c>
    </row>
    <row r="917" spans="3:10" x14ac:dyDescent="0.25">
      <c r="C917" s="19" t="s">
        <v>559</v>
      </c>
      <c r="D917" s="30">
        <v>1</v>
      </c>
      <c r="E917" s="30">
        <v>35</v>
      </c>
      <c r="F917" s="30">
        <f t="shared" si="31"/>
        <v>35</v>
      </c>
      <c r="J917" s="30" t="s">
        <v>392</v>
      </c>
    </row>
    <row r="918" spans="3:10" x14ac:dyDescent="0.25">
      <c r="C918" s="33" t="s">
        <v>421</v>
      </c>
      <c r="D918" s="30">
        <v>2</v>
      </c>
      <c r="E918" s="30">
        <v>10</v>
      </c>
      <c r="F918" s="30">
        <f t="shared" si="31"/>
        <v>20</v>
      </c>
      <c r="J918" s="30" t="s">
        <v>392</v>
      </c>
    </row>
    <row r="919" spans="3:10" x14ac:dyDescent="0.25">
      <c r="C919" s="33" t="s">
        <v>633</v>
      </c>
      <c r="D919" s="30">
        <v>1</v>
      </c>
      <c r="E919" s="30">
        <v>10</v>
      </c>
      <c r="F919" s="30">
        <f t="shared" si="31"/>
        <v>10</v>
      </c>
      <c r="J919" s="30" t="s">
        <v>392</v>
      </c>
    </row>
    <row r="920" spans="3:10" x14ac:dyDescent="0.25">
      <c r="C920" s="33" t="s">
        <v>633</v>
      </c>
      <c r="D920" s="30">
        <v>2</v>
      </c>
      <c r="E920" s="30">
        <v>10</v>
      </c>
      <c r="F920" s="30">
        <f t="shared" si="31"/>
        <v>20</v>
      </c>
      <c r="J920" s="30" t="s">
        <v>392</v>
      </c>
    </row>
    <row r="921" spans="3:10" x14ac:dyDescent="0.25">
      <c r="C921" s="33" t="s">
        <v>532</v>
      </c>
      <c r="D921" s="30">
        <v>2</v>
      </c>
      <c r="E921" s="30">
        <v>5</v>
      </c>
      <c r="F921" s="30">
        <f t="shared" si="31"/>
        <v>10</v>
      </c>
      <c r="J921" s="30" t="s">
        <v>392</v>
      </c>
    </row>
    <row r="922" spans="3:10" x14ac:dyDescent="0.25">
      <c r="C922" s="33" t="s">
        <v>351</v>
      </c>
      <c r="D922" s="30">
        <v>1</v>
      </c>
      <c r="E922" s="30">
        <v>106</v>
      </c>
      <c r="F922" s="30">
        <f t="shared" si="31"/>
        <v>106</v>
      </c>
      <c r="J922" s="30" t="s">
        <v>392</v>
      </c>
    </row>
    <row r="923" spans="3:10" x14ac:dyDescent="0.25">
      <c r="C923" s="19" t="s">
        <v>611</v>
      </c>
      <c r="D923" s="30">
        <v>1</v>
      </c>
      <c r="E923" s="30">
        <v>30</v>
      </c>
      <c r="F923" s="30">
        <f t="shared" si="31"/>
        <v>30</v>
      </c>
      <c r="J923" s="30" t="s">
        <v>392</v>
      </c>
    </row>
    <row r="924" spans="3:10" x14ac:dyDescent="0.25">
      <c r="C924" s="33" t="s">
        <v>633</v>
      </c>
      <c r="D924" s="30">
        <v>1</v>
      </c>
      <c r="E924" s="30">
        <v>10</v>
      </c>
      <c r="F924" s="30">
        <f t="shared" si="31"/>
        <v>10</v>
      </c>
      <c r="J924" s="30" t="s">
        <v>392</v>
      </c>
    </row>
    <row r="925" spans="3:10" x14ac:dyDescent="0.25">
      <c r="C925" s="33" t="s">
        <v>574</v>
      </c>
      <c r="D925" s="30">
        <v>1</v>
      </c>
      <c r="E925" s="30">
        <v>10</v>
      </c>
      <c r="F925" s="30">
        <f t="shared" si="31"/>
        <v>10</v>
      </c>
      <c r="J925" s="30" t="s">
        <v>392</v>
      </c>
    </row>
    <row r="926" spans="3:10" x14ac:dyDescent="0.25">
      <c r="C926" s="19" t="s">
        <v>533</v>
      </c>
      <c r="D926" s="30">
        <v>2</v>
      </c>
      <c r="E926" s="30">
        <v>10</v>
      </c>
      <c r="F926" s="30">
        <f t="shared" si="31"/>
        <v>20</v>
      </c>
      <c r="J926" s="30" t="s">
        <v>392</v>
      </c>
    </row>
    <row r="927" spans="3:10" x14ac:dyDescent="0.25">
      <c r="C927" s="33" t="s">
        <v>512</v>
      </c>
      <c r="D927" s="30">
        <v>1</v>
      </c>
      <c r="E927" s="30">
        <v>10</v>
      </c>
      <c r="F927" s="30">
        <f t="shared" si="31"/>
        <v>10</v>
      </c>
      <c r="J927" s="30" t="s">
        <v>392</v>
      </c>
    </row>
    <row r="928" spans="3:10" x14ac:dyDescent="0.25">
      <c r="C928" s="33" t="s">
        <v>523</v>
      </c>
      <c r="D928" s="30">
        <v>0.25</v>
      </c>
      <c r="E928" s="30">
        <v>280</v>
      </c>
      <c r="F928" s="30">
        <f t="shared" si="31"/>
        <v>70</v>
      </c>
      <c r="I928" s="139">
        <f>SUM(F893:F928)</f>
        <v>1301.04</v>
      </c>
      <c r="J928" s="30" t="s">
        <v>392</v>
      </c>
    </row>
    <row r="929" spans="1:10" s="69" customFormat="1" ht="18.75" x14ac:dyDescent="0.3">
      <c r="A929" s="235" t="s">
        <v>437</v>
      </c>
      <c r="B929" s="236"/>
      <c r="C929" s="236"/>
      <c r="D929" s="236"/>
      <c r="E929" s="236"/>
      <c r="F929" s="236"/>
      <c r="G929" s="236"/>
      <c r="H929" s="237"/>
      <c r="I929" s="69">
        <f>SUM(I928,I892)</f>
        <v>1514.54</v>
      </c>
    </row>
    <row r="930" spans="1:10" x14ac:dyDescent="0.25">
      <c r="A930" s="78">
        <v>46146</v>
      </c>
      <c r="C930" s="19" t="s">
        <v>639</v>
      </c>
      <c r="D930" s="30">
        <v>5</v>
      </c>
      <c r="E930" s="30">
        <v>2</v>
      </c>
      <c r="F930" s="30">
        <f t="shared" ref="F930:F961" si="32">E930*D930</f>
        <v>10</v>
      </c>
      <c r="G930" s="30" t="s">
        <v>9</v>
      </c>
      <c r="J930" s="30" t="s">
        <v>392</v>
      </c>
    </row>
    <row r="931" spans="1:10" x14ac:dyDescent="0.25">
      <c r="C931" s="33" t="s">
        <v>446</v>
      </c>
      <c r="D931" s="30">
        <v>1</v>
      </c>
      <c r="E931" s="30">
        <v>39</v>
      </c>
      <c r="F931" s="30">
        <f t="shared" si="32"/>
        <v>39</v>
      </c>
      <c r="J931" s="30" t="s">
        <v>392</v>
      </c>
    </row>
    <row r="932" spans="1:10" x14ac:dyDescent="0.25">
      <c r="C932" s="61" t="s">
        <v>22</v>
      </c>
      <c r="D932" s="30">
        <v>1</v>
      </c>
      <c r="E932" s="30">
        <v>1</v>
      </c>
      <c r="F932" s="30">
        <f t="shared" si="32"/>
        <v>1</v>
      </c>
      <c r="J932" s="30" t="s">
        <v>392</v>
      </c>
    </row>
    <row r="933" spans="1:10" x14ac:dyDescent="0.25">
      <c r="C933" s="19" t="s">
        <v>604</v>
      </c>
      <c r="D933" s="30">
        <v>30</v>
      </c>
      <c r="E933" s="30">
        <v>7.7</v>
      </c>
      <c r="F933" s="30">
        <f t="shared" si="32"/>
        <v>231</v>
      </c>
      <c r="J933" s="30" t="s">
        <v>392</v>
      </c>
    </row>
    <row r="934" spans="1:10" x14ac:dyDescent="0.25">
      <c r="C934" s="33" t="s">
        <v>541</v>
      </c>
      <c r="D934" s="30">
        <v>0.28599999999999998</v>
      </c>
      <c r="E934" s="30">
        <v>70</v>
      </c>
      <c r="F934" s="30">
        <f t="shared" si="32"/>
        <v>20.02</v>
      </c>
      <c r="J934" s="30" t="s">
        <v>392</v>
      </c>
    </row>
    <row r="935" spans="1:10" x14ac:dyDescent="0.25">
      <c r="C935" s="33" t="s">
        <v>424</v>
      </c>
      <c r="D935" s="30">
        <v>1</v>
      </c>
      <c r="E935" s="30">
        <v>20</v>
      </c>
      <c r="F935" s="30">
        <f t="shared" si="32"/>
        <v>20</v>
      </c>
      <c r="J935" s="30" t="s">
        <v>392</v>
      </c>
    </row>
    <row r="936" spans="1:10" x14ac:dyDescent="0.25">
      <c r="C936" s="33" t="s">
        <v>639</v>
      </c>
      <c r="D936" s="30">
        <v>3</v>
      </c>
      <c r="E936" s="30">
        <v>2</v>
      </c>
      <c r="F936" s="30">
        <f t="shared" si="32"/>
        <v>6</v>
      </c>
      <c r="J936" s="30" t="s">
        <v>392</v>
      </c>
    </row>
    <row r="937" spans="1:10" x14ac:dyDescent="0.25">
      <c r="C937" s="33" t="s">
        <v>580</v>
      </c>
      <c r="D937" s="30">
        <v>4</v>
      </c>
      <c r="E937" s="30">
        <v>1</v>
      </c>
      <c r="F937" s="30">
        <f t="shared" si="32"/>
        <v>4</v>
      </c>
      <c r="J937" s="30" t="s">
        <v>392</v>
      </c>
    </row>
    <row r="938" spans="1:10" x14ac:dyDescent="0.25">
      <c r="C938" s="33" t="s">
        <v>632</v>
      </c>
      <c r="D938" s="30">
        <v>1</v>
      </c>
      <c r="E938" s="30">
        <v>20</v>
      </c>
      <c r="F938" s="30">
        <f t="shared" si="32"/>
        <v>20</v>
      </c>
      <c r="J938" s="30" t="s">
        <v>392</v>
      </c>
    </row>
    <row r="939" spans="1:10" x14ac:dyDescent="0.25">
      <c r="C939" s="33" t="s">
        <v>423</v>
      </c>
      <c r="D939" s="30">
        <v>2</v>
      </c>
      <c r="E939" s="30">
        <v>5</v>
      </c>
      <c r="F939" s="30">
        <f t="shared" si="32"/>
        <v>10</v>
      </c>
      <c r="J939" s="30" t="s">
        <v>392</v>
      </c>
    </row>
    <row r="940" spans="1:10" x14ac:dyDescent="0.25">
      <c r="C940" s="33" t="s">
        <v>603</v>
      </c>
      <c r="D940" s="30">
        <v>2</v>
      </c>
      <c r="E940" s="30">
        <v>7.5</v>
      </c>
      <c r="F940" s="30">
        <f t="shared" si="32"/>
        <v>15</v>
      </c>
      <c r="J940" s="30" t="s">
        <v>392</v>
      </c>
    </row>
    <row r="941" spans="1:10" x14ac:dyDescent="0.25">
      <c r="C941" s="33" t="s">
        <v>423</v>
      </c>
      <c r="D941" s="30">
        <v>1</v>
      </c>
      <c r="E941" s="30">
        <v>5</v>
      </c>
      <c r="F941" s="30">
        <f t="shared" si="32"/>
        <v>5</v>
      </c>
      <c r="J941" s="30" t="s">
        <v>392</v>
      </c>
    </row>
    <row r="942" spans="1:10" x14ac:dyDescent="0.25">
      <c r="C942" s="19" t="s">
        <v>531</v>
      </c>
      <c r="D942" s="30">
        <v>2</v>
      </c>
      <c r="E942" s="30">
        <v>5</v>
      </c>
      <c r="F942" s="30">
        <f t="shared" si="32"/>
        <v>10</v>
      </c>
      <c r="J942" s="30" t="s">
        <v>392</v>
      </c>
    </row>
    <row r="943" spans="1:10" x14ac:dyDescent="0.25">
      <c r="C943" s="33" t="s">
        <v>448</v>
      </c>
      <c r="D943" s="30">
        <v>1</v>
      </c>
      <c r="E943" s="30">
        <v>10</v>
      </c>
      <c r="F943" s="30">
        <f t="shared" si="32"/>
        <v>10</v>
      </c>
      <c r="J943" s="30" t="s">
        <v>392</v>
      </c>
    </row>
    <row r="944" spans="1:10" x14ac:dyDescent="0.25">
      <c r="C944" s="33" t="s">
        <v>532</v>
      </c>
      <c r="D944" s="30">
        <v>4</v>
      </c>
      <c r="E944" s="30">
        <v>5</v>
      </c>
      <c r="F944" s="30">
        <f t="shared" si="32"/>
        <v>20</v>
      </c>
      <c r="J944" s="30" t="s">
        <v>392</v>
      </c>
    </row>
    <row r="945" spans="3:10" x14ac:dyDescent="0.25">
      <c r="C945" s="33" t="s">
        <v>597</v>
      </c>
      <c r="D945" s="30">
        <v>1</v>
      </c>
      <c r="E945" s="30">
        <v>45</v>
      </c>
      <c r="F945" s="30">
        <f t="shared" si="32"/>
        <v>45</v>
      </c>
      <c r="J945" s="30" t="s">
        <v>392</v>
      </c>
    </row>
    <row r="946" spans="3:10" x14ac:dyDescent="0.25">
      <c r="C946" s="19" t="s">
        <v>587</v>
      </c>
      <c r="D946" s="30">
        <v>0.26800000000000002</v>
      </c>
      <c r="E946" s="30">
        <v>56</v>
      </c>
      <c r="F946" s="30">
        <f t="shared" si="32"/>
        <v>15.008000000000001</v>
      </c>
      <c r="J946" s="30" t="s">
        <v>392</v>
      </c>
    </row>
    <row r="947" spans="3:10" x14ac:dyDescent="0.25">
      <c r="C947" s="33" t="s">
        <v>633</v>
      </c>
      <c r="D947" s="30">
        <v>1</v>
      </c>
      <c r="E947" s="30">
        <v>10</v>
      </c>
      <c r="F947" s="30">
        <f t="shared" si="32"/>
        <v>10</v>
      </c>
      <c r="J947" s="30" t="s">
        <v>392</v>
      </c>
    </row>
    <row r="948" spans="3:10" x14ac:dyDescent="0.25">
      <c r="C948" s="33" t="s">
        <v>608</v>
      </c>
      <c r="D948" s="30">
        <v>1</v>
      </c>
      <c r="E948" s="30">
        <v>10</v>
      </c>
      <c r="F948" s="30">
        <f t="shared" si="32"/>
        <v>10</v>
      </c>
      <c r="J948" s="30" t="s">
        <v>392</v>
      </c>
    </row>
    <row r="949" spans="3:10" x14ac:dyDescent="0.25">
      <c r="C949" s="33" t="s">
        <v>421</v>
      </c>
      <c r="D949" s="30">
        <v>4</v>
      </c>
      <c r="E949" s="30">
        <v>10</v>
      </c>
      <c r="F949" s="30">
        <f t="shared" si="32"/>
        <v>40</v>
      </c>
      <c r="J949" s="30" t="s">
        <v>392</v>
      </c>
    </row>
    <row r="950" spans="3:10" x14ac:dyDescent="0.25">
      <c r="C950" s="33" t="s">
        <v>633</v>
      </c>
      <c r="D950" s="30">
        <v>1</v>
      </c>
      <c r="E950" s="30">
        <v>10</v>
      </c>
      <c r="F950" s="30">
        <f t="shared" si="32"/>
        <v>10</v>
      </c>
      <c r="J950" s="30" t="s">
        <v>392</v>
      </c>
    </row>
    <row r="951" spans="3:10" x14ac:dyDescent="0.25">
      <c r="C951" s="33" t="s">
        <v>448</v>
      </c>
      <c r="D951" s="30">
        <v>1</v>
      </c>
      <c r="E951" s="30">
        <v>10</v>
      </c>
      <c r="F951" s="30">
        <f t="shared" si="32"/>
        <v>10</v>
      </c>
      <c r="J951" s="30" t="s">
        <v>392</v>
      </c>
    </row>
    <row r="952" spans="3:10" x14ac:dyDescent="0.25">
      <c r="C952" s="33" t="s">
        <v>633</v>
      </c>
      <c r="D952" s="30">
        <v>4</v>
      </c>
      <c r="E952" s="30">
        <v>10</v>
      </c>
      <c r="F952" s="30">
        <f t="shared" si="32"/>
        <v>40</v>
      </c>
      <c r="J952" s="30" t="s">
        <v>392</v>
      </c>
    </row>
    <row r="953" spans="3:10" x14ac:dyDescent="0.25">
      <c r="C953" s="33" t="s">
        <v>424</v>
      </c>
      <c r="D953" s="30">
        <v>1</v>
      </c>
      <c r="E953" s="30">
        <v>20</v>
      </c>
      <c r="F953" s="30">
        <f t="shared" si="32"/>
        <v>20</v>
      </c>
      <c r="J953" s="30" t="s">
        <v>392</v>
      </c>
    </row>
    <row r="954" spans="3:10" x14ac:dyDescent="0.25">
      <c r="C954" s="19" t="s">
        <v>498</v>
      </c>
      <c r="D954" s="30">
        <v>0.05</v>
      </c>
      <c r="E954" s="30">
        <v>200</v>
      </c>
      <c r="F954" s="30">
        <f t="shared" si="32"/>
        <v>10</v>
      </c>
      <c r="J954" s="30" t="s">
        <v>392</v>
      </c>
    </row>
    <row r="955" spans="3:10" x14ac:dyDescent="0.25">
      <c r="C955" s="19" t="s">
        <v>25</v>
      </c>
      <c r="D955" s="30">
        <v>1</v>
      </c>
      <c r="E955" s="30">
        <v>10</v>
      </c>
      <c r="F955" s="30">
        <f t="shared" si="32"/>
        <v>10</v>
      </c>
      <c r="J955" s="30" t="s">
        <v>392</v>
      </c>
    </row>
    <row r="956" spans="3:10" x14ac:dyDescent="0.25">
      <c r="C956" s="19" t="s">
        <v>445</v>
      </c>
      <c r="D956" s="30">
        <v>1</v>
      </c>
      <c r="E956" s="30">
        <v>10</v>
      </c>
      <c r="F956" s="30">
        <f t="shared" si="32"/>
        <v>10</v>
      </c>
      <c r="J956" s="30" t="s">
        <v>392</v>
      </c>
    </row>
    <row r="957" spans="3:10" x14ac:dyDescent="0.25">
      <c r="C957" s="33" t="s">
        <v>650</v>
      </c>
      <c r="D957" s="30">
        <v>1</v>
      </c>
      <c r="E957" s="30">
        <v>75</v>
      </c>
      <c r="F957" s="30">
        <f t="shared" si="32"/>
        <v>75</v>
      </c>
      <c r="J957" s="30" t="s">
        <v>392</v>
      </c>
    </row>
    <row r="958" spans="3:10" x14ac:dyDescent="0.25">
      <c r="C958" s="33" t="s">
        <v>633</v>
      </c>
      <c r="D958" s="30">
        <v>1</v>
      </c>
      <c r="E958" s="30">
        <v>10</v>
      </c>
      <c r="F958" s="30">
        <f t="shared" si="32"/>
        <v>10</v>
      </c>
      <c r="J958" s="30" t="s">
        <v>392</v>
      </c>
    </row>
    <row r="959" spans="3:10" x14ac:dyDescent="0.25">
      <c r="C959" s="33" t="s">
        <v>154</v>
      </c>
      <c r="D959" s="30">
        <v>1</v>
      </c>
      <c r="E959" s="30">
        <v>1</v>
      </c>
      <c r="F959" s="30">
        <f t="shared" si="32"/>
        <v>1</v>
      </c>
      <c r="J959" s="30" t="s">
        <v>392</v>
      </c>
    </row>
    <row r="960" spans="3:10" x14ac:dyDescent="0.25">
      <c r="C960" s="33" t="s">
        <v>633</v>
      </c>
      <c r="D960" s="30">
        <v>1</v>
      </c>
      <c r="E960" s="30">
        <v>10</v>
      </c>
      <c r="F960" s="30">
        <f t="shared" si="32"/>
        <v>10</v>
      </c>
      <c r="J960" s="30" t="s">
        <v>392</v>
      </c>
    </row>
    <row r="961" spans="3:10" x14ac:dyDescent="0.25">
      <c r="C961" s="33" t="s">
        <v>603</v>
      </c>
      <c r="D961" s="30">
        <v>4</v>
      </c>
      <c r="E961" s="30">
        <v>7.5</v>
      </c>
      <c r="F961" s="30">
        <f t="shared" si="32"/>
        <v>30</v>
      </c>
      <c r="J961" s="30" t="s">
        <v>392</v>
      </c>
    </row>
    <row r="962" spans="3:10" x14ac:dyDescent="0.25">
      <c r="C962" s="19" t="s">
        <v>525</v>
      </c>
      <c r="D962" s="30">
        <v>1</v>
      </c>
      <c r="E962" s="30">
        <v>28</v>
      </c>
      <c r="F962" s="30">
        <f t="shared" ref="F962:F978" si="33">E962*D962</f>
        <v>28</v>
      </c>
      <c r="J962" s="30" t="s">
        <v>392</v>
      </c>
    </row>
    <row r="963" spans="3:10" x14ac:dyDescent="0.25">
      <c r="C963" s="33" t="s">
        <v>422</v>
      </c>
      <c r="D963" s="30">
        <v>1</v>
      </c>
      <c r="E963" s="30">
        <v>10</v>
      </c>
      <c r="F963" s="30">
        <f t="shared" si="33"/>
        <v>10</v>
      </c>
      <c r="J963" s="30" t="s">
        <v>392</v>
      </c>
    </row>
    <row r="964" spans="3:10" x14ac:dyDescent="0.25">
      <c r="C964" s="19" t="s">
        <v>579</v>
      </c>
      <c r="D964" s="30">
        <v>2</v>
      </c>
      <c r="E964" s="30">
        <v>5</v>
      </c>
      <c r="F964" s="30">
        <f t="shared" si="33"/>
        <v>10</v>
      </c>
      <c r="J964" s="30" t="s">
        <v>392</v>
      </c>
    </row>
    <row r="965" spans="3:10" x14ac:dyDescent="0.25">
      <c r="C965" s="33" t="s">
        <v>446</v>
      </c>
      <c r="D965" s="30">
        <v>1</v>
      </c>
      <c r="E965" s="30">
        <v>39</v>
      </c>
      <c r="F965" s="30">
        <f t="shared" si="33"/>
        <v>39</v>
      </c>
      <c r="J965" s="30" t="s">
        <v>392</v>
      </c>
    </row>
    <row r="966" spans="3:10" ht="30" x14ac:dyDescent="0.25">
      <c r="C966" s="33" t="s">
        <v>12</v>
      </c>
      <c r="D966" s="30">
        <v>4</v>
      </c>
      <c r="E966" s="30">
        <v>5</v>
      </c>
      <c r="F966" s="30">
        <f t="shared" si="33"/>
        <v>20</v>
      </c>
      <c r="J966" s="30" t="s">
        <v>392</v>
      </c>
    </row>
    <row r="967" spans="3:10" x14ac:dyDescent="0.25">
      <c r="C967" s="19" t="s">
        <v>519</v>
      </c>
      <c r="D967" s="30">
        <v>1</v>
      </c>
      <c r="E967" s="30">
        <v>10</v>
      </c>
      <c r="F967" s="30">
        <f t="shared" si="33"/>
        <v>10</v>
      </c>
      <c r="J967" s="30" t="s">
        <v>392</v>
      </c>
    </row>
    <row r="968" spans="3:10" x14ac:dyDescent="0.25">
      <c r="C968" s="19" t="s">
        <v>618</v>
      </c>
      <c r="D968" s="30">
        <v>1</v>
      </c>
      <c r="E968" s="30">
        <v>50</v>
      </c>
      <c r="F968" s="30">
        <f t="shared" si="33"/>
        <v>50</v>
      </c>
      <c r="J968" s="30" t="s">
        <v>392</v>
      </c>
    </row>
    <row r="969" spans="3:10" ht="30" x14ac:dyDescent="0.25">
      <c r="C969" s="33" t="s">
        <v>577</v>
      </c>
      <c r="D969" s="30">
        <v>1</v>
      </c>
      <c r="E969" s="30">
        <v>5</v>
      </c>
      <c r="F969" s="30">
        <f t="shared" si="33"/>
        <v>5</v>
      </c>
      <c r="J969" s="30" t="s">
        <v>392</v>
      </c>
    </row>
    <row r="970" spans="3:10" x14ac:dyDescent="0.25">
      <c r="C970" s="33" t="s">
        <v>634</v>
      </c>
      <c r="D970" s="30">
        <v>1</v>
      </c>
      <c r="E970" s="30">
        <v>5</v>
      </c>
      <c r="F970" s="30">
        <f t="shared" si="33"/>
        <v>5</v>
      </c>
      <c r="J970" s="30" t="s">
        <v>392</v>
      </c>
    </row>
    <row r="971" spans="3:10" x14ac:dyDescent="0.25">
      <c r="C971" s="33" t="s">
        <v>634</v>
      </c>
      <c r="D971" s="30">
        <v>2</v>
      </c>
      <c r="E971" s="30">
        <v>5</v>
      </c>
      <c r="F971" s="30">
        <f t="shared" si="33"/>
        <v>10</v>
      </c>
      <c r="J971" s="30" t="s">
        <v>392</v>
      </c>
    </row>
    <row r="972" spans="3:10" x14ac:dyDescent="0.25">
      <c r="C972" s="33" t="s">
        <v>603</v>
      </c>
      <c r="D972" s="30">
        <v>8</v>
      </c>
      <c r="E972" s="30">
        <v>7.5</v>
      </c>
      <c r="F972" s="30">
        <f t="shared" si="33"/>
        <v>60</v>
      </c>
      <c r="J972" s="30" t="s">
        <v>392</v>
      </c>
    </row>
    <row r="973" spans="3:10" x14ac:dyDescent="0.25">
      <c r="C973" s="33" t="s">
        <v>522</v>
      </c>
      <c r="D973" s="30">
        <v>1</v>
      </c>
      <c r="E973" s="30">
        <v>54</v>
      </c>
      <c r="F973" s="30">
        <f t="shared" si="33"/>
        <v>54</v>
      </c>
      <c r="J973" s="30" t="s">
        <v>392</v>
      </c>
    </row>
    <row r="974" spans="3:10" x14ac:dyDescent="0.25">
      <c r="C974" s="19" t="s">
        <v>395</v>
      </c>
      <c r="D974" s="30">
        <v>2</v>
      </c>
      <c r="E974" s="30">
        <v>5</v>
      </c>
      <c r="F974" s="30">
        <f t="shared" si="33"/>
        <v>10</v>
      </c>
      <c r="J974" s="30" t="s">
        <v>392</v>
      </c>
    </row>
    <row r="975" spans="3:10" x14ac:dyDescent="0.25">
      <c r="C975" s="33" t="s">
        <v>606</v>
      </c>
      <c r="D975" s="30">
        <v>2</v>
      </c>
      <c r="E975" s="30">
        <v>5</v>
      </c>
      <c r="F975" s="30">
        <f t="shared" si="33"/>
        <v>10</v>
      </c>
      <c r="J975" s="30" t="s">
        <v>392</v>
      </c>
    </row>
    <row r="976" spans="3:10" x14ac:dyDescent="0.25">
      <c r="C976" s="33" t="s">
        <v>446</v>
      </c>
      <c r="D976" s="30">
        <v>1</v>
      </c>
      <c r="E976" s="30">
        <v>38</v>
      </c>
      <c r="F976" s="30">
        <f t="shared" si="33"/>
        <v>38</v>
      </c>
      <c r="J976" s="30" t="s">
        <v>392</v>
      </c>
    </row>
    <row r="977" spans="1:10" x14ac:dyDescent="0.25">
      <c r="C977" s="19" t="s">
        <v>531</v>
      </c>
      <c r="D977" s="30">
        <v>2</v>
      </c>
      <c r="E977" s="30">
        <v>5</v>
      </c>
      <c r="F977" s="30">
        <f t="shared" si="33"/>
        <v>10</v>
      </c>
      <c r="J977" s="30" t="s">
        <v>392</v>
      </c>
    </row>
    <row r="978" spans="1:10" x14ac:dyDescent="0.25">
      <c r="C978" s="33" t="s">
        <v>633</v>
      </c>
      <c r="D978" s="30">
        <v>1</v>
      </c>
      <c r="E978" s="30">
        <v>10</v>
      </c>
      <c r="F978" s="30">
        <f t="shared" si="33"/>
        <v>10</v>
      </c>
      <c r="I978" s="68">
        <f>SUM(F930:F978)</f>
        <v>1156.028</v>
      </c>
      <c r="J978" s="30" t="s">
        <v>392</v>
      </c>
    </row>
    <row r="979" spans="1:10" s="69" customFormat="1" ht="18.75" x14ac:dyDescent="0.3">
      <c r="A979" s="235" t="s">
        <v>437</v>
      </c>
      <c r="B979" s="236"/>
      <c r="C979" s="236"/>
      <c r="D979" s="236"/>
      <c r="E979" s="236"/>
      <c r="F979" s="236"/>
      <c r="G979" s="236"/>
      <c r="H979" s="237"/>
      <c r="I979" s="69">
        <v>1156</v>
      </c>
    </row>
    <row r="980" spans="1:10" x14ac:dyDescent="0.25">
      <c r="A980" s="78">
        <v>46147</v>
      </c>
      <c r="C980" s="19" t="s">
        <v>19</v>
      </c>
      <c r="D980" s="30">
        <v>3</v>
      </c>
      <c r="E980" s="30">
        <v>10</v>
      </c>
      <c r="F980" s="30">
        <f>E980*D980</f>
        <v>30</v>
      </c>
      <c r="G980" s="30" t="s">
        <v>9</v>
      </c>
      <c r="J980" s="30" t="s">
        <v>391</v>
      </c>
    </row>
    <row r="981" spans="1:10" x14ac:dyDescent="0.25">
      <c r="C981" s="19" t="s">
        <v>567</v>
      </c>
      <c r="D981" s="30">
        <v>5</v>
      </c>
      <c r="E981" s="30">
        <v>2</v>
      </c>
      <c r="F981" s="30">
        <f>E981*D981</f>
        <v>10</v>
      </c>
      <c r="G981" s="30" t="s">
        <v>9</v>
      </c>
      <c r="J981" s="30" t="s">
        <v>391</v>
      </c>
    </row>
    <row r="982" spans="1:10" x14ac:dyDescent="0.25">
      <c r="C982" s="19" t="s">
        <v>502</v>
      </c>
      <c r="D982" s="30">
        <v>1</v>
      </c>
      <c r="E982" s="30">
        <v>10</v>
      </c>
      <c r="F982" s="30">
        <f>E982*D982</f>
        <v>10</v>
      </c>
      <c r="G982" s="30" t="s">
        <v>9</v>
      </c>
      <c r="J982" s="30" t="s">
        <v>391</v>
      </c>
    </row>
    <row r="983" spans="1:10" x14ac:dyDescent="0.25">
      <c r="C983" s="33" t="s">
        <v>587</v>
      </c>
      <c r="D983" s="30">
        <v>0.156</v>
      </c>
      <c r="E983" s="30">
        <v>56</v>
      </c>
      <c r="F983" s="30">
        <v>10</v>
      </c>
      <c r="G983" s="30" t="s">
        <v>9</v>
      </c>
      <c r="I983" s="139">
        <f>SUM(F980:F983)</f>
        <v>60</v>
      </c>
      <c r="J983" s="30" t="s">
        <v>391</v>
      </c>
    </row>
    <row r="984" spans="1:10" x14ac:dyDescent="0.25">
      <c r="C984" s="33" t="s">
        <v>325</v>
      </c>
      <c r="D984" s="30">
        <v>0.6</v>
      </c>
      <c r="E984" s="30">
        <v>18</v>
      </c>
      <c r="F984" s="30">
        <f t="shared" ref="F984:F1020" si="34">E984*D984</f>
        <v>10.799999999999999</v>
      </c>
      <c r="G984" s="30" t="s">
        <v>9</v>
      </c>
      <c r="J984" s="30" t="s">
        <v>392</v>
      </c>
    </row>
    <row r="985" spans="1:10" x14ac:dyDescent="0.25">
      <c r="C985" s="33" t="s">
        <v>532</v>
      </c>
      <c r="D985" s="30">
        <v>1</v>
      </c>
      <c r="E985" s="30">
        <v>5</v>
      </c>
      <c r="F985" s="30">
        <f t="shared" si="34"/>
        <v>5</v>
      </c>
      <c r="G985" s="30" t="s">
        <v>9</v>
      </c>
      <c r="J985" s="30" t="s">
        <v>392</v>
      </c>
    </row>
    <row r="986" spans="1:10" x14ac:dyDescent="0.25">
      <c r="C986" s="33" t="s">
        <v>326</v>
      </c>
      <c r="D986" s="30">
        <v>3</v>
      </c>
      <c r="E986" s="30">
        <v>50</v>
      </c>
      <c r="F986" s="30">
        <f t="shared" si="34"/>
        <v>150</v>
      </c>
      <c r="G986" s="30" t="s">
        <v>9</v>
      </c>
      <c r="J986" s="30" t="s">
        <v>392</v>
      </c>
    </row>
    <row r="987" spans="1:10" x14ac:dyDescent="0.25">
      <c r="C987" s="33" t="s">
        <v>603</v>
      </c>
      <c r="D987" s="30">
        <v>10</v>
      </c>
      <c r="E987" s="30">
        <v>7.5</v>
      </c>
      <c r="F987" s="30">
        <f t="shared" si="34"/>
        <v>75</v>
      </c>
      <c r="G987" s="30" t="s">
        <v>9</v>
      </c>
      <c r="J987" s="30" t="s">
        <v>392</v>
      </c>
    </row>
    <row r="988" spans="1:10" x14ac:dyDescent="0.25">
      <c r="C988" s="19" t="s">
        <v>375</v>
      </c>
      <c r="D988" s="30">
        <v>5</v>
      </c>
      <c r="E988" s="30">
        <v>1</v>
      </c>
      <c r="F988" s="30">
        <f t="shared" si="34"/>
        <v>5</v>
      </c>
      <c r="G988" s="30" t="s">
        <v>9</v>
      </c>
      <c r="J988" s="30" t="s">
        <v>392</v>
      </c>
    </row>
    <row r="989" spans="1:10" x14ac:dyDescent="0.25">
      <c r="C989" s="33" t="s">
        <v>326</v>
      </c>
      <c r="D989" s="30">
        <v>2</v>
      </c>
      <c r="E989" s="30">
        <v>50</v>
      </c>
      <c r="F989" s="30">
        <f t="shared" si="34"/>
        <v>100</v>
      </c>
      <c r="G989" s="30" t="s">
        <v>9</v>
      </c>
      <c r="J989" s="30" t="s">
        <v>392</v>
      </c>
    </row>
    <row r="990" spans="1:10" ht="30" x14ac:dyDescent="0.25">
      <c r="C990" s="19" t="s">
        <v>377</v>
      </c>
      <c r="D990" s="30">
        <v>1</v>
      </c>
      <c r="E990" s="30">
        <v>10</v>
      </c>
      <c r="F990" s="30">
        <f t="shared" si="34"/>
        <v>10</v>
      </c>
      <c r="G990" s="30" t="s">
        <v>9</v>
      </c>
      <c r="J990" s="30" t="s">
        <v>392</v>
      </c>
    </row>
    <row r="991" spans="1:10" x14ac:dyDescent="0.25">
      <c r="C991" s="33" t="s">
        <v>603</v>
      </c>
      <c r="D991" s="30">
        <v>2</v>
      </c>
      <c r="E991" s="30">
        <v>7.5</v>
      </c>
      <c r="F991" s="30">
        <f t="shared" si="34"/>
        <v>15</v>
      </c>
      <c r="G991" s="30" t="s">
        <v>9</v>
      </c>
      <c r="J991" s="30" t="s">
        <v>392</v>
      </c>
    </row>
    <row r="992" spans="1:10" x14ac:dyDescent="0.25">
      <c r="C992" s="33" t="s">
        <v>651</v>
      </c>
      <c r="D992" s="30">
        <v>2</v>
      </c>
      <c r="E992" s="30">
        <v>7.5</v>
      </c>
      <c r="F992" s="30">
        <f t="shared" si="34"/>
        <v>15</v>
      </c>
      <c r="G992" s="30" t="s">
        <v>9</v>
      </c>
      <c r="J992" s="30" t="s">
        <v>392</v>
      </c>
    </row>
    <row r="993" spans="3:10" ht="30" x14ac:dyDescent="0.25">
      <c r="C993" s="19" t="s">
        <v>86</v>
      </c>
      <c r="D993" s="30">
        <v>1</v>
      </c>
      <c r="E993" s="30">
        <v>10</v>
      </c>
      <c r="F993" s="30">
        <f t="shared" si="34"/>
        <v>10</v>
      </c>
      <c r="G993" s="30" t="s">
        <v>9</v>
      </c>
      <c r="J993" s="30" t="s">
        <v>392</v>
      </c>
    </row>
    <row r="994" spans="3:10" ht="30" x14ac:dyDescent="0.25">
      <c r="C994" s="19" t="s">
        <v>509</v>
      </c>
      <c r="D994" s="30">
        <v>0.36199999999999999</v>
      </c>
      <c r="E994" s="30">
        <v>138</v>
      </c>
      <c r="F994" s="30">
        <f t="shared" si="34"/>
        <v>49.955999999999996</v>
      </c>
      <c r="G994" s="30" t="s">
        <v>9</v>
      </c>
      <c r="J994" s="30" t="s">
        <v>392</v>
      </c>
    </row>
    <row r="995" spans="3:10" x14ac:dyDescent="0.25">
      <c r="C995" s="33" t="s">
        <v>634</v>
      </c>
      <c r="D995" s="30">
        <v>2</v>
      </c>
      <c r="E995" s="30">
        <v>5</v>
      </c>
      <c r="F995" s="30">
        <f t="shared" si="34"/>
        <v>10</v>
      </c>
      <c r="G995" s="30" t="s">
        <v>9</v>
      </c>
      <c r="J995" s="30" t="s">
        <v>392</v>
      </c>
    </row>
    <row r="996" spans="3:10" x14ac:dyDescent="0.25">
      <c r="C996" s="33" t="s">
        <v>608</v>
      </c>
      <c r="D996" s="30">
        <v>1</v>
      </c>
      <c r="E996" s="30">
        <v>10</v>
      </c>
      <c r="F996" s="30">
        <f t="shared" si="34"/>
        <v>10</v>
      </c>
      <c r="G996" s="30" t="s">
        <v>9</v>
      </c>
      <c r="J996" s="30" t="s">
        <v>392</v>
      </c>
    </row>
    <row r="997" spans="3:10" x14ac:dyDescent="0.25">
      <c r="C997" s="33" t="s">
        <v>422</v>
      </c>
      <c r="D997" s="30">
        <v>1</v>
      </c>
      <c r="E997" s="30">
        <v>10</v>
      </c>
      <c r="F997" s="30">
        <f t="shared" si="34"/>
        <v>10</v>
      </c>
      <c r="G997" s="30" t="s">
        <v>9</v>
      </c>
      <c r="J997" s="30" t="s">
        <v>392</v>
      </c>
    </row>
    <row r="998" spans="3:10" x14ac:dyDescent="0.25">
      <c r="C998" s="33" t="s">
        <v>385</v>
      </c>
      <c r="D998" s="30">
        <v>1</v>
      </c>
      <c r="E998" s="30">
        <v>10</v>
      </c>
      <c r="F998" s="30">
        <f t="shared" si="34"/>
        <v>10</v>
      </c>
      <c r="G998" s="30" t="s">
        <v>9</v>
      </c>
      <c r="J998" s="30" t="s">
        <v>392</v>
      </c>
    </row>
    <row r="999" spans="3:10" x14ac:dyDescent="0.25">
      <c r="C999" s="33" t="s">
        <v>325</v>
      </c>
      <c r="D999" s="30">
        <v>1</v>
      </c>
      <c r="E999" s="30">
        <v>18</v>
      </c>
      <c r="F999" s="30">
        <f t="shared" si="34"/>
        <v>18</v>
      </c>
      <c r="G999" s="30" t="s">
        <v>9</v>
      </c>
      <c r="J999" s="30" t="s">
        <v>392</v>
      </c>
    </row>
    <row r="1000" spans="3:10" x14ac:dyDescent="0.25">
      <c r="C1000" s="33" t="s">
        <v>608</v>
      </c>
      <c r="D1000" s="30">
        <v>1</v>
      </c>
      <c r="E1000" s="30">
        <v>9.5</v>
      </c>
      <c r="F1000" s="30">
        <f t="shared" si="34"/>
        <v>9.5</v>
      </c>
      <c r="G1000" s="30" t="s">
        <v>9</v>
      </c>
      <c r="J1000" s="30" t="s">
        <v>392</v>
      </c>
    </row>
    <row r="1001" spans="3:10" x14ac:dyDescent="0.25">
      <c r="C1001" s="61" t="s">
        <v>87</v>
      </c>
      <c r="D1001" s="30">
        <v>1</v>
      </c>
      <c r="E1001" s="30">
        <v>77</v>
      </c>
      <c r="F1001" s="30">
        <f t="shared" si="34"/>
        <v>77</v>
      </c>
      <c r="G1001" s="30" t="s">
        <v>9</v>
      </c>
      <c r="J1001" s="30" t="s">
        <v>392</v>
      </c>
    </row>
    <row r="1002" spans="3:10" x14ac:dyDescent="0.25">
      <c r="C1002" s="19" t="s">
        <v>379</v>
      </c>
      <c r="D1002" s="30">
        <v>2</v>
      </c>
      <c r="E1002" s="30">
        <v>5</v>
      </c>
      <c r="F1002" s="30">
        <f t="shared" si="34"/>
        <v>10</v>
      </c>
      <c r="G1002" s="30" t="s">
        <v>9</v>
      </c>
      <c r="J1002" s="30" t="s">
        <v>392</v>
      </c>
    </row>
    <row r="1003" spans="3:10" x14ac:dyDescent="0.25">
      <c r="C1003" s="33" t="s">
        <v>420</v>
      </c>
      <c r="D1003" s="30">
        <v>2</v>
      </c>
      <c r="E1003" s="30">
        <v>10</v>
      </c>
      <c r="F1003" s="30">
        <f t="shared" si="34"/>
        <v>20</v>
      </c>
      <c r="G1003" s="30" t="s">
        <v>9</v>
      </c>
      <c r="J1003" s="30" t="s">
        <v>392</v>
      </c>
    </row>
    <row r="1004" spans="3:10" x14ac:dyDescent="0.25">
      <c r="C1004" s="19" t="s">
        <v>590</v>
      </c>
      <c r="D1004" s="30">
        <v>0.25</v>
      </c>
      <c r="E1004" s="30">
        <v>44</v>
      </c>
      <c r="F1004" s="30">
        <f t="shared" si="34"/>
        <v>11</v>
      </c>
      <c r="G1004" s="30" t="s">
        <v>9</v>
      </c>
      <c r="J1004" s="30" t="s">
        <v>392</v>
      </c>
    </row>
    <row r="1005" spans="3:10" x14ac:dyDescent="0.25">
      <c r="C1005" s="33" t="s">
        <v>400</v>
      </c>
      <c r="D1005" s="30">
        <v>0.25</v>
      </c>
      <c r="E1005" s="30">
        <v>58</v>
      </c>
      <c r="F1005" s="30">
        <f t="shared" si="34"/>
        <v>14.5</v>
      </c>
      <c r="G1005" s="30" t="s">
        <v>9</v>
      </c>
      <c r="J1005" s="30" t="s">
        <v>392</v>
      </c>
    </row>
    <row r="1006" spans="3:10" x14ac:dyDescent="0.25">
      <c r="C1006" s="33" t="s">
        <v>563</v>
      </c>
      <c r="D1006" s="30">
        <v>1</v>
      </c>
      <c r="E1006" s="30">
        <v>28</v>
      </c>
      <c r="F1006" s="30">
        <f t="shared" si="34"/>
        <v>28</v>
      </c>
      <c r="G1006" s="30" t="s">
        <v>9</v>
      </c>
      <c r="J1006" s="30" t="s">
        <v>392</v>
      </c>
    </row>
    <row r="1007" spans="3:10" ht="30" x14ac:dyDescent="0.25">
      <c r="C1007" s="61" t="s">
        <v>382</v>
      </c>
      <c r="D1007" s="30">
        <v>1</v>
      </c>
      <c r="E1007" s="30">
        <v>185</v>
      </c>
      <c r="F1007" s="30">
        <f t="shared" si="34"/>
        <v>185</v>
      </c>
      <c r="G1007" s="30" t="s">
        <v>9</v>
      </c>
      <c r="J1007" s="30" t="s">
        <v>392</v>
      </c>
    </row>
    <row r="1008" spans="3:10" x14ac:dyDescent="0.25">
      <c r="C1008" s="33" t="s">
        <v>422</v>
      </c>
      <c r="D1008" s="30">
        <v>2</v>
      </c>
      <c r="E1008" s="30">
        <v>10</v>
      </c>
      <c r="F1008" s="30">
        <f t="shared" si="34"/>
        <v>20</v>
      </c>
      <c r="G1008" s="30" t="s">
        <v>9</v>
      </c>
      <c r="J1008" s="30" t="s">
        <v>392</v>
      </c>
    </row>
    <row r="1009" spans="1:10" x14ac:dyDescent="0.25">
      <c r="C1009" s="33" t="s">
        <v>462</v>
      </c>
      <c r="D1009" s="30">
        <v>1</v>
      </c>
      <c r="E1009" s="30">
        <v>5</v>
      </c>
      <c r="F1009" s="30">
        <f t="shared" si="34"/>
        <v>5</v>
      </c>
      <c r="G1009" s="30" t="s">
        <v>9</v>
      </c>
      <c r="J1009" s="30" t="s">
        <v>392</v>
      </c>
    </row>
    <row r="1010" spans="1:10" x14ac:dyDescent="0.25">
      <c r="C1010" s="19" t="s">
        <v>158</v>
      </c>
      <c r="D1010" s="30">
        <v>6.9000000000000006E-2</v>
      </c>
      <c r="E1010" s="30">
        <v>300</v>
      </c>
      <c r="F1010" s="30">
        <f t="shared" si="34"/>
        <v>20.700000000000003</v>
      </c>
      <c r="G1010" s="30" t="s">
        <v>9</v>
      </c>
      <c r="J1010" s="30" t="s">
        <v>392</v>
      </c>
    </row>
    <row r="1011" spans="1:10" x14ac:dyDescent="0.25">
      <c r="C1011" s="19" t="s">
        <v>636</v>
      </c>
      <c r="D1011" s="30">
        <v>3.3000000000000002E-2</v>
      </c>
      <c r="E1011" s="30">
        <v>30</v>
      </c>
      <c r="F1011" s="30">
        <f t="shared" si="34"/>
        <v>0.99</v>
      </c>
      <c r="G1011" s="30" t="s">
        <v>9</v>
      </c>
      <c r="J1011" s="30" t="s">
        <v>392</v>
      </c>
    </row>
    <row r="1012" spans="1:10" ht="30" x14ac:dyDescent="0.25">
      <c r="C1012" s="19" t="s">
        <v>509</v>
      </c>
      <c r="D1012" s="30">
        <v>0.50800000000000001</v>
      </c>
      <c r="E1012" s="30">
        <v>138</v>
      </c>
      <c r="F1012" s="30">
        <f t="shared" si="34"/>
        <v>70.103999999999999</v>
      </c>
      <c r="G1012" s="30" t="s">
        <v>9</v>
      </c>
      <c r="J1012" s="30" t="s">
        <v>392</v>
      </c>
    </row>
    <row r="1013" spans="1:10" x14ac:dyDescent="0.25">
      <c r="C1013" s="19" t="s">
        <v>541</v>
      </c>
      <c r="D1013" s="30">
        <v>0.28599999999999998</v>
      </c>
      <c r="E1013" s="30">
        <v>70</v>
      </c>
      <c r="F1013" s="30">
        <f t="shared" si="34"/>
        <v>20.02</v>
      </c>
      <c r="G1013" s="30" t="s">
        <v>9</v>
      </c>
      <c r="J1013" s="30" t="s">
        <v>392</v>
      </c>
    </row>
    <row r="1014" spans="1:10" x14ac:dyDescent="0.25">
      <c r="C1014" s="33" t="s">
        <v>424</v>
      </c>
      <c r="D1014" s="30">
        <v>1</v>
      </c>
      <c r="E1014" s="30">
        <v>20</v>
      </c>
      <c r="F1014" s="30">
        <f t="shared" si="34"/>
        <v>20</v>
      </c>
      <c r="G1014" s="30" t="s">
        <v>9</v>
      </c>
      <c r="J1014" s="30" t="s">
        <v>392</v>
      </c>
    </row>
    <row r="1015" spans="1:10" ht="30" x14ac:dyDescent="0.25">
      <c r="C1015" s="61" t="s">
        <v>12</v>
      </c>
      <c r="D1015" s="30">
        <v>2</v>
      </c>
      <c r="E1015" s="30">
        <v>5</v>
      </c>
      <c r="F1015" s="30">
        <f t="shared" si="34"/>
        <v>10</v>
      </c>
      <c r="G1015" s="30" t="s">
        <v>9</v>
      </c>
      <c r="J1015" s="30" t="s">
        <v>392</v>
      </c>
    </row>
    <row r="1016" spans="1:10" x14ac:dyDescent="0.25">
      <c r="C1016" s="19" t="s">
        <v>546</v>
      </c>
      <c r="D1016" s="30">
        <v>1</v>
      </c>
      <c r="E1016" s="30">
        <v>40</v>
      </c>
      <c r="F1016" s="30">
        <f t="shared" si="34"/>
        <v>40</v>
      </c>
      <c r="G1016" s="30" t="s">
        <v>9</v>
      </c>
      <c r="J1016" s="30" t="s">
        <v>392</v>
      </c>
    </row>
    <row r="1017" spans="1:10" x14ac:dyDescent="0.25">
      <c r="C1017" s="33" t="s">
        <v>326</v>
      </c>
      <c r="D1017" s="30">
        <v>2</v>
      </c>
      <c r="E1017" s="30">
        <v>50</v>
      </c>
      <c r="F1017" s="30">
        <f t="shared" si="34"/>
        <v>100</v>
      </c>
      <c r="G1017" s="30" t="s">
        <v>9</v>
      </c>
      <c r="J1017" s="30" t="s">
        <v>392</v>
      </c>
    </row>
    <row r="1018" spans="1:10" x14ac:dyDescent="0.25">
      <c r="C1018" s="33" t="s">
        <v>656</v>
      </c>
      <c r="D1018" s="30">
        <v>1</v>
      </c>
      <c r="E1018" s="30">
        <v>35</v>
      </c>
      <c r="F1018" s="30">
        <f t="shared" si="34"/>
        <v>35</v>
      </c>
      <c r="G1018" s="30" t="s">
        <v>9</v>
      </c>
      <c r="J1018" s="30" t="s">
        <v>392</v>
      </c>
    </row>
    <row r="1019" spans="1:10" x14ac:dyDescent="0.25">
      <c r="C1019" s="33" t="s">
        <v>421</v>
      </c>
      <c r="D1019" s="30">
        <v>2</v>
      </c>
      <c r="E1019" s="30">
        <v>10</v>
      </c>
      <c r="F1019" s="30">
        <f t="shared" si="34"/>
        <v>20</v>
      </c>
      <c r="G1019" s="30" t="s">
        <v>9</v>
      </c>
      <c r="J1019" s="30" t="s">
        <v>392</v>
      </c>
    </row>
    <row r="1020" spans="1:10" x14ac:dyDescent="0.25">
      <c r="C1020" s="33" t="s">
        <v>633</v>
      </c>
      <c r="D1020" s="30">
        <v>1</v>
      </c>
      <c r="E1020" s="30">
        <v>10</v>
      </c>
      <c r="F1020" s="30">
        <f t="shared" si="34"/>
        <v>10</v>
      </c>
      <c r="G1020" s="30" t="s">
        <v>9</v>
      </c>
      <c r="I1020" s="139">
        <f>SUM(F984:F1020)</f>
        <v>1230.5700000000002</v>
      </c>
      <c r="J1020" s="30" t="s">
        <v>392</v>
      </c>
    </row>
    <row r="1021" spans="1:10" s="69" customFormat="1" ht="18.75" x14ac:dyDescent="0.3">
      <c r="A1021" s="235" t="s">
        <v>437</v>
      </c>
      <c r="B1021" s="236"/>
      <c r="C1021" s="236"/>
      <c r="D1021" s="236"/>
      <c r="E1021" s="236"/>
      <c r="F1021" s="236"/>
      <c r="G1021" s="236"/>
      <c r="H1021" s="237"/>
      <c r="I1021" s="69">
        <f>SUM(I1020,I983)</f>
        <v>1290.5700000000002</v>
      </c>
    </row>
    <row r="1022" spans="1:10" x14ac:dyDescent="0.25">
      <c r="A1022" s="78">
        <v>46148</v>
      </c>
      <c r="C1022" s="19" t="s">
        <v>657</v>
      </c>
      <c r="D1022" s="30">
        <v>1</v>
      </c>
      <c r="E1022" s="30">
        <v>10</v>
      </c>
      <c r="F1022" s="30">
        <f t="shared" ref="F1022:F1054" si="35">E1022*D1022</f>
        <v>10</v>
      </c>
      <c r="G1022" s="30" t="s">
        <v>9</v>
      </c>
      <c r="J1022" s="30" t="s">
        <v>391</v>
      </c>
    </row>
    <row r="1023" spans="1:10" x14ac:dyDescent="0.25">
      <c r="C1023" s="19" t="s">
        <v>354</v>
      </c>
      <c r="D1023" s="30">
        <v>2</v>
      </c>
      <c r="E1023" s="30">
        <v>10</v>
      </c>
      <c r="F1023" s="30">
        <f t="shared" si="35"/>
        <v>20</v>
      </c>
      <c r="J1023" s="30" t="s">
        <v>391</v>
      </c>
    </row>
    <row r="1024" spans="1:10" x14ac:dyDescent="0.25">
      <c r="C1024" s="19" t="s">
        <v>651</v>
      </c>
      <c r="D1024" s="30">
        <v>4</v>
      </c>
      <c r="E1024" s="30">
        <v>8</v>
      </c>
      <c r="F1024" s="30">
        <f t="shared" si="35"/>
        <v>32</v>
      </c>
      <c r="J1024" s="30" t="s">
        <v>391</v>
      </c>
    </row>
    <row r="1025" spans="1:10" x14ac:dyDescent="0.25">
      <c r="C1025" s="19" t="s">
        <v>638</v>
      </c>
      <c r="D1025" s="30">
        <v>1</v>
      </c>
      <c r="E1025" s="30">
        <v>30</v>
      </c>
      <c r="F1025" s="30">
        <f t="shared" si="35"/>
        <v>30</v>
      </c>
      <c r="J1025" s="30" t="s">
        <v>391</v>
      </c>
    </row>
    <row r="1026" spans="1:10" x14ac:dyDescent="0.25">
      <c r="C1026" s="61" t="s">
        <v>154</v>
      </c>
      <c r="D1026" s="30">
        <v>3</v>
      </c>
      <c r="E1026" s="30">
        <v>1</v>
      </c>
      <c r="F1026" s="30">
        <f t="shared" si="35"/>
        <v>3</v>
      </c>
      <c r="J1026" s="30" t="s">
        <v>391</v>
      </c>
    </row>
    <row r="1027" spans="1:10" x14ac:dyDescent="0.25">
      <c r="C1027" s="33" t="s">
        <v>651</v>
      </c>
      <c r="D1027" s="30">
        <v>5</v>
      </c>
      <c r="E1027" s="30">
        <v>8</v>
      </c>
      <c r="F1027" s="30">
        <f t="shared" si="35"/>
        <v>40</v>
      </c>
      <c r="J1027" s="30" t="s">
        <v>391</v>
      </c>
    </row>
    <row r="1028" spans="1:10" x14ac:dyDescent="0.25">
      <c r="C1028" s="19" t="s">
        <v>498</v>
      </c>
      <c r="D1028" s="30">
        <v>7.4999999999999997E-2</v>
      </c>
      <c r="E1028" s="30">
        <v>200</v>
      </c>
      <c r="F1028" s="30">
        <f t="shared" si="35"/>
        <v>15</v>
      </c>
      <c r="J1028" s="30" t="s">
        <v>391</v>
      </c>
    </row>
    <row r="1029" spans="1:10" x14ac:dyDescent="0.25">
      <c r="C1029" s="19" t="s">
        <v>573</v>
      </c>
      <c r="D1029" s="30">
        <v>1</v>
      </c>
      <c r="E1029" s="30">
        <v>10</v>
      </c>
      <c r="F1029" s="30">
        <f t="shared" si="35"/>
        <v>10</v>
      </c>
      <c r="J1029" s="30" t="s">
        <v>391</v>
      </c>
    </row>
    <row r="1030" spans="1:10" x14ac:dyDescent="0.25">
      <c r="C1030" s="19" t="s">
        <v>365</v>
      </c>
      <c r="D1030" s="30">
        <v>2</v>
      </c>
      <c r="E1030" s="30">
        <v>5</v>
      </c>
      <c r="F1030" s="30">
        <f t="shared" si="35"/>
        <v>10</v>
      </c>
      <c r="J1030" s="30" t="s">
        <v>391</v>
      </c>
    </row>
    <row r="1031" spans="1:10" x14ac:dyDescent="0.25">
      <c r="C1031" s="33" t="s">
        <v>345</v>
      </c>
      <c r="D1031" s="30">
        <v>5</v>
      </c>
      <c r="E1031" s="30">
        <v>1</v>
      </c>
      <c r="F1031" s="30">
        <f t="shared" si="35"/>
        <v>5</v>
      </c>
      <c r="J1031" s="30" t="s">
        <v>391</v>
      </c>
    </row>
    <row r="1032" spans="1:10" x14ac:dyDescent="0.25">
      <c r="C1032" s="33" t="s">
        <v>326</v>
      </c>
      <c r="D1032" s="30">
        <v>2</v>
      </c>
      <c r="E1032" s="30">
        <v>50</v>
      </c>
      <c r="F1032" s="30">
        <f t="shared" si="35"/>
        <v>100</v>
      </c>
      <c r="J1032" s="30" t="s">
        <v>391</v>
      </c>
    </row>
    <row r="1033" spans="1:10" x14ac:dyDescent="0.25">
      <c r="C1033" s="33" t="s">
        <v>93</v>
      </c>
      <c r="D1033" s="30">
        <v>1</v>
      </c>
      <c r="E1033" s="30">
        <v>35</v>
      </c>
      <c r="F1033" s="30">
        <f t="shared" si="35"/>
        <v>35</v>
      </c>
      <c r="J1033" s="30" t="s">
        <v>391</v>
      </c>
    </row>
    <row r="1034" spans="1:10" x14ac:dyDescent="0.25">
      <c r="C1034" s="19" t="s">
        <v>354</v>
      </c>
      <c r="D1034" s="30">
        <v>2</v>
      </c>
      <c r="E1034" s="30">
        <v>10</v>
      </c>
      <c r="F1034" s="30">
        <f t="shared" si="35"/>
        <v>20</v>
      </c>
      <c r="J1034" s="30" t="s">
        <v>391</v>
      </c>
    </row>
    <row r="1035" spans="1:10" x14ac:dyDescent="0.25">
      <c r="C1035" s="33" t="s">
        <v>651</v>
      </c>
      <c r="D1035" s="30">
        <v>4</v>
      </c>
      <c r="E1035" s="30">
        <v>8</v>
      </c>
      <c r="F1035" s="30">
        <f t="shared" si="35"/>
        <v>32</v>
      </c>
      <c r="J1035" s="30" t="s">
        <v>391</v>
      </c>
    </row>
    <row r="1036" spans="1:10" x14ac:dyDescent="0.25">
      <c r="C1036" s="70" t="s">
        <v>325</v>
      </c>
      <c r="D1036" s="99">
        <v>2</v>
      </c>
      <c r="E1036" s="99">
        <v>16</v>
      </c>
      <c r="F1036" s="99">
        <f t="shared" si="35"/>
        <v>32</v>
      </c>
      <c r="G1036" s="99"/>
      <c r="H1036" s="100" t="s">
        <v>658</v>
      </c>
      <c r="I1036" s="140">
        <f>SUM(F1022:F1036)</f>
        <v>394</v>
      </c>
      <c r="J1036" s="30" t="s">
        <v>391</v>
      </c>
    </row>
    <row r="1037" spans="1:10" s="101" customFormat="1" x14ac:dyDescent="0.25">
      <c r="A1037" s="103"/>
      <c r="B1037" s="105"/>
      <c r="C1037" s="104" t="s">
        <v>74</v>
      </c>
      <c r="D1037" s="101">
        <v>1</v>
      </c>
      <c r="E1037" s="101">
        <v>20</v>
      </c>
      <c r="F1037" s="101">
        <f t="shared" si="35"/>
        <v>20</v>
      </c>
      <c r="H1037" s="105" t="s">
        <v>660</v>
      </c>
      <c r="I1037" s="105"/>
      <c r="J1037" s="101" t="s">
        <v>392</v>
      </c>
    </row>
    <row r="1038" spans="1:10" x14ac:dyDescent="0.25">
      <c r="C1038" s="33" t="s">
        <v>420</v>
      </c>
      <c r="D1038" s="30">
        <v>1</v>
      </c>
      <c r="E1038" s="30">
        <v>10</v>
      </c>
      <c r="F1038" s="30">
        <f t="shared" si="35"/>
        <v>10</v>
      </c>
      <c r="J1038" s="101" t="s">
        <v>392</v>
      </c>
    </row>
    <row r="1039" spans="1:10" x14ac:dyDescent="0.25">
      <c r="C1039" s="33" t="s">
        <v>532</v>
      </c>
      <c r="D1039" s="30">
        <v>1</v>
      </c>
      <c r="E1039" s="30">
        <v>5</v>
      </c>
      <c r="F1039" s="30">
        <f t="shared" si="35"/>
        <v>5</v>
      </c>
      <c r="J1039" s="101" t="s">
        <v>392</v>
      </c>
    </row>
    <row r="1040" spans="1:10" x14ac:dyDescent="0.25">
      <c r="C1040" s="19" t="s">
        <v>556</v>
      </c>
      <c r="D1040" s="30">
        <v>1</v>
      </c>
      <c r="E1040" s="30">
        <v>10</v>
      </c>
      <c r="F1040" s="30">
        <f t="shared" si="35"/>
        <v>10</v>
      </c>
      <c r="J1040" s="101" t="s">
        <v>392</v>
      </c>
    </row>
    <row r="1041" spans="1:10" x14ac:dyDescent="0.25">
      <c r="C1041" s="19" t="s">
        <v>386</v>
      </c>
      <c r="D1041" s="30">
        <v>1</v>
      </c>
      <c r="E1041" s="30">
        <v>10</v>
      </c>
      <c r="F1041" s="30">
        <f t="shared" si="35"/>
        <v>10</v>
      </c>
      <c r="J1041" s="101" t="s">
        <v>392</v>
      </c>
    </row>
    <row r="1042" spans="1:10" x14ac:dyDescent="0.25">
      <c r="C1042" s="33" t="s">
        <v>476</v>
      </c>
      <c r="D1042" s="30">
        <v>1</v>
      </c>
      <c r="E1042" s="30">
        <v>20</v>
      </c>
      <c r="F1042" s="30">
        <f t="shared" si="35"/>
        <v>20</v>
      </c>
      <c r="J1042" s="101" t="s">
        <v>392</v>
      </c>
    </row>
    <row r="1043" spans="1:10" x14ac:dyDescent="0.25">
      <c r="C1043" s="33" t="s">
        <v>422</v>
      </c>
      <c r="D1043" s="30">
        <v>1</v>
      </c>
      <c r="E1043" s="30">
        <v>10</v>
      </c>
      <c r="F1043" s="30">
        <f t="shared" si="35"/>
        <v>10</v>
      </c>
      <c r="J1043" s="101" t="s">
        <v>392</v>
      </c>
    </row>
    <row r="1044" spans="1:10" x14ac:dyDescent="0.25">
      <c r="C1044" s="33" t="s">
        <v>633</v>
      </c>
      <c r="D1044" s="30">
        <v>1</v>
      </c>
      <c r="E1044" s="30">
        <v>10</v>
      </c>
      <c r="F1044" s="30">
        <f t="shared" si="35"/>
        <v>10</v>
      </c>
      <c r="J1044" s="101" t="s">
        <v>392</v>
      </c>
    </row>
    <row r="1045" spans="1:10" x14ac:dyDescent="0.25">
      <c r="C1045" s="19" t="s">
        <v>657</v>
      </c>
      <c r="D1045" s="30">
        <v>1</v>
      </c>
      <c r="E1045" s="30">
        <v>10</v>
      </c>
      <c r="F1045" s="30">
        <f t="shared" si="35"/>
        <v>10</v>
      </c>
      <c r="J1045" s="101" t="s">
        <v>392</v>
      </c>
    </row>
    <row r="1046" spans="1:10" x14ac:dyDescent="0.25">
      <c r="C1046" s="33" t="s">
        <v>651</v>
      </c>
      <c r="D1046" s="30">
        <v>5</v>
      </c>
      <c r="E1046" s="30">
        <v>8</v>
      </c>
      <c r="F1046" s="30">
        <f t="shared" si="35"/>
        <v>40</v>
      </c>
      <c r="J1046" s="101" t="s">
        <v>392</v>
      </c>
    </row>
    <row r="1047" spans="1:10" x14ac:dyDescent="0.25">
      <c r="C1047" s="33" t="s">
        <v>326</v>
      </c>
      <c r="D1047" s="30">
        <v>2</v>
      </c>
      <c r="E1047" s="30">
        <v>50</v>
      </c>
      <c r="F1047" s="30">
        <f t="shared" si="35"/>
        <v>100</v>
      </c>
      <c r="J1047" s="101" t="s">
        <v>392</v>
      </c>
    </row>
    <row r="1048" spans="1:10" x14ac:dyDescent="0.25">
      <c r="C1048" s="33" t="s">
        <v>326</v>
      </c>
      <c r="D1048" s="30">
        <v>1.5</v>
      </c>
      <c r="E1048" s="30">
        <v>50</v>
      </c>
      <c r="F1048" s="30">
        <f t="shared" si="35"/>
        <v>75</v>
      </c>
      <c r="J1048" s="101" t="s">
        <v>392</v>
      </c>
    </row>
    <row r="1049" spans="1:10" x14ac:dyDescent="0.25">
      <c r="C1049" s="33" t="s">
        <v>325</v>
      </c>
      <c r="D1049" s="30">
        <v>1</v>
      </c>
      <c r="E1049" s="30">
        <v>18</v>
      </c>
      <c r="F1049" s="30">
        <f t="shared" si="35"/>
        <v>18</v>
      </c>
      <c r="J1049" s="101" t="s">
        <v>392</v>
      </c>
    </row>
    <row r="1050" spans="1:10" x14ac:dyDescent="0.25">
      <c r="C1050" s="33" t="s">
        <v>651</v>
      </c>
      <c r="D1050" s="30">
        <v>4</v>
      </c>
      <c r="E1050" s="30">
        <v>32</v>
      </c>
      <c r="F1050" s="30">
        <f t="shared" si="35"/>
        <v>128</v>
      </c>
      <c r="J1050" s="101" t="s">
        <v>392</v>
      </c>
    </row>
    <row r="1051" spans="1:10" x14ac:dyDescent="0.25">
      <c r="C1051" s="19" t="s">
        <v>159</v>
      </c>
      <c r="D1051" s="30">
        <v>0.5</v>
      </c>
      <c r="E1051" s="30">
        <v>138</v>
      </c>
      <c r="F1051" s="30">
        <f t="shared" si="35"/>
        <v>69</v>
      </c>
      <c r="J1051" s="101" t="s">
        <v>392</v>
      </c>
    </row>
    <row r="1052" spans="1:10" x14ac:dyDescent="0.25">
      <c r="C1052" s="19" t="s">
        <v>612</v>
      </c>
      <c r="D1052" s="30">
        <v>1</v>
      </c>
      <c r="E1052" s="30">
        <v>80</v>
      </c>
      <c r="F1052" s="30">
        <f t="shared" si="35"/>
        <v>80</v>
      </c>
      <c r="J1052" s="101" t="s">
        <v>392</v>
      </c>
    </row>
    <row r="1053" spans="1:10" x14ac:dyDescent="0.25">
      <c r="C1053" s="33" t="s">
        <v>512</v>
      </c>
      <c r="D1053" s="30">
        <v>1</v>
      </c>
      <c r="E1053" s="30">
        <v>10</v>
      </c>
      <c r="F1053" s="30">
        <f t="shared" si="35"/>
        <v>10</v>
      </c>
      <c r="J1053" s="101" t="s">
        <v>392</v>
      </c>
    </row>
    <row r="1054" spans="1:10" x14ac:dyDescent="0.25">
      <c r="C1054" s="33" t="s">
        <v>345</v>
      </c>
      <c r="D1054" s="30">
        <v>1</v>
      </c>
      <c r="E1054" s="30">
        <v>1</v>
      </c>
      <c r="F1054" s="30">
        <f t="shared" si="35"/>
        <v>1</v>
      </c>
      <c r="I1054" s="139">
        <f>SUM(F1037:F1054)</f>
        <v>626</v>
      </c>
      <c r="J1054" s="101" t="s">
        <v>392</v>
      </c>
    </row>
    <row r="1055" spans="1:10" s="69" customFormat="1" ht="18.75" x14ac:dyDescent="0.3">
      <c r="A1055" s="235" t="s">
        <v>437</v>
      </c>
      <c r="B1055" s="236"/>
      <c r="C1055" s="236"/>
      <c r="D1055" s="236"/>
      <c r="E1055" s="236"/>
      <c r="F1055" s="236"/>
      <c r="G1055" s="236"/>
      <c r="H1055" s="237"/>
      <c r="I1055" s="69">
        <f>SUM(I1054,I1036)</f>
        <v>1020</v>
      </c>
    </row>
    <row r="1056" spans="1:10" x14ac:dyDescent="0.25">
      <c r="A1056" s="78">
        <v>46149</v>
      </c>
      <c r="C1056" s="19" t="s">
        <v>503</v>
      </c>
      <c r="D1056" s="30">
        <v>1</v>
      </c>
      <c r="E1056" s="30">
        <v>10</v>
      </c>
      <c r="F1056" s="30">
        <f t="shared" ref="F1056:F1087" si="36">E1056*D1056</f>
        <v>10</v>
      </c>
      <c r="G1056" s="30" t="s">
        <v>9</v>
      </c>
      <c r="J1056" s="30" t="s">
        <v>391</v>
      </c>
    </row>
    <row r="1057" spans="3:10" ht="30" x14ac:dyDescent="0.25">
      <c r="C1057" s="19" t="s">
        <v>377</v>
      </c>
      <c r="D1057" s="30">
        <v>1</v>
      </c>
      <c r="E1057" s="30">
        <v>9.5</v>
      </c>
      <c r="F1057" s="30">
        <f t="shared" si="36"/>
        <v>9.5</v>
      </c>
      <c r="G1057" s="30" t="s">
        <v>9</v>
      </c>
      <c r="J1057" s="30" t="s">
        <v>391</v>
      </c>
    </row>
    <row r="1058" spans="3:10" x14ac:dyDescent="0.25">
      <c r="C1058" s="33" t="s">
        <v>81</v>
      </c>
      <c r="D1058" s="30">
        <v>8</v>
      </c>
      <c r="E1058" s="30">
        <v>1</v>
      </c>
      <c r="F1058" s="30">
        <f t="shared" si="36"/>
        <v>8</v>
      </c>
      <c r="G1058" s="30" t="s">
        <v>9</v>
      </c>
      <c r="J1058" s="30" t="s">
        <v>391</v>
      </c>
    </row>
    <row r="1059" spans="3:10" x14ac:dyDescent="0.25">
      <c r="C1059" s="33" t="s">
        <v>55</v>
      </c>
      <c r="D1059" s="30">
        <v>2</v>
      </c>
      <c r="E1059" s="30">
        <v>1</v>
      </c>
      <c r="F1059" s="30">
        <f t="shared" si="36"/>
        <v>2</v>
      </c>
      <c r="G1059" s="30" t="s">
        <v>9</v>
      </c>
      <c r="J1059" s="30" t="s">
        <v>391</v>
      </c>
    </row>
    <row r="1060" spans="3:10" ht="30" x14ac:dyDescent="0.25">
      <c r="C1060" s="19" t="s">
        <v>625</v>
      </c>
      <c r="D1060" s="30">
        <v>1</v>
      </c>
      <c r="E1060" s="30">
        <v>155</v>
      </c>
      <c r="F1060" s="30">
        <f t="shared" si="36"/>
        <v>155</v>
      </c>
      <c r="G1060" s="30" t="s">
        <v>9</v>
      </c>
      <c r="J1060" s="30" t="s">
        <v>391</v>
      </c>
    </row>
    <row r="1061" spans="3:10" x14ac:dyDescent="0.25">
      <c r="C1061" s="33" t="s">
        <v>546</v>
      </c>
      <c r="D1061" s="30">
        <v>1</v>
      </c>
      <c r="E1061" s="30">
        <v>40</v>
      </c>
      <c r="F1061" s="30">
        <f t="shared" si="36"/>
        <v>40</v>
      </c>
      <c r="G1061" s="30" t="s">
        <v>9</v>
      </c>
      <c r="J1061" s="30" t="s">
        <v>391</v>
      </c>
    </row>
    <row r="1062" spans="3:10" x14ac:dyDescent="0.25">
      <c r="C1062" s="87" t="s">
        <v>41</v>
      </c>
      <c r="D1062" s="80">
        <v>1</v>
      </c>
      <c r="E1062" s="80">
        <v>74</v>
      </c>
      <c r="F1062" s="80">
        <f t="shared" si="36"/>
        <v>74</v>
      </c>
      <c r="G1062" s="80" t="s">
        <v>9</v>
      </c>
      <c r="H1062" s="82" t="s">
        <v>658</v>
      </c>
      <c r="I1062" s="82"/>
      <c r="J1062" s="30" t="s">
        <v>391</v>
      </c>
    </row>
    <row r="1063" spans="3:10" x14ac:dyDescent="0.25">
      <c r="C1063" s="87" t="str">
        <f>'Stock Register'!A18</f>
        <v>AMUL TAAZA 500 ML LOT 2</v>
      </c>
      <c r="D1063" s="80">
        <v>1</v>
      </c>
      <c r="E1063" s="80">
        <v>38</v>
      </c>
      <c r="F1063" s="80">
        <f t="shared" si="36"/>
        <v>38</v>
      </c>
      <c r="G1063" s="80" t="s">
        <v>9</v>
      </c>
      <c r="H1063" s="82" t="s">
        <v>658</v>
      </c>
      <c r="I1063" s="82"/>
      <c r="J1063" s="30" t="s">
        <v>391</v>
      </c>
    </row>
    <row r="1064" spans="3:10" ht="30" x14ac:dyDescent="0.25">
      <c r="C1064" s="81" t="s">
        <v>601</v>
      </c>
      <c r="D1064" s="80">
        <v>1</v>
      </c>
      <c r="E1064" s="80">
        <v>67</v>
      </c>
      <c r="F1064" s="80">
        <f t="shared" si="36"/>
        <v>67</v>
      </c>
      <c r="G1064" s="80" t="s">
        <v>9</v>
      </c>
      <c r="H1064" s="82" t="s">
        <v>658</v>
      </c>
      <c r="I1064" s="82"/>
      <c r="J1064" s="30" t="s">
        <v>391</v>
      </c>
    </row>
    <row r="1065" spans="3:10" x14ac:dyDescent="0.25">
      <c r="C1065" s="87" t="s">
        <v>617</v>
      </c>
      <c r="D1065" s="80">
        <v>2</v>
      </c>
      <c r="E1065" s="80">
        <v>35</v>
      </c>
      <c r="F1065" s="80">
        <f t="shared" si="36"/>
        <v>70</v>
      </c>
      <c r="G1065" s="80" t="s">
        <v>9</v>
      </c>
      <c r="H1065" s="82" t="s">
        <v>658</v>
      </c>
      <c r="I1065" s="82"/>
      <c r="J1065" s="30" t="s">
        <v>391</v>
      </c>
    </row>
    <row r="1066" spans="3:10" x14ac:dyDescent="0.25">
      <c r="C1066" s="87" t="s">
        <v>605</v>
      </c>
      <c r="D1066" s="80">
        <v>1</v>
      </c>
      <c r="E1066" s="80">
        <v>198</v>
      </c>
      <c r="F1066" s="80">
        <f t="shared" si="36"/>
        <v>198</v>
      </c>
      <c r="G1066" s="80" t="s">
        <v>9</v>
      </c>
      <c r="H1066" s="82" t="s">
        <v>658</v>
      </c>
      <c r="I1066" s="82"/>
      <c r="J1066" s="30" t="s">
        <v>391</v>
      </c>
    </row>
    <row r="1067" spans="3:10" x14ac:dyDescent="0.25">
      <c r="C1067" s="87" t="s">
        <v>645</v>
      </c>
      <c r="D1067" s="80">
        <v>2</v>
      </c>
      <c r="E1067" s="80">
        <v>10</v>
      </c>
      <c r="F1067" s="80">
        <f t="shared" si="36"/>
        <v>20</v>
      </c>
      <c r="G1067" s="80" t="s">
        <v>9</v>
      </c>
      <c r="H1067" s="82" t="s">
        <v>658</v>
      </c>
      <c r="I1067" s="82"/>
      <c r="J1067" s="30" t="s">
        <v>391</v>
      </c>
    </row>
    <row r="1068" spans="3:10" ht="30" x14ac:dyDescent="0.25">
      <c r="C1068" s="87" t="s">
        <v>501</v>
      </c>
      <c r="D1068" s="80">
        <v>4</v>
      </c>
      <c r="E1068" s="80">
        <v>5</v>
      </c>
      <c r="F1068" s="80">
        <f t="shared" si="36"/>
        <v>20</v>
      </c>
      <c r="G1068" s="80" t="s">
        <v>9</v>
      </c>
      <c r="H1068" s="82" t="s">
        <v>658</v>
      </c>
      <c r="I1068" s="82">
        <f>SUM(F1062:F1070)</f>
        <v>527</v>
      </c>
      <c r="J1068" s="30" t="s">
        <v>391</v>
      </c>
    </row>
    <row r="1069" spans="3:10" x14ac:dyDescent="0.25">
      <c r="C1069" s="87" t="s">
        <v>503</v>
      </c>
      <c r="D1069" s="80">
        <v>2</v>
      </c>
      <c r="E1069" s="80">
        <v>10</v>
      </c>
      <c r="F1069" s="80">
        <f t="shared" si="36"/>
        <v>20</v>
      </c>
      <c r="G1069" s="80" t="s">
        <v>9</v>
      </c>
      <c r="H1069" s="82" t="s">
        <v>658</v>
      </c>
      <c r="I1069" s="82"/>
      <c r="J1069" s="30" t="s">
        <v>391</v>
      </c>
    </row>
    <row r="1070" spans="3:10" x14ac:dyDescent="0.25">
      <c r="C1070" s="87" t="s">
        <v>647</v>
      </c>
      <c r="D1070" s="80">
        <v>4</v>
      </c>
      <c r="E1070" s="80">
        <v>5</v>
      </c>
      <c r="F1070" s="80">
        <f t="shared" si="36"/>
        <v>20</v>
      </c>
      <c r="G1070" s="80" t="s">
        <v>9</v>
      </c>
      <c r="H1070" s="82" t="s">
        <v>658</v>
      </c>
      <c r="I1070" s="82"/>
      <c r="J1070" s="30" t="s">
        <v>391</v>
      </c>
    </row>
    <row r="1071" spans="3:10" x14ac:dyDescent="0.25">
      <c r="C1071" s="19" t="s">
        <v>365</v>
      </c>
      <c r="D1071" s="30">
        <v>1</v>
      </c>
      <c r="E1071" s="30">
        <v>5</v>
      </c>
      <c r="F1071" s="30">
        <f t="shared" si="36"/>
        <v>5</v>
      </c>
      <c r="G1071" s="30" t="s">
        <v>9</v>
      </c>
      <c r="J1071" s="30" t="s">
        <v>391</v>
      </c>
    </row>
    <row r="1072" spans="3:10" x14ac:dyDescent="0.25">
      <c r="C1072" s="19" t="s">
        <v>502</v>
      </c>
      <c r="D1072" s="30">
        <v>2</v>
      </c>
      <c r="E1072" s="30">
        <v>10</v>
      </c>
      <c r="F1072" s="30">
        <f t="shared" si="36"/>
        <v>20</v>
      </c>
      <c r="G1072" s="30" t="s">
        <v>9</v>
      </c>
      <c r="I1072" s="139">
        <f>SUM(F1056:F1072)</f>
        <v>776.5</v>
      </c>
      <c r="J1072" s="30" t="s">
        <v>391</v>
      </c>
    </row>
    <row r="1073" spans="3:10" x14ac:dyDescent="0.25">
      <c r="C1073" s="19" t="s">
        <v>8</v>
      </c>
      <c r="D1073" s="30">
        <v>1</v>
      </c>
      <c r="E1073" s="30">
        <v>30</v>
      </c>
      <c r="F1073" s="30">
        <f t="shared" si="36"/>
        <v>30</v>
      </c>
      <c r="G1073" s="30" t="s">
        <v>9</v>
      </c>
      <c r="J1073" s="30" t="s">
        <v>392</v>
      </c>
    </row>
    <row r="1074" spans="3:10" x14ac:dyDescent="0.25">
      <c r="C1074" s="19" t="s">
        <v>633</v>
      </c>
      <c r="D1074" s="30">
        <v>3</v>
      </c>
      <c r="E1074" s="30">
        <v>10</v>
      </c>
      <c r="F1074" s="30">
        <f t="shared" si="36"/>
        <v>30</v>
      </c>
      <c r="G1074" s="30" t="s">
        <v>9</v>
      </c>
      <c r="J1074" s="30" t="s">
        <v>392</v>
      </c>
    </row>
    <row r="1075" spans="3:10" x14ac:dyDescent="0.25">
      <c r="C1075" s="19" t="s">
        <v>422</v>
      </c>
      <c r="D1075" s="30">
        <v>1</v>
      </c>
      <c r="E1075" s="30">
        <v>10</v>
      </c>
      <c r="F1075" s="30">
        <f t="shared" si="36"/>
        <v>10</v>
      </c>
      <c r="G1075" s="30" t="s">
        <v>9</v>
      </c>
      <c r="J1075" s="30" t="s">
        <v>392</v>
      </c>
    </row>
    <row r="1076" spans="3:10" x14ac:dyDescent="0.25">
      <c r="C1076" s="19" t="s">
        <v>553</v>
      </c>
      <c r="D1076" s="30">
        <v>2</v>
      </c>
      <c r="E1076" s="30">
        <v>5</v>
      </c>
      <c r="F1076" s="30">
        <f t="shared" si="36"/>
        <v>10</v>
      </c>
      <c r="G1076" s="30" t="s">
        <v>9</v>
      </c>
      <c r="J1076" s="30" t="s">
        <v>392</v>
      </c>
    </row>
    <row r="1077" spans="3:10" x14ac:dyDescent="0.25">
      <c r="C1077" s="19" t="s">
        <v>158</v>
      </c>
      <c r="D1077" s="30">
        <v>0.11700000000000001</v>
      </c>
      <c r="E1077" s="30">
        <v>170</v>
      </c>
      <c r="F1077" s="30">
        <f t="shared" si="36"/>
        <v>19.89</v>
      </c>
      <c r="G1077" s="30" t="s">
        <v>9</v>
      </c>
      <c r="H1077" s="68" t="s">
        <v>566</v>
      </c>
      <c r="J1077" s="30" t="s">
        <v>392</v>
      </c>
    </row>
    <row r="1078" spans="3:10" x14ac:dyDescent="0.25">
      <c r="C1078" s="19" t="s">
        <v>143</v>
      </c>
      <c r="D1078" s="30">
        <v>0.05</v>
      </c>
      <c r="E1078" s="30">
        <v>300</v>
      </c>
      <c r="F1078" s="30">
        <f t="shared" si="36"/>
        <v>15</v>
      </c>
      <c r="G1078" s="30" t="s">
        <v>9</v>
      </c>
      <c r="J1078" s="30" t="s">
        <v>392</v>
      </c>
    </row>
    <row r="1079" spans="3:10" x14ac:dyDescent="0.25">
      <c r="C1079" s="19" t="s">
        <v>157</v>
      </c>
      <c r="D1079" s="30">
        <v>0.254</v>
      </c>
      <c r="E1079" s="30">
        <v>200</v>
      </c>
      <c r="F1079" s="30">
        <f t="shared" si="36"/>
        <v>50.8</v>
      </c>
      <c r="G1079" s="30" t="s">
        <v>9</v>
      </c>
      <c r="H1079" s="68" t="s">
        <v>566</v>
      </c>
      <c r="J1079" s="30" t="s">
        <v>392</v>
      </c>
    </row>
    <row r="1080" spans="3:10" x14ac:dyDescent="0.25">
      <c r="C1080" s="33" t="s">
        <v>651</v>
      </c>
      <c r="D1080" s="30">
        <v>4</v>
      </c>
      <c r="E1080" s="30">
        <v>8</v>
      </c>
      <c r="F1080" s="30">
        <f t="shared" si="36"/>
        <v>32</v>
      </c>
      <c r="G1080" s="30" t="s">
        <v>9</v>
      </c>
      <c r="J1080" s="30" t="s">
        <v>392</v>
      </c>
    </row>
    <row r="1081" spans="3:10" x14ac:dyDescent="0.25">
      <c r="C1081" s="33" t="s">
        <v>422</v>
      </c>
      <c r="D1081" s="30">
        <v>1</v>
      </c>
      <c r="E1081" s="30">
        <v>10</v>
      </c>
      <c r="F1081" s="30">
        <f t="shared" si="36"/>
        <v>10</v>
      </c>
      <c r="G1081" s="30" t="s">
        <v>9</v>
      </c>
      <c r="J1081" s="30" t="s">
        <v>392</v>
      </c>
    </row>
    <row r="1082" spans="3:10" x14ac:dyDescent="0.25">
      <c r="C1082" s="33" t="s">
        <v>656</v>
      </c>
      <c r="D1082" s="30">
        <v>1</v>
      </c>
      <c r="E1082" s="30">
        <v>35</v>
      </c>
      <c r="F1082" s="30">
        <f t="shared" si="36"/>
        <v>35</v>
      </c>
      <c r="G1082" s="30" t="s">
        <v>9</v>
      </c>
      <c r="J1082" s="30" t="s">
        <v>392</v>
      </c>
    </row>
    <row r="1083" spans="3:10" x14ac:dyDescent="0.25">
      <c r="C1083" s="33" t="s">
        <v>345</v>
      </c>
      <c r="D1083" s="30">
        <v>5</v>
      </c>
      <c r="E1083" s="30">
        <v>1</v>
      </c>
      <c r="F1083" s="30">
        <f t="shared" si="36"/>
        <v>5</v>
      </c>
      <c r="G1083" s="30" t="s">
        <v>9</v>
      </c>
      <c r="J1083" s="30" t="s">
        <v>392</v>
      </c>
    </row>
    <row r="1084" spans="3:10" x14ac:dyDescent="0.25">
      <c r="C1084" s="33" t="s">
        <v>445</v>
      </c>
      <c r="D1084" s="30">
        <v>1</v>
      </c>
      <c r="E1084" s="30">
        <v>10</v>
      </c>
      <c r="F1084" s="30">
        <f t="shared" si="36"/>
        <v>10</v>
      </c>
      <c r="G1084" s="30" t="s">
        <v>9</v>
      </c>
      <c r="J1084" s="30" t="s">
        <v>392</v>
      </c>
    </row>
    <row r="1085" spans="3:10" x14ac:dyDescent="0.25">
      <c r="C1085" s="19" t="s">
        <v>85</v>
      </c>
      <c r="D1085" s="30">
        <v>1</v>
      </c>
      <c r="E1085" s="30">
        <v>20</v>
      </c>
      <c r="F1085" s="30">
        <f t="shared" si="36"/>
        <v>20</v>
      </c>
      <c r="G1085" s="30" t="s">
        <v>9</v>
      </c>
      <c r="J1085" s="30" t="s">
        <v>392</v>
      </c>
    </row>
    <row r="1086" spans="3:10" x14ac:dyDescent="0.25">
      <c r="C1086" s="33" t="s">
        <v>57</v>
      </c>
      <c r="D1086" s="30">
        <v>5</v>
      </c>
      <c r="E1086" s="30">
        <v>1</v>
      </c>
      <c r="F1086" s="30">
        <f t="shared" si="36"/>
        <v>5</v>
      </c>
      <c r="G1086" s="30" t="s">
        <v>9</v>
      </c>
      <c r="J1086" s="30" t="s">
        <v>392</v>
      </c>
    </row>
    <row r="1087" spans="3:10" x14ac:dyDescent="0.25">
      <c r="C1087" s="19" t="s">
        <v>82</v>
      </c>
      <c r="D1087" s="30">
        <v>1</v>
      </c>
      <c r="E1087" s="30">
        <v>90</v>
      </c>
      <c r="F1087" s="30">
        <f t="shared" si="36"/>
        <v>90</v>
      </c>
      <c r="G1087" s="30" t="s">
        <v>9</v>
      </c>
      <c r="J1087" s="30" t="s">
        <v>392</v>
      </c>
    </row>
    <row r="1088" spans="3:10" ht="30" x14ac:dyDescent="0.25">
      <c r="C1088" s="19" t="s">
        <v>377</v>
      </c>
      <c r="D1088" s="30">
        <v>1</v>
      </c>
      <c r="E1088" s="30">
        <v>9.5</v>
      </c>
      <c r="F1088" s="30">
        <f t="shared" ref="F1088:F1105" si="37">E1088*D1088</f>
        <v>9.5</v>
      </c>
      <c r="G1088" s="30" t="s">
        <v>9</v>
      </c>
      <c r="H1088" s="68" t="s">
        <v>663</v>
      </c>
      <c r="J1088" s="30" t="s">
        <v>392</v>
      </c>
    </row>
    <row r="1089" spans="3:10" x14ac:dyDescent="0.25">
      <c r="C1089" s="33" t="s">
        <v>662</v>
      </c>
      <c r="D1089" s="30">
        <v>4.5</v>
      </c>
      <c r="E1089" s="30">
        <v>55</v>
      </c>
      <c r="F1089" s="30">
        <f t="shared" si="37"/>
        <v>247.5</v>
      </c>
      <c r="G1089" s="30" t="s">
        <v>9</v>
      </c>
      <c r="J1089" s="30" t="s">
        <v>392</v>
      </c>
    </row>
    <row r="1090" spans="3:10" x14ac:dyDescent="0.25">
      <c r="C1090" s="33" t="s">
        <v>325</v>
      </c>
      <c r="D1090" s="30">
        <v>1</v>
      </c>
      <c r="E1090" s="30">
        <v>18</v>
      </c>
      <c r="F1090" s="30">
        <f t="shared" si="37"/>
        <v>18</v>
      </c>
      <c r="G1090" s="30" t="s">
        <v>9</v>
      </c>
      <c r="J1090" s="30" t="s">
        <v>392</v>
      </c>
    </row>
    <row r="1091" spans="3:10" x14ac:dyDescent="0.25">
      <c r="C1091" s="33" t="s">
        <v>386</v>
      </c>
      <c r="D1091" s="30">
        <v>1</v>
      </c>
      <c r="E1091" s="30">
        <v>10</v>
      </c>
      <c r="F1091" s="30">
        <f t="shared" si="37"/>
        <v>10</v>
      </c>
      <c r="G1091" s="30" t="s">
        <v>9</v>
      </c>
      <c r="J1091" s="30" t="s">
        <v>392</v>
      </c>
    </row>
    <row r="1092" spans="3:10" x14ac:dyDescent="0.25">
      <c r="C1092" s="33" t="s">
        <v>651</v>
      </c>
      <c r="D1092" s="30">
        <v>2</v>
      </c>
      <c r="E1092" s="30">
        <v>8</v>
      </c>
      <c r="F1092" s="30">
        <f t="shared" si="37"/>
        <v>16</v>
      </c>
      <c r="G1092" s="30" t="s">
        <v>9</v>
      </c>
      <c r="J1092" s="30" t="s">
        <v>392</v>
      </c>
    </row>
    <row r="1093" spans="3:10" x14ac:dyDescent="0.25">
      <c r="C1093" s="19" t="s">
        <v>653</v>
      </c>
      <c r="D1093" s="30">
        <v>1</v>
      </c>
      <c r="E1093" s="30">
        <v>98</v>
      </c>
      <c r="F1093" s="30">
        <f t="shared" si="37"/>
        <v>98</v>
      </c>
      <c r="G1093" s="30" t="s">
        <v>9</v>
      </c>
      <c r="J1093" s="30" t="s">
        <v>392</v>
      </c>
    </row>
    <row r="1094" spans="3:10" x14ac:dyDescent="0.25">
      <c r="C1094" s="19" t="s">
        <v>95</v>
      </c>
      <c r="D1094" s="30">
        <v>1</v>
      </c>
      <c r="E1094" s="30">
        <v>9</v>
      </c>
      <c r="F1094" s="30">
        <f t="shared" si="37"/>
        <v>9</v>
      </c>
      <c r="G1094" s="30" t="s">
        <v>9</v>
      </c>
      <c r="J1094" s="30" t="s">
        <v>392</v>
      </c>
    </row>
    <row r="1095" spans="3:10" x14ac:dyDescent="0.25">
      <c r="C1095" s="19" t="s">
        <v>655</v>
      </c>
      <c r="D1095" s="30">
        <v>1</v>
      </c>
      <c r="E1095" s="30">
        <v>15</v>
      </c>
      <c r="F1095" s="30">
        <f t="shared" si="37"/>
        <v>15</v>
      </c>
      <c r="G1095" s="30" t="s">
        <v>9</v>
      </c>
      <c r="J1095" s="30" t="s">
        <v>392</v>
      </c>
    </row>
    <row r="1096" spans="3:10" x14ac:dyDescent="0.25">
      <c r="C1096" s="19" t="s">
        <v>103</v>
      </c>
      <c r="D1096" s="30">
        <v>1</v>
      </c>
      <c r="E1096" s="30">
        <v>13</v>
      </c>
      <c r="F1096" s="30">
        <f t="shared" si="37"/>
        <v>13</v>
      </c>
      <c r="G1096" s="30" t="s">
        <v>9</v>
      </c>
      <c r="J1096" s="30" t="s">
        <v>392</v>
      </c>
    </row>
    <row r="1097" spans="3:10" x14ac:dyDescent="0.25">
      <c r="C1097" s="19" t="s">
        <v>99</v>
      </c>
      <c r="D1097" s="30">
        <v>1</v>
      </c>
      <c r="E1097" s="30">
        <v>9</v>
      </c>
      <c r="F1097" s="30">
        <f t="shared" si="37"/>
        <v>9</v>
      </c>
      <c r="G1097" s="30" t="s">
        <v>9</v>
      </c>
      <c r="J1097" s="30" t="s">
        <v>392</v>
      </c>
    </row>
    <row r="1098" spans="3:10" x14ac:dyDescent="0.25">
      <c r="C1098" s="19" t="s">
        <v>523</v>
      </c>
      <c r="D1098" s="30">
        <v>5.3999999999999999E-2</v>
      </c>
      <c r="E1098" s="30">
        <v>280</v>
      </c>
      <c r="F1098" s="30">
        <f t="shared" si="37"/>
        <v>15.12</v>
      </c>
      <c r="G1098" s="30" t="s">
        <v>9</v>
      </c>
      <c r="J1098" s="30" t="s">
        <v>392</v>
      </c>
    </row>
    <row r="1099" spans="3:10" x14ac:dyDescent="0.25">
      <c r="C1099" s="19" t="s">
        <v>159</v>
      </c>
      <c r="D1099" s="30">
        <v>0.254</v>
      </c>
      <c r="E1099" s="30">
        <v>134</v>
      </c>
      <c r="F1099" s="30">
        <f t="shared" si="37"/>
        <v>34.036000000000001</v>
      </c>
      <c r="G1099" s="30" t="s">
        <v>9</v>
      </c>
      <c r="J1099" s="30" t="s">
        <v>392</v>
      </c>
    </row>
    <row r="1100" spans="3:10" x14ac:dyDescent="0.25">
      <c r="C1100" s="19" t="s">
        <v>657</v>
      </c>
      <c r="D1100" s="30">
        <v>1</v>
      </c>
      <c r="E1100" s="30">
        <v>10</v>
      </c>
      <c r="F1100" s="30">
        <f t="shared" si="37"/>
        <v>10</v>
      </c>
      <c r="G1100" s="30" t="s">
        <v>9</v>
      </c>
      <c r="J1100" s="30" t="s">
        <v>392</v>
      </c>
    </row>
    <row r="1101" spans="3:10" x14ac:dyDescent="0.25">
      <c r="C1101" s="33" t="s">
        <v>422</v>
      </c>
      <c r="D1101" s="30">
        <v>1</v>
      </c>
      <c r="E1101" s="30">
        <v>10</v>
      </c>
      <c r="F1101" s="30">
        <f t="shared" si="37"/>
        <v>10</v>
      </c>
      <c r="G1101" s="30" t="s">
        <v>9</v>
      </c>
      <c r="J1101" s="30" t="s">
        <v>392</v>
      </c>
    </row>
    <row r="1102" spans="3:10" x14ac:dyDescent="0.25">
      <c r="C1102" s="33" t="s">
        <v>606</v>
      </c>
      <c r="D1102" s="30">
        <v>1</v>
      </c>
      <c r="E1102" s="30">
        <v>5</v>
      </c>
      <c r="F1102" s="30">
        <f t="shared" si="37"/>
        <v>5</v>
      </c>
      <c r="G1102" s="30" t="s">
        <v>9</v>
      </c>
      <c r="J1102" s="30" t="s">
        <v>392</v>
      </c>
    </row>
    <row r="1103" spans="3:10" ht="30" x14ac:dyDescent="0.25">
      <c r="C1103" s="19" t="str">
        <f>'Stock Register'!A158</f>
        <v>CLEAN AND CLEAR FACE WASH 50 ML LOT 1</v>
      </c>
      <c r="D1103" s="30">
        <v>1</v>
      </c>
      <c r="E1103" s="30">
        <v>5</v>
      </c>
      <c r="F1103" s="30">
        <f t="shared" si="37"/>
        <v>5</v>
      </c>
      <c r="G1103" s="30" t="s">
        <v>9</v>
      </c>
    </row>
    <row r="1104" spans="3:10" x14ac:dyDescent="0.25">
      <c r="C1104" s="33" t="s">
        <v>57</v>
      </c>
      <c r="D1104" s="30">
        <v>5</v>
      </c>
      <c r="E1104" s="30">
        <v>1</v>
      </c>
      <c r="F1104" s="30">
        <f t="shared" si="37"/>
        <v>5</v>
      </c>
      <c r="G1104" s="30" t="s">
        <v>9</v>
      </c>
      <c r="J1104" s="30" t="s">
        <v>392</v>
      </c>
    </row>
    <row r="1105" spans="1:10" x14ac:dyDescent="0.25">
      <c r="C1105" s="19" t="s">
        <v>627</v>
      </c>
      <c r="D1105" s="30">
        <v>1</v>
      </c>
      <c r="E1105" s="30">
        <v>29.5</v>
      </c>
      <c r="F1105" s="30">
        <f t="shared" si="37"/>
        <v>29.5</v>
      </c>
      <c r="G1105" s="30" t="s">
        <v>9</v>
      </c>
      <c r="H1105" s="68" t="s">
        <v>663</v>
      </c>
      <c r="I1105" s="139">
        <f>SUM(F1073:F1105)</f>
        <v>931.346</v>
      </c>
      <c r="J1105" s="30" t="s">
        <v>392</v>
      </c>
    </row>
    <row r="1106" spans="1:10" s="69" customFormat="1" ht="18.75" x14ac:dyDescent="0.3">
      <c r="A1106" s="235" t="s">
        <v>437</v>
      </c>
      <c r="B1106" s="236"/>
      <c r="C1106" s="236"/>
      <c r="D1106" s="236"/>
      <c r="E1106" s="236"/>
      <c r="F1106" s="236"/>
      <c r="G1106" s="236"/>
      <c r="H1106" s="237"/>
      <c r="I1106" s="69">
        <f>SUM(I1105,I1072)</f>
        <v>1707.846</v>
      </c>
    </row>
    <row r="1107" spans="1:10" x14ac:dyDescent="0.25">
      <c r="A1107" s="78">
        <v>46150</v>
      </c>
      <c r="C1107" s="19" t="s">
        <v>664</v>
      </c>
      <c r="D1107" s="30">
        <v>4</v>
      </c>
      <c r="E1107" s="30">
        <v>9</v>
      </c>
      <c r="F1107" s="30">
        <f>E1107*D1107</f>
        <v>36</v>
      </c>
      <c r="G1107" s="30" t="s">
        <v>9</v>
      </c>
      <c r="J1107" s="30" t="s">
        <v>391</v>
      </c>
    </row>
    <row r="1108" spans="1:10" x14ac:dyDescent="0.25">
      <c r="C1108" s="33" t="s">
        <v>634</v>
      </c>
      <c r="D1108" s="30">
        <v>1</v>
      </c>
      <c r="E1108" s="30">
        <v>5</v>
      </c>
      <c r="F1108" s="30">
        <f>E1108*D1108</f>
        <v>5</v>
      </c>
      <c r="J1108" s="30" t="s">
        <v>391</v>
      </c>
    </row>
    <row r="1109" spans="1:10" x14ac:dyDescent="0.25">
      <c r="C1109" s="33" t="s">
        <v>498</v>
      </c>
      <c r="D1109" s="30">
        <v>0.25</v>
      </c>
      <c r="E1109" s="30">
        <v>200</v>
      </c>
      <c r="F1109" s="30">
        <v>49</v>
      </c>
      <c r="J1109" s="30" t="s">
        <v>391</v>
      </c>
    </row>
    <row r="1110" spans="1:10" x14ac:dyDescent="0.25">
      <c r="C1110" s="33" t="s">
        <v>325</v>
      </c>
      <c r="D1110" s="30">
        <v>1</v>
      </c>
      <c r="E1110" s="30">
        <v>0</v>
      </c>
      <c r="F1110" s="30">
        <v>0</v>
      </c>
      <c r="J1110" s="30" t="s">
        <v>391</v>
      </c>
    </row>
    <row r="1111" spans="1:10" x14ac:dyDescent="0.25">
      <c r="C1111" s="19" t="s">
        <v>196</v>
      </c>
      <c r="D1111" s="30">
        <v>1</v>
      </c>
      <c r="E1111" s="30">
        <v>128</v>
      </c>
      <c r="F1111" s="30">
        <f>E1111*D1111</f>
        <v>128</v>
      </c>
      <c r="J1111" s="30" t="s">
        <v>391</v>
      </c>
    </row>
    <row r="1112" spans="1:10" x14ac:dyDescent="0.25">
      <c r="C1112" s="19" t="s">
        <v>657</v>
      </c>
      <c r="D1112" s="30">
        <v>1</v>
      </c>
      <c r="E1112" s="30">
        <v>10</v>
      </c>
      <c r="F1112" s="30">
        <f>E1112*D1112</f>
        <v>10</v>
      </c>
      <c r="I1112" s="139">
        <f>SUM(F1107:F1112)</f>
        <v>228</v>
      </c>
      <c r="J1112" s="30" t="s">
        <v>391</v>
      </c>
    </row>
    <row r="1113" spans="1:10" x14ac:dyDescent="0.25">
      <c r="C1113" s="33" t="s">
        <v>449</v>
      </c>
      <c r="D1113" s="30">
        <v>2</v>
      </c>
      <c r="E1113" s="30">
        <v>5</v>
      </c>
      <c r="F1113" s="30">
        <f>E1113*D1113</f>
        <v>10</v>
      </c>
      <c r="G1113" s="30" t="s">
        <v>9</v>
      </c>
      <c r="J1113" s="30" t="s">
        <v>392</v>
      </c>
    </row>
    <row r="1114" spans="1:10" x14ac:dyDescent="0.25">
      <c r="C1114" s="19" t="s">
        <v>79</v>
      </c>
      <c r="D1114" s="30">
        <v>1</v>
      </c>
      <c r="E1114" s="30">
        <v>50</v>
      </c>
      <c r="F1114" s="30">
        <f t="shared" ref="F1114:F1136" si="38">E1114*D1114</f>
        <v>50</v>
      </c>
      <c r="G1114" s="30" t="s">
        <v>9</v>
      </c>
      <c r="J1114" s="30" t="s">
        <v>392</v>
      </c>
    </row>
    <row r="1115" spans="1:10" x14ac:dyDescent="0.25">
      <c r="C1115" s="19" t="s">
        <v>366</v>
      </c>
      <c r="D1115" s="30">
        <v>1</v>
      </c>
      <c r="E1115" s="30">
        <v>50</v>
      </c>
      <c r="F1115" s="30">
        <f t="shared" si="38"/>
        <v>50</v>
      </c>
      <c r="G1115" s="30" t="s">
        <v>9</v>
      </c>
      <c r="J1115" s="30" t="s">
        <v>392</v>
      </c>
    </row>
    <row r="1116" spans="1:10" x14ac:dyDescent="0.25">
      <c r="C1116" s="33" t="s">
        <v>512</v>
      </c>
      <c r="D1116" s="30">
        <v>2</v>
      </c>
      <c r="E1116" s="30">
        <v>10</v>
      </c>
      <c r="F1116" s="30">
        <f t="shared" si="38"/>
        <v>20</v>
      </c>
      <c r="G1116" s="30" t="s">
        <v>9</v>
      </c>
      <c r="J1116" s="30" t="s">
        <v>392</v>
      </c>
    </row>
    <row r="1117" spans="1:10" x14ac:dyDescent="0.25">
      <c r="C1117" s="33" t="s">
        <v>425</v>
      </c>
      <c r="D1117" s="30">
        <v>1</v>
      </c>
      <c r="E1117" s="30">
        <v>60</v>
      </c>
      <c r="F1117" s="30">
        <f t="shared" si="38"/>
        <v>60</v>
      </c>
      <c r="G1117" s="30" t="s">
        <v>9</v>
      </c>
      <c r="J1117" s="30" t="s">
        <v>392</v>
      </c>
    </row>
    <row r="1118" spans="1:10" x14ac:dyDescent="0.25">
      <c r="C1118" s="19" t="s">
        <v>545</v>
      </c>
      <c r="D1118" s="30">
        <v>2</v>
      </c>
      <c r="E1118" s="30">
        <v>30</v>
      </c>
      <c r="F1118" s="30">
        <f t="shared" si="38"/>
        <v>60</v>
      </c>
      <c r="G1118" s="30" t="s">
        <v>9</v>
      </c>
      <c r="J1118" s="30" t="s">
        <v>392</v>
      </c>
    </row>
    <row r="1119" spans="1:10" x14ac:dyDescent="0.25">
      <c r="C1119" s="33" t="s">
        <v>593</v>
      </c>
      <c r="D1119" s="30">
        <v>10</v>
      </c>
      <c r="E1119" s="30">
        <v>1</v>
      </c>
      <c r="F1119" s="30">
        <f t="shared" si="38"/>
        <v>10</v>
      </c>
      <c r="G1119" s="30" t="s">
        <v>9</v>
      </c>
      <c r="J1119" s="30" t="s">
        <v>392</v>
      </c>
    </row>
    <row r="1120" spans="1:10" x14ac:dyDescent="0.25">
      <c r="C1120" s="19" t="s">
        <v>617</v>
      </c>
      <c r="D1120" s="30">
        <v>1</v>
      </c>
      <c r="E1120" s="30">
        <v>35</v>
      </c>
      <c r="F1120" s="30">
        <f t="shared" si="38"/>
        <v>35</v>
      </c>
      <c r="G1120" s="30" t="s">
        <v>9</v>
      </c>
      <c r="J1120" s="30" t="s">
        <v>392</v>
      </c>
    </row>
    <row r="1121" spans="3:10" x14ac:dyDescent="0.25">
      <c r="C1121" s="19" t="s">
        <v>571</v>
      </c>
      <c r="D1121" s="30">
        <v>2</v>
      </c>
      <c r="E1121" s="30">
        <v>20</v>
      </c>
      <c r="F1121" s="30">
        <f t="shared" si="38"/>
        <v>40</v>
      </c>
      <c r="G1121" s="30" t="s">
        <v>9</v>
      </c>
      <c r="J1121" s="30" t="s">
        <v>392</v>
      </c>
    </row>
    <row r="1122" spans="3:10" x14ac:dyDescent="0.25">
      <c r="C1122" s="33" t="s">
        <v>606</v>
      </c>
      <c r="D1122" s="30">
        <v>1</v>
      </c>
      <c r="E1122" s="30">
        <v>5</v>
      </c>
      <c r="F1122" s="30">
        <f t="shared" si="38"/>
        <v>5</v>
      </c>
      <c r="G1122" s="30" t="s">
        <v>9</v>
      </c>
      <c r="J1122" s="30" t="s">
        <v>392</v>
      </c>
    </row>
    <row r="1123" spans="3:10" ht="30" x14ac:dyDescent="0.25">
      <c r="C1123" s="19" t="s">
        <v>577</v>
      </c>
      <c r="D1123" s="30">
        <v>1</v>
      </c>
      <c r="E1123" s="30">
        <v>5</v>
      </c>
      <c r="F1123" s="30">
        <f t="shared" si="38"/>
        <v>5</v>
      </c>
      <c r="G1123" s="30" t="s">
        <v>9</v>
      </c>
      <c r="J1123" s="30" t="s">
        <v>392</v>
      </c>
    </row>
    <row r="1124" spans="3:10" x14ac:dyDescent="0.25">
      <c r="C1124" s="33" t="s">
        <v>325</v>
      </c>
      <c r="D1124" s="30">
        <v>1.5</v>
      </c>
      <c r="E1124" s="30">
        <v>18</v>
      </c>
      <c r="F1124" s="30">
        <f t="shared" si="38"/>
        <v>27</v>
      </c>
      <c r="G1124" s="30" t="s">
        <v>9</v>
      </c>
      <c r="J1124" s="30" t="s">
        <v>392</v>
      </c>
    </row>
    <row r="1125" spans="3:10" x14ac:dyDescent="0.25">
      <c r="C1125" s="19" t="s">
        <v>74</v>
      </c>
      <c r="D1125" s="30">
        <v>1</v>
      </c>
      <c r="E1125" s="30">
        <v>20</v>
      </c>
      <c r="F1125" s="30">
        <f t="shared" si="38"/>
        <v>20</v>
      </c>
      <c r="G1125" s="30" t="s">
        <v>9</v>
      </c>
      <c r="J1125" s="30" t="s">
        <v>392</v>
      </c>
    </row>
    <row r="1126" spans="3:10" x14ac:dyDescent="0.25">
      <c r="C1126" s="33" t="s">
        <v>154</v>
      </c>
      <c r="D1126" s="30">
        <v>3</v>
      </c>
      <c r="E1126" s="30">
        <v>1</v>
      </c>
      <c r="F1126" s="30">
        <f t="shared" si="38"/>
        <v>3</v>
      </c>
      <c r="G1126" s="30" t="s">
        <v>9</v>
      </c>
      <c r="J1126" s="30" t="s">
        <v>392</v>
      </c>
    </row>
    <row r="1127" spans="3:10" x14ac:dyDescent="0.25">
      <c r="C1127" s="33" t="s">
        <v>633</v>
      </c>
      <c r="D1127" s="30">
        <v>2</v>
      </c>
      <c r="E1127" s="30">
        <v>10</v>
      </c>
      <c r="F1127" s="30">
        <f t="shared" si="38"/>
        <v>20</v>
      </c>
      <c r="G1127" s="30" t="s">
        <v>9</v>
      </c>
      <c r="J1127" s="30" t="s">
        <v>392</v>
      </c>
    </row>
    <row r="1128" spans="3:10" x14ac:dyDescent="0.25">
      <c r="C1128" s="33" t="s">
        <v>422</v>
      </c>
      <c r="D1128" s="30">
        <v>1</v>
      </c>
      <c r="E1128" s="30">
        <v>10</v>
      </c>
      <c r="F1128" s="30">
        <f t="shared" si="38"/>
        <v>10</v>
      </c>
      <c r="G1128" s="30" t="s">
        <v>9</v>
      </c>
      <c r="J1128" s="30" t="s">
        <v>392</v>
      </c>
    </row>
    <row r="1129" spans="3:10" x14ac:dyDescent="0.25">
      <c r="C1129" s="33" t="s">
        <v>400</v>
      </c>
      <c r="D1129" s="30">
        <v>0.51900000000000002</v>
      </c>
      <c r="E1129" s="30">
        <v>58</v>
      </c>
      <c r="F1129" s="30">
        <f t="shared" si="38"/>
        <v>30.102</v>
      </c>
      <c r="J1129" s="30" t="s">
        <v>392</v>
      </c>
    </row>
    <row r="1130" spans="3:10" x14ac:dyDescent="0.25">
      <c r="C1130" s="19" t="s">
        <v>541</v>
      </c>
      <c r="D1130" s="30">
        <v>0.28599999999999998</v>
      </c>
      <c r="E1130" s="30">
        <v>70</v>
      </c>
      <c r="F1130" s="30">
        <f t="shared" si="38"/>
        <v>20.02</v>
      </c>
      <c r="J1130" s="30" t="s">
        <v>392</v>
      </c>
    </row>
    <row r="1131" spans="3:10" x14ac:dyDescent="0.25">
      <c r="C1131" s="33" t="s">
        <v>422</v>
      </c>
      <c r="D1131" s="30">
        <v>2</v>
      </c>
      <c r="E1131" s="30">
        <v>10</v>
      </c>
      <c r="F1131" s="30">
        <f t="shared" si="38"/>
        <v>20</v>
      </c>
      <c r="J1131" s="30" t="s">
        <v>392</v>
      </c>
    </row>
    <row r="1132" spans="3:10" x14ac:dyDescent="0.25">
      <c r="C1132" s="33" t="s">
        <v>519</v>
      </c>
      <c r="D1132" s="30">
        <v>1</v>
      </c>
      <c r="E1132" s="30">
        <v>10</v>
      </c>
      <c r="F1132" s="30">
        <f t="shared" si="38"/>
        <v>10</v>
      </c>
      <c r="J1132" s="30" t="s">
        <v>392</v>
      </c>
    </row>
    <row r="1133" spans="3:10" ht="30.6" customHeight="1" x14ac:dyDescent="0.25">
      <c r="C1133" s="33" t="str">
        <f>'Stock Register'!A168</f>
        <v>REAL KOOLERZ MANGO LOT 1</v>
      </c>
      <c r="D1133" s="30">
        <v>1</v>
      </c>
      <c r="E1133" s="30">
        <v>68</v>
      </c>
      <c r="F1133" s="30">
        <f t="shared" si="38"/>
        <v>68</v>
      </c>
      <c r="J1133" s="30" t="s">
        <v>392</v>
      </c>
    </row>
    <row r="1134" spans="3:10" x14ac:dyDescent="0.25">
      <c r="C1134" s="19" t="s">
        <v>354</v>
      </c>
      <c r="D1134" s="30">
        <v>1</v>
      </c>
      <c r="E1134" s="30">
        <v>10</v>
      </c>
      <c r="F1134" s="30">
        <f t="shared" si="38"/>
        <v>10</v>
      </c>
      <c r="J1134" s="30" t="s">
        <v>392</v>
      </c>
    </row>
    <row r="1135" spans="3:10" x14ac:dyDescent="0.25">
      <c r="C1135" s="19" t="s">
        <v>59</v>
      </c>
      <c r="D1135" s="30">
        <v>1</v>
      </c>
      <c r="E1135" s="30">
        <v>10</v>
      </c>
      <c r="F1135" s="30">
        <f t="shared" si="38"/>
        <v>10</v>
      </c>
      <c r="J1135" s="30" t="s">
        <v>392</v>
      </c>
    </row>
    <row r="1136" spans="3:10" x14ac:dyDescent="0.25">
      <c r="C1136" s="33" t="s">
        <v>633</v>
      </c>
      <c r="D1136" s="30">
        <v>5</v>
      </c>
      <c r="E1136" s="30">
        <v>10</v>
      </c>
      <c r="F1136" s="30">
        <f t="shared" si="38"/>
        <v>50</v>
      </c>
      <c r="I1136" s="139">
        <f>SUM(F1113:F1136)</f>
        <v>643.12199999999996</v>
      </c>
      <c r="J1136" s="30" t="s">
        <v>392</v>
      </c>
    </row>
    <row r="1137" spans="1:10" s="69" customFormat="1" ht="18.75" x14ac:dyDescent="0.3">
      <c r="A1137" s="235" t="s">
        <v>437</v>
      </c>
      <c r="B1137" s="236"/>
      <c r="C1137" s="236"/>
      <c r="D1137" s="236"/>
      <c r="E1137" s="236"/>
      <c r="F1137" s="236"/>
      <c r="G1137" s="236"/>
      <c r="H1137" s="237"/>
      <c r="I1137" s="69">
        <f>SUM(I1136,I1112)</f>
        <v>871.12199999999996</v>
      </c>
    </row>
    <row r="1138" spans="1:10" x14ac:dyDescent="0.25">
      <c r="A1138" s="78">
        <v>46151</v>
      </c>
      <c r="C1138" s="33" t="s">
        <v>523</v>
      </c>
      <c r="D1138" s="30">
        <v>7.0999999999999994E-2</v>
      </c>
      <c r="E1138" s="30">
        <v>280</v>
      </c>
      <c r="F1138" s="30">
        <f t="shared" ref="F1138:F1218" si="39">E1138*D1138</f>
        <v>19.88</v>
      </c>
      <c r="G1138" s="30" t="s">
        <v>9</v>
      </c>
      <c r="J1138" s="30" t="s">
        <v>391</v>
      </c>
    </row>
    <row r="1139" spans="1:10" x14ac:dyDescent="0.25">
      <c r="C1139" s="33" t="s">
        <v>541</v>
      </c>
      <c r="D1139" s="30">
        <v>0.28599999999999998</v>
      </c>
      <c r="E1139" s="30">
        <v>70</v>
      </c>
      <c r="F1139" s="30">
        <f t="shared" si="39"/>
        <v>20.02</v>
      </c>
      <c r="G1139" s="30" t="s">
        <v>9</v>
      </c>
      <c r="J1139" s="30" t="s">
        <v>391</v>
      </c>
    </row>
    <row r="1140" spans="1:10" x14ac:dyDescent="0.25">
      <c r="C1140" s="33" t="s">
        <v>517</v>
      </c>
      <c r="D1140" s="30">
        <v>2</v>
      </c>
      <c r="E1140" s="30">
        <v>27</v>
      </c>
      <c r="F1140" s="30">
        <f t="shared" si="39"/>
        <v>54</v>
      </c>
      <c r="G1140" s="30" t="s">
        <v>9</v>
      </c>
      <c r="J1140" s="30" t="s">
        <v>391</v>
      </c>
    </row>
    <row r="1141" spans="1:10" x14ac:dyDescent="0.25">
      <c r="C1141" s="33" t="s">
        <v>611</v>
      </c>
      <c r="D1141" s="30">
        <v>1</v>
      </c>
      <c r="E1141" s="30">
        <v>30</v>
      </c>
      <c r="F1141" s="30">
        <f t="shared" si="39"/>
        <v>30</v>
      </c>
      <c r="G1141" s="30" t="s">
        <v>9</v>
      </c>
      <c r="J1141" s="30" t="s">
        <v>391</v>
      </c>
    </row>
    <row r="1142" spans="1:10" x14ac:dyDescent="0.25">
      <c r="C1142" s="33" t="s">
        <v>325</v>
      </c>
      <c r="D1142" s="30">
        <v>1</v>
      </c>
      <c r="E1142" s="30">
        <v>18</v>
      </c>
      <c r="F1142" s="30">
        <f t="shared" si="39"/>
        <v>18</v>
      </c>
      <c r="G1142" s="30" t="s">
        <v>9</v>
      </c>
      <c r="J1142" s="30" t="s">
        <v>391</v>
      </c>
    </row>
    <row r="1143" spans="1:10" x14ac:dyDescent="0.25">
      <c r="C1143" s="33" t="s">
        <v>638</v>
      </c>
      <c r="D1143" s="30">
        <v>1</v>
      </c>
      <c r="E1143" s="30">
        <v>30</v>
      </c>
      <c r="F1143" s="30">
        <f t="shared" si="39"/>
        <v>30</v>
      </c>
      <c r="G1143" s="30" t="s">
        <v>9</v>
      </c>
      <c r="J1143" s="30" t="s">
        <v>391</v>
      </c>
    </row>
    <row r="1144" spans="1:10" x14ac:dyDescent="0.25">
      <c r="C1144" s="33" t="s">
        <v>325</v>
      </c>
      <c r="D1144" s="30">
        <v>1</v>
      </c>
      <c r="E1144" s="30">
        <v>18</v>
      </c>
      <c r="F1144" s="30">
        <f t="shared" si="39"/>
        <v>18</v>
      </c>
      <c r="G1144" s="30" t="s">
        <v>9</v>
      </c>
      <c r="J1144" s="30" t="s">
        <v>391</v>
      </c>
    </row>
    <row r="1145" spans="1:10" x14ac:dyDescent="0.25">
      <c r="C1145" s="33" t="s">
        <v>8</v>
      </c>
      <c r="D1145" s="30">
        <v>1</v>
      </c>
      <c r="E1145" s="30">
        <v>30</v>
      </c>
      <c r="F1145" s="30">
        <f t="shared" si="39"/>
        <v>30</v>
      </c>
      <c r="G1145" s="30" t="s">
        <v>9</v>
      </c>
      <c r="J1145" s="30" t="s">
        <v>391</v>
      </c>
    </row>
    <row r="1146" spans="1:10" x14ac:dyDescent="0.25">
      <c r="C1146" s="61" t="s">
        <v>36</v>
      </c>
      <c r="D1146" s="30">
        <v>1</v>
      </c>
      <c r="E1146" s="30">
        <v>58</v>
      </c>
      <c r="F1146" s="30">
        <f t="shared" si="39"/>
        <v>58</v>
      </c>
      <c r="G1146" s="30" t="s">
        <v>9</v>
      </c>
      <c r="J1146" s="30" t="s">
        <v>391</v>
      </c>
    </row>
    <row r="1147" spans="1:10" x14ac:dyDescent="0.25">
      <c r="C1147" s="33" t="s">
        <v>664</v>
      </c>
      <c r="D1147" s="30">
        <v>4</v>
      </c>
      <c r="E1147" s="30">
        <v>9</v>
      </c>
      <c r="F1147" s="30">
        <f t="shared" si="39"/>
        <v>36</v>
      </c>
      <c r="G1147" s="30" t="s">
        <v>9</v>
      </c>
      <c r="J1147" s="30" t="s">
        <v>391</v>
      </c>
    </row>
    <row r="1148" spans="1:10" x14ac:dyDescent="0.25">
      <c r="C1148" s="33" t="s">
        <v>512</v>
      </c>
      <c r="D1148" s="30">
        <v>1</v>
      </c>
      <c r="E1148" s="30">
        <v>10</v>
      </c>
      <c r="F1148" s="30">
        <f t="shared" si="39"/>
        <v>10</v>
      </c>
      <c r="G1148" s="30" t="s">
        <v>9</v>
      </c>
      <c r="J1148" s="30" t="s">
        <v>391</v>
      </c>
    </row>
    <row r="1149" spans="1:10" ht="30" x14ac:dyDescent="0.25">
      <c r="C1149" s="33" t="s">
        <v>382</v>
      </c>
      <c r="D1149" s="30">
        <v>1</v>
      </c>
      <c r="E1149" s="30">
        <v>185</v>
      </c>
      <c r="F1149" s="30">
        <f t="shared" si="39"/>
        <v>185</v>
      </c>
      <c r="G1149" s="30" t="s">
        <v>9</v>
      </c>
      <c r="J1149" s="30" t="s">
        <v>391</v>
      </c>
    </row>
    <row r="1150" spans="1:10" x14ac:dyDescent="0.25">
      <c r="C1150" s="19" t="s">
        <v>347</v>
      </c>
      <c r="D1150" s="30">
        <v>1</v>
      </c>
      <c r="E1150" s="30">
        <v>10</v>
      </c>
      <c r="F1150" s="30">
        <f t="shared" si="39"/>
        <v>10</v>
      </c>
      <c r="G1150" s="30" t="s">
        <v>9</v>
      </c>
      <c r="I1150" s="139">
        <f>SUM(F1138:F1150)</f>
        <v>518.9</v>
      </c>
      <c r="J1150" s="30" t="s">
        <v>391</v>
      </c>
    </row>
    <row r="1151" spans="1:10" x14ac:dyDescent="0.25">
      <c r="C1151" s="87" t="s">
        <v>661</v>
      </c>
      <c r="D1151" s="80">
        <v>26</v>
      </c>
      <c r="E1151" s="80">
        <v>49</v>
      </c>
      <c r="F1151" s="80">
        <v>1270</v>
      </c>
      <c r="G1151" s="80" t="s">
        <v>16</v>
      </c>
      <c r="H1151" s="82" t="s">
        <v>566</v>
      </c>
      <c r="J1151" s="30" t="s">
        <v>392</v>
      </c>
    </row>
    <row r="1152" spans="1:10" ht="30" x14ac:dyDescent="0.25">
      <c r="C1152" s="19" t="s">
        <v>589</v>
      </c>
      <c r="D1152" s="30">
        <v>0.436</v>
      </c>
      <c r="E1152" s="30">
        <v>138</v>
      </c>
      <c r="F1152" s="30">
        <f t="shared" si="39"/>
        <v>60.167999999999999</v>
      </c>
      <c r="G1152" s="30" t="s">
        <v>9</v>
      </c>
      <c r="J1152" s="30" t="s">
        <v>392</v>
      </c>
    </row>
    <row r="1153" spans="3:10" x14ac:dyDescent="0.25">
      <c r="C1153" s="33" t="s">
        <v>664</v>
      </c>
      <c r="D1153" s="30">
        <v>4</v>
      </c>
      <c r="E1153" s="30">
        <v>9</v>
      </c>
      <c r="F1153" s="30">
        <f t="shared" si="39"/>
        <v>36</v>
      </c>
      <c r="G1153" s="30" t="s">
        <v>9</v>
      </c>
      <c r="J1153" s="30" t="s">
        <v>392</v>
      </c>
    </row>
    <row r="1154" spans="3:10" x14ac:dyDescent="0.25">
      <c r="C1154" s="19" t="s">
        <v>662</v>
      </c>
      <c r="D1154" s="30">
        <v>1.1499999999999999</v>
      </c>
      <c r="E1154" s="30">
        <v>55</v>
      </c>
      <c r="F1154" s="30">
        <f t="shared" si="39"/>
        <v>63.249999999999993</v>
      </c>
      <c r="G1154" s="30" t="s">
        <v>9</v>
      </c>
      <c r="J1154" s="30" t="s">
        <v>392</v>
      </c>
    </row>
    <row r="1155" spans="3:10" x14ac:dyDescent="0.25">
      <c r="C1155" s="33" t="s">
        <v>192</v>
      </c>
      <c r="D1155" s="30">
        <v>4</v>
      </c>
      <c r="E1155" s="30">
        <v>1</v>
      </c>
      <c r="F1155" s="30">
        <f t="shared" si="39"/>
        <v>4</v>
      </c>
      <c r="G1155" s="30" t="s">
        <v>9</v>
      </c>
      <c r="J1155" s="30" t="s">
        <v>392</v>
      </c>
    </row>
    <row r="1156" spans="3:10" x14ac:dyDescent="0.25">
      <c r="C1156" s="33" t="s">
        <v>633</v>
      </c>
      <c r="D1156" s="30">
        <v>2</v>
      </c>
      <c r="E1156" s="30">
        <v>10</v>
      </c>
      <c r="F1156" s="30">
        <f t="shared" si="39"/>
        <v>20</v>
      </c>
      <c r="G1156" s="30" t="s">
        <v>9</v>
      </c>
      <c r="J1156" s="30" t="s">
        <v>392</v>
      </c>
    </row>
    <row r="1157" spans="3:10" x14ac:dyDescent="0.25">
      <c r="C1157" s="33" t="s">
        <v>422</v>
      </c>
      <c r="D1157" s="30">
        <v>1</v>
      </c>
      <c r="E1157" s="30">
        <v>10</v>
      </c>
      <c r="F1157" s="30">
        <f t="shared" si="39"/>
        <v>10</v>
      </c>
      <c r="G1157" s="30" t="s">
        <v>9</v>
      </c>
      <c r="J1157" s="30" t="s">
        <v>392</v>
      </c>
    </row>
    <row r="1158" spans="3:10" x14ac:dyDescent="0.25">
      <c r="C1158" s="19" t="s">
        <v>607</v>
      </c>
      <c r="D1158" s="30">
        <v>1</v>
      </c>
      <c r="E1158" s="30">
        <v>30</v>
      </c>
      <c r="F1158" s="30">
        <f t="shared" si="39"/>
        <v>30</v>
      </c>
      <c r="G1158" s="30" t="s">
        <v>9</v>
      </c>
      <c r="J1158" s="30" t="s">
        <v>392</v>
      </c>
    </row>
    <row r="1159" spans="3:10" x14ac:dyDescent="0.25">
      <c r="C1159" s="33" t="s">
        <v>354</v>
      </c>
      <c r="D1159" s="30">
        <v>1</v>
      </c>
      <c r="E1159" s="30">
        <v>10</v>
      </c>
      <c r="F1159" s="30">
        <f t="shared" si="39"/>
        <v>10</v>
      </c>
      <c r="G1159" s="30" t="s">
        <v>9</v>
      </c>
      <c r="J1159" s="30" t="s">
        <v>392</v>
      </c>
    </row>
    <row r="1160" spans="3:10" x14ac:dyDescent="0.25">
      <c r="C1160" s="19" t="s">
        <v>659</v>
      </c>
      <c r="D1160" s="30">
        <v>1</v>
      </c>
      <c r="E1160" s="30">
        <v>10</v>
      </c>
      <c r="F1160" s="30">
        <f t="shared" si="39"/>
        <v>10</v>
      </c>
      <c r="G1160" s="30" t="s">
        <v>9</v>
      </c>
      <c r="J1160" s="30" t="s">
        <v>392</v>
      </c>
    </row>
    <row r="1161" spans="3:10" x14ac:dyDescent="0.25">
      <c r="C1161" s="33" t="s">
        <v>502</v>
      </c>
      <c r="D1161" s="30">
        <v>1</v>
      </c>
      <c r="E1161" s="30">
        <v>10</v>
      </c>
      <c r="F1161" s="30">
        <f t="shared" si="39"/>
        <v>10</v>
      </c>
      <c r="G1161" s="30" t="s">
        <v>9</v>
      </c>
      <c r="J1161" s="30" t="s">
        <v>392</v>
      </c>
    </row>
    <row r="1162" spans="3:10" x14ac:dyDescent="0.25">
      <c r="C1162" s="33" t="s">
        <v>664</v>
      </c>
      <c r="D1162" s="30">
        <v>4</v>
      </c>
      <c r="E1162" s="30">
        <v>9</v>
      </c>
      <c r="F1162" s="30">
        <f t="shared" si="39"/>
        <v>36</v>
      </c>
      <c r="G1162" s="30" t="s">
        <v>9</v>
      </c>
      <c r="J1162" s="30" t="s">
        <v>392</v>
      </c>
    </row>
    <row r="1163" spans="3:10" x14ac:dyDescent="0.25">
      <c r="C1163" s="19" t="s">
        <v>607</v>
      </c>
      <c r="D1163" s="30">
        <v>1</v>
      </c>
      <c r="E1163" s="30">
        <v>30</v>
      </c>
      <c r="F1163" s="30">
        <f t="shared" si="39"/>
        <v>30</v>
      </c>
      <c r="G1163" s="30" t="s">
        <v>9</v>
      </c>
      <c r="J1163" s="30" t="s">
        <v>392</v>
      </c>
    </row>
    <row r="1164" spans="3:10" x14ac:dyDescent="0.25">
      <c r="C1164" s="33" t="s">
        <v>448</v>
      </c>
      <c r="D1164" s="30">
        <v>1</v>
      </c>
      <c r="E1164" s="30">
        <v>10</v>
      </c>
      <c r="F1164" s="30">
        <f t="shared" si="39"/>
        <v>10</v>
      </c>
      <c r="G1164" s="30" t="s">
        <v>9</v>
      </c>
      <c r="J1164" s="30" t="s">
        <v>392</v>
      </c>
    </row>
    <row r="1165" spans="3:10" x14ac:dyDescent="0.25">
      <c r="C1165" s="33" t="s">
        <v>633</v>
      </c>
      <c r="D1165" s="30">
        <v>1</v>
      </c>
      <c r="E1165" s="30">
        <v>10</v>
      </c>
      <c r="F1165" s="30">
        <f t="shared" si="39"/>
        <v>10</v>
      </c>
      <c r="G1165" s="30" t="s">
        <v>9</v>
      </c>
      <c r="J1165" s="30" t="s">
        <v>392</v>
      </c>
    </row>
    <row r="1166" spans="3:10" x14ac:dyDescent="0.25">
      <c r="C1166" s="19" t="str">
        <f>'Stock Register'!A91</f>
        <v>BISK FARM RUSKIT LOT 1</v>
      </c>
      <c r="D1166" s="30">
        <v>1</v>
      </c>
      <c r="E1166" s="30">
        <v>10</v>
      </c>
      <c r="F1166" s="30">
        <f t="shared" si="39"/>
        <v>10</v>
      </c>
      <c r="G1166" s="30" t="s">
        <v>9</v>
      </c>
      <c r="J1166" s="30" t="s">
        <v>392</v>
      </c>
    </row>
    <row r="1167" spans="3:10" x14ac:dyDescent="0.25">
      <c r="C1167" s="33" t="s">
        <v>633</v>
      </c>
      <c r="D1167" s="30">
        <v>1</v>
      </c>
      <c r="E1167" s="30">
        <v>10</v>
      </c>
      <c r="F1167" s="30">
        <f t="shared" si="39"/>
        <v>10</v>
      </c>
      <c r="G1167" s="30" t="s">
        <v>9</v>
      </c>
      <c r="J1167" s="30" t="s">
        <v>392</v>
      </c>
    </row>
    <row r="1168" spans="3:10" x14ac:dyDescent="0.25">
      <c r="C1168" s="19" t="s">
        <v>558</v>
      </c>
      <c r="D1168" s="30">
        <v>1</v>
      </c>
      <c r="E1168" s="30">
        <v>10</v>
      </c>
      <c r="F1168" s="30">
        <f t="shared" si="39"/>
        <v>10</v>
      </c>
      <c r="G1168" s="30" t="s">
        <v>9</v>
      </c>
      <c r="J1168" s="30" t="s">
        <v>392</v>
      </c>
    </row>
    <row r="1169" spans="3:10" x14ac:dyDescent="0.25">
      <c r="C1169" s="33" t="s">
        <v>633</v>
      </c>
      <c r="D1169" s="30">
        <v>2</v>
      </c>
      <c r="E1169" s="30">
        <v>10</v>
      </c>
      <c r="F1169" s="30">
        <f t="shared" si="39"/>
        <v>20</v>
      </c>
      <c r="G1169" s="30" t="s">
        <v>9</v>
      </c>
      <c r="J1169" s="30" t="s">
        <v>392</v>
      </c>
    </row>
    <row r="1170" spans="3:10" x14ac:dyDescent="0.25">
      <c r="C1170" s="33" t="s">
        <v>449</v>
      </c>
      <c r="D1170" s="30">
        <v>2</v>
      </c>
      <c r="E1170" s="30">
        <v>5</v>
      </c>
      <c r="F1170" s="30">
        <f t="shared" si="39"/>
        <v>10</v>
      </c>
      <c r="G1170" s="30" t="s">
        <v>9</v>
      </c>
      <c r="J1170" s="30" t="s">
        <v>392</v>
      </c>
    </row>
    <row r="1171" spans="3:10" x14ac:dyDescent="0.25">
      <c r="C1171" s="33" t="s">
        <v>325</v>
      </c>
      <c r="D1171" s="30">
        <v>1</v>
      </c>
      <c r="E1171" s="30">
        <v>18</v>
      </c>
      <c r="F1171" s="30">
        <f t="shared" si="39"/>
        <v>18</v>
      </c>
      <c r="G1171" s="30" t="s">
        <v>9</v>
      </c>
      <c r="J1171" s="30" t="s">
        <v>392</v>
      </c>
    </row>
    <row r="1172" spans="3:10" x14ac:dyDescent="0.25">
      <c r="C1172" s="33" t="s">
        <v>664</v>
      </c>
      <c r="D1172" s="30">
        <v>6</v>
      </c>
      <c r="E1172" s="30">
        <v>9</v>
      </c>
      <c r="F1172" s="30">
        <f t="shared" si="39"/>
        <v>54</v>
      </c>
      <c r="G1172" s="30" t="s">
        <v>9</v>
      </c>
      <c r="J1172" s="30" t="s">
        <v>392</v>
      </c>
    </row>
    <row r="1173" spans="3:10" ht="30" x14ac:dyDescent="0.25">
      <c r="C1173" s="33" t="s">
        <v>86</v>
      </c>
      <c r="D1173" s="30">
        <v>1</v>
      </c>
      <c r="E1173" s="30">
        <v>10</v>
      </c>
      <c r="F1173" s="30">
        <f t="shared" si="39"/>
        <v>10</v>
      </c>
      <c r="G1173" s="30" t="s">
        <v>9</v>
      </c>
      <c r="J1173" s="30" t="s">
        <v>392</v>
      </c>
    </row>
    <row r="1174" spans="3:10" x14ac:dyDescent="0.25">
      <c r="C1174" s="33" t="s">
        <v>580</v>
      </c>
      <c r="D1174" s="30">
        <v>3</v>
      </c>
      <c r="E1174" s="30">
        <v>1</v>
      </c>
      <c r="F1174" s="30">
        <f t="shared" si="39"/>
        <v>3</v>
      </c>
      <c r="G1174" s="30" t="s">
        <v>9</v>
      </c>
      <c r="J1174" s="30" t="s">
        <v>392</v>
      </c>
    </row>
    <row r="1175" spans="3:10" x14ac:dyDescent="0.25">
      <c r="C1175" s="33" t="s">
        <v>449</v>
      </c>
      <c r="D1175" s="30">
        <v>1</v>
      </c>
      <c r="E1175" s="30">
        <v>5</v>
      </c>
      <c r="F1175" s="30">
        <f t="shared" si="39"/>
        <v>5</v>
      </c>
      <c r="G1175" s="30" t="s">
        <v>9</v>
      </c>
      <c r="J1175" s="30" t="s">
        <v>392</v>
      </c>
    </row>
    <row r="1176" spans="3:10" x14ac:dyDescent="0.25">
      <c r="C1176" s="33" t="s">
        <v>386</v>
      </c>
      <c r="D1176" s="30">
        <v>2</v>
      </c>
      <c r="E1176" s="30">
        <v>10</v>
      </c>
      <c r="F1176" s="30">
        <f t="shared" si="39"/>
        <v>20</v>
      </c>
      <c r="G1176" s="30" t="s">
        <v>9</v>
      </c>
      <c r="J1176" s="30" t="s">
        <v>392</v>
      </c>
    </row>
    <row r="1177" spans="3:10" x14ac:dyDescent="0.25">
      <c r="C1177" s="33" t="s">
        <v>448</v>
      </c>
      <c r="D1177" s="30">
        <v>2</v>
      </c>
      <c r="E1177" s="30">
        <v>10</v>
      </c>
      <c r="F1177" s="30">
        <f t="shared" si="39"/>
        <v>20</v>
      </c>
      <c r="G1177" s="30" t="s">
        <v>9</v>
      </c>
      <c r="J1177" s="30" t="s">
        <v>392</v>
      </c>
    </row>
    <row r="1178" spans="3:10" x14ac:dyDescent="0.25">
      <c r="C1178" s="33" t="s">
        <v>365</v>
      </c>
      <c r="D1178" s="30">
        <v>2</v>
      </c>
      <c r="E1178" s="30">
        <v>5</v>
      </c>
      <c r="F1178" s="30">
        <f t="shared" si="39"/>
        <v>10</v>
      </c>
      <c r="G1178" s="30" t="s">
        <v>9</v>
      </c>
      <c r="J1178" s="30" t="s">
        <v>392</v>
      </c>
    </row>
    <row r="1179" spans="3:10" x14ac:dyDescent="0.25">
      <c r="C1179" s="33" t="s">
        <v>375</v>
      </c>
      <c r="D1179" s="30">
        <v>10</v>
      </c>
      <c r="E1179" s="30">
        <v>1</v>
      </c>
      <c r="F1179" s="30">
        <f t="shared" si="39"/>
        <v>10</v>
      </c>
      <c r="G1179" s="30" t="s">
        <v>9</v>
      </c>
      <c r="J1179" s="30" t="s">
        <v>392</v>
      </c>
    </row>
    <row r="1180" spans="3:10" x14ac:dyDescent="0.25">
      <c r="C1180" s="33" t="s">
        <v>447</v>
      </c>
      <c r="D1180" s="30">
        <v>2</v>
      </c>
      <c r="E1180" s="30">
        <v>10</v>
      </c>
      <c r="F1180" s="30">
        <f t="shared" si="39"/>
        <v>20</v>
      </c>
      <c r="G1180" s="30" t="s">
        <v>9</v>
      </c>
      <c r="J1180" s="30" t="s">
        <v>392</v>
      </c>
    </row>
    <row r="1181" spans="3:10" ht="30" x14ac:dyDescent="0.25">
      <c r="C1181" s="19" t="s">
        <v>361</v>
      </c>
      <c r="D1181" s="30">
        <v>1</v>
      </c>
      <c r="E1181" s="30">
        <v>10</v>
      </c>
      <c r="F1181" s="30">
        <f t="shared" si="39"/>
        <v>10</v>
      </c>
      <c r="G1181" s="30" t="s">
        <v>9</v>
      </c>
      <c r="J1181" s="30" t="s">
        <v>392</v>
      </c>
    </row>
    <row r="1182" spans="3:10" x14ac:dyDescent="0.25">
      <c r="C1182" s="33" t="s">
        <v>447</v>
      </c>
      <c r="D1182" s="30">
        <v>2</v>
      </c>
      <c r="E1182" s="30">
        <v>10</v>
      </c>
      <c r="F1182" s="30">
        <f t="shared" si="39"/>
        <v>20</v>
      </c>
      <c r="G1182" s="30" t="s">
        <v>9</v>
      </c>
      <c r="J1182" s="30" t="s">
        <v>392</v>
      </c>
    </row>
    <row r="1183" spans="3:10" x14ac:dyDescent="0.25">
      <c r="C1183" s="33" t="s">
        <v>664</v>
      </c>
      <c r="D1183" s="30">
        <v>4</v>
      </c>
      <c r="E1183" s="30">
        <v>9</v>
      </c>
      <c r="F1183" s="30">
        <f t="shared" si="39"/>
        <v>36</v>
      </c>
      <c r="G1183" s="30" t="s">
        <v>9</v>
      </c>
      <c r="J1183" s="30" t="s">
        <v>392</v>
      </c>
    </row>
    <row r="1184" spans="3:10" x14ac:dyDescent="0.25">
      <c r="C1184" s="33" t="s">
        <v>348</v>
      </c>
      <c r="D1184" s="30">
        <v>4</v>
      </c>
      <c r="E1184" s="30">
        <v>1</v>
      </c>
      <c r="F1184" s="30">
        <f t="shared" si="39"/>
        <v>4</v>
      </c>
      <c r="G1184" s="30" t="s">
        <v>9</v>
      </c>
      <c r="J1184" s="30" t="s">
        <v>392</v>
      </c>
    </row>
    <row r="1185" spans="3:10" x14ac:dyDescent="0.25">
      <c r="C1185" s="33" t="s">
        <v>633</v>
      </c>
      <c r="D1185" s="30">
        <v>2</v>
      </c>
      <c r="E1185" s="30">
        <v>10</v>
      </c>
      <c r="F1185" s="30">
        <f t="shared" si="39"/>
        <v>20</v>
      </c>
      <c r="G1185" s="30" t="s">
        <v>9</v>
      </c>
      <c r="J1185" s="30" t="s">
        <v>392</v>
      </c>
    </row>
    <row r="1186" spans="3:10" ht="30" x14ac:dyDescent="0.25">
      <c r="C1186" s="33" t="s">
        <v>501</v>
      </c>
      <c r="D1186" s="30">
        <v>2</v>
      </c>
      <c r="E1186" s="30">
        <v>5</v>
      </c>
      <c r="F1186" s="30">
        <f t="shared" si="39"/>
        <v>10</v>
      </c>
      <c r="G1186" s="30" t="s">
        <v>9</v>
      </c>
      <c r="J1186" s="30" t="s">
        <v>392</v>
      </c>
    </row>
    <row r="1187" spans="3:10" x14ac:dyDescent="0.25">
      <c r="C1187" s="33" t="s">
        <v>638</v>
      </c>
      <c r="D1187" s="30">
        <v>1</v>
      </c>
      <c r="E1187" s="30">
        <v>30</v>
      </c>
      <c r="F1187" s="30">
        <f t="shared" si="39"/>
        <v>30</v>
      </c>
      <c r="G1187" s="30" t="s">
        <v>9</v>
      </c>
      <c r="J1187" s="30" t="s">
        <v>392</v>
      </c>
    </row>
    <row r="1188" spans="3:10" x14ac:dyDescent="0.25">
      <c r="C1188" s="33" t="s">
        <v>422</v>
      </c>
      <c r="D1188" s="30">
        <v>1</v>
      </c>
      <c r="E1188" s="30">
        <v>10</v>
      </c>
      <c r="F1188" s="30">
        <f t="shared" si="39"/>
        <v>10</v>
      </c>
      <c r="G1188" s="30" t="s">
        <v>9</v>
      </c>
      <c r="J1188" s="30" t="s">
        <v>392</v>
      </c>
    </row>
    <row r="1189" spans="3:10" x14ac:dyDescent="0.25">
      <c r="C1189" s="19" t="s">
        <v>657</v>
      </c>
      <c r="D1189" s="30">
        <v>1</v>
      </c>
      <c r="E1189" s="30">
        <v>10</v>
      </c>
      <c r="F1189" s="30">
        <f t="shared" si="39"/>
        <v>10</v>
      </c>
      <c r="G1189" s="30" t="s">
        <v>9</v>
      </c>
      <c r="J1189" s="30" t="s">
        <v>392</v>
      </c>
    </row>
    <row r="1190" spans="3:10" x14ac:dyDescent="0.25">
      <c r="C1190" s="19" t="s">
        <v>549</v>
      </c>
      <c r="D1190" s="30">
        <v>1</v>
      </c>
      <c r="E1190" s="30">
        <v>25</v>
      </c>
      <c r="F1190" s="30">
        <f t="shared" si="39"/>
        <v>25</v>
      </c>
      <c r="G1190" s="30" t="s">
        <v>9</v>
      </c>
      <c r="J1190" s="30" t="s">
        <v>392</v>
      </c>
    </row>
    <row r="1191" spans="3:10" x14ac:dyDescent="0.25">
      <c r="C1191" s="33" t="s">
        <v>549</v>
      </c>
      <c r="D1191" s="30">
        <v>1</v>
      </c>
      <c r="E1191" s="30">
        <v>24.5</v>
      </c>
      <c r="F1191" s="30">
        <f t="shared" si="39"/>
        <v>24.5</v>
      </c>
      <c r="G1191" s="30" t="s">
        <v>9</v>
      </c>
      <c r="J1191" s="30" t="s">
        <v>392</v>
      </c>
    </row>
    <row r="1192" spans="3:10" x14ac:dyDescent="0.25">
      <c r="C1192" s="33" t="s">
        <v>553</v>
      </c>
      <c r="D1192" s="30">
        <v>1</v>
      </c>
      <c r="E1192" s="30">
        <v>5</v>
      </c>
      <c r="F1192" s="30">
        <f t="shared" si="39"/>
        <v>5</v>
      </c>
      <c r="G1192" s="30" t="s">
        <v>9</v>
      </c>
      <c r="J1192" s="30" t="s">
        <v>392</v>
      </c>
    </row>
    <row r="1193" spans="3:10" x14ac:dyDescent="0.25">
      <c r="C1193" s="19" t="s">
        <v>527</v>
      </c>
      <c r="D1193" s="30">
        <v>1</v>
      </c>
      <c r="E1193" s="30">
        <v>57</v>
      </c>
      <c r="F1193" s="30">
        <f t="shared" si="39"/>
        <v>57</v>
      </c>
      <c r="G1193" s="30" t="s">
        <v>9</v>
      </c>
      <c r="J1193" s="30" t="s">
        <v>392</v>
      </c>
    </row>
    <row r="1194" spans="3:10" x14ac:dyDescent="0.25">
      <c r="C1194" s="33" t="s">
        <v>633</v>
      </c>
      <c r="D1194" s="30">
        <v>1</v>
      </c>
      <c r="E1194" s="30">
        <v>9.5</v>
      </c>
      <c r="F1194" s="30">
        <f t="shared" si="39"/>
        <v>9.5</v>
      </c>
      <c r="G1194" s="30" t="s">
        <v>9</v>
      </c>
      <c r="J1194" s="30" t="s">
        <v>392</v>
      </c>
    </row>
    <row r="1195" spans="3:10" x14ac:dyDescent="0.25">
      <c r="C1195" s="33" t="s">
        <v>447</v>
      </c>
      <c r="D1195" s="30">
        <v>1</v>
      </c>
      <c r="E1195" s="30">
        <v>10</v>
      </c>
      <c r="F1195" s="30">
        <f t="shared" si="39"/>
        <v>10</v>
      </c>
      <c r="G1195" s="30" t="s">
        <v>9</v>
      </c>
      <c r="J1195" s="30" t="s">
        <v>392</v>
      </c>
    </row>
    <row r="1196" spans="3:10" x14ac:dyDescent="0.25">
      <c r="C1196" s="33" t="s">
        <v>449</v>
      </c>
      <c r="D1196" s="30">
        <v>2</v>
      </c>
      <c r="E1196" s="30">
        <v>4.5</v>
      </c>
      <c r="F1196" s="30">
        <f t="shared" si="39"/>
        <v>9</v>
      </c>
      <c r="G1196" s="30" t="s">
        <v>9</v>
      </c>
      <c r="J1196" s="30" t="s">
        <v>392</v>
      </c>
    </row>
    <row r="1197" spans="3:10" x14ac:dyDescent="0.25">
      <c r="C1197" s="87" t="s">
        <v>74</v>
      </c>
      <c r="D1197" s="80">
        <v>1</v>
      </c>
      <c r="E1197" s="80">
        <v>18</v>
      </c>
      <c r="F1197" s="80">
        <f t="shared" si="39"/>
        <v>18</v>
      </c>
      <c r="G1197" s="30" t="s">
        <v>16</v>
      </c>
      <c r="J1197" s="30" t="s">
        <v>392</v>
      </c>
    </row>
    <row r="1198" spans="3:10" x14ac:dyDescent="0.25">
      <c r="C1198" s="81" t="s">
        <v>378</v>
      </c>
      <c r="D1198" s="80">
        <v>1</v>
      </c>
      <c r="E1198" s="80">
        <v>18</v>
      </c>
      <c r="F1198" s="80">
        <f t="shared" si="39"/>
        <v>18</v>
      </c>
      <c r="G1198" s="30" t="s">
        <v>16</v>
      </c>
      <c r="J1198" s="30" t="s">
        <v>392</v>
      </c>
    </row>
    <row r="1199" spans="3:10" x14ac:dyDescent="0.25">
      <c r="C1199" s="87" t="s">
        <v>571</v>
      </c>
      <c r="D1199" s="80">
        <v>2</v>
      </c>
      <c r="E1199" s="80">
        <v>18</v>
      </c>
      <c r="F1199" s="80">
        <f t="shared" si="39"/>
        <v>36</v>
      </c>
      <c r="G1199" s="30" t="s">
        <v>16</v>
      </c>
      <c r="H1199" s="68" t="s">
        <v>658</v>
      </c>
      <c r="I1199" s="68">
        <f>SUM(F1197:F1199)</f>
        <v>72</v>
      </c>
      <c r="J1199" s="30" t="s">
        <v>392</v>
      </c>
    </row>
    <row r="1200" spans="3:10" x14ac:dyDescent="0.25">
      <c r="C1200" s="33" t="s">
        <v>563</v>
      </c>
      <c r="D1200" s="30">
        <v>0.7</v>
      </c>
      <c r="E1200" s="30">
        <v>28</v>
      </c>
      <c r="F1200" s="30">
        <f t="shared" si="39"/>
        <v>19.599999999999998</v>
      </c>
      <c r="G1200" s="30" t="s">
        <v>9</v>
      </c>
      <c r="J1200" s="30" t="s">
        <v>392</v>
      </c>
    </row>
    <row r="1201" spans="3:10" x14ac:dyDescent="0.25">
      <c r="C1201" s="33" t="s">
        <v>606</v>
      </c>
      <c r="D1201" s="30">
        <v>1</v>
      </c>
      <c r="E1201" s="30">
        <v>4.5</v>
      </c>
      <c r="F1201" s="30">
        <f t="shared" si="39"/>
        <v>4.5</v>
      </c>
      <c r="G1201" s="30" t="s">
        <v>9</v>
      </c>
      <c r="J1201" s="30" t="s">
        <v>392</v>
      </c>
    </row>
    <row r="1202" spans="3:10" x14ac:dyDescent="0.25">
      <c r="C1202" s="33" t="s">
        <v>449</v>
      </c>
      <c r="D1202" s="30">
        <v>2</v>
      </c>
      <c r="E1202" s="30">
        <v>5</v>
      </c>
      <c r="F1202" s="30">
        <f t="shared" si="39"/>
        <v>10</v>
      </c>
      <c r="G1202" s="30" t="s">
        <v>9</v>
      </c>
      <c r="J1202" s="30" t="s">
        <v>392</v>
      </c>
    </row>
    <row r="1203" spans="3:10" x14ac:dyDescent="0.25">
      <c r="C1203" s="19" t="s">
        <v>665</v>
      </c>
      <c r="D1203" s="30">
        <v>1</v>
      </c>
      <c r="E1203" s="30">
        <v>20</v>
      </c>
      <c r="F1203" s="30">
        <f t="shared" si="39"/>
        <v>20</v>
      </c>
      <c r="G1203" s="30" t="s">
        <v>9</v>
      </c>
      <c r="J1203" s="30" t="s">
        <v>392</v>
      </c>
    </row>
    <row r="1204" spans="3:10" x14ac:dyDescent="0.25">
      <c r="C1204" s="33" t="s">
        <v>633</v>
      </c>
      <c r="D1204" s="30">
        <v>1</v>
      </c>
      <c r="E1204" s="30">
        <v>10</v>
      </c>
      <c r="F1204" s="30">
        <f t="shared" si="39"/>
        <v>10</v>
      </c>
      <c r="G1204" s="30" t="s">
        <v>9</v>
      </c>
      <c r="J1204" s="30" t="s">
        <v>392</v>
      </c>
    </row>
    <row r="1205" spans="3:10" x14ac:dyDescent="0.25">
      <c r="C1205" s="33" t="s">
        <v>449</v>
      </c>
      <c r="D1205" s="30">
        <v>2</v>
      </c>
      <c r="E1205" s="30">
        <v>5</v>
      </c>
      <c r="F1205" s="30">
        <f t="shared" si="39"/>
        <v>10</v>
      </c>
      <c r="G1205" s="30" t="s">
        <v>9</v>
      </c>
      <c r="J1205" s="30" t="s">
        <v>392</v>
      </c>
    </row>
    <row r="1206" spans="3:10" ht="30" x14ac:dyDescent="0.25">
      <c r="C1206" s="19" t="s">
        <v>589</v>
      </c>
      <c r="D1206" s="30">
        <v>0.50800000000000001</v>
      </c>
      <c r="E1206" s="30">
        <v>138</v>
      </c>
      <c r="F1206" s="30">
        <f t="shared" si="39"/>
        <v>70.103999999999999</v>
      </c>
      <c r="G1206" s="30" t="s">
        <v>9</v>
      </c>
      <c r="J1206" s="30" t="s">
        <v>392</v>
      </c>
    </row>
    <row r="1207" spans="3:10" x14ac:dyDescent="0.25">
      <c r="C1207" s="33" t="s">
        <v>325</v>
      </c>
      <c r="D1207" s="30">
        <v>1</v>
      </c>
      <c r="E1207" s="30">
        <v>18</v>
      </c>
      <c r="F1207" s="30">
        <f t="shared" si="39"/>
        <v>18</v>
      </c>
      <c r="G1207" s="30" t="s">
        <v>9</v>
      </c>
      <c r="J1207" s="30" t="s">
        <v>392</v>
      </c>
    </row>
    <row r="1208" spans="3:10" x14ac:dyDescent="0.25">
      <c r="C1208" s="33" t="s">
        <v>345</v>
      </c>
      <c r="D1208" s="30">
        <v>2</v>
      </c>
      <c r="E1208" s="30">
        <v>1</v>
      </c>
      <c r="F1208" s="30">
        <f t="shared" si="39"/>
        <v>2</v>
      </c>
      <c r="G1208" s="30" t="s">
        <v>9</v>
      </c>
      <c r="J1208" s="30" t="s">
        <v>392</v>
      </c>
    </row>
    <row r="1209" spans="3:10" x14ac:dyDescent="0.25">
      <c r="C1209" s="19" t="str">
        <f>'Stock Register'!A217</f>
        <v>WHOLE ELACHI LOT 1</v>
      </c>
      <c r="D1209" s="30">
        <v>0.05</v>
      </c>
      <c r="E1209" s="30">
        <v>480</v>
      </c>
      <c r="F1209" s="30">
        <f t="shared" si="39"/>
        <v>24</v>
      </c>
      <c r="G1209" s="30" t="s">
        <v>9</v>
      </c>
      <c r="J1209" s="30" t="s">
        <v>392</v>
      </c>
    </row>
    <row r="1210" spans="3:10" x14ac:dyDescent="0.25">
      <c r="C1210" s="33" t="s">
        <v>664</v>
      </c>
      <c r="D1210" s="30">
        <v>4</v>
      </c>
      <c r="E1210" s="30">
        <v>9</v>
      </c>
      <c r="F1210" s="30">
        <f t="shared" si="39"/>
        <v>36</v>
      </c>
      <c r="G1210" s="30" t="s">
        <v>9</v>
      </c>
      <c r="J1210" s="30" t="s">
        <v>392</v>
      </c>
    </row>
    <row r="1211" spans="3:10" x14ac:dyDescent="0.25">
      <c r="C1211" s="33" t="s">
        <v>81</v>
      </c>
      <c r="D1211" s="30">
        <v>4</v>
      </c>
      <c r="E1211" s="30">
        <v>1</v>
      </c>
      <c r="F1211" s="30">
        <f t="shared" si="39"/>
        <v>4</v>
      </c>
      <c r="G1211" s="30" t="s">
        <v>9</v>
      </c>
      <c r="J1211" s="30" t="s">
        <v>392</v>
      </c>
    </row>
    <row r="1212" spans="3:10" x14ac:dyDescent="0.25">
      <c r="C1212" s="19" t="s">
        <v>476</v>
      </c>
      <c r="D1212" s="30">
        <v>1</v>
      </c>
      <c r="E1212" s="30">
        <v>20</v>
      </c>
      <c r="F1212" s="30">
        <f t="shared" si="39"/>
        <v>20</v>
      </c>
    </row>
    <row r="1213" spans="3:10" x14ac:dyDescent="0.25">
      <c r="C1213" s="19" t="s">
        <v>385</v>
      </c>
      <c r="D1213" s="30">
        <v>1</v>
      </c>
      <c r="E1213" s="30">
        <v>10</v>
      </c>
      <c r="F1213" s="30">
        <f t="shared" si="39"/>
        <v>10</v>
      </c>
    </row>
    <row r="1214" spans="3:10" x14ac:dyDescent="0.25">
      <c r="C1214" s="19" t="s">
        <v>633</v>
      </c>
      <c r="D1214" s="30">
        <v>3</v>
      </c>
      <c r="E1214" s="30">
        <v>10</v>
      </c>
      <c r="F1214" s="30">
        <f t="shared" si="39"/>
        <v>30</v>
      </c>
    </row>
    <row r="1215" spans="3:10" ht="30" x14ac:dyDescent="0.25">
      <c r="C1215" s="19" t="s">
        <v>86</v>
      </c>
      <c r="D1215" s="30">
        <v>1</v>
      </c>
      <c r="E1215" s="30">
        <v>10</v>
      </c>
      <c r="F1215" s="30">
        <f t="shared" si="39"/>
        <v>10</v>
      </c>
    </row>
    <row r="1216" spans="3:10" x14ac:dyDescent="0.25">
      <c r="C1216" s="19" t="s">
        <v>624</v>
      </c>
      <c r="D1216" s="30">
        <v>1</v>
      </c>
      <c r="E1216" s="30">
        <v>20</v>
      </c>
      <c r="F1216" s="30">
        <f t="shared" si="39"/>
        <v>20</v>
      </c>
    </row>
    <row r="1217" spans="1:10" x14ac:dyDescent="0.25">
      <c r="C1217" s="19" t="s">
        <v>400</v>
      </c>
      <c r="D1217" s="30">
        <v>0.255</v>
      </c>
      <c r="E1217" s="30">
        <v>58</v>
      </c>
      <c r="F1217" s="30">
        <f t="shared" si="39"/>
        <v>14.790000000000001</v>
      </c>
    </row>
    <row r="1218" spans="1:10" x14ac:dyDescent="0.25">
      <c r="C1218" s="19" t="s">
        <v>288</v>
      </c>
      <c r="D1218" s="30">
        <v>1</v>
      </c>
      <c r="E1218" s="30">
        <v>70</v>
      </c>
      <c r="F1218" s="30">
        <f t="shared" si="39"/>
        <v>70</v>
      </c>
      <c r="G1218" s="30" t="s">
        <v>9</v>
      </c>
      <c r="I1218" s="139">
        <f>SUM(F1151:F1218)</f>
        <v>2604.4119999999994</v>
      </c>
      <c r="J1218" s="30" t="s">
        <v>392</v>
      </c>
    </row>
    <row r="1219" spans="1:10" s="69" customFormat="1" ht="18.75" x14ac:dyDescent="0.3">
      <c r="A1219" s="235" t="s">
        <v>437</v>
      </c>
      <c r="B1219" s="236"/>
      <c r="C1219" s="236"/>
      <c r="D1219" s="236"/>
      <c r="E1219" s="236"/>
      <c r="F1219" s="236"/>
      <c r="G1219" s="236"/>
      <c r="H1219" s="237"/>
      <c r="I1219" s="69">
        <f>SUM(I1218,I1150)</f>
        <v>3123.3119999999994</v>
      </c>
    </row>
    <row r="1220" spans="1:10" ht="30" x14ac:dyDescent="0.25">
      <c r="A1220" s="78">
        <v>46152</v>
      </c>
      <c r="C1220" s="19" t="s">
        <v>601</v>
      </c>
      <c r="D1220" s="30">
        <v>6.7</v>
      </c>
      <c r="E1220" s="30">
        <v>67</v>
      </c>
      <c r="F1220" s="30">
        <f t="shared" ref="F1220:F1260" si="40">E1220*D1220</f>
        <v>448.90000000000003</v>
      </c>
      <c r="G1220" s="30" t="s">
        <v>9</v>
      </c>
      <c r="J1220" s="30" t="s">
        <v>391</v>
      </c>
    </row>
    <row r="1221" spans="1:10" x14ac:dyDescent="0.25">
      <c r="C1221" s="19" t="s">
        <v>101</v>
      </c>
      <c r="D1221" s="30">
        <v>1</v>
      </c>
      <c r="E1221" s="30">
        <v>48</v>
      </c>
      <c r="F1221" s="30">
        <f t="shared" si="40"/>
        <v>48</v>
      </c>
      <c r="G1221" s="30" t="s">
        <v>9</v>
      </c>
      <c r="J1221" s="30" t="s">
        <v>391</v>
      </c>
    </row>
    <row r="1222" spans="1:10" x14ac:dyDescent="0.25">
      <c r="C1222" s="19" t="s">
        <v>648</v>
      </c>
      <c r="D1222" s="30">
        <v>2</v>
      </c>
      <c r="E1222" s="30">
        <v>10</v>
      </c>
      <c r="F1222" s="30">
        <f t="shared" si="40"/>
        <v>20</v>
      </c>
      <c r="G1222" s="30" t="s">
        <v>9</v>
      </c>
      <c r="I1222" s="139">
        <f>SUM(F1220:F1222)</f>
        <v>516.90000000000009</v>
      </c>
      <c r="J1222" s="30" t="s">
        <v>391</v>
      </c>
    </row>
    <row r="1223" spans="1:10" x14ac:dyDescent="0.25">
      <c r="C1223" s="19" t="s">
        <v>681</v>
      </c>
      <c r="D1223" s="30">
        <v>6</v>
      </c>
      <c r="E1223" s="30">
        <v>9</v>
      </c>
      <c r="F1223" s="30">
        <f t="shared" si="40"/>
        <v>54</v>
      </c>
      <c r="G1223" s="30" t="s">
        <v>9</v>
      </c>
      <c r="J1223" s="30" t="s">
        <v>392</v>
      </c>
    </row>
    <row r="1224" spans="1:10" x14ac:dyDescent="0.25">
      <c r="C1224" s="19" t="s">
        <v>67</v>
      </c>
      <c r="D1224" s="30">
        <v>2</v>
      </c>
      <c r="E1224" s="30">
        <v>12</v>
      </c>
      <c r="F1224" s="30">
        <f t="shared" si="40"/>
        <v>24</v>
      </c>
      <c r="G1224" s="30" t="s">
        <v>9</v>
      </c>
      <c r="J1224" s="30" t="s">
        <v>392</v>
      </c>
    </row>
    <row r="1225" spans="1:10" x14ac:dyDescent="0.25">
      <c r="C1225" s="33" t="s">
        <v>541</v>
      </c>
      <c r="D1225" s="30">
        <v>0.41199999999999998</v>
      </c>
      <c r="E1225" s="30">
        <v>70</v>
      </c>
      <c r="F1225" s="30">
        <f t="shared" si="40"/>
        <v>28.84</v>
      </c>
      <c r="G1225" s="30" t="s">
        <v>9</v>
      </c>
      <c r="J1225" s="30" t="s">
        <v>392</v>
      </c>
    </row>
    <row r="1226" spans="1:10" x14ac:dyDescent="0.25">
      <c r="C1226" s="33" t="s">
        <v>424</v>
      </c>
      <c r="D1226" s="30">
        <v>1</v>
      </c>
      <c r="E1226" s="30">
        <v>20</v>
      </c>
      <c r="F1226" s="30">
        <f t="shared" si="40"/>
        <v>20</v>
      </c>
      <c r="G1226" s="30" t="s">
        <v>9</v>
      </c>
      <c r="J1226" s="30" t="s">
        <v>392</v>
      </c>
    </row>
    <row r="1227" spans="1:10" x14ac:dyDescent="0.25">
      <c r="C1227" s="33" t="s">
        <v>502</v>
      </c>
      <c r="D1227" s="30">
        <v>1</v>
      </c>
      <c r="E1227" s="30">
        <v>10</v>
      </c>
      <c r="F1227" s="30">
        <f t="shared" si="40"/>
        <v>10</v>
      </c>
      <c r="G1227" s="30" t="s">
        <v>9</v>
      </c>
      <c r="J1227" s="30" t="s">
        <v>392</v>
      </c>
    </row>
    <row r="1228" spans="1:10" ht="30" x14ac:dyDescent="0.25">
      <c r="C1228" s="19" t="s">
        <v>577</v>
      </c>
      <c r="D1228" s="30">
        <v>1</v>
      </c>
      <c r="E1228" s="30">
        <v>5</v>
      </c>
      <c r="F1228" s="30">
        <f t="shared" si="40"/>
        <v>5</v>
      </c>
      <c r="G1228" s="30" t="s">
        <v>9</v>
      </c>
      <c r="J1228" s="30" t="s">
        <v>392</v>
      </c>
    </row>
    <row r="1229" spans="1:10" x14ac:dyDescent="0.25">
      <c r="C1229" s="76" t="s">
        <v>609</v>
      </c>
      <c r="D1229" s="30">
        <v>1</v>
      </c>
      <c r="E1229" s="30">
        <v>10</v>
      </c>
      <c r="F1229" s="30">
        <f t="shared" si="40"/>
        <v>10</v>
      </c>
      <c r="G1229" s="30" t="s">
        <v>9</v>
      </c>
      <c r="J1229" s="30" t="s">
        <v>392</v>
      </c>
    </row>
    <row r="1230" spans="1:10" x14ac:dyDescent="0.25">
      <c r="C1230" s="33" t="s">
        <v>325</v>
      </c>
      <c r="D1230" s="30">
        <v>1</v>
      </c>
      <c r="E1230" s="30">
        <v>18</v>
      </c>
      <c r="F1230" s="30">
        <f t="shared" si="40"/>
        <v>18</v>
      </c>
      <c r="G1230" s="30" t="s">
        <v>9</v>
      </c>
      <c r="J1230" s="30" t="s">
        <v>392</v>
      </c>
    </row>
    <row r="1231" spans="1:10" x14ac:dyDescent="0.25">
      <c r="C1231" s="33" t="s">
        <v>348</v>
      </c>
      <c r="D1231" s="30">
        <v>2</v>
      </c>
      <c r="E1231" s="30">
        <v>1</v>
      </c>
      <c r="F1231" s="30">
        <f t="shared" si="40"/>
        <v>2</v>
      </c>
      <c r="G1231" s="30" t="s">
        <v>9</v>
      </c>
      <c r="J1231" s="30" t="s">
        <v>392</v>
      </c>
    </row>
    <row r="1232" spans="1:10" x14ac:dyDescent="0.25">
      <c r="C1232" s="33" t="s">
        <v>343</v>
      </c>
      <c r="D1232" s="30">
        <v>1</v>
      </c>
      <c r="E1232" s="30">
        <v>29</v>
      </c>
      <c r="F1232" s="30">
        <f t="shared" si="40"/>
        <v>29</v>
      </c>
      <c r="G1232" s="30" t="s">
        <v>9</v>
      </c>
      <c r="J1232" s="30" t="s">
        <v>392</v>
      </c>
    </row>
    <row r="1233" spans="3:10" x14ac:dyDescent="0.25">
      <c r="C1233" s="33" t="s">
        <v>99</v>
      </c>
      <c r="D1233" s="30">
        <v>2</v>
      </c>
      <c r="E1233" s="30">
        <v>9</v>
      </c>
      <c r="F1233" s="30">
        <f t="shared" si="40"/>
        <v>18</v>
      </c>
      <c r="G1233" s="30" t="s">
        <v>9</v>
      </c>
      <c r="J1233" s="30" t="s">
        <v>392</v>
      </c>
    </row>
    <row r="1234" spans="3:10" x14ac:dyDescent="0.25">
      <c r="C1234" s="33" t="s">
        <v>580</v>
      </c>
      <c r="D1234" s="30">
        <v>3</v>
      </c>
      <c r="E1234" s="30">
        <v>1</v>
      </c>
      <c r="F1234" s="30">
        <f t="shared" si="40"/>
        <v>3</v>
      </c>
      <c r="G1234" s="30" t="s">
        <v>9</v>
      </c>
      <c r="J1234" s="30" t="s">
        <v>392</v>
      </c>
    </row>
    <row r="1235" spans="3:10" x14ac:dyDescent="0.25">
      <c r="C1235" s="33" t="s">
        <v>633</v>
      </c>
      <c r="D1235" s="30">
        <v>2</v>
      </c>
      <c r="E1235" s="30">
        <v>10</v>
      </c>
      <c r="F1235" s="30">
        <f t="shared" si="40"/>
        <v>20</v>
      </c>
      <c r="G1235" s="30" t="s">
        <v>9</v>
      </c>
      <c r="J1235" s="30" t="s">
        <v>392</v>
      </c>
    </row>
    <row r="1236" spans="3:10" x14ac:dyDescent="0.25">
      <c r="C1236" s="33" t="s">
        <v>633</v>
      </c>
      <c r="D1236" s="30">
        <v>1</v>
      </c>
      <c r="E1236" s="30">
        <v>10</v>
      </c>
      <c r="F1236" s="30">
        <f t="shared" si="40"/>
        <v>10</v>
      </c>
      <c r="G1236" s="30" t="s">
        <v>9</v>
      </c>
      <c r="J1236" s="30" t="s">
        <v>392</v>
      </c>
    </row>
    <row r="1237" spans="3:10" x14ac:dyDescent="0.25">
      <c r="C1237" s="33" t="s">
        <v>609</v>
      </c>
      <c r="D1237" s="30">
        <v>1</v>
      </c>
      <c r="E1237" s="30">
        <v>10</v>
      </c>
      <c r="F1237" s="30">
        <f t="shared" si="40"/>
        <v>10</v>
      </c>
      <c r="G1237" s="30" t="s">
        <v>9</v>
      </c>
      <c r="J1237" s="30" t="s">
        <v>392</v>
      </c>
    </row>
    <row r="1238" spans="3:10" x14ac:dyDescent="0.25">
      <c r="C1238" s="33" t="s">
        <v>325</v>
      </c>
      <c r="D1238" s="30">
        <v>1.5</v>
      </c>
      <c r="E1238" s="30">
        <v>18</v>
      </c>
      <c r="F1238" s="30">
        <f t="shared" si="40"/>
        <v>27</v>
      </c>
      <c r="G1238" s="30" t="s">
        <v>9</v>
      </c>
      <c r="J1238" s="30" t="s">
        <v>392</v>
      </c>
    </row>
    <row r="1239" spans="3:10" x14ac:dyDescent="0.25">
      <c r="C1239" s="33" t="s">
        <v>541</v>
      </c>
      <c r="D1239" s="30">
        <v>0.28599999999999998</v>
      </c>
      <c r="E1239" s="30">
        <v>70</v>
      </c>
      <c r="F1239" s="30">
        <f t="shared" si="40"/>
        <v>20.02</v>
      </c>
      <c r="G1239" s="30" t="s">
        <v>9</v>
      </c>
      <c r="J1239" s="30" t="s">
        <v>392</v>
      </c>
    </row>
    <row r="1240" spans="3:10" x14ac:dyDescent="0.25">
      <c r="C1240" s="19" t="s">
        <v>503</v>
      </c>
      <c r="D1240" s="30">
        <v>1</v>
      </c>
      <c r="E1240" s="30">
        <v>10</v>
      </c>
      <c r="F1240" s="30">
        <f t="shared" si="40"/>
        <v>10</v>
      </c>
      <c r="G1240" s="30" t="s">
        <v>9</v>
      </c>
      <c r="J1240" s="30" t="s">
        <v>392</v>
      </c>
    </row>
    <row r="1241" spans="3:10" x14ac:dyDescent="0.25">
      <c r="C1241" s="33" t="s">
        <v>81</v>
      </c>
      <c r="D1241" s="30">
        <v>1</v>
      </c>
      <c r="E1241" s="30">
        <v>1</v>
      </c>
      <c r="F1241" s="30">
        <f t="shared" si="40"/>
        <v>1</v>
      </c>
      <c r="G1241" s="30" t="s">
        <v>9</v>
      </c>
      <c r="J1241" s="30" t="s">
        <v>392</v>
      </c>
    </row>
    <row r="1242" spans="3:10" x14ac:dyDescent="0.25">
      <c r="C1242" s="33" t="s">
        <v>449</v>
      </c>
      <c r="D1242" s="30">
        <v>2</v>
      </c>
      <c r="E1242" s="30">
        <v>5</v>
      </c>
      <c r="F1242" s="30">
        <f t="shared" si="40"/>
        <v>10</v>
      </c>
      <c r="G1242" s="30" t="s">
        <v>9</v>
      </c>
      <c r="J1242" s="30" t="s">
        <v>392</v>
      </c>
    </row>
    <row r="1243" spans="3:10" x14ac:dyDescent="0.25">
      <c r="C1243" s="33" t="s">
        <v>541</v>
      </c>
      <c r="D1243" s="30">
        <v>0.28599999999999998</v>
      </c>
      <c r="E1243" s="30">
        <v>70</v>
      </c>
      <c r="F1243" s="30">
        <f t="shared" si="40"/>
        <v>20.02</v>
      </c>
      <c r="G1243" s="30" t="s">
        <v>9</v>
      </c>
      <c r="J1243" s="30" t="s">
        <v>392</v>
      </c>
    </row>
    <row r="1244" spans="3:10" x14ac:dyDescent="0.25">
      <c r="C1244" s="19" t="str">
        <f>'Stock Register'!A75</f>
        <v>COCO MALAI LOT 1</v>
      </c>
      <c r="D1244" s="30">
        <v>1</v>
      </c>
      <c r="E1244" s="30">
        <v>20</v>
      </c>
      <c r="F1244" s="30">
        <f t="shared" si="40"/>
        <v>20</v>
      </c>
      <c r="G1244" s="30" t="s">
        <v>9</v>
      </c>
      <c r="J1244" s="30" t="s">
        <v>392</v>
      </c>
    </row>
    <row r="1245" spans="3:10" x14ac:dyDescent="0.25">
      <c r="C1245" s="19" t="s">
        <v>662</v>
      </c>
      <c r="D1245" s="30">
        <v>2.5</v>
      </c>
      <c r="E1245" s="30">
        <v>55</v>
      </c>
      <c r="F1245" s="30">
        <f t="shared" si="40"/>
        <v>137.5</v>
      </c>
      <c r="G1245" s="30" t="s">
        <v>9</v>
      </c>
      <c r="J1245" s="30" t="s">
        <v>392</v>
      </c>
    </row>
    <row r="1246" spans="3:10" x14ac:dyDescent="0.25">
      <c r="C1246" s="33" t="s">
        <v>325</v>
      </c>
      <c r="D1246" s="30">
        <v>1</v>
      </c>
      <c r="E1246" s="30">
        <v>18</v>
      </c>
      <c r="F1246" s="30">
        <f t="shared" si="40"/>
        <v>18</v>
      </c>
      <c r="G1246" s="30" t="s">
        <v>9</v>
      </c>
      <c r="J1246" s="30" t="s">
        <v>392</v>
      </c>
    </row>
    <row r="1247" spans="3:10" x14ac:dyDescent="0.25">
      <c r="C1247" s="19" t="s">
        <v>681</v>
      </c>
      <c r="D1247" s="30">
        <v>4</v>
      </c>
      <c r="E1247" s="30">
        <v>9</v>
      </c>
      <c r="F1247" s="30">
        <f t="shared" si="40"/>
        <v>36</v>
      </c>
      <c r="G1247" s="30" t="s">
        <v>9</v>
      </c>
      <c r="J1247" s="30" t="s">
        <v>392</v>
      </c>
    </row>
    <row r="1248" spans="3:10" x14ac:dyDescent="0.25">
      <c r="C1248" s="33" t="s">
        <v>580</v>
      </c>
      <c r="D1248" s="30">
        <v>3</v>
      </c>
      <c r="E1248" s="30">
        <v>1</v>
      </c>
      <c r="F1248" s="30">
        <f t="shared" si="40"/>
        <v>3</v>
      </c>
      <c r="G1248" s="30" t="s">
        <v>9</v>
      </c>
      <c r="J1248" s="30" t="s">
        <v>392</v>
      </c>
    </row>
    <row r="1249" spans="1:10" x14ac:dyDescent="0.25">
      <c r="C1249" s="19" t="s">
        <v>401</v>
      </c>
      <c r="D1249" s="30">
        <v>2</v>
      </c>
      <c r="E1249" s="30">
        <v>15</v>
      </c>
      <c r="F1249" s="30">
        <f t="shared" si="40"/>
        <v>30</v>
      </c>
      <c r="G1249" s="30" t="s">
        <v>9</v>
      </c>
      <c r="J1249" s="30" t="s">
        <v>392</v>
      </c>
    </row>
    <row r="1250" spans="1:10" x14ac:dyDescent="0.25">
      <c r="C1250" s="33" t="s">
        <v>633</v>
      </c>
      <c r="D1250" s="30">
        <v>1</v>
      </c>
      <c r="E1250" s="30">
        <v>10</v>
      </c>
      <c r="F1250" s="30">
        <f t="shared" si="40"/>
        <v>10</v>
      </c>
      <c r="G1250" s="30" t="s">
        <v>9</v>
      </c>
      <c r="J1250" s="30" t="s">
        <v>392</v>
      </c>
    </row>
    <row r="1251" spans="1:10" x14ac:dyDescent="0.25">
      <c r="C1251" s="33" t="s">
        <v>541</v>
      </c>
      <c r="D1251" s="30">
        <v>0.5</v>
      </c>
      <c r="E1251" s="30">
        <v>70</v>
      </c>
      <c r="F1251" s="30">
        <f t="shared" si="40"/>
        <v>35</v>
      </c>
      <c r="G1251" s="30" t="s">
        <v>9</v>
      </c>
      <c r="J1251" s="30" t="s">
        <v>392</v>
      </c>
    </row>
    <row r="1252" spans="1:10" x14ac:dyDescent="0.25">
      <c r="C1252" s="61" t="s">
        <v>22</v>
      </c>
      <c r="D1252" s="30">
        <v>11</v>
      </c>
      <c r="E1252" s="30">
        <v>2</v>
      </c>
      <c r="F1252" s="30">
        <f t="shared" si="40"/>
        <v>22</v>
      </c>
      <c r="G1252" s="30" t="s">
        <v>9</v>
      </c>
      <c r="J1252" s="30" t="s">
        <v>392</v>
      </c>
    </row>
    <row r="1253" spans="1:10" x14ac:dyDescent="0.25">
      <c r="C1253" s="33" t="s">
        <v>502</v>
      </c>
      <c r="D1253" s="30">
        <v>1</v>
      </c>
      <c r="E1253" s="30">
        <v>10</v>
      </c>
      <c r="F1253" s="30">
        <f t="shared" si="40"/>
        <v>10</v>
      </c>
      <c r="G1253" s="30" t="s">
        <v>9</v>
      </c>
      <c r="J1253" s="30" t="s">
        <v>392</v>
      </c>
    </row>
    <row r="1254" spans="1:10" x14ac:dyDescent="0.25">
      <c r="C1254" s="33" t="s">
        <v>354</v>
      </c>
      <c r="D1254" s="30">
        <v>2</v>
      </c>
      <c r="E1254" s="30">
        <v>10</v>
      </c>
      <c r="F1254" s="30">
        <f t="shared" si="40"/>
        <v>20</v>
      </c>
      <c r="G1254" s="30" t="s">
        <v>9</v>
      </c>
      <c r="J1254" s="30" t="s">
        <v>392</v>
      </c>
    </row>
    <row r="1255" spans="1:10" x14ac:dyDescent="0.25">
      <c r="C1255" s="19" t="s">
        <v>684</v>
      </c>
      <c r="D1255" s="30">
        <v>4</v>
      </c>
      <c r="E1255" s="30">
        <v>9.5</v>
      </c>
      <c r="F1255" s="30">
        <f t="shared" si="40"/>
        <v>38</v>
      </c>
      <c r="G1255" s="30" t="s">
        <v>9</v>
      </c>
      <c r="J1255" s="30" t="s">
        <v>392</v>
      </c>
    </row>
    <row r="1256" spans="1:10" x14ac:dyDescent="0.25">
      <c r="C1256" s="33" t="s">
        <v>665</v>
      </c>
      <c r="D1256" s="30">
        <v>2</v>
      </c>
      <c r="E1256" s="30">
        <v>20</v>
      </c>
      <c r="F1256" s="30">
        <f t="shared" si="40"/>
        <v>40</v>
      </c>
      <c r="G1256" s="30" t="s">
        <v>9</v>
      </c>
      <c r="J1256" s="30" t="s">
        <v>392</v>
      </c>
    </row>
    <row r="1257" spans="1:10" x14ac:dyDescent="0.25">
      <c r="C1257" s="33" t="s">
        <v>449</v>
      </c>
      <c r="D1257" s="30">
        <v>4</v>
      </c>
      <c r="E1257" s="30">
        <v>5</v>
      </c>
      <c r="F1257" s="30">
        <f t="shared" si="40"/>
        <v>20</v>
      </c>
      <c r="G1257" s="30" t="s">
        <v>9</v>
      </c>
      <c r="J1257" s="30" t="s">
        <v>392</v>
      </c>
    </row>
    <row r="1258" spans="1:10" ht="30" x14ac:dyDescent="0.25">
      <c r="C1258" s="19" t="s">
        <v>621</v>
      </c>
      <c r="D1258" s="30">
        <v>1</v>
      </c>
      <c r="E1258" s="30">
        <v>75</v>
      </c>
      <c r="F1258" s="30">
        <f t="shared" si="40"/>
        <v>75</v>
      </c>
      <c r="G1258" s="30" t="s">
        <v>9</v>
      </c>
      <c r="J1258" s="30" t="s">
        <v>392</v>
      </c>
    </row>
    <row r="1259" spans="1:10" x14ac:dyDescent="0.25">
      <c r="C1259" s="19" t="s">
        <v>563</v>
      </c>
      <c r="D1259" s="30">
        <v>0.5</v>
      </c>
      <c r="E1259" s="30">
        <v>28</v>
      </c>
      <c r="F1259" s="30">
        <f t="shared" si="40"/>
        <v>14</v>
      </c>
      <c r="G1259" s="30" t="s">
        <v>9</v>
      </c>
      <c r="J1259" s="30" t="s">
        <v>392</v>
      </c>
    </row>
    <row r="1260" spans="1:10" x14ac:dyDescent="0.25">
      <c r="C1260" s="33" t="s">
        <v>67</v>
      </c>
      <c r="D1260" s="30">
        <v>2</v>
      </c>
      <c r="E1260" s="30">
        <v>12</v>
      </c>
      <c r="F1260" s="30">
        <f t="shared" si="40"/>
        <v>24</v>
      </c>
      <c r="G1260" s="30" t="s">
        <v>9</v>
      </c>
      <c r="I1260" s="139">
        <f>SUM(F1223:F1260)</f>
        <v>902.38</v>
      </c>
      <c r="J1260" s="30" t="s">
        <v>392</v>
      </c>
    </row>
    <row r="1261" spans="1:10" s="69" customFormat="1" ht="18.75" x14ac:dyDescent="0.3">
      <c r="A1261" s="235" t="s">
        <v>437</v>
      </c>
      <c r="B1261" s="236"/>
      <c r="C1261" s="236"/>
      <c r="D1261" s="236"/>
      <c r="E1261" s="236"/>
      <c r="F1261" s="236"/>
      <c r="G1261" s="236"/>
      <c r="H1261" s="237"/>
      <c r="I1261" s="69">
        <f>SUM(I1260,I1222)</f>
        <v>1419.2800000000002</v>
      </c>
    </row>
    <row r="1262" spans="1:10" x14ac:dyDescent="0.25">
      <c r="A1262" s="78">
        <v>46153</v>
      </c>
      <c r="C1262" s="19" t="s">
        <v>607</v>
      </c>
      <c r="D1262" s="30">
        <v>1</v>
      </c>
      <c r="E1262" s="30">
        <v>30</v>
      </c>
      <c r="F1262" s="30">
        <f t="shared" ref="F1262:F1268" si="41">E1262*D1262</f>
        <v>30</v>
      </c>
      <c r="G1262" s="30" t="s">
        <v>10</v>
      </c>
      <c r="J1262" s="30" t="s">
        <v>391</v>
      </c>
    </row>
    <row r="1263" spans="1:10" x14ac:dyDescent="0.25">
      <c r="C1263" s="19" t="s">
        <v>669</v>
      </c>
      <c r="D1263" s="30">
        <v>2</v>
      </c>
      <c r="E1263" s="30">
        <v>5</v>
      </c>
      <c r="F1263" s="30">
        <f t="shared" si="41"/>
        <v>10</v>
      </c>
      <c r="G1263" s="30" t="s">
        <v>10</v>
      </c>
      <c r="J1263" s="30" t="s">
        <v>391</v>
      </c>
    </row>
    <row r="1264" spans="1:10" x14ac:dyDescent="0.25">
      <c r="C1264" s="19" t="s">
        <v>522</v>
      </c>
      <c r="D1264" s="30">
        <v>1</v>
      </c>
      <c r="E1264" s="30">
        <v>60</v>
      </c>
      <c r="F1264" s="30">
        <f t="shared" si="41"/>
        <v>60</v>
      </c>
      <c r="G1264" s="30" t="s">
        <v>9</v>
      </c>
      <c r="J1264" s="30" t="s">
        <v>391</v>
      </c>
    </row>
    <row r="1265" spans="3:10" x14ac:dyDescent="0.25">
      <c r="C1265" s="33" t="s">
        <v>325</v>
      </c>
      <c r="D1265" s="30">
        <v>2</v>
      </c>
      <c r="E1265" s="30">
        <v>18</v>
      </c>
      <c r="F1265" s="30">
        <f t="shared" si="41"/>
        <v>36</v>
      </c>
      <c r="J1265" s="30" t="s">
        <v>391</v>
      </c>
    </row>
    <row r="1266" spans="3:10" ht="30" x14ac:dyDescent="0.25">
      <c r="C1266" s="19" t="s">
        <v>589</v>
      </c>
      <c r="D1266" s="30">
        <v>0.254</v>
      </c>
      <c r="E1266" s="30">
        <v>138</v>
      </c>
      <c r="F1266" s="30">
        <f t="shared" si="41"/>
        <v>35.052</v>
      </c>
      <c r="J1266" s="30" t="s">
        <v>391</v>
      </c>
    </row>
    <row r="1267" spans="3:10" x14ac:dyDescent="0.25">
      <c r="C1267" s="19" t="str">
        <f>'Stock Register'!A11</f>
        <v>MAAZA 600 ML LOT 1</v>
      </c>
      <c r="D1267" s="30">
        <v>1</v>
      </c>
      <c r="E1267" s="30">
        <v>5</v>
      </c>
      <c r="F1267" s="30">
        <f t="shared" si="41"/>
        <v>5</v>
      </c>
      <c r="J1267" s="30" t="s">
        <v>391</v>
      </c>
    </row>
    <row r="1268" spans="3:10" x14ac:dyDescent="0.25">
      <c r="C1268" s="33" t="s">
        <v>541</v>
      </c>
      <c r="D1268" s="30">
        <v>0.35599999999999998</v>
      </c>
      <c r="E1268" s="30">
        <v>70</v>
      </c>
      <c r="F1268" s="30">
        <f t="shared" si="41"/>
        <v>24.919999999999998</v>
      </c>
      <c r="J1268" s="30" t="s">
        <v>391</v>
      </c>
    </row>
    <row r="1269" spans="3:10" x14ac:dyDescent="0.25">
      <c r="C1269" s="87" t="s">
        <v>674</v>
      </c>
      <c r="D1269" s="80">
        <v>1</v>
      </c>
      <c r="E1269" s="80">
        <v>56</v>
      </c>
      <c r="F1269" s="80">
        <f t="shared" ref="F1269:F1289" si="42">E1269*D1269</f>
        <v>56</v>
      </c>
      <c r="H1269" s="68" t="s">
        <v>658</v>
      </c>
      <c r="I1269" s="139">
        <f>SUM(F1262:F1269)</f>
        <v>256.97199999999998</v>
      </c>
      <c r="J1269" s="30" t="s">
        <v>391</v>
      </c>
    </row>
    <row r="1270" spans="3:10" x14ac:dyDescent="0.25">
      <c r="C1270" s="33" t="s">
        <v>563</v>
      </c>
      <c r="D1270" s="30">
        <v>0.37</v>
      </c>
      <c r="E1270" s="30">
        <v>28</v>
      </c>
      <c r="F1270" s="30">
        <f t="shared" si="42"/>
        <v>10.36</v>
      </c>
      <c r="G1270" s="30" t="s">
        <v>9</v>
      </c>
      <c r="J1270" s="30" t="s">
        <v>392</v>
      </c>
    </row>
    <row r="1271" spans="3:10" x14ac:dyDescent="0.25">
      <c r="C1271" s="19" t="s">
        <v>582</v>
      </c>
      <c r="D1271" s="30">
        <v>1</v>
      </c>
      <c r="E1271" s="30">
        <v>10</v>
      </c>
      <c r="F1271" s="30">
        <f t="shared" si="42"/>
        <v>10</v>
      </c>
      <c r="G1271" s="30" t="s">
        <v>9</v>
      </c>
      <c r="J1271" s="30" t="s">
        <v>392</v>
      </c>
    </row>
    <row r="1272" spans="3:10" ht="30" x14ac:dyDescent="0.25">
      <c r="C1272" s="33" t="s">
        <v>86</v>
      </c>
      <c r="D1272" s="30">
        <v>1</v>
      </c>
      <c r="E1272" s="30">
        <v>10</v>
      </c>
      <c r="F1272" s="30">
        <f t="shared" si="42"/>
        <v>10</v>
      </c>
      <c r="G1272" s="30" t="s">
        <v>9</v>
      </c>
      <c r="J1272" s="30" t="s">
        <v>392</v>
      </c>
    </row>
    <row r="1273" spans="3:10" x14ac:dyDescent="0.25">
      <c r="C1273" s="33" t="s">
        <v>502</v>
      </c>
      <c r="D1273" s="30">
        <v>2</v>
      </c>
      <c r="E1273" s="30">
        <v>10</v>
      </c>
      <c r="F1273" s="30">
        <f t="shared" si="42"/>
        <v>20</v>
      </c>
      <c r="G1273" s="30" t="s">
        <v>9</v>
      </c>
      <c r="J1273" s="30" t="s">
        <v>392</v>
      </c>
    </row>
    <row r="1274" spans="3:10" x14ac:dyDescent="0.25">
      <c r="C1274" s="33" t="s">
        <v>446</v>
      </c>
      <c r="D1274" s="30">
        <v>1</v>
      </c>
      <c r="E1274" s="30">
        <v>39</v>
      </c>
      <c r="F1274" s="30">
        <f t="shared" si="42"/>
        <v>39</v>
      </c>
      <c r="G1274" s="30" t="s">
        <v>9</v>
      </c>
      <c r="J1274" s="30" t="s">
        <v>392</v>
      </c>
    </row>
    <row r="1275" spans="3:10" x14ac:dyDescent="0.25">
      <c r="C1275" s="19" t="s">
        <v>662</v>
      </c>
      <c r="D1275" s="30">
        <v>3</v>
      </c>
      <c r="E1275" s="30">
        <v>55</v>
      </c>
      <c r="F1275" s="30">
        <f t="shared" si="42"/>
        <v>165</v>
      </c>
      <c r="G1275" s="30" t="s">
        <v>9</v>
      </c>
      <c r="J1275" s="30" t="s">
        <v>392</v>
      </c>
    </row>
    <row r="1276" spans="3:10" x14ac:dyDescent="0.25">
      <c r="C1276" s="33" t="s">
        <v>563</v>
      </c>
      <c r="D1276" s="30">
        <v>0.5</v>
      </c>
      <c r="E1276" s="30">
        <v>28</v>
      </c>
      <c r="F1276" s="30">
        <f t="shared" si="42"/>
        <v>14</v>
      </c>
      <c r="G1276" s="30" t="s">
        <v>9</v>
      </c>
      <c r="J1276" s="30" t="s">
        <v>392</v>
      </c>
    </row>
    <row r="1277" spans="3:10" x14ac:dyDescent="0.25">
      <c r="C1277" s="19" t="s">
        <v>681</v>
      </c>
      <c r="D1277" s="30">
        <v>6</v>
      </c>
      <c r="E1277" s="30">
        <v>9</v>
      </c>
      <c r="F1277" s="30">
        <f t="shared" si="42"/>
        <v>54</v>
      </c>
      <c r="G1277" s="30" t="s">
        <v>9</v>
      </c>
      <c r="J1277" s="30" t="s">
        <v>392</v>
      </c>
    </row>
    <row r="1278" spans="3:10" x14ac:dyDescent="0.25">
      <c r="C1278" s="33" t="s">
        <v>154</v>
      </c>
      <c r="D1278" s="30">
        <v>1</v>
      </c>
      <c r="E1278" s="30">
        <v>1</v>
      </c>
      <c r="F1278" s="30">
        <f t="shared" si="42"/>
        <v>1</v>
      </c>
      <c r="G1278" s="30" t="s">
        <v>9</v>
      </c>
      <c r="J1278" s="30" t="s">
        <v>392</v>
      </c>
    </row>
    <row r="1279" spans="3:10" x14ac:dyDescent="0.25">
      <c r="C1279" s="33" t="s">
        <v>681</v>
      </c>
      <c r="D1279" s="30">
        <v>3</v>
      </c>
      <c r="E1279" s="30">
        <v>9</v>
      </c>
      <c r="F1279" s="30">
        <f t="shared" si="42"/>
        <v>27</v>
      </c>
      <c r="G1279" s="30" t="s">
        <v>9</v>
      </c>
      <c r="J1279" s="30" t="s">
        <v>392</v>
      </c>
    </row>
    <row r="1280" spans="3:10" x14ac:dyDescent="0.25">
      <c r="C1280" s="33" t="s">
        <v>8</v>
      </c>
      <c r="D1280" s="30">
        <v>1</v>
      </c>
      <c r="E1280" s="30">
        <v>30</v>
      </c>
      <c r="F1280" s="30">
        <f t="shared" si="42"/>
        <v>30</v>
      </c>
      <c r="G1280" s="30" t="s">
        <v>9</v>
      </c>
      <c r="J1280" s="30" t="s">
        <v>392</v>
      </c>
    </row>
    <row r="1281" spans="1:10" x14ac:dyDescent="0.25">
      <c r="C1281" s="19" t="s">
        <v>558</v>
      </c>
      <c r="D1281" s="30">
        <v>1</v>
      </c>
      <c r="E1281" s="30">
        <v>10</v>
      </c>
      <c r="F1281" s="30">
        <f t="shared" si="42"/>
        <v>10</v>
      </c>
      <c r="G1281" s="30" t="s">
        <v>9</v>
      </c>
      <c r="J1281" s="30" t="s">
        <v>392</v>
      </c>
    </row>
    <row r="1282" spans="1:10" x14ac:dyDescent="0.25">
      <c r="C1282" s="33" t="s">
        <v>436</v>
      </c>
      <c r="D1282" s="30">
        <v>5</v>
      </c>
      <c r="E1282" s="30">
        <v>1</v>
      </c>
      <c r="F1282" s="30">
        <f t="shared" si="42"/>
        <v>5</v>
      </c>
      <c r="G1282" s="30" t="s">
        <v>9</v>
      </c>
      <c r="J1282" s="30" t="s">
        <v>392</v>
      </c>
    </row>
    <row r="1283" spans="1:10" x14ac:dyDescent="0.25">
      <c r="C1283" s="19" t="s">
        <v>110</v>
      </c>
      <c r="D1283" s="30">
        <v>2</v>
      </c>
      <c r="E1283" s="30">
        <v>5</v>
      </c>
      <c r="F1283" s="30">
        <f t="shared" si="42"/>
        <v>10</v>
      </c>
      <c r="G1283" s="30" t="s">
        <v>9</v>
      </c>
      <c r="J1283" s="30" t="s">
        <v>392</v>
      </c>
    </row>
    <row r="1284" spans="1:10" x14ac:dyDescent="0.25">
      <c r="C1284" s="33" t="s">
        <v>681</v>
      </c>
      <c r="D1284" s="30">
        <v>6</v>
      </c>
      <c r="E1284" s="30">
        <v>9</v>
      </c>
      <c r="F1284" s="30">
        <f t="shared" si="42"/>
        <v>54</v>
      </c>
      <c r="G1284" s="30" t="s">
        <v>9</v>
      </c>
      <c r="J1284" s="30" t="s">
        <v>392</v>
      </c>
    </row>
    <row r="1285" spans="1:10" x14ac:dyDescent="0.25">
      <c r="C1285" s="19" t="s">
        <v>680</v>
      </c>
      <c r="D1285" s="30">
        <v>1</v>
      </c>
      <c r="E1285" s="30">
        <v>10</v>
      </c>
      <c r="F1285" s="30">
        <f t="shared" si="42"/>
        <v>10</v>
      </c>
      <c r="G1285" s="30" t="s">
        <v>9</v>
      </c>
      <c r="J1285" s="30" t="s">
        <v>392</v>
      </c>
    </row>
    <row r="1286" spans="1:10" x14ac:dyDescent="0.25">
      <c r="C1286" s="33" t="s">
        <v>476</v>
      </c>
      <c r="D1286" s="30">
        <v>1</v>
      </c>
      <c r="E1286" s="30">
        <v>20</v>
      </c>
      <c r="F1286" s="30">
        <f t="shared" si="42"/>
        <v>20</v>
      </c>
      <c r="G1286" s="30" t="s">
        <v>9</v>
      </c>
      <c r="J1286" s="30" t="s">
        <v>392</v>
      </c>
    </row>
    <row r="1287" spans="1:10" x14ac:dyDescent="0.25">
      <c r="C1287" s="19" t="s">
        <v>688</v>
      </c>
      <c r="D1287" s="30">
        <v>1</v>
      </c>
      <c r="E1287" s="30">
        <v>85</v>
      </c>
      <c r="F1287" s="30">
        <f t="shared" si="42"/>
        <v>85</v>
      </c>
      <c r="G1287" s="30" t="s">
        <v>9</v>
      </c>
      <c r="J1287" s="30" t="s">
        <v>392</v>
      </c>
    </row>
    <row r="1288" spans="1:10" x14ac:dyDescent="0.25">
      <c r="C1288" s="33" t="s">
        <v>531</v>
      </c>
      <c r="D1288" s="30">
        <v>1</v>
      </c>
      <c r="E1288" s="30">
        <v>5</v>
      </c>
      <c r="F1288" s="30">
        <f t="shared" si="42"/>
        <v>5</v>
      </c>
      <c r="G1288" s="30" t="s">
        <v>9</v>
      </c>
      <c r="J1288" s="30" t="s">
        <v>392</v>
      </c>
    </row>
    <row r="1289" spans="1:10" x14ac:dyDescent="0.25">
      <c r="C1289" s="61" t="s">
        <v>23</v>
      </c>
      <c r="D1289" s="30">
        <v>1</v>
      </c>
      <c r="E1289" s="30">
        <v>62</v>
      </c>
      <c r="F1289" s="30">
        <f t="shared" si="42"/>
        <v>62</v>
      </c>
      <c r="G1289" s="30" t="s">
        <v>9</v>
      </c>
      <c r="I1289" s="139">
        <f>SUM(F1270:F1289)</f>
        <v>641.36</v>
      </c>
      <c r="J1289" s="30" t="s">
        <v>392</v>
      </c>
    </row>
    <row r="1290" spans="1:10" s="69" customFormat="1" ht="18.75" x14ac:dyDescent="0.3">
      <c r="A1290" s="235" t="s">
        <v>437</v>
      </c>
      <c r="B1290" s="236"/>
      <c r="C1290" s="236"/>
      <c r="D1290" s="236"/>
      <c r="E1290" s="236"/>
      <c r="F1290" s="236"/>
      <c r="G1290" s="236"/>
      <c r="H1290" s="237"/>
      <c r="I1290" s="69">
        <f>SUM(I1289,I1269)</f>
        <v>898.33199999999999</v>
      </c>
    </row>
    <row r="1291" spans="1:10" x14ac:dyDescent="0.25">
      <c r="A1291" s="78">
        <v>46154</v>
      </c>
      <c r="C1291" s="33" t="s">
        <v>522</v>
      </c>
      <c r="D1291" s="30">
        <v>1</v>
      </c>
      <c r="E1291" s="30">
        <v>60</v>
      </c>
      <c r="F1291" s="30">
        <f t="shared" ref="F1291:F1311" si="43">E1291*D1291</f>
        <v>60</v>
      </c>
      <c r="G1291" s="30" t="s">
        <v>9</v>
      </c>
      <c r="J1291" s="30" t="s">
        <v>392</v>
      </c>
    </row>
    <row r="1292" spans="1:10" x14ac:dyDescent="0.25">
      <c r="C1292" s="33" t="s">
        <v>681</v>
      </c>
      <c r="D1292" s="30">
        <v>5</v>
      </c>
      <c r="E1292" s="30">
        <v>9</v>
      </c>
      <c r="F1292" s="30">
        <f t="shared" si="43"/>
        <v>45</v>
      </c>
      <c r="G1292" s="30" t="s">
        <v>9</v>
      </c>
      <c r="J1292" s="30" t="s">
        <v>392</v>
      </c>
    </row>
    <row r="1293" spans="1:10" x14ac:dyDescent="0.25">
      <c r="C1293" s="33" t="s">
        <v>686</v>
      </c>
      <c r="D1293" s="30">
        <v>3</v>
      </c>
      <c r="E1293" s="30">
        <v>9</v>
      </c>
      <c r="F1293" s="30">
        <f t="shared" si="43"/>
        <v>27</v>
      </c>
      <c r="G1293" s="30" t="s">
        <v>9</v>
      </c>
      <c r="J1293" s="30" t="s">
        <v>392</v>
      </c>
    </row>
    <row r="1294" spans="1:10" x14ac:dyDescent="0.25">
      <c r="C1294" s="19" t="s">
        <v>605</v>
      </c>
      <c r="D1294" s="30">
        <v>1</v>
      </c>
      <c r="E1294" s="30">
        <v>198</v>
      </c>
      <c r="F1294" s="30">
        <f t="shared" si="43"/>
        <v>198</v>
      </c>
      <c r="G1294" s="30" t="s">
        <v>9</v>
      </c>
      <c r="J1294" s="30" t="s">
        <v>392</v>
      </c>
    </row>
    <row r="1295" spans="1:10" x14ac:dyDescent="0.25">
      <c r="C1295" s="19" t="str">
        <f>'Stock Register'!A6</f>
        <v>LOOSE TEA LOT 2</v>
      </c>
      <c r="D1295" s="30">
        <v>1</v>
      </c>
      <c r="E1295" s="30">
        <v>20</v>
      </c>
      <c r="F1295" s="30">
        <f t="shared" si="43"/>
        <v>20</v>
      </c>
      <c r="G1295" s="30" t="s">
        <v>9</v>
      </c>
      <c r="J1295" s="30" t="s">
        <v>392</v>
      </c>
    </row>
    <row r="1296" spans="1:10" x14ac:dyDescent="0.25">
      <c r="C1296" s="19" t="s">
        <v>682</v>
      </c>
      <c r="D1296" s="30">
        <v>2</v>
      </c>
      <c r="E1296" s="30">
        <v>10</v>
      </c>
      <c r="F1296" s="30">
        <f t="shared" si="43"/>
        <v>20</v>
      </c>
      <c r="G1296" s="30" t="s">
        <v>9</v>
      </c>
      <c r="J1296" s="30" t="s">
        <v>392</v>
      </c>
    </row>
    <row r="1297" spans="1:10" x14ac:dyDescent="0.25">
      <c r="C1297" s="19" t="s">
        <v>530</v>
      </c>
      <c r="D1297" s="30">
        <v>1</v>
      </c>
      <c r="E1297" s="30">
        <v>10</v>
      </c>
      <c r="F1297" s="30">
        <f t="shared" si="43"/>
        <v>10</v>
      </c>
      <c r="G1297" s="30" t="s">
        <v>9</v>
      </c>
      <c r="J1297" s="30" t="s">
        <v>392</v>
      </c>
    </row>
    <row r="1298" spans="1:10" x14ac:dyDescent="0.25">
      <c r="C1298" s="19" t="s">
        <v>103</v>
      </c>
      <c r="D1298" s="30">
        <v>1</v>
      </c>
      <c r="E1298" s="30">
        <v>13</v>
      </c>
      <c r="F1298" s="30">
        <f t="shared" si="43"/>
        <v>13</v>
      </c>
      <c r="G1298" s="30" t="s">
        <v>9</v>
      </c>
      <c r="J1298" s="30" t="s">
        <v>392</v>
      </c>
    </row>
    <row r="1299" spans="1:10" x14ac:dyDescent="0.25">
      <c r="C1299" s="33" t="s">
        <v>325</v>
      </c>
      <c r="D1299" s="30">
        <v>2</v>
      </c>
      <c r="E1299" s="30">
        <v>0</v>
      </c>
      <c r="F1299" s="30">
        <f t="shared" si="43"/>
        <v>0</v>
      </c>
      <c r="G1299" s="30" t="s">
        <v>9</v>
      </c>
      <c r="J1299" s="30" t="s">
        <v>392</v>
      </c>
    </row>
    <row r="1300" spans="1:10" x14ac:dyDescent="0.25">
      <c r="C1300" s="19" t="s">
        <v>636</v>
      </c>
      <c r="D1300" s="30">
        <v>0.1</v>
      </c>
      <c r="E1300" s="30">
        <v>80</v>
      </c>
      <c r="F1300" s="30">
        <f t="shared" si="43"/>
        <v>8</v>
      </c>
      <c r="G1300" s="30" t="s">
        <v>9</v>
      </c>
      <c r="J1300" s="30" t="s">
        <v>392</v>
      </c>
    </row>
    <row r="1301" spans="1:10" x14ac:dyDescent="0.25">
      <c r="C1301" s="19" t="s">
        <v>636</v>
      </c>
      <c r="D1301" s="30">
        <v>0.1</v>
      </c>
      <c r="E1301" s="30">
        <v>80</v>
      </c>
      <c r="F1301" s="30">
        <f t="shared" si="43"/>
        <v>8</v>
      </c>
      <c r="G1301" s="30" t="s">
        <v>9</v>
      </c>
      <c r="J1301" s="30" t="s">
        <v>392</v>
      </c>
    </row>
    <row r="1302" spans="1:10" x14ac:dyDescent="0.25">
      <c r="C1302" s="33" t="s">
        <v>682</v>
      </c>
      <c r="D1302" s="30">
        <v>4</v>
      </c>
      <c r="E1302" s="30">
        <v>9.5</v>
      </c>
      <c r="F1302" s="30">
        <f t="shared" si="43"/>
        <v>38</v>
      </c>
      <c r="G1302" s="30" t="s">
        <v>9</v>
      </c>
      <c r="J1302" s="30" t="s">
        <v>392</v>
      </c>
    </row>
    <row r="1303" spans="1:10" x14ac:dyDescent="0.25">
      <c r="C1303" s="33" t="s">
        <v>609</v>
      </c>
      <c r="D1303" s="30">
        <v>2</v>
      </c>
      <c r="E1303" s="30">
        <v>10</v>
      </c>
      <c r="F1303" s="30">
        <f t="shared" si="43"/>
        <v>20</v>
      </c>
      <c r="G1303" s="30" t="s">
        <v>9</v>
      </c>
      <c r="J1303" s="30" t="s">
        <v>392</v>
      </c>
    </row>
    <row r="1304" spans="1:10" x14ac:dyDescent="0.25">
      <c r="C1304" s="33" t="s">
        <v>682</v>
      </c>
      <c r="D1304" s="30">
        <v>4</v>
      </c>
      <c r="E1304" s="30">
        <v>9.5</v>
      </c>
      <c r="F1304" s="30">
        <f t="shared" si="43"/>
        <v>38</v>
      </c>
      <c r="G1304" s="30" t="s">
        <v>9</v>
      </c>
      <c r="J1304" s="30" t="s">
        <v>392</v>
      </c>
    </row>
    <row r="1305" spans="1:10" x14ac:dyDescent="0.25">
      <c r="C1305" s="33" t="s">
        <v>580</v>
      </c>
      <c r="D1305" s="30">
        <v>2</v>
      </c>
      <c r="E1305" s="30">
        <v>1</v>
      </c>
      <c r="F1305" s="30">
        <f t="shared" si="43"/>
        <v>2</v>
      </c>
      <c r="G1305" s="30" t="s">
        <v>9</v>
      </c>
      <c r="J1305" s="30" t="s">
        <v>392</v>
      </c>
    </row>
    <row r="1306" spans="1:10" x14ac:dyDescent="0.25">
      <c r="C1306" s="33" t="s">
        <v>662</v>
      </c>
      <c r="D1306" s="30">
        <v>2</v>
      </c>
      <c r="E1306" s="30">
        <v>55</v>
      </c>
      <c r="F1306" s="30">
        <f t="shared" si="43"/>
        <v>110</v>
      </c>
      <c r="G1306" s="30" t="s">
        <v>9</v>
      </c>
      <c r="J1306" s="30" t="s">
        <v>392</v>
      </c>
    </row>
    <row r="1307" spans="1:10" ht="30" x14ac:dyDescent="0.25">
      <c r="C1307" s="19" t="str">
        <f>'Stock Register'!A33</f>
        <v>FORTUNE SOYA HEALTH 1 LITRE LOT 2</v>
      </c>
      <c r="D1307" s="30">
        <v>1</v>
      </c>
      <c r="E1307" s="30">
        <v>40</v>
      </c>
      <c r="F1307" s="30">
        <f t="shared" si="43"/>
        <v>40</v>
      </c>
      <c r="G1307" s="30" t="s">
        <v>9</v>
      </c>
      <c r="J1307" s="30" t="s">
        <v>392</v>
      </c>
    </row>
    <row r="1308" spans="1:10" x14ac:dyDescent="0.25">
      <c r="C1308" s="19" t="s">
        <v>502</v>
      </c>
      <c r="D1308" s="30">
        <v>2</v>
      </c>
      <c r="E1308" s="30">
        <v>10</v>
      </c>
      <c r="F1308" s="30">
        <f t="shared" si="43"/>
        <v>20</v>
      </c>
      <c r="G1308" s="30" t="s">
        <v>9</v>
      </c>
      <c r="J1308" s="30" t="s">
        <v>392</v>
      </c>
    </row>
    <row r="1309" spans="1:10" ht="30" x14ac:dyDescent="0.25">
      <c r="C1309" s="19" t="s">
        <v>127</v>
      </c>
      <c r="D1309" s="30">
        <v>1</v>
      </c>
      <c r="E1309" s="30">
        <v>49</v>
      </c>
      <c r="F1309" s="30">
        <f t="shared" si="43"/>
        <v>49</v>
      </c>
      <c r="G1309" s="30" t="s">
        <v>9</v>
      </c>
      <c r="J1309" s="30" t="s">
        <v>392</v>
      </c>
    </row>
    <row r="1310" spans="1:10" ht="30" x14ac:dyDescent="0.25">
      <c r="C1310" s="19" t="s">
        <v>363</v>
      </c>
      <c r="D1310" s="30">
        <v>1</v>
      </c>
      <c r="E1310" s="30">
        <v>5</v>
      </c>
      <c r="F1310" s="30">
        <f t="shared" si="43"/>
        <v>5</v>
      </c>
      <c r="G1310" s="30" t="s">
        <v>9</v>
      </c>
      <c r="J1310" s="30" t="s">
        <v>392</v>
      </c>
    </row>
    <row r="1311" spans="1:10" ht="30" x14ac:dyDescent="0.25">
      <c r="C1311" s="33" t="s">
        <v>589</v>
      </c>
      <c r="D1311" s="30">
        <v>1</v>
      </c>
      <c r="E1311" s="30">
        <v>138</v>
      </c>
      <c r="F1311" s="30">
        <f t="shared" si="43"/>
        <v>138</v>
      </c>
      <c r="G1311" s="30" t="s">
        <v>9</v>
      </c>
      <c r="I1311" s="139">
        <f>SUM(F1291:F1311)</f>
        <v>869</v>
      </c>
      <c r="J1311" s="30" t="s">
        <v>392</v>
      </c>
    </row>
    <row r="1312" spans="1:10" s="69" customFormat="1" ht="18.75" x14ac:dyDescent="0.3">
      <c r="A1312" s="235" t="s">
        <v>437</v>
      </c>
      <c r="B1312" s="236"/>
      <c r="C1312" s="236"/>
      <c r="D1312" s="236"/>
      <c r="E1312" s="236"/>
      <c r="F1312" s="236"/>
      <c r="G1312" s="236"/>
      <c r="H1312" s="237"/>
      <c r="I1312" s="69">
        <f>I1311</f>
        <v>869</v>
      </c>
    </row>
    <row r="1313" spans="1:10" x14ac:dyDescent="0.25">
      <c r="A1313" s="78">
        <v>46155</v>
      </c>
      <c r="C1313" s="19" t="s">
        <v>669</v>
      </c>
      <c r="D1313" s="30">
        <v>2</v>
      </c>
      <c r="E1313" s="30">
        <v>5</v>
      </c>
      <c r="F1313" s="30">
        <f t="shared" ref="F1313:F1366" si="44">E1313*D1313</f>
        <v>10</v>
      </c>
      <c r="G1313" s="30" t="s">
        <v>9</v>
      </c>
      <c r="J1313" s="30" t="s">
        <v>391</v>
      </c>
    </row>
    <row r="1314" spans="1:10" x14ac:dyDescent="0.25">
      <c r="C1314" s="33" t="s">
        <v>606</v>
      </c>
      <c r="D1314" s="30">
        <v>2</v>
      </c>
      <c r="E1314" s="30">
        <v>5</v>
      </c>
      <c r="F1314" s="30">
        <f t="shared" si="44"/>
        <v>10</v>
      </c>
      <c r="G1314" s="30" t="s">
        <v>9</v>
      </c>
      <c r="J1314" s="30" t="s">
        <v>391</v>
      </c>
    </row>
    <row r="1315" spans="1:10" x14ac:dyDescent="0.25">
      <c r="C1315" s="19" t="s">
        <v>288</v>
      </c>
      <c r="D1315" s="30">
        <v>1</v>
      </c>
      <c r="E1315" s="30">
        <v>68</v>
      </c>
      <c r="F1315" s="30">
        <f t="shared" si="44"/>
        <v>68</v>
      </c>
      <c r="G1315" s="30" t="s">
        <v>9</v>
      </c>
      <c r="J1315" s="30" t="s">
        <v>391</v>
      </c>
    </row>
    <row r="1316" spans="1:10" x14ac:dyDescent="0.25">
      <c r="C1316" s="19" t="s">
        <v>634</v>
      </c>
      <c r="D1316" s="30">
        <v>2</v>
      </c>
      <c r="E1316" s="30">
        <v>5</v>
      </c>
      <c r="F1316" s="30">
        <f t="shared" si="44"/>
        <v>10</v>
      </c>
      <c r="G1316" s="30" t="s">
        <v>9</v>
      </c>
      <c r="J1316" s="30" t="s">
        <v>391</v>
      </c>
    </row>
    <row r="1317" spans="1:10" x14ac:dyDescent="0.25">
      <c r="C1317" s="33" t="s">
        <v>587</v>
      </c>
      <c r="D1317" s="30">
        <v>0.5</v>
      </c>
      <c r="E1317" s="30">
        <v>56</v>
      </c>
      <c r="F1317" s="30">
        <f t="shared" si="44"/>
        <v>28</v>
      </c>
      <c r="G1317" s="30" t="s">
        <v>9</v>
      </c>
      <c r="J1317" s="30" t="s">
        <v>391</v>
      </c>
    </row>
    <row r="1318" spans="1:10" x14ac:dyDescent="0.25">
      <c r="C1318" s="19" t="s">
        <v>701</v>
      </c>
      <c r="D1318" s="30">
        <v>30</v>
      </c>
      <c r="E1318" s="30">
        <v>8.3000000000000007</v>
      </c>
      <c r="F1318" s="30">
        <f t="shared" si="44"/>
        <v>249.00000000000003</v>
      </c>
      <c r="G1318" s="30" t="s">
        <v>9</v>
      </c>
      <c r="J1318" s="30" t="s">
        <v>391</v>
      </c>
    </row>
    <row r="1319" spans="1:10" x14ac:dyDescent="0.25">
      <c r="C1319" s="19" t="s">
        <v>79</v>
      </c>
      <c r="D1319" s="30">
        <v>1</v>
      </c>
      <c r="E1319" s="30">
        <v>50</v>
      </c>
      <c r="F1319" s="30">
        <f t="shared" si="44"/>
        <v>50</v>
      </c>
      <c r="G1319" s="30" t="s">
        <v>9</v>
      </c>
      <c r="J1319" s="30" t="s">
        <v>391</v>
      </c>
    </row>
    <row r="1320" spans="1:10" x14ac:dyDescent="0.25">
      <c r="C1320" s="33" t="s">
        <v>385</v>
      </c>
      <c r="D1320" s="30">
        <v>1</v>
      </c>
      <c r="E1320" s="30">
        <v>10</v>
      </c>
      <c r="F1320" s="30">
        <f t="shared" si="44"/>
        <v>10</v>
      </c>
      <c r="G1320" s="30" t="s">
        <v>9</v>
      </c>
      <c r="J1320" s="30" t="s">
        <v>391</v>
      </c>
    </row>
    <row r="1321" spans="1:10" x14ac:dyDescent="0.25">
      <c r="C1321" s="33" t="s">
        <v>686</v>
      </c>
      <c r="D1321" s="30">
        <v>6</v>
      </c>
      <c r="E1321" s="30">
        <v>9</v>
      </c>
      <c r="F1321" s="30">
        <f t="shared" si="44"/>
        <v>54</v>
      </c>
      <c r="G1321" s="30" t="s">
        <v>9</v>
      </c>
      <c r="J1321" s="30" t="s">
        <v>391</v>
      </c>
    </row>
    <row r="1322" spans="1:10" x14ac:dyDescent="0.25">
      <c r="C1322" s="33" t="s">
        <v>543</v>
      </c>
      <c r="D1322" s="30">
        <v>2</v>
      </c>
      <c r="E1322" s="30">
        <v>27</v>
      </c>
      <c r="F1322" s="30">
        <f t="shared" si="44"/>
        <v>54</v>
      </c>
      <c r="G1322" s="30" t="s">
        <v>9</v>
      </c>
      <c r="J1322" s="30" t="s">
        <v>391</v>
      </c>
    </row>
    <row r="1323" spans="1:10" ht="28.9" customHeight="1" x14ac:dyDescent="0.25">
      <c r="C1323" s="33" t="str">
        <f>'Stock Register'!A43</f>
        <v>SAFFOLA SOYA CHUNKS 40 GM LOT 2</v>
      </c>
      <c r="D1323" s="30">
        <v>1</v>
      </c>
      <c r="E1323" s="30">
        <v>99</v>
      </c>
      <c r="F1323" s="30">
        <f t="shared" si="44"/>
        <v>99</v>
      </c>
      <c r="G1323" s="30" t="s">
        <v>9</v>
      </c>
      <c r="I1323" s="139">
        <f>SUM(F1313:F1323)</f>
        <v>642</v>
      </c>
      <c r="J1323" s="30" t="s">
        <v>391</v>
      </c>
    </row>
    <row r="1324" spans="1:10" x14ac:dyDescent="0.25">
      <c r="C1324" s="33" t="s">
        <v>563</v>
      </c>
      <c r="D1324" s="30">
        <v>0.7</v>
      </c>
      <c r="E1324" s="30">
        <v>28</v>
      </c>
      <c r="F1324" s="30">
        <f t="shared" si="44"/>
        <v>19.599999999999998</v>
      </c>
      <c r="G1324" s="30" t="s">
        <v>9</v>
      </c>
      <c r="J1324" s="30" t="s">
        <v>392</v>
      </c>
    </row>
    <row r="1325" spans="1:10" x14ac:dyDescent="0.25">
      <c r="C1325" s="33" t="s">
        <v>563</v>
      </c>
      <c r="D1325" s="30">
        <v>0.7</v>
      </c>
      <c r="E1325" s="30">
        <v>28</v>
      </c>
      <c r="F1325" s="30">
        <f t="shared" si="44"/>
        <v>19.599999999999998</v>
      </c>
      <c r="J1325" s="30" t="s">
        <v>392</v>
      </c>
    </row>
    <row r="1326" spans="1:10" x14ac:dyDescent="0.25">
      <c r="C1326" s="19" t="s">
        <v>686</v>
      </c>
      <c r="D1326" s="30">
        <v>4</v>
      </c>
      <c r="E1326" s="30">
        <v>9</v>
      </c>
      <c r="F1326" s="30">
        <f t="shared" si="44"/>
        <v>36</v>
      </c>
      <c r="J1326" s="30" t="s">
        <v>392</v>
      </c>
    </row>
    <row r="1327" spans="1:10" x14ac:dyDescent="0.25">
      <c r="C1327" s="33" t="s">
        <v>386</v>
      </c>
      <c r="D1327" s="30">
        <v>1</v>
      </c>
      <c r="E1327" s="30">
        <v>10</v>
      </c>
      <c r="F1327" s="30">
        <f t="shared" si="44"/>
        <v>10</v>
      </c>
      <c r="J1327" s="30" t="s">
        <v>392</v>
      </c>
    </row>
    <row r="1328" spans="1:10" x14ac:dyDescent="0.25">
      <c r="C1328" s="33" t="s">
        <v>57</v>
      </c>
      <c r="D1328" s="30">
        <v>5</v>
      </c>
      <c r="E1328" s="30">
        <v>1</v>
      </c>
      <c r="F1328" s="30">
        <f t="shared" si="44"/>
        <v>5</v>
      </c>
      <c r="J1328" s="30" t="s">
        <v>392</v>
      </c>
    </row>
    <row r="1329" spans="3:10" x14ac:dyDescent="0.25">
      <c r="C1329" s="19" t="s">
        <v>542</v>
      </c>
      <c r="D1329" s="30">
        <v>0.316</v>
      </c>
      <c r="E1329" s="30">
        <v>95</v>
      </c>
      <c r="F1329" s="30">
        <f t="shared" si="44"/>
        <v>30.02</v>
      </c>
      <c r="J1329" s="30" t="s">
        <v>392</v>
      </c>
    </row>
    <row r="1330" spans="3:10" x14ac:dyDescent="0.25">
      <c r="C1330" s="19" t="s">
        <v>701</v>
      </c>
      <c r="D1330" s="30">
        <v>30</v>
      </c>
      <c r="E1330" s="30">
        <v>8.3000000000000007</v>
      </c>
      <c r="F1330" s="30">
        <f t="shared" si="44"/>
        <v>249.00000000000003</v>
      </c>
      <c r="J1330" s="30" t="s">
        <v>392</v>
      </c>
    </row>
    <row r="1331" spans="3:10" x14ac:dyDescent="0.25">
      <c r="C1331" s="33" t="s">
        <v>424</v>
      </c>
      <c r="D1331" s="30">
        <v>1</v>
      </c>
      <c r="E1331" s="30">
        <v>20</v>
      </c>
      <c r="F1331" s="30">
        <f t="shared" si="44"/>
        <v>20</v>
      </c>
      <c r="J1331" s="30" t="s">
        <v>392</v>
      </c>
    </row>
    <row r="1332" spans="3:10" ht="30" x14ac:dyDescent="0.25">
      <c r="C1332" s="19" t="s">
        <v>377</v>
      </c>
      <c r="D1332" s="30">
        <v>1</v>
      </c>
      <c r="E1332" s="30">
        <v>10</v>
      </c>
      <c r="F1332" s="30">
        <f t="shared" si="44"/>
        <v>10</v>
      </c>
      <c r="J1332" s="30" t="s">
        <v>392</v>
      </c>
    </row>
    <row r="1333" spans="3:10" x14ac:dyDescent="0.25">
      <c r="C1333" s="33" t="s">
        <v>634</v>
      </c>
      <c r="D1333" s="30">
        <v>1</v>
      </c>
      <c r="E1333" s="30">
        <v>10</v>
      </c>
      <c r="F1333" s="30">
        <f t="shared" si="44"/>
        <v>10</v>
      </c>
      <c r="J1333" s="30" t="s">
        <v>392</v>
      </c>
    </row>
    <row r="1334" spans="3:10" x14ac:dyDescent="0.25">
      <c r="C1334" s="19" t="s">
        <v>576</v>
      </c>
      <c r="D1334" s="30">
        <v>2</v>
      </c>
      <c r="E1334" s="30">
        <v>5</v>
      </c>
      <c r="F1334" s="30">
        <f t="shared" si="44"/>
        <v>10</v>
      </c>
      <c r="J1334" s="30" t="s">
        <v>392</v>
      </c>
    </row>
    <row r="1335" spans="3:10" x14ac:dyDescent="0.25">
      <c r="C1335" s="33" t="s">
        <v>563</v>
      </c>
      <c r="D1335" s="30">
        <v>1</v>
      </c>
      <c r="E1335" s="30">
        <v>28</v>
      </c>
      <c r="F1335" s="30">
        <f t="shared" si="44"/>
        <v>28</v>
      </c>
      <c r="J1335" s="30" t="s">
        <v>392</v>
      </c>
    </row>
    <row r="1336" spans="3:10" x14ac:dyDescent="0.25">
      <c r="C1336" s="33" t="s">
        <v>422</v>
      </c>
      <c r="D1336" s="30">
        <v>1</v>
      </c>
      <c r="E1336" s="30">
        <v>10</v>
      </c>
      <c r="F1336" s="30">
        <f t="shared" si="44"/>
        <v>10</v>
      </c>
      <c r="J1336" s="30" t="s">
        <v>392</v>
      </c>
    </row>
    <row r="1337" spans="3:10" x14ac:dyDescent="0.25">
      <c r="C1337" s="19" t="s">
        <v>684</v>
      </c>
      <c r="D1337" s="30">
        <v>2</v>
      </c>
      <c r="E1337" s="30">
        <v>10</v>
      </c>
      <c r="F1337" s="30">
        <f t="shared" si="44"/>
        <v>20</v>
      </c>
      <c r="J1337" s="30" t="s">
        <v>392</v>
      </c>
    </row>
    <row r="1338" spans="3:10" x14ac:dyDescent="0.25">
      <c r="C1338" s="33" t="s">
        <v>325</v>
      </c>
      <c r="D1338" s="30">
        <v>1</v>
      </c>
      <c r="E1338" s="30">
        <v>20</v>
      </c>
      <c r="F1338" s="30">
        <f t="shared" si="44"/>
        <v>20</v>
      </c>
      <c r="J1338" s="30" t="s">
        <v>392</v>
      </c>
    </row>
    <row r="1339" spans="3:10" x14ac:dyDescent="0.25">
      <c r="C1339" s="33" t="s">
        <v>530</v>
      </c>
      <c r="D1339" s="30">
        <v>1</v>
      </c>
      <c r="E1339" s="30">
        <v>10</v>
      </c>
      <c r="F1339" s="30">
        <f t="shared" si="44"/>
        <v>10</v>
      </c>
      <c r="J1339" s="30" t="s">
        <v>392</v>
      </c>
    </row>
    <row r="1340" spans="3:10" x14ac:dyDescent="0.25">
      <c r="C1340" s="33" t="s">
        <v>449</v>
      </c>
      <c r="D1340" s="30">
        <v>2</v>
      </c>
      <c r="E1340" s="30">
        <v>5</v>
      </c>
      <c r="F1340" s="30">
        <f t="shared" si="44"/>
        <v>10</v>
      </c>
      <c r="J1340" s="30" t="s">
        <v>392</v>
      </c>
    </row>
    <row r="1341" spans="3:10" x14ac:dyDescent="0.25">
      <c r="C1341" s="33" t="s">
        <v>343</v>
      </c>
      <c r="D1341" s="30">
        <v>1</v>
      </c>
      <c r="E1341" s="30">
        <v>29</v>
      </c>
      <c r="F1341" s="30">
        <f t="shared" si="44"/>
        <v>29</v>
      </c>
      <c r="J1341" s="30" t="s">
        <v>392</v>
      </c>
    </row>
    <row r="1342" spans="3:10" x14ac:dyDescent="0.25">
      <c r="C1342" s="33" t="s">
        <v>587</v>
      </c>
      <c r="D1342" s="30">
        <v>0.5</v>
      </c>
      <c r="E1342" s="30">
        <v>56</v>
      </c>
      <c r="F1342" s="30">
        <f t="shared" si="44"/>
        <v>28</v>
      </c>
      <c r="J1342" s="30" t="s">
        <v>392</v>
      </c>
    </row>
    <row r="1343" spans="3:10" ht="30" x14ac:dyDescent="0.25">
      <c r="C1343" s="19" t="s">
        <v>589</v>
      </c>
      <c r="D1343" s="30">
        <v>7.0999999999999994E-2</v>
      </c>
      <c r="E1343" s="30">
        <v>138</v>
      </c>
      <c r="F1343" s="30">
        <f t="shared" si="44"/>
        <v>9.7979999999999983</v>
      </c>
      <c r="J1343" s="30" t="s">
        <v>392</v>
      </c>
    </row>
    <row r="1344" spans="3:10" x14ac:dyDescent="0.25">
      <c r="C1344" s="33" t="s">
        <v>157</v>
      </c>
      <c r="D1344" s="30">
        <v>0.05</v>
      </c>
      <c r="E1344" s="30">
        <v>200</v>
      </c>
      <c r="F1344" s="30">
        <f t="shared" si="44"/>
        <v>10</v>
      </c>
      <c r="J1344" s="30" t="s">
        <v>392</v>
      </c>
    </row>
    <row r="1345" spans="3:10" x14ac:dyDescent="0.25">
      <c r="C1345" s="33" t="s">
        <v>582</v>
      </c>
      <c r="D1345" s="30">
        <v>1</v>
      </c>
      <c r="E1345" s="30">
        <v>10</v>
      </c>
      <c r="F1345" s="30">
        <f t="shared" si="44"/>
        <v>10</v>
      </c>
      <c r="J1345" s="30" t="s">
        <v>392</v>
      </c>
    </row>
    <row r="1346" spans="3:10" x14ac:dyDescent="0.25">
      <c r="C1346" s="33" t="s">
        <v>633</v>
      </c>
      <c r="D1346" s="30">
        <v>1</v>
      </c>
      <c r="E1346" s="30">
        <v>10</v>
      </c>
      <c r="F1346" s="30">
        <f t="shared" si="44"/>
        <v>10</v>
      </c>
      <c r="J1346" s="30" t="s">
        <v>392</v>
      </c>
    </row>
    <row r="1347" spans="3:10" x14ac:dyDescent="0.25">
      <c r="C1347" s="33" t="s">
        <v>420</v>
      </c>
      <c r="D1347" s="30">
        <v>2</v>
      </c>
      <c r="E1347" s="30">
        <v>10</v>
      </c>
      <c r="F1347" s="30">
        <f t="shared" si="44"/>
        <v>20</v>
      </c>
      <c r="J1347" s="30" t="s">
        <v>392</v>
      </c>
    </row>
    <row r="1348" spans="3:10" x14ac:dyDescent="0.25">
      <c r="C1348" s="33" t="s">
        <v>662</v>
      </c>
      <c r="D1348" s="30">
        <v>5</v>
      </c>
      <c r="E1348" s="30">
        <v>55</v>
      </c>
      <c r="F1348" s="30">
        <f t="shared" si="44"/>
        <v>275</v>
      </c>
      <c r="J1348" s="30" t="s">
        <v>392</v>
      </c>
    </row>
    <row r="1349" spans="3:10" x14ac:dyDescent="0.25">
      <c r="C1349" s="19" t="s">
        <v>515</v>
      </c>
      <c r="D1349" s="30">
        <v>0.125</v>
      </c>
      <c r="E1349" s="30">
        <v>80</v>
      </c>
      <c r="F1349" s="30">
        <f t="shared" si="44"/>
        <v>10</v>
      </c>
      <c r="J1349" s="30" t="s">
        <v>392</v>
      </c>
    </row>
    <row r="1350" spans="3:10" x14ac:dyDescent="0.25">
      <c r="C1350" s="33" t="s">
        <v>423</v>
      </c>
      <c r="D1350" s="30">
        <v>1</v>
      </c>
      <c r="E1350" s="30">
        <v>5</v>
      </c>
      <c r="F1350" s="30">
        <f t="shared" si="44"/>
        <v>5</v>
      </c>
      <c r="J1350" s="30" t="s">
        <v>392</v>
      </c>
    </row>
    <row r="1351" spans="3:10" x14ac:dyDescent="0.25">
      <c r="C1351" s="33" t="s">
        <v>157</v>
      </c>
      <c r="D1351" s="30">
        <v>0.5</v>
      </c>
      <c r="E1351" s="30">
        <v>200</v>
      </c>
      <c r="F1351" s="30">
        <f t="shared" si="44"/>
        <v>100</v>
      </c>
      <c r="J1351" s="30" t="s">
        <v>392</v>
      </c>
    </row>
    <row r="1352" spans="3:10" x14ac:dyDescent="0.25">
      <c r="C1352" s="33" t="s">
        <v>542</v>
      </c>
      <c r="D1352" s="30">
        <v>0.52400000000000002</v>
      </c>
      <c r="E1352" s="30">
        <v>95</v>
      </c>
      <c r="F1352" s="30">
        <f t="shared" si="44"/>
        <v>49.78</v>
      </c>
      <c r="J1352" s="30" t="s">
        <v>392</v>
      </c>
    </row>
    <row r="1353" spans="3:10" x14ac:dyDescent="0.25">
      <c r="C1353" s="19" t="s">
        <v>627</v>
      </c>
      <c r="D1353" s="30">
        <v>1</v>
      </c>
      <c r="E1353" s="30">
        <v>35</v>
      </c>
      <c r="F1353" s="30">
        <f t="shared" si="44"/>
        <v>35</v>
      </c>
      <c r="J1353" s="30" t="s">
        <v>392</v>
      </c>
    </row>
    <row r="1354" spans="3:10" x14ac:dyDescent="0.25">
      <c r="C1354" s="33" t="s">
        <v>563</v>
      </c>
      <c r="D1354" s="30">
        <v>1</v>
      </c>
      <c r="E1354" s="30">
        <v>30</v>
      </c>
      <c r="F1354" s="30">
        <f t="shared" si="44"/>
        <v>30</v>
      </c>
      <c r="J1354" s="30" t="s">
        <v>392</v>
      </c>
    </row>
    <row r="1355" spans="3:10" x14ac:dyDescent="0.25">
      <c r="C1355" s="19" t="s">
        <v>692</v>
      </c>
      <c r="D1355" s="30">
        <v>0.25</v>
      </c>
      <c r="E1355" s="30">
        <v>160</v>
      </c>
      <c r="F1355" s="30">
        <f t="shared" si="44"/>
        <v>40</v>
      </c>
      <c r="J1355" s="30" t="s">
        <v>392</v>
      </c>
    </row>
    <row r="1356" spans="3:10" x14ac:dyDescent="0.25">
      <c r="C1356" s="19" t="s">
        <v>653</v>
      </c>
      <c r="D1356" s="30">
        <v>1</v>
      </c>
      <c r="E1356" s="30">
        <v>110</v>
      </c>
      <c r="F1356" s="30">
        <f t="shared" si="44"/>
        <v>110</v>
      </c>
      <c r="J1356" s="30" t="s">
        <v>392</v>
      </c>
    </row>
    <row r="1357" spans="3:10" x14ac:dyDescent="0.25">
      <c r="C1357" s="19" t="s">
        <v>654</v>
      </c>
      <c r="D1357" s="30">
        <v>1</v>
      </c>
      <c r="E1357" s="30">
        <v>95</v>
      </c>
      <c r="F1357" s="30">
        <f t="shared" si="44"/>
        <v>95</v>
      </c>
      <c r="J1357" s="30" t="s">
        <v>392</v>
      </c>
    </row>
    <row r="1358" spans="3:10" x14ac:dyDescent="0.25">
      <c r="C1358" s="33" t="s">
        <v>422</v>
      </c>
      <c r="D1358" s="30">
        <v>2</v>
      </c>
      <c r="E1358" s="30">
        <v>10</v>
      </c>
      <c r="F1358" s="30">
        <f t="shared" si="44"/>
        <v>20</v>
      </c>
      <c r="J1358" s="30" t="s">
        <v>392</v>
      </c>
    </row>
    <row r="1359" spans="3:10" x14ac:dyDescent="0.25">
      <c r="C1359" s="19" t="s">
        <v>346</v>
      </c>
      <c r="D1359" s="30">
        <v>4</v>
      </c>
      <c r="E1359" s="30">
        <v>5</v>
      </c>
      <c r="F1359" s="30">
        <f t="shared" si="44"/>
        <v>20</v>
      </c>
      <c r="J1359" s="30" t="s">
        <v>392</v>
      </c>
    </row>
    <row r="1360" spans="3:10" x14ac:dyDescent="0.25">
      <c r="C1360" s="33" t="s">
        <v>541</v>
      </c>
      <c r="D1360" s="30">
        <v>0.57599999999999996</v>
      </c>
      <c r="E1360" s="30">
        <v>70</v>
      </c>
      <c r="F1360" s="30">
        <f t="shared" si="44"/>
        <v>40.32</v>
      </c>
      <c r="J1360" s="30" t="s">
        <v>392</v>
      </c>
    </row>
    <row r="1361" spans="1:10" x14ac:dyDescent="0.25">
      <c r="C1361" s="33" t="s">
        <v>638</v>
      </c>
      <c r="D1361" s="30">
        <v>1</v>
      </c>
      <c r="E1361" s="30">
        <v>29</v>
      </c>
      <c r="F1361" s="30">
        <f t="shared" si="44"/>
        <v>29</v>
      </c>
      <c r="J1361" s="30" t="s">
        <v>392</v>
      </c>
    </row>
    <row r="1362" spans="1:10" ht="30" x14ac:dyDescent="0.25">
      <c r="C1362" s="33" t="s">
        <v>86</v>
      </c>
      <c r="D1362" s="30">
        <v>5</v>
      </c>
      <c r="E1362" s="30">
        <v>10</v>
      </c>
      <c r="F1362" s="30">
        <f t="shared" si="44"/>
        <v>50</v>
      </c>
      <c r="J1362" s="30" t="s">
        <v>392</v>
      </c>
    </row>
    <row r="1363" spans="1:10" ht="30" x14ac:dyDescent="0.25">
      <c r="C1363" s="61" t="s">
        <v>382</v>
      </c>
      <c r="D1363" s="30">
        <v>1</v>
      </c>
      <c r="E1363" s="30">
        <v>185</v>
      </c>
      <c r="F1363" s="30">
        <f t="shared" si="44"/>
        <v>185</v>
      </c>
      <c r="J1363" s="30" t="s">
        <v>392</v>
      </c>
    </row>
    <row r="1364" spans="1:10" ht="30" x14ac:dyDescent="0.25">
      <c r="C1364" s="19" t="s">
        <v>625</v>
      </c>
      <c r="D1364" s="30">
        <v>0</v>
      </c>
      <c r="E1364" s="30">
        <v>155</v>
      </c>
      <c r="F1364" s="30">
        <f t="shared" si="44"/>
        <v>0</v>
      </c>
      <c r="J1364" s="30" t="s">
        <v>392</v>
      </c>
    </row>
    <row r="1365" spans="1:10" x14ac:dyDescent="0.25">
      <c r="C1365" s="19" t="str">
        <f>'Stock Register'!A89</f>
        <v>PRABHUJI BHUJIYA LOT 1</v>
      </c>
      <c r="D1365" s="30">
        <v>5</v>
      </c>
      <c r="E1365" s="30">
        <v>4</v>
      </c>
      <c r="F1365" s="30">
        <f t="shared" si="44"/>
        <v>20</v>
      </c>
      <c r="J1365" s="30" t="s">
        <v>392</v>
      </c>
    </row>
    <row r="1366" spans="1:10" ht="30" x14ac:dyDescent="0.25">
      <c r="C1366" s="19" t="s">
        <v>109</v>
      </c>
      <c r="D1366" s="30">
        <v>1</v>
      </c>
      <c r="E1366" s="30">
        <v>15</v>
      </c>
      <c r="F1366" s="30">
        <f t="shared" si="44"/>
        <v>15</v>
      </c>
      <c r="I1366" s="139">
        <f>SUM(F1324:F1366)</f>
        <v>1763.1179999999999</v>
      </c>
      <c r="J1366" s="30" t="s">
        <v>392</v>
      </c>
    </row>
    <row r="1367" spans="1:10" s="69" customFormat="1" ht="18.75" x14ac:dyDescent="0.3">
      <c r="A1367" s="235" t="s">
        <v>437</v>
      </c>
      <c r="B1367" s="236"/>
      <c r="C1367" s="236"/>
      <c r="D1367" s="236"/>
      <c r="E1367" s="236"/>
      <c r="F1367" s="236"/>
      <c r="G1367" s="236"/>
      <c r="H1367" s="237"/>
      <c r="I1367" s="69">
        <f>SUM(I1366,I1323)</f>
        <v>2405.1179999999999</v>
      </c>
    </row>
    <row r="1368" spans="1:10" x14ac:dyDescent="0.25">
      <c r="A1368" s="78">
        <v>46156</v>
      </c>
      <c r="C1368" s="19" t="s">
        <v>703</v>
      </c>
      <c r="D1368" s="30">
        <v>1</v>
      </c>
      <c r="E1368" s="30">
        <v>1300</v>
      </c>
      <c r="F1368" s="30">
        <f t="shared" ref="F1368:F1421" si="45">E1368*D1368</f>
        <v>1300</v>
      </c>
      <c r="G1368" s="30" t="s">
        <v>9</v>
      </c>
      <c r="J1368" s="30" t="s">
        <v>391</v>
      </c>
    </row>
    <row r="1369" spans="1:10" x14ac:dyDescent="0.25">
      <c r="C1369" s="19" t="s">
        <v>703</v>
      </c>
      <c r="D1369" s="30">
        <v>1</v>
      </c>
      <c r="E1369" s="30">
        <v>1305</v>
      </c>
      <c r="F1369" s="30">
        <f t="shared" si="45"/>
        <v>1305</v>
      </c>
      <c r="G1369" s="30" t="s">
        <v>9</v>
      </c>
      <c r="H1369" s="68" t="s">
        <v>658</v>
      </c>
      <c r="J1369" s="30" t="s">
        <v>391</v>
      </c>
    </row>
    <row r="1370" spans="1:10" x14ac:dyDescent="0.25">
      <c r="C1370" s="19" t="s">
        <v>347</v>
      </c>
      <c r="D1370" s="30">
        <v>1</v>
      </c>
      <c r="E1370" s="30">
        <v>10</v>
      </c>
      <c r="F1370" s="30">
        <f t="shared" si="45"/>
        <v>10</v>
      </c>
      <c r="G1370" s="30" t="s">
        <v>9</v>
      </c>
      <c r="J1370" s="30" t="s">
        <v>391</v>
      </c>
    </row>
    <row r="1371" spans="1:10" ht="30" x14ac:dyDescent="0.25">
      <c r="C1371" s="19" t="s">
        <v>478</v>
      </c>
      <c r="D1371" s="30">
        <v>1</v>
      </c>
      <c r="E1371" s="30">
        <v>69</v>
      </c>
      <c r="F1371" s="30">
        <f t="shared" si="45"/>
        <v>69</v>
      </c>
      <c r="G1371" s="30" t="s">
        <v>9</v>
      </c>
      <c r="J1371" s="30" t="s">
        <v>391</v>
      </c>
    </row>
    <row r="1372" spans="1:10" x14ac:dyDescent="0.25">
      <c r="C1372" s="33" t="s">
        <v>157</v>
      </c>
      <c r="D1372" s="30">
        <v>0.5</v>
      </c>
      <c r="E1372" s="30">
        <v>200</v>
      </c>
      <c r="F1372" s="30">
        <f t="shared" si="45"/>
        <v>100</v>
      </c>
      <c r="G1372" s="30" t="s">
        <v>9</v>
      </c>
      <c r="J1372" s="30" t="s">
        <v>391</v>
      </c>
    </row>
    <row r="1373" spans="1:10" x14ac:dyDescent="0.25">
      <c r="C1373" s="19" t="str">
        <f>'Stock Register'!A4</f>
        <v>DURGABARI TEA 35 INR  LOT 1</v>
      </c>
      <c r="D1373" s="30">
        <v>2</v>
      </c>
      <c r="E1373" s="30">
        <v>35</v>
      </c>
      <c r="F1373" s="30">
        <f t="shared" si="45"/>
        <v>70</v>
      </c>
      <c r="G1373" s="30" t="s">
        <v>9</v>
      </c>
      <c r="J1373" s="30" t="s">
        <v>391</v>
      </c>
    </row>
    <row r="1374" spans="1:10" x14ac:dyDescent="0.25">
      <c r="C1374" s="33" t="s">
        <v>638</v>
      </c>
      <c r="D1374" s="30">
        <v>1</v>
      </c>
      <c r="E1374" s="30">
        <v>30</v>
      </c>
      <c r="F1374" s="30">
        <f t="shared" si="45"/>
        <v>30</v>
      </c>
      <c r="G1374" s="30" t="s">
        <v>9</v>
      </c>
      <c r="I1374" s="139">
        <f>SUM(F1368:F1374)</f>
        <v>2884</v>
      </c>
      <c r="J1374" s="30" t="s">
        <v>391</v>
      </c>
    </row>
    <row r="1375" spans="1:10" x14ac:dyDescent="0.25">
      <c r="C1375" s="33" t="s">
        <v>692</v>
      </c>
      <c r="D1375" s="30">
        <v>7.0000000000000007E-2</v>
      </c>
      <c r="E1375" s="30">
        <v>160</v>
      </c>
      <c r="F1375" s="30">
        <f t="shared" si="45"/>
        <v>11.200000000000001</v>
      </c>
      <c r="G1375" s="30" t="s">
        <v>9</v>
      </c>
      <c r="J1375" s="30" t="s">
        <v>392</v>
      </c>
    </row>
    <row r="1376" spans="1:10" x14ac:dyDescent="0.25">
      <c r="C1376" s="33" t="s">
        <v>422</v>
      </c>
      <c r="D1376" s="30">
        <v>2</v>
      </c>
      <c r="E1376" s="30">
        <v>10</v>
      </c>
      <c r="F1376" s="30">
        <f t="shared" si="45"/>
        <v>20</v>
      </c>
      <c r="G1376" s="30" t="s">
        <v>9</v>
      </c>
      <c r="J1376" s="30" t="s">
        <v>392</v>
      </c>
    </row>
    <row r="1377" spans="3:10" x14ac:dyDescent="0.25">
      <c r="C1377" s="33" t="s">
        <v>633</v>
      </c>
      <c r="D1377" s="30">
        <v>2</v>
      </c>
      <c r="E1377" s="30">
        <v>10</v>
      </c>
      <c r="F1377" s="30">
        <f t="shared" si="45"/>
        <v>20</v>
      </c>
      <c r="G1377" s="30" t="s">
        <v>9</v>
      </c>
      <c r="J1377" s="30" t="s">
        <v>392</v>
      </c>
    </row>
    <row r="1378" spans="3:10" x14ac:dyDescent="0.25">
      <c r="C1378" s="33" t="s">
        <v>541</v>
      </c>
      <c r="D1378" s="30">
        <v>0.5</v>
      </c>
      <c r="E1378" s="30">
        <v>70</v>
      </c>
      <c r="F1378" s="30">
        <f t="shared" si="45"/>
        <v>35</v>
      </c>
      <c r="G1378" s="30" t="s">
        <v>9</v>
      </c>
      <c r="J1378" s="30" t="s">
        <v>392</v>
      </c>
    </row>
    <row r="1379" spans="3:10" x14ac:dyDescent="0.25">
      <c r="C1379" s="33" t="s">
        <v>400</v>
      </c>
      <c r="D1379" s="30">
        <v>0.5</v>
      </c>
      <c r="E1379" s="30">
        <v>58</v>
      </c>
      <c r="F1379" s="30">
        <f t="shared" si="45"/>
        <v>29</v>
      </c>
      <c r="G1379" s="30" t="s">
        <v>9</v>
      </c>
      <c r="J1379" s="30" t="s">
        <v>392</v>
      </c>
    </row>
    <row r="1380" spans="3:10" x14ac:dyDescent="0.25">
      <c r="C1380" s="33" t="s">
        <v>606</v>
      </c>
      <c r="D1380" s="30">
        <v>1</v>
      </c>
      <c r="E1380" s="30">
        <v>5</v>
      </c>
      <c r="F1380" s="30">
        <f t="shared" si="45"/>
        <v>5</v>
      </c>
      <c r="G1380" s="30" t="s">
        <v>9</v>
      </c>
      <c r="J1380" s="30" t="s">
        <v>392</v>
      </c>
    </row>
    <row r="1381" spans="3:10" x14ac:dyDescent="0.25">
      <c r="C1381" s="33" t="s">
        <v>497</v>
      </c>
      <c r="D1381" s="30">
        <v>1</v>
      </c>
      <c r="E1381" s="30">
        <v>35</v>
      </c>
      <c r="F1381" s="30">
        <f t="shared" si="45"/>
        <v>35</v>
      </c>
      <c r="G1381" s="30" t="s">
        <v>9</v>
      </c>
      <c r="J1381" s="30" t="s">
        <v>392</v>
      </c>
    </row>
    <row r="1382" spans="3:10" x14ac:dyDescent="0.25">
      <c r="C1382" s="33" t="s">
        <v>558</v>
      </c>
      <c r="D1382" s="30">
        <v>2</v>
      </c>
      <c r="E1382" s="30">
        <v>10</v>
      </c>
      <c r="F1382" s="30">
        <f t="shared" si="45"/>
        <v>20</v>
      </c>
      <c r="G1382" s="30" t="s">
        <v>9</v>
      </c>
      <c r="J1382" s="30" t="s">
        <v>392</v>
      </c>
    </row>
    <row r="1383" spans="3:10" x14ac:dyDescent="0.25">
      <c r="C1383" s="19" t="s">
        <v>649</v>
      </c>
      <c r="D1383" s="30">
        <v>1</v>
      </c>
      <c r="E1383" s="30">
        <v>5</v>
      </c>
      <c r="F1383" s="30">
        <f t="shared" si="45"/>
        <v>5</v>
      </c>
      <c r="G1383" s="30" t="s">
        <v>9</v>
      </c>
      <c r="J1383" s="30" t="s">
        <v>392</v>
      </c>
    </row>
    <row r="1384" spans="3:10" x14ac:dyDescent="0.25">
      <c r="C1384" s="33" t="s">
        <v>530</v>
      </c>
      <c r="D1384" s="30">
        <v>1</v>
      </c>
      <c r="E1384" s="30">
        <v>10</v>
      </c>
      <c r="F1384" s="30">
        <f t="shared" si="45"/>
        <v>10</v>
      </c>
      <c r="G1384" s="30" t="s">
        <v>9</v>
      </c>
      <c r="J1384" s="30" t="s">
        <v>392</v>
      </c>
    </row>
    <row r="1385" spans="3:10" x14ac:dyDescent="0.25">
      <c r="C1385" s="33" t="s">
        <v>607</v>
      </c>
      <c r="D1385" s="30">
        <v>1</v>
      </c>
      <c r="E1385" s="30">
        <v>30</v>
      </c>
      <c r="F1385" s="30">
        <f t="shared" si="45"/>
        <v>30</v>
      </c>
      <c r="G1385" s="30" t="s">
        <v>9</v>
      </c>
      <c r="J1385" s="30" t="s">
        <v>392</v>
      </c>
    </row>
    <row r="1386" spans="3:10" x14ac:dyDescent="0.25">
      <c r="C1386" s="19" t="s">
        <v>122</v>
      </c>
      <c r="D1386" s="30">
        <v>2</v>
      </c>
      <c r="E1386" s="30">
        <v>5</v>
      </c>
      <c r="F1386" s="30">
        <f t="shared" si="45"/>
        <v>10</v>
      </c>
      <c r="G1386" s="30" t="s">
        <v>9</v>
      </c>
      <c r="J1386" s="30" t="s">
        <v>392</v>
      </c>
    </row>
    <row r="1387" spans="3:10" ht="30" x14ac:dyDescent="0.25">
      <c r="C1387" s="33" t="s">
        <v>109</v>
      </c>
      <c r="D1387" s="30">
        <v>1</v>
      </c>
      <c r="E1387" s="30">
        <v>15</v>
      </c>
      <c r="F1387" s="30">
        <f t="shared" si="45"/>
        <v>15</v>
      </c>
      <c r="G1387" s="30" t="s">
        <v>9</v>
      </c>
      <c r="J1387" s="30" t="s">
        <v>392</v>
      </c>
    </row>
    <row r="1388" spans="3:10" x14ac:dyDescent="0.25">
      <c r="C1388" s="33" t="s">
        <v>609</v>
      </c>
      <c r="D1388" s="30">
        <v>2</v>
      </c>
      <c r="E1388" s="30">
        <v>10</v>
      </c>
      <c r="F1388" s="30">
        <f t="shared" si="45"/>
        <v>20</v>
      </c>
      <c r="G1388" s="30" t="s">
        <v>9</v>
      </c>
      <c r="J1388" s="30" t="s">
        <v>392</v>
      </c>
    </row>
    <row r="1389" spans="3:10" ht="30" x14ac:dyDescent="0.25">
      <c r="C1389" s="33" t="s">
        <v>382</v>
      </c>
      <c r="D1389" s="30">
        <v>1</v>
      </c>
      <c r="E1389" s="30">
        <v>185</v>
      </c>
      <c r="F1389" s="30">
        <f t="shared" si="45"/>
        <v>185</v>
      </c>
      <c r="G1389" s="30" t="s">
        <v>9</v>
      </c>
      <c r="J1389" s="30" t="s">
        <v>392</v>
      </c>
    </row>
    <row r="1390" spans="3:10" x14ac:dyDescent="0.25">
      <c r="C1390" s="19" t="s">
        <v>559</v>
      </c>
      <c r="D1390" s="30">
        <v>1</v>
      </c>
      <c r="E1390" s="30">
        <v>35</v>
      </c>
      <c r="F1390" s="30">
        <f t="shared" si="45"/>
        <v>35</v>
      </c>
      <c r="G1390" s="30" t="s">
        <v>9</v>
      </c>
      <c r="J1390" s="30" t="s">
        <v>392</v>
      </c>
    </row>
    <row r="1391" spans="3:10" x14ac:dyDescent="0.25">
      <c r="C1391" s="33" t="s">
        <v>563</v>
      </c>
      <c r="D1391" s="30">
        <v>0.11799999999999999</v>
      </c>
      <c r="E1391" s="30">
        <v>28</v>
      </c>
      <c r="F1391" s="30">
        <f t="shared" si="45"/>
        <v>3.3039999999999998</v>
      </c>
      <c r="G1391" s="30" t="s">
        <v>9</v>
      </c>
      <c r="J1391" s="30" t="s">
        <v>392</v>
      </c>
    </row>
    <row r="1392" spans="3:10" x14ac:dyDescent="0.25">
      <c r="C1392" s="33" t="s">
        <v>462</v>
      </c>
      <c r="D1392" s="30">
        <v>1</v>
      </c>
      <c r="E1392" s="30">
        <v>5</v>
      </c>
      <c r="F1392" s="30">
        <f t="shared" si="45"/>
        <v>5</v>
      </c>
      <c r="G1392" s="30" t="s">
        <v>9</v>
      </c>
      <c r="J1392" s="30" t="s">
        <v>392</v>
      </c>
    </row>
    <row r="1393" spans="3:10" x14ac:dyDescent="0.25">
      <c r="C1393" s="33" t="s">
        <v>497</v>
      </c>
      <c r="D1393" s="30">
        <v>1</v>
      </c>
      <c r="E1393" s="30">
        <v>35</v>
      </c>
      <c r="F1393" s="30">
        <f t="shared" si="45"/>
        <v>35</v>
      </c>
      <c r="G1393" s="30" t="s">
        <v>9</v>
      </c>
      <c r="J1393" s="30" t="s">
        <v>392</v>
      </c>
    </row>
    <row r="1394" spans="3:10" x14ac:dyDescent="0.25">
      <c r="C1394" s="33" t="s">
        <v>345</v>
      </c>
      <c r="D1394" s="30">
        <v>5</v>
      </c>
      <c r="E1394" s="30">
        <v>1</v>
      </c>
      <c r="F1394" s="30">
        <f t="shared" si="45"/>
        <v>5</v>
      </c>
      <c r="G1394" s="30" t="s">
        <v>9</v>
      </c>
      <c r="J1394" s="30" t="s">
        <v>392</v>
      </c>
    </row>
    <row r="1395" spans="3:10" x14ac:dyDescent="0.25">
      <c r="C1395" s="19" t="s">
        <v>381</v>
      </c>
      <c r="D1395" s="30">
        <v>1</v>
      </c>
      <c r="E1395" s="30">
        <v>15</v>
      </c>
      <c r="F1395" s="30">
        <f t="shared" si="45"/>
        <v>15</v>
      </c>
      <c r="G1395" s="30" t="s">
        <v>9</v>
      </c>
      <c r="J1395" s="30" t="s">
        <v>392</v>
      </c>
    </row>
    <row r="1396" spans="3:10" x14ac:dyDescent="0.25">
      <c r="C1396" s="19" t="s">
        <v>667</v>
      </c>
      <c r="D1396" s="30">
        <v>2</v>
      </c>
      <c r="E1396" s="30">
        <v>5</v>
      </c>
      <c r="F1396" s="30">
        <f t="shared" si="45"/>
        <v>10</v>
      </c>
      <c r="G1396" s="30" t="s">
        <v>9</v>
      </c>
      <c r="J1396" s="30" t="s">
        <v>392</v>
      </c>
    </row>
    <row r="1397" spans="3:10" x14ac:dyDescent="0.25">
      <c r="C1397" s="33" t="s">
        <v>543</v>
      </c>
      <c r="D1397" s="30">
        <v>1</v>
      </c>
      <c r="E1397" s="30">
        <v>27</v>
      </c>
      <c r="F1397" s="30">
        <f t="shared" si="45"/>
        <v>27</v>
      </c>
      <c r="G1397" s="30" t="s">
        <v>9</v>
      </c>
      <c r="J1397" s="30" t="s">
        <v>392</v>
      </c>
    </row>
    <row r="1398" spans="3:10" x14ac:dyDescent="0.25">
      <c r="C1398" s="33" t="s">
        <v>684</v>
      </c>
      <c r="D1398" s="30">
        <v>2</v>
      </c>
      <c r="E1398" s="30">
        <v>10</v>
      </c>
      <c r="F1398" s="30">
        <f t="shared" si="45"/>
        <v>20</v>
      </c>
      <c r="G1398" s="30" t="s">
        <v>9</v>
      </c>
      <c r="J1398" s="30" t="s">
        <v>392</v>
      </c>
    </row>
    <row r="1399" spans="3:10" x14ac:dyDescent="0.25">
      <c r="C1399" s="33" t="s">
        <v>424</v>
      </c>
      <c r="D1399" s="30">
        <v>1</v>
      </c>
      <c r="E1399" s="30">
        <v>20</v>
      </c>
      <c r="F1399" s="30">
        <f t="shared" si="45"/>
        <v>20</v>
      </c>
      <c r="G1399" s="30" t="s">
        <v>9</v>
      </c>
      <c r="J1399" s="30" t="s">
        <v>392</v>
      </c>
    </row>
    <row r="1400" spans="3:10" x14ac:dyDescent="0.25">
      <c r="C1400" s="33" t="s">
        <v>422</v>
      </c>
      <c r="D1400" s="30">
        <v>2</v>
      </c>
      <c r="E1400" s="30">
        <v>10</v>
      </c>
      <c r="F1400" s="30">
        <f t="shared" si="45"/>
        <v>20</v>
      </c>
      <c r="G1400" s="30" t="s">
        <v>9</v>
      </c>
      <c r="J1400" s="30" t="s">
        <v>392</v>
      </c>
    </row>
    <row r="1401" spans="3:10" x14ac:dyDescent="0.25">
      <c r="C1401" s="33" t="s">
        <v>381</v>
      </c>
      <c r="D1401" s="30">
        <v>1</v>
      </c>
      <c r="E1401" s="30">
        <v>15</v>
      </c>
      <c r="F1401" s="30">
        <f t="shared" si="45"/>
        <v>15</v>
      </c>
      <c r="G1401" s="30" t="s">
        <v>9</v>
      </c>
      <c r="J1401" s="30" t="s">
        <v>392</v>
      </c>
    </row>
    <row r="1402" spans="3:10" x14ac:dyDescent="0.25">
      <c r="C1402" s="33" t="s">
        <v>587</v>
      </c>
      <c r="D1402" s="30">
        <v>0.19</v>
      </c>
      <c r="E1402" s="30">
        <v>56</v>
      </c>
      <c r="F1402" s="30">
        <f t="shared" si="45"/>
        <v>10.64</v>
      </c>
      <c r="G1402" s="30" t="s">
        <v>9</v>
      </c>
      <c r="J1402" s="30" t="s">
        <v>392</v>
      </c>
    </row>
    <row r="1403" spans="3:10" x14ac:dyDescent="0.25">
      <c r="C1403" s="19" t="s">
        <v>73</v>
      </c>
      <c r="D1403" s="30">
        <v>1</v>
      </c>
      <c r="E1403" s="30">
        <v>10</v>
      </c>
      <c r="F1403" s="30">
        <f t="shared" si="45"/>
        <v>10</v>
      </c>
      <c r="G1403" s="30" t="s">
        <v>9</v>
      </c>
      <c r="J1403" s="30" t="s">
        <v>392</v>
      </c>
    </row>
    <row r="1404" spans="3:10" ht="30" x14ac:dyDescent="0.25">
      <c r="C1404" s="19" t="s">
        <v>426</v>
      </c>
      <c r="D1404" s="30">
        <v>1</v>
      </c>
      <c r="E1404" s="30">
        <v>10</v>
      </c>
      <c r="F1404" s="30">
        <f t="shared" si="45"/>
        <v>10</v>
      </c>
      <c r="G1404" s="30" t="s">
        <v>9</v>
      </c>
      <c r="J1404" s="30" t="s">
        <v>392</v>
      </c>
    </row>
    <row r="1405" spans="3:10" x14ac:dyDescent="0.25">
      <c r="C1405" s="33" t="s">
        <v>634</v>
      </c>
      <c r="D1405" s="30">
        <v>1</v>
      </c>
      <c r="E1405" s="30">
        <v>10</v>
      </c>
      <c r="F1405" s="30">
        <f t="shared" si="45"/>
        <v>10</v>
      </c>
      <c r="G1405" s="30" t="s">
        <v>9</v>
      </c>
      <c r="J1405" s="30" t="s">
        <v>392</v>
      </c>
    </row>
    <row r="1406" spans="3:10" x14ac:dyDescent="0.25">
      <c r="C1406" s="33" t="s">
        <v>502</v>
      </c>
      <c r="D1406" s="30">
        <v>1</v>
      </c>
      <c r="E1406" s="30">
        <v>10</v>
      </c>
      <c r="F1406" s="30">
        <f t="shared" si="45"/>
        <v>10</v>
      </c>
      <c r="G1406" s="30" t="s">
        <v>9</v>
      </c>
      <c r="J1406" s="30" t="s">
        <v>392</v>
      </c>
    </row>
    <row r="1407" spans="3:10" x14ac:dyDescent="0.25">
      <c r="C1407" s="19" t="s">
        <v>578</v>
      </c>
      <c r="D1407" s="30">
        <v>2</v>
      </c>
      <c r="E1407" s="30">
        <v>5</v>
      </c>
      <c r="F1407" s="30">
        <f t="shared" si="45"/>
        <v>10</v>
      </c>
      <c r="G1407" s="30" t="s">
        <v>9</v>
      </c>
      <c r="J1407" s="30" t="s">
        <v>392</v>
      </c>
    </row>
    <row r="1408" spans="3:10" x14ac:dyDescent="0.25">
      <c r="C1408" s="33" t="s">
        <v>386</v>
      </c>
      <c r="D1408" s="30">
        <v>1</v>
      </c>
      <c r="E1408" s="30">
        <v>10</v>
      </c>
      <c r="F1408" s="30">
        <f t="shared" si="45"/>
        <v>10</v>
      </c>
      <c r="G1408" s="30" t="s">
        <v>9</v>
      </c>
      <c r="J1408" s="30" t="s">
        <v>392</v>
      </c>
    </row>
    <row r="1409" spans="1:10" x14ac:dyDescent="0.25">
      <c r="C1409" s="33" t="s">
        <v>22</v>
      </c>
      <c r="D1409" s="30">
        <v>20</v>
      </c>
      <c r="E1409" s="30">
        <v>1</v>
      </c>
      <c r="F1409" s="30">
        <f t="shared" si="45"/>
        <v>20</v>
      </c>
      <c r="G1409" s="30" t="s">
        <v>9</v>
      </c>
      <c r="J1409" s="30" t="s">
        <v>392</v>
      </c>
    </row>
    <row r="1410" spans="1:10" x14ac:dyDescent="0.25">
      <c r="C1410" s="19" t="s">
        <v>545</v>
      </c>
      <c r="D1410" s="30">
        <v>1</v>
      </c>
      <c r="E1410" s="30">
        <v>30</v>
      </c>
      <c r="F1410" s="30">
        <f t="shared" si="45"/>
        <v>30</v>
      </c>
      <c r="G1410" s="30" t="s">
        <v>9</v>
      </c>
      <c r="J1410" s="30" t="s">
        <v>392</v>
      </c>
    </row>
    <row r="1411" spans="1:10" x14ac:dyDescent="0.25">
      <c r="C1411" s="19" t="s">
        <v>675</v>
      </c>
      <c r="D1411" s="30">
        <v>1</v>
      </c>
      <c r="E1411" s="30">
        <v>40</v>
      </c>
      <c r="F1411" s="30">
        <f t="shared" si="45"/>
        <v>40</v>
      </c>
      <c r="G1411" s="30" t="s">
        <v>9</v>
      </c>
      <c r="J1411" s="30" t="s">
        <v>392</v>
      </c>
    </row>
    <row r="1412" spans="1:10" x14ac:dyDescent="0.25">
      <c r="C1412" s="33" t="s">
        <v>662</v>
      </c>
      <c r="D1412" s="30">
        <v>4</v>
      </c>
      <c r="E1412" s="30">
        <v>55</v>
      </c>
      <c r="F1412" s="30">
        <f t="shared" si="45"/>
        <v>220</v>
      </c>
      <c r="G1412" s="30" t="s">
        <v>9</v>
      </c>
      <c r="J1412" s="30" t="s">
        <v>392</v>
      </c>
    </row>
    <row r="1413" spans="1:10" x14ac:dyDescent="0.25">
      <c r="C1413" s="33" t="s">
        <v>655</v>
      </c>
      <c r="D1413" s="30">
        <v>1</v>
      </c>
      <c r="E1413" s="30">
        <v>15</v>
      </c>
      <c r="F1413" s="30">
        <f t="shared" si="45"/>
        <v>15</v>
      </c>
      <c r="G1413" s="30" t="s">
        <v>9</v>
      </c>
      <c r="J1413" s="30" t="s">
        <v>392</v>
      </c>
    </row>
    <row r="1414" spans="1:10" x14ac:dyDescent="0.25">
      <c r="C1414" s="33" t="s">
        <v>576</v>
      </c>
      <c r="D1414" s="30">
        <v>1</v>
      </c>
      <c r="E1414" s="30">
        <v>5</v>
      </c>
      <c r="F1414" s="30">
        <f t="shared" si="45"/>
        <v>5</v>
      </c>
      <c r="G1414" s="30" t="s">
        <v>9</v>
      </c>
      <c r="J1414" s="30" t="s">
        <v>392</v>
      </c>
    </row>
    <row r="1415" spans="1:10" x14ac:dyDescent="0.25">
      <c r="C1415" s="19" t="s">
        <v>686</v>
      </c>
      <c r="D1415" s="30">
        <v>8</v>
      </c>
      <c r="E1415" s="30">
        <v>9</v>
      </c>
      <c r="F1415" s="30">
        <f t="shared" si="45"/>
        <v>72</v>
      </c>
      <c r="G1415" s="30" t="s">
        <v>9</v>
      </c>
      <c r="J1415" s="30" t="s">
        <v>392</v>
      </c>
    </row>
    <row r="1416" spans="1:10" x14ac:dyDescent="0.25">
      <c r="C1416" s="19" t="s">
        <v>571</v>
      </c>
      <c r="D1416" s="30">
        <v>4</v>
      </c>
      <c r="E1416" s="30">
        <v>20</v>
      </c>
      <c r="F1416" s="30">
        <f t="shared" si="45"/>
        <v>80</v>
      </c>
      <c r="G1416" s="30" t="s">
        <v>9</v>
      </c>
      <c r="J1416" s="30" t="s">
        <v>392</v>
      </c>
    </row>
    <row r="1417" spans="1:10" x14ac:dyDescent="0.25">
      <c r="C1417" s="33" t="s">
        <v>366</v>
      </c>
      <c r="D1417" s="30">
        <v>1</v>
      </c>
      <c r="E1417" s="30">
        <v>50</v>
      </c>
      <c r="F1417" s="30">
        <f t="shared" si="45"/>
        <v>50</v>
      </c>
      <c r="G1417" s="30" t="s">
        <v>9</v>
      </c>
      <c r="J1417" s="30" t="s">
        <v>392</v>
      </c>
    </row>
    <row r="1418" spans="1:10" x14ac:dyDescent="0.25">
      <c r="C1418" s="61" t="s">
        <v>35</v>
      </c>
      <c r="D1418" s="30">
        <v>1</v>
      </c>
      <c r="E1418" s="30">
        <v>118</v>
      </c>
      <c r="F1418" s="30">
        <f t="shared" si="45"/>
        <v>118</v>
      </c>
      <c r="G1418" s="30" t="s">
        <v>9</v>
      </c>
      <c r="J1418" s="30" t="s">
        <v>392</v>
      </c>
    </row>
    <row r="1419" spans="1:10" x14ac:dyDescent="0.25">
      <c r="C1419" s="19" t="s">
        <v>639</v>
      </c>
      <c r="D1419" s="30">
        <v>10</v>
      </c>
      <c r="E1419" s="30">
        <v>2</v>
      </c>
      <c r="F1419" s="30">
        <f t="shared" si="45"/>
        <v>20</v>
      </c>
      <c r="G1419" s="30" t="s">
        <v>9</v>
      </c>
      <c r="J1419" s="30" t="s">
        <v>392</v>
      </c>
    </row>
    <row r="1420" spans="1:10" x14ac:dyDescent="0.25">
      <c r="C1420" s="19" t="s">
        <v>665</v>
      </c>
      <c r="D1420" s="30">
        <v>1</v>
      </c>
      <c r="E1420" s="30">
        <v>20</v>
      </c>
      <c r="F1420" s="30">
        <f t="shared" si="45"/>
        <v>20</v>
      </c>
      <c r="G1420" s="30" t="s">
        <v>9</v>
      </c>
      <c r="J1420" s="30" t="s">
        <v>392</v>
      </c>
    </row>
    <row r="1421" spans="1:10" x14ac:dyDescent="0.25">
      <c r="C1421" s="33" t="s">
        <v>563</v>
      </c>
      <c r="D1421" s="30">
        <v>1</v>
      </c>
      <c r="E1421" s="30">
        <v>30</v>
      </c>
      <c r="F1421" s="30">
        <f t="shared" si="45"/>
        <v>30</v>
      </c>
      <c r="G1421" s="30" t="s">
        <v>9</v>
      </c>
      <c r="I1421" s="139">
        <f>SUM(F1375:F1421)</f>
        <v>1451.1439999999998</v>
      </c>
      <c r="J1421" s="30" t="s">
        <v>392</v>
      </c>
    </row>
    <row r="1422" spans="1:10" s="69" customFormat="1" ht="18.75" x14ac:dyDescent="0.3">
      <c r="A1422" s="235" t="s">
        <v>437</v>
      </c>
      <c r="B1422" s="236"/>
      <c r="C1422" s="236"/>
      <c r="D1422" s="236"/>
      <c r="E1422" s="236"/>
      <c r="F1422" s="236"/>
      <c r="G1422" s="236"/>
      <c r="H1422" s="237"/>
      <c r="I1422" s="69">
        <f>SUM(I1421,I1374)</f>
        <v>4335.1440000000002</v>
      </c>
    </row>
    <row r="1423" spans="1:10" x14ac:dyDescent="0.25">
      <c r="A1423" s="78">
        <v>46157</v>
      </c>
      <c r="C1423" s="19" t="s">
        <v>158</v>
      </c>
      <c r="D1423" s="30">
        <v>0.25</v>
      </c>
      <c r="E1423" s="30">
        <v>170</v>
      </c>
      <c r="F1423" s="30">
        <f t="shared" ref="F1423:F1454" si="46">E1423*D1423</f>
        <v>42.5</v>
      </c>
      <c r="G1423" s="30" t="s">
        <v>9</v>
      </c>
      <c r="J1423" s="30" t="s">
        <v>391</v>
      </c>
    </row>
    <row r="1424" spans="1:10" x14ac:dyDescent="0.25">
      <c r="C1424" s="33" t="s">
        <v>354</v>
      </c>
      <c r="D1424" s="30">
        <v>2</v>
      </c>
      <c r="E1424" s="30">
        <v>10</v>
      </c>
      <c r="F1424" s="30">
        <f t="shared" si="46"/>
        <v>20</v>
      </c>
      <c r="G1424" s="30" t="s">
        <v>9</v>
      </c>
      <c r="J1424" s="30" t="s">
        <v>391</v>
      </c>
    </row>
    <row r="1425" spans="3:10" x14ac:dyDescent="0.25">
      <c r="C1425" s="61" t="s">
        <v>87</v>
      </c>
      <c r="D1425" s="30">
        <v>1</v>
      </c>
      <c r="E1425" s="30">
        <v>84</v>
      </c>
      <c r="F1425" s="30">
        <f t="shared" si="46"/>
        <v>84</v>
      </c>
      <c r="G1425" s="30" t="s">
        <v>9</v>
      </c>
      <c r="J1425" s="30" t="s">
        <v>391</v>
      </c>
    </row>
    <row r="1426" spans="3:10" x14ac:dyDescent="0.25">
      <c r="C1426" s="19" t="s">
        <v>525</v>
      </c>
      <c r="D1426" s="30">
        <v>1</v>
      </c>
      <c r="E1426" s="30">
        <v>29</v>
      </c>
      <c r="F1426" s="30">
        <f t="shared" si="46"/>
        <v>29</v>
      </c>
      <c r="G1426" s="30" t="s">
        <v>9</v>
      </c>
      <c r="J1426" s="30" t="s">
        <v>391</v>
      </c>
    </row>
    <row r="1427" spans="3:10" x14ac:dyDescent="0.25">
      <c r="C1427" s="19" t="s">
        <v>686</v>
      </c>
      <c r="D1427" s="30">
        <v>8</v>
      </c>
      <c r="E1427" s="30">
        <v>9</v>
      </c>
      <c r="F1427" s="30">
        <f t="shared" si="46"/>
        <v>72</v>
      </c>
      <c r="G1427" s="30" t="s">
        <v>9</v>
      </c>
      <c r="J1427" s="30" t="s">
        <v>391</v>
      </c>
    </row>
    <row r="1428" spans="3:10" ht="30" x14ac:dyDescent="0.25">
      <c r="C1428" s="33" t="s">
        <v>589</v>
      </c>
      <c r="D1428" s="30">
        <v>0.14499999999999999</v>
      </c>
      <c r="E1428" s="30">
        <v>138</v>
      </c>
      <c r="F1428" s="30">
        <f t="shared" si="46"/>
        <v>20.009999999999998</v>
      </c>
      <c r="G1428" s="30" t="s">
        <v>9</v>
      </c>
      <c r="J1428" s="30" t="s">
        <v>391</v>
      </c>
    </row>
    <row r="1429" spans="3:10" x14ac:dyDescent="0.25">
      <c r="C1429" s="33" t="s">
        <v>422</v>
      </c>
      <c r="D1429" s="30">
        <v>1</v>
      </c>
      <c r="E1429" s="30">
        <v>10</v>
      </c>
      <c r="F1429" s="30">
        <f t="shared" si="46"/>
        <v>10</v>
      </c>
      <c r="G1429" s="30" t="s">
        <v>9</v>
      </c>
      <c r="J1429" s="30" t="s">
        <v>391</v>
      </c>
    </row>
    <row r="1430" spans="3:10" ht="30" x14ac:dyDescent="0.25">
      <c r="C1430" s="19" t="s">
        <v>70</v>
      </c>
      <c r="D1430" s="30">
        <v>2</v>
      </c>
      <c r="E1430" s="30">
        <v>5</v>
      </c>
      <c r="F1430" s="30">
        <f t="shared" si="46"/>
        <v>10</v>
      </c>
      <c r="G1430" s="30" t="s">
        <v>9</v>
      </c>
      <c r="J1430" s="30" t="s">
        <v>391</v>
      </c>
    </row>
    <row r="1431" spans="3:10" x14ac:dyDescent="0.25">
      <c r="C1431" s="33" t="s">
        <v>522</v>
      </c>
      <c r="D1431" s="30">
        <v>1</v>
      </c>
      <c r="E1431" s="30">
        <v>60</v>
      </c>
      <c r="F1431" s="30">
        <f t="shared" si="46"/>
        <v>60</v>
      </c>
      <c r="G1431" s="30" t="s">
        <v>9</v>
      </c>
      <c r="J1431" s="30" t="s">
        <v>391</v>
      </c>
    </row>
    <row r="1432" spans="3:10" x14ac:dyDescent="0.25">
      <c r="C1432" s="19" t="s">
        <v>464</v>
      </c>
      <c r="D1432" s="30">
        <v>1</v>
      </c>
      <c r="E1432" s="30">
        <v>44</v>
      </c>
      <c r="F1432" s="30">
        <f t="shared" si="46"/>
        <v>44</v>
      </c>
      <c r="G1432" s="30" t="s">
        <v>9</v>
      </c>
      <c r="J1432" s="30" t="s">
        <v>391</v>
      </c>
    </row>
    <row r="1433" spans="3:10" x14ac:dyDescent="0.25">
      <c r="C1433" s="19" t="s">
        <v>564</v>
      </c>
      <c r="D1433" s="30">
        <v>0.25</v>
      </c>
      <c r="E1433" s="30">
        <v>300</v>
      </c>
      <c r="F1433" s="30">
        <f t="shared" si="46"/>
        <v>75</v>
      </c>
      <c r="G1433" s="30" t="s">
        <v>9</v>
      </c>
      <c r="J1433" s="30" t="s">
        <v>391</v>
      </c>
    </row>
    <row r="1434" spans="3:10" x14ac:dyDescent="0.25">
      <c r="C1434" s="19" t="s">
        <v>149</v>
      </c>
      <c r="D1434" s="30">
        <v>1</v>
      </c>
      <c r="E1434" s="30">
        <v>165</v>
      </c>
      <c r="F1434" s="30">
        <f t="shared" si="46"/>
        <v>165</v>
      </c>
      <c r="G1434" s="30" t="s">
        <v>9</v>
      </c>
      <c r="J1434" s="30" t="s">
        <v>391</v>
      </c>
    </row>
    <row r="1435" spans="3:10" x14ac:dyDescent="0.25">
      <c r="C1435" s="61" t="s">
        <v>24</v>
      </c>
      <c r="D1435" s="30">
        <v>1</v>
      </c>
      <c r="E1435" s="30">
        <v>70</v>
      </c>
      <c r="F1435" s="30">
        <f t="shared" si="46"/>
        <v>70</v>
      </c>
      <c r="G1435" s="30" t="s">
        <v>9</v>
      </c>
      <c r="J1435" s="30" t="s">
        <v>391</v>
      </c>
    </row>
    <row r="1436" spans="3:10" ht="30" x14ac:dyDescent="0.25">
      <c r="C1436" s="33" t="s">
        <v>589</v>
      </c>
      <c r="D1436" s="30">
        <v>1</v>
      </c>
      <c r="E1436" s="30">
        <v>138</v>
      </c>
      <c r="F1436" s="30">
        <f t="shared" si="46"/>
        <v>138</v>
      </c>
      <c r="G1436" s="30" t="s">
        <v>9</v>
      </c>
      <c r="J1436" s="30" t="s">
        <v>391</v>
      </c>
    </row>
    <row r="1437" spans="3:10" x14ac:dyDescent="0.25">
      <c r="C1437" s="61" t="s">
        <v>207</v>
      </c>
      <c r="D1437" s="30">
        <v>2</v>
      </c>
      <c r="E1437" s="30">
        <v>45</v>
      </c>
      <c r="F1437" s="30">
        <f t="shared" si="46"/>
        <v>90</v>
      </c>
      <c r="G1437" s="30" t="s">
        <v>9</v>
      </c>
      <c r="J1437" s="30" t="s">
        <v>391</v>
      </c>
    </row>
    <row r="1438" spans="3:10" x14ac:dyDescent="0.25">
      <c r="C1438" s="19" t="s">
        <v>20</v>
      </c>
      <c r="D1438" s="30">
        <v>1</v>
      </c>
      <c r="E1438" s="30">
        <v>10</v>
      </c>
      <c r="F1438" s="30">
        <f t="shared" si="46"/>
        <v>10</v>
      </c>
      <c r="G1438" s="30" t="s">
        <v>9</v>
      </c>
      <c r="J1438" s="30" t="s">
        <v>391</v>
      </c>
    </row>
    <row r="1439" spans="3:10" x14ac:dyDescent="0.25">
      <c r="C1439" s="19" t="s">
        <v>647</v>
      </c>
      <c r="D1439" s="30">
        <v>2</v>
      </c>
      <c r="E1439" s="30">
        <v>5</v>
      </c>
      <c r="F1439" s="30">
        <f t="shared" si="46"/>
        <v>10</v>
      </c>
      <c r="G1439" s="30" t="s">
        <v>9</v>
      </c>
      <c r="J1439" s="30" t="s">
        <v>391</v>
      </c>
    </row>
    <row r="1440" spans="3:10" x14ac:dyDescent="0.25">
      <c r="C1440" s="98" t="s">
        <v>43</v>
      </c>
      <c r="D1440" s="30">
        <v>2</v>
      </c>
      <c r="E1440" s="30">
        <v>5</v>
      </c>
      <c r="F1440" s="30">
        <f t="shared" si="46"/>
        <v>10</v>
      </c>
      <c r="G1440" s="30" t="s">
        <v>9</v>
      </c>
      <c r="J1440" s="30" t="s">
        <v>391</v>
      </c>
    </row>
    <row r="1441" spans="3:10" ht="30" x14ac:dyDescent="0.25">
      <c r="C1441" s="19" t="s">
        <v>70</v>
      </c>
      <c r="D1441" s="30">
        <v>2</v>
      </c>
      <c r="E1441" s="30">
        <v>5</v>
      </c>
      <c r="F1441" s="30">
        <f t="shared" si="46"/>
        <v>10</v>
      </c>
      <c r="G1441" s="30" t="s">
        <v>9</v>
      </c>
      <c r="J1441" s="30" t="s">
        <v>391</v>
      </c>
    </row>
    <row r="1442" spans="3:10" x14ac:dyDescent="0.25">
      <c r="C1442" s="19" t="s">
        <v>605</v>
      </c>
      <c r="D1442" s="30">
        <v>1</v>
      </c>
      <c r="E1442" s="30">
        <v>198</v>
      </c>
      <c r="F1442" s="30">
        <f t="shared" si="46"/>
        <v>198</v>
      </c>
      <c r="G1442" s="30" t="s">
        <v>9</v>
      </c>
      <c r="J1442" s="30" t="s">
        <v>391</v>
      </c>
    </row>
    <row r="1443" spans="3:10" ht="30" x14ac:dyDescent="0.25">
      <c r="C1443" s="33" t="s">
        <v>625</v>
      </c>
      <c r="D1443" s="30">
        <v>1</v>
      </c>
      <c r="E1443" s="30">
        <v>155</v>
      </c>
      <c r="F1443" s="30">
        <f t="shared" si="46"/>
        <v>155</v>
      </c>
      <c r="G1443" s="30" t="s">
        <v>9</v>
      </c>
      <c r="J1443" s="30" t="s">
        <v>391</v>
      </c>
    </row>
    <row r="1444" spans="3:10" x14ac:dyDescent="0.25">
      <c r="C1444" s="33" t="s">
        <v>638</v>
      </c>
      <c r="D1444" s="30">
        <v>2</v>
      </c>
      <c r="E1444" s="30">
        <v>30</v>
      </c>
      <c r="F1444" s="30">
        <f t="shared" si="46"/>
        <v>60</v>
      </c>
      <c r="G1444" s="30" t="s">
        <v>9</v>
      </c>
      <c r="J1444" s="30" t="s">
        <v>391</v>
      </c>
    </row>
    <row r="1445" spans="3:10" x14ac:dyDescent="0.25">
      <c r="C1445" s="33" t="str">
        <f>'Stock Register'!A217</f>
        <v>WHOLE ELACHI LOT 1</v>
      </c>
      <c r="D1445" s="30">
        <v>0.1</v>
      </c>
      <c r="E1445" s="30">
        <v>480</v>
      </c>
      <c r="F1445" s="30">
        <f t="shared" si="46"/>
        <v>48</v>
      </c>
      <c r="G1445" s="30" t="s">
        <v>9</v>
      </c>
      <c r="J1445" s="30" t="s">
        <v>391</v>
      </c>
    </row>
    <row r="1446" spans="3:10" x14ac:dyDescent="0.25">
      <c r="C1446" s="19" t="s">
        <v>110</v>
      </c>
      <c r="D1446" s="30">
        <v>5</v>
      </c>
      <c r="E1446" s="30">
        <v>5</v>
      </c>
      <c r="F1446" s="30">
        <f t="shared" si="46"/>
        <v>25</v>
      </c>
      <c r="G1446" s="30" t="s">
        <v>9</v>
      </c>
      <c r="J1446" s="30" t="s">
        <v>391</v>
      </c>
    </row>
    <row r="1447" spans="3:10" x14ac:dyDescent="0.25">
      <c r="C1447" s="19" t="s">
        <v>694</v>
      </c>
      <c r="D1447" s="30">
        <v>1</v>
      </c>
      <c r="E1447" s="30">
        <v>25</v>
      </c>
      <c r="F1447" s="30">
        <f t="shared" si="46"/>
        <v>25</v>
      </c>
      <c r="G1447" s="30" t="s">
        <v>9</v>
      </c>
      <c r="J1447" s="30" t="s">
        <v>391</v>
      </c>
    </row>
    <row r="1448" spans="3:10" x14ac:dyDescent="0.25">
      <c r="C1448" s="87" t="s">
        <v>152</v>
      </c>
      <c r="D1448" s="80">
        <v>1</v>
      </c>
      <c r="E1448" s="80">
        <v>142</v>
      </c>
      <c r="F1448" s="80">
        <f t="shared" si="46"/>
        <v>142</v>
      </c>
      <c r="G1448" s="30" t="s">
        <v>16</v>
      </c>
      <c r="H1448" s="82" t="s">
        <v>658</v>
      </c>
      <c r="J1448" s="30" t="s">
        <v>391</v>
      </c>
    </row>
    <row r="1449" spans="3:10" x14ac:dyDescent="0.25">
      <c r="C1449" s="19" t="s">
        <v>665</v>
      </c>
      <c r="D1449" s="30">
        <v>1</v>
      </c>
      <c r="E1449" s="30">
        <v>20</v>
      </c>
      <c r="F1449" s="30">
        <f t="shared" si="46"/>
        <v>20</v>
      </c>
      <c r="G1449" s="30" t="s">
        <v>9</v>
      </c>
      <c r="J1449" s="30" t="s">
        <v>391</v>
      </c>
    </row>
    <row r="1450" spans="3:10" x14ac:dyDescent="0.25">
      <c r="C1450" s="19" t="s">
        <v>701</v>
      </c>
      <c r="D1450" s="30">
        <v>4</v>
      </c>
      <c r="E1450" s="30">
        <v>9</v>
      </c>
      <c r="F1450" s="30">
        <f t="shared" si="46"/>
        <v>36</v>
      </c>
      <c r="G1450" s="30" t="s">
        <v>9</v>
      </c>
      <c r="J1450" s="30" t="s">
        <v>391</v>
      </c>
    </row>
    <row r="1451" spans="3:10" x14ac:dyDescent="0.25">
      <c r="C1451" s="19" t="s">
        <v>704</v>
      </c>
      <c r="D1451" s="30">
        <v>48</v>
      </c>
      <c r="E1451" s="30">
        <v>39.159999999999997</v>
      </c>
      <c r="F1451" s="30">
        <f t="shared" si="46"/>
        <v>1879.6799999999998</v>
      </c>
      <c r="G1451" s="30" t="s">
        <v>9</v>
      </c>
      <c r="J1451" s="30" t="s">
        <v>391</v>
      </c>
    </row>
    <row r="1452" spans="3:10" x14ac:dyDescent="0.25">
      <c r="C1452" s="19" t="s">
        <v>684</v>
      </c>
      <c r="D1452" s="30">
        <v>12</v>
      </c>
      <c r="E1452" s="30">
        <v>9.5</v>
      </c>
      <c r="F1452" s="30">
        <f t="shared" si="46"/>
        <v>114</v>
      </c>
      <c r="G1452" s="30" t="s">
        <v>9</v>
      </c>
      <c r="J1452" s="30" t="s">
        <v>391</v>
      </c>
    </row>
    <row r="1453" spans="3:10" x14ac:dyDescent="0.25">
      <c r="C1453" s="33" t="s">
        <v>422</v>
      </c>
      <c r="D1453" s="30">
        <v>6</v>
      </c>
      <c r="E1453" s="30">
        <v>10</v>
      </c>
      <c r="F1453" s="30">
        <f t="shared" si="46"/>
        <v>60</v>
      </c>
      <c r="G1453" s="30" t="s">
        <v>9</v>
      </c>
      <c r="J1453" s="30" t="s">
        <v>391</v>
      </c>
    </row>
    <row r="1454" spans="3:10" x14ac:dyDescent="0.25">
      <c r="C1454" s="33" t="s">
        <v>423</v>
      </c>
      <c r="D1454" s="30">
        <v>3</v>
      </c>
      <c r="E1454" s="30">
        <v>5</v>
      </c>
      <c r="F1454" s="30">
        <f t="shared" si="46"/>
        <v>15</v>
      </c>
      <c r="G1454" s="30" t="s">
        <v>9</v>
      </c>
      <c r="J1454" s="30" t="s">
        <v>391</v>
      </c>
    </row>
    <row r="1455" spans="3:10" x14ac:dyDescent="0.25">
      <c r="C1455" s="19" t="s">
        <v>29</v>
      </c>
      <c r="D1455" s="30">
        <v>0.45</v>
      </c>
      <c r="E1455" s="30">
        <v>1200</v>
      </c>
      <c r="F1455" s="30">
        <f t="shared" ref="F1455:F1476" si="47">E1455*D1455</f>
        <v>540</v>
      </c>
      <c r="G1455" s="30" t="s">
        <v>9</v>
      </c>
      <c r="I1455" s="139">
        <f>SUM(F1423:F1455)</f>
        <v>4287.1899999999996</v>
      </c>
      <c r="J1455" s="30" t="s">
        <v>391</v>
      </c>
    </row>
    <row r="1456" spans="3:10" x14ac:dyDescent="0.25">
      <c r="C1456" s="33" t="s">
        <v>587</v>
      </c>
      <c r="D1456" s="30">
        <v>0.5</v>
      </c>
      <c r="E1456" s="30">
        <v>56</v>
      </c>
      <c r="F1456" s="30">
        <f t="shared" si="47"/>
        <v>28</v>
      </c>
      <c r="G1456" s="30" t="s">
        <v>9</v>
      </c>
      <c r="J1456" s="30" t="s">
        <v>392</v>
      </c>
    </row>
    <row r="1457" spans="3:10" x14ac:dyDescent="0.25">
      <c r="C1457" s="33" t="s">
        <v>348</v>
      </c>
      <c r="D1457" s="30">
        <v>2</v>
      </c>
      <c r="E1457" s="30">
        <v>1</v>
      </c>
      <c r="F1457" s="30">
        <f t="shared" si="47"/>
        <v>2</v>
      </c>
      <c r="G1457" s="30" t="s">
        <v>9</v>
      </c>
      <c r="J1457" s="30" t="s">
        <v>392</v>
      </c>
    </row>
    <row r="1458" spans="3:10" ht="30" x14ac:dyDescent="0.25">
      <c r="C1458" s="19" t="s">
        <v>377</v>
      </c>
      <c r="D1458" s="30">
        <v>1</v>
      </c>
      <c r="E1458" s="30">
        <v>10</v>
      </c>
      <c r="F1458" s="30">
        <f t="shared" si="47"/>
        <v>10</v>
      </c>
      <c r="G1458" s="30" t="s">
        <v>9</v>
      </c>
      <c r="J1458" s="30" t="s">
        <v>392</v>
      </c>
    </row>
    <row r="1459" spans="3:10" x14ac:dyDescent="0.25">
      <c r="C1459" s="33" t="s">
        <v>541</v>
      </c>
      <c r="D1459" s="30">
        <v>0.28599999999999998</v>
      </c>
      <c r="E1459" s="30">
        <v>70</v>
      </c>
      <c r="F1459" s="30">
        <f t="shared" si="47"/>
        <v>20.02</v>
      </c>
      <c r="G1459" s="30" t="s">
        <v>9</v>
      </c>
      <c r="J1459" s="30" t="s">
        <v>392</v>
      </c>
    </row>
    <row r="1460" spans="3:10" x14ac:dyDescent="0.25">
      <c r="C1460" s="33" t="s">
        <v>424</v>
      </c>
      <c r="D1460" s="30">
        <v>1</v>
      </c>
      <c r="E1460" s="30">
        <v>20</v>
      </c>
      <c r="F1460" s="30">
        <f t="shared" si="47"/>
        <v>20</v>
      </c>
      <c r="G1460" s="30" t="s">
        <v>9</v>
      </c>
      <c r="J1460" s="30" t="s">
        <v>392</v>
      </c>
    </row>
    <row r="1461" spans="3:10" x14ac:dyDescent="0.25">
      <c r="C1461" s="33" t="s">
        <v>57</v>
      </c>
      <c r="D1461" s="30">
        <v>5</v>
      </c>
      <c r="E1461" s="30">
        <v>1</v>
      </c>
      <c r="F1461" s="30">
        <f t="shared" si="47"/>
        <v>5</v>
      </c>
      <c r="G1461" s="30" t="s">
        <v>9</v>
      </c>
      <c r="J1461" s="30" t="s">
        <v>392</v>
      </c>
    </row>
    <row r="1462" spans="3:10" ht="30" x14ac:dyDescent="0.25">
      <c r="C1462" s="33" t="s">
        <v>577</v>
      </c>
      <c r="D1462" s="30">
        <v>1</v>
      </c>
      <c r="E1462" s="30">
        <v>5</v>
      </c>
      <c r="F1462" s="30">
        <f t="shared" si="47"/>
        <v>5</v>
      </c>
      <c r="G1462" s="30" t="s">
        <v>9</v>
      </c>
      <c r="J1462" s="30" t="s">
        <v>392</v>
      </c>
    </row>
    <row r="1463" spans="3:10" x14ac:dyDescent="0.25">
      <c r="C1463" s="33" t="s">
        <v>445</v>
      </c>
      <c r="D1463" s="30">
        <v>1</v>
      </c>
      <c r="E1463" s="30">
        <v>10</v>
      </c>
      <c r="F1463" s="30">
        <f t="shared" si="47"/>
        <v>10</v>
      </c>
      <c r="G1463" s="30" t="s">
        <v>9</v>
      </c>
      <c r="J1463" s="30" t="s">
        <v>392</v>
      </c>
    </row>
    <row r="1464" spans="3:10" x14ac:dyDescent="0.25">
      <c r="C1464" s="33" t="s">
        <v>386</v>
      </c>
      <c r="D1464" s="30">
        <v>1</v>
      </c>
      <c r="E1464" s="30">
        <v>10</v>
      </c>
      <c r="F1464" s="30">
        <f t="shared" si="47"/>
        <v>10</v>
      </c>
      <c r="G1464" s="30" t="s">
        <v>9</v>
      </c>
      <c r="J1464" s="30" t="s">
        <v>392</v>
      </c>
    </row>
    <row r="1465" spans="3:10" x14ac:dyDescent="0.25">
      <c r="C1465" s="33" t="s">
        <v>385</v>
      </c>
      <c r="D1465" s="30">
        <v>1</v>
      </c>
      <c r="E1465" s="30">
        <v>10</v>
      </c>
      <c r="F1465" s="30">
        <f t="shared" si="47"/>
        <v>10</v>
      </c>
      <c r="G1465" s="30" t="s">
        <v>9</v>
      </c>
      <c r="J1465" s="30" t="s">
        <v>392</v>
      </c>
    </row>
    <row r="1466" spans="3:10" x14ac:dyDescent="0.25">
      <c r="C1466" s="33" t="s">
        <v>553</v>
      </c>
      <c r="D1466" s="30">
        <v>2</v>
      </c>
      <c r="E1466" s="30">
        <v>5</v>
      </c>
      <c r="F1466" s="30">
        <f t="shared" si="47"/>
        <v>10</v>
      </c>
      <c r="G1466" s="30" t="s">
        <v>9</v>
      </c>
      <c r="J1466" s="30" t="s">
        <v>392</v>
      </c>
    </row>
    <row r="1467" spans="3:10" x14ac:dyDescent="0.25">
      <c r="C1467" s="33" t="s">
        <v>633</v>
      </c>
      <c r="D1467" s="30">
        <v>2</v>
      </c>
      <c r="E1467" s="30">
        <v>10</v>
      </c>
      <c r="F1467" s="30">
        <f t="shared" si="47"/>
        <v>20</v>
      </c>
      <c r="G1467" s="30" t="s">
        <v>9</v>
      </c>
      <c r="J1467" s="30" t="s">
        <v>392</v>
      </c>
    </row>
    <row r="1468" spans="3:10" x14ac:dyDescent="0.25">
      <c r="C1468" s="33" t="s">
        <v>445</v>
      </c>
      <c r="D1468" s="30">
        <v>1</v>
      </c>
      <c r="E1468" s="30">
        <v>10</v>
      </c>
      <c r="F1468" s="30">
        <f t="shared" si="47"/>
        <v>10</v>
      </c>
      <c r="G1468" s="30" t="s">
        <v>9</v>
      </c>
      <c r="J1468" s="30" t="s">
        <v>392</v>
      </c>
    </row>
    <row r="1469" spans="3:10" x14ac:dyDescent="0.25">
      <c r="C1469" s="33" t="s">
        <v>633</v>
      </c>
      <c r="D1469" s="30">
        <v>1</v>
      </c>
      <c r="E1469" s="30">
        <v>10</v>
      </c>
      <c r="F1469" s="30">
        <f t="shared" si="47"/>
        <v>10</v>
      </c>
      <c r="G1469" s="30" t="s">
        <v>9</v>
      </c>
      <c r="J1469" s="30" t="s">
        <v>392</v>
      </c>
    </row>
    <row r="1470" spans="3:10" x14ac:dyDescent="0.25">
      <c r="C1470" s="33" t="s">
        <v>662</v>
      </c>
      <c r="D1470" s="30">
        <v>3.8</v>
      </c>
      <c r="E1470" s="30">
        <v>55</v>
      </c>
      <c r="F1470" s="30">
        <f t="shared" si="47"/>
        <v>209</v>
      </c>
      <c r="G1470" s="30" t="s">
        <v>9</v>
      </c>
      <c r="J1470" s="30" t="s">
        <v>392</v>
      </c>
    </row>
    <row r="1471" spans="3:10" x14ac:dyDescent="0.25">
      <c r="C1471" s="33" t="s">
        <v>386</v>
      </c>
      <c r="D1471" s="30">
        <v>2</v>
      </c>
      <c r="E1471" s="30">
        <v>10</v>
      </c>
      <c r="F1471" s="30">
        <f t="shared" si="47"/>
        <v>20</v>
      </c>
      <c r="G1471" s="30" t="s">
        <v>9</v>
      </c>
      <c r="J1471" s="30" t="s">
        <v>392</v>
      </c>
    </row>
    <row r="1472" spans="3:10" x14ac:dyDescent="0.25">
      <c r="C1472" s="19" t="s">
        <v>379</v>
      </c>
      <c r="D1472" s="30">
        <v>2</v>
      </c>
      <c r="E1472" s="30">
        <v>5</v>
      </c>
      <c r="F1472" s="30">
        <f t="shared" si="47"/>
        <v>10</v>
      </c>
      <c r="G1472" s="30" t="s">
        <v>9</v>
      </c>
      <c r="J1472" s="30" t="s">
        <v>392</v>
      </c>
    </row>
    <row r="1473" spans="1:10" x14ac:dyDescent="0.25">
      <c r="C1473" s="33" t="s">
        <v>81</v>
      </c>
      <c r="D1473" s="30">
        <v>1</v>
      </c>
      <c r="E1473" s="30">
        <v>1</v>
      </c>
      <c r="F1473" s="30">
        <f t="shared" si="47"/>
        <v>1</v>
      </c>
      <c r="G1473" s="30" t="s">
        <v>9</v>
      </c>
      <c r="J1473" s="30" t="s">
        <v>392</v>
      </c>
    </row>
    <row r="1474" spans="1:10" x14ac:dyDescent="0.25">
      <c r="C1474" s="19" t="s">
        <v>549</v>
      </c>
      <c r="D1474" s="30">
        <v>1</v>
      </c>
      <c r="E1474" s="30">
        <v>25</v>
      </c>
      <c r="F1474" s="30">
        <f t="shared" si="47"/>
        <v>25</v>
      </c>
      <c r="G1474" s="30" t="s">
        <v>9</v>
      </c>
      <c r="J1474" s="30" t="s">
        <v>392</v>
      </c>
    </row>
    <row r="1475" spans="1:10" x14ac:dyDescent="0.25">
      <c r="C1475" s="87" t="s">
        <v>208</v>
      </c>
      <c r="D1475" s="80">
        <v>1</v>
      </c>
      <c r="E1475" s="80">
        <v>45</v>
      </c>
      <c r="F1475" s="80">
        <f t="shared" si="47"/>
        <v>45</v>
      </c>
      <c r="G1475" s="80"/>
      <c r="H1475" s="82" t="s">
        <v>663</v>
      </c>
    </row>
    <row r="1476" spans="1:10" x14ac:dyDescent="0.25">
      <c r="C1476" s="81" t="s">
        <v>732</v>
      </c>
      <c r="D1476" s="80">
        <v>5</v>
      </c>
      <c r="E1476" s="80">
        <v>48</v>
      </c>
      <c r="F1476" s="80">
        <f t="shared" si="47"/>
        <v>240</v>
      </c>
      <c r="G1476" s="80" t="s">
        <v>16</v>
      </c>
      <c r="H1476" s="82" t="s">
        <v>663</v>
      </c>
      <c r="I1476" s="139">
        <f>SUM(F1456:F1476)</f>
        <v>720.02</v>
      </c>
      <c r="J1476" s="30" t="s">
        <v>392</v>
      </c>
    </row>
    <row r="1477" spans="1:10" s="69" customFormat="1" ht="18.75" x14ac:dyDescent="0.3">
      <c r="A1477" s="235" t="s">
        <v>437</v>
      </c>
      <c r="B1477" s="236"/>
      <c r="C1477" s="236"/>
      <c r="D1477" s="236"/>
      <c r="E1477" s="236"/>
      <c r="F1477" s="236"/>
      <c r="G1477" s="236"/>
      <c r="H1477" s="237"/>
      <c r="I1477" s="69">
        <f>SUM(I1476,I1455)</f>
        <v>5007.2099999999991</v>
      </c>
    </row>
    <row r="1478" spans="1:10" x14ac:dyDescent="0.25">
      <c r="A1478" s="78">
        <v>46158</v>
      </c>
      <c r="C1478" s="33" t="s">
        <v>325</v>
      </c>
      <c r="D1478" s="30">
        <v>2.5</v>
      </c>
      <c r="E1478" s="30">
        <v>20</v>
      </c>
      <c r="F1478" s="30">
        <f>E1478*D1478</f>
        <v>50</v>
      </c>
      <c r="G1478" s="30" t="s">
        <v>9</v>
      </c>
      <c r="J1478" s="30" t="s">
        <v>391</v>
      </c>
    </row>
    <row r="1479" spans="1:10" x14ac:dyDescent="0.25">
      <c r="C1479" s="33" t="s">
        <v>587</v>
      </c>
      <c r="D1479" s="30">
        <v>0.2</v>
      </c>
      <c r="E1479" s="30">
        <v>56</v>
      </c>
      <c r="F1479" s="30">
        <f>E1479*D1479</f>
        <v>11.200000000000001</v>
      </c>
      <c r="G1479" s="30" t="s">
        <v>9</v>
      </c>
      <c r="J1479" s="30" t="s">
        <v>391</v>
      </c>
    </row>
    <row r="1480" spans="1:10" x14ac:dyDescent="0.25">
      <c r="C1480" s="33" t="s">
        <v>662</v>
      </c>
      <c r="D1480" s="30">
        <v>0.51600000000000001</v>
      </c>
      <c r="E1480" s="30">
        <v>55</v>
      </c>
      <c r="F1480" s="30">
        <f t="shared" ref="F1480:F1537" si="48">E1480*D1480</f>
        <v>28.380000000000003</v>
      </c>
      <c r="G1480" s="30" t="s">
        <v>9</v>
      </c>
      <c r="J1480" s="30" t="s">
        <v>391</v>
      </c>
    </row>
    <row r="1481" spans="1:10" x14ac:dyDescent="0.25">
      <c r="C1481" s="19" t="s">
        <v>691</v>
      </c>
      <c r="D1481" s="30">
        <v>0.25</v>
      </c>
      <c r="E1481" s="30">
        <v>60</v>
      </c>
      <c r="F1481" s="30">
        <f t="shared" si="48"/>
        <v>15</v>
      </c>
      <c r="G1481" s="30" t="s">
        <v>9</v>
      </c>
      <c r="J1481" s="30" t="s">
        <v>391</v>
      </c>
    </row>
    <row r="1482" spans="1:10" x14ac:dyDescent="0.25">
      <c r="C1482" s="33" t="s">
        <v>386</v>
      </c>
      <c r="D1482" s="30">
        <v>1</v>
      </c>
      <c r="E1482" s="30">
        <v>10</v>
      </c>
      <c r="F1482" s="30">
        <f t="shared" si="48"/>
        <v>10</v>
      </c>
      <c r="G1482" s="30" t="s">
        <v>9</v>
      </c>
      <c r="J1482" s="30" t="s">
        <v>391</v>
      </c>
    </row>
    <row r="1483" spans="1:10" ht="30" x14ac:dyDescent="0.25">
      <c r="C1483" s="33" t="s">
        <v>577</v>
      </c>
      <c r="D1483" s="30">
        <v>1</v>
      </c>
      <c r="E1483" s="30">
        <v>5</v>
      </c>
      <c r="F1483" s="30">
        <f t="shared" si="48"/>
        <v>5</v>
      </c>
      <c r="G1483" s="30" t="s">
        <v>9</v>
      </c>
      <c r="J1483" s="30" t="s">
        <v>391</v>
      </c>
    </row>
    <row r="1484" spans="1:10" x14ac:dyDescent="0.25">
      <c r="C1484" s="33" t="s">
        <v>576</v>
      </c>
      <c r="D1484" s="30">
        <v>1</v>
      </c>
      <c r="E1484" s="30">
        <v>5</v>
      </c>
      <c r="F1484" s="30">
        <f t="shared" si="48"/>
        <v>5</v>
      </c>
      <c r="G1484" s="30" t="s">
        <v>9</v>
      </c>
      <c r="J1484" s="30" t="s">
        <v>391</v>
      </c>
    </row>
    <row r="1485" spans="1:10" x14ac:dyDescent="0.25">
      <c r="C1485" s="33" t="s">
        <v>541</v>
      </c>
      <c r="D1485" s="30">
        <v>0.5</v>
      </c>
      <c r="E1485" s="30">
        <v>70</v>
      </c>
      <c r="F1485" s="30">
        <f t="shared" si="48"/>
        <v>35</v>
      </c>
      <c r="G1485" s="30" t="s">
        <v>9</v>
      </c>
      <c r="J1485" s="30" t="s">
        <v>391</v>
      </c>
    </row>
    <row r="1486" spans="1:10" x14ac:dyDescent="0.25">
      <c r="C1486" s="19" t="s">
        <v>357</v>
      </c>
      <c r="D1486" s="30">
        <v>1</v>
      </c>
      <c r="E1486" s="30">
        <v>37</v>
      </c>
      <c r="F1486" s="30">
        <f t="shared" si="48"/>
        <v>37</v>
      </c>
      <c r="G1486" s="30" t="s">
        <v>9</v>
      </c>
      <c r="J1486" s="30" t="s">
        <v>391</v>
      </c>
    </row>
    <row r="1487" spans="1:10" x14ac:dyDescent="0.25">
      <c r="C1487" s="33" t="str">
        <f>'Stock Register'!A168</f>
        <v>REAL KOOLERZ MANGO LOT 1</v>
      </c>
      <c r="D1487" s="30">
        <v>1</v>
      </c>
      <c r="E1487" s="30">
        <v>68</v>
      </c>
      <c r="F1487" s="30">
        <f t="shared" si="48"/>
        <v>68</v>
      </c>
      <c r="G1487" s="30" t="s">
        <v>9</v>
      </c>
      <c r="J1487" s="30" t="s">
        <v>391</v>
      </c>
    </row>
    <row r="1488" spans="1:10" x14ac:dyDescent="0.25">
      <c r="C1488" s="33" t="s">
        <v>385</v>
      </c>
      <c r="D1488" s="30">
        <v>1</v>
      </c>
      <c r="E1488" s="30">
        <v>10</v>
      </c>
      <c r="F1488" s="30">
        <f t="shared" si="48"/>
        <v>10</v>
      </c>
      <c r="G1488" s="30" t="s">
        <v>9</v>
      </c>
      <c r="J1488" s="30" t="s">
        <v>391</v>
      </c>
    </row>
    <row r="1489" spans="3:10" x14ac:dyDescent="0.25">
      <c r="C1489" s="33" t="s">
        <v>662</v>
      </c>
      <c r="D1489" s="30">
        <v>0.51600000000000001</v>
      </c>
      <c r="E1489" s="30">
        <v>55</v>
      </c>
      <c r="F1489" s="30">
        <f t="shared" si="48"/>
        <v>28.380000000000003</v>
      </c>
      <c r="G1489" s="30" t="s">
        <v>9</v>
      </c>
      <c r="J1489" s="30" t="s">
        <v>391</v>
      </c>
    </row>
    <row r="1490" spans="3:10" x14ac:dyDescent="0.25">
      <c r="C1490" s="33" t="s">
        <v>701</v>
      </c>
      <c r="D1490" s="30">
        <v>4</v>
      </c>
      <c r="E1490" s="30">
        <v>9</v>
      </c>
      <c r="F1490" s="30">
        <f t="shared" si="48"/>
        <v>36</v>
      </c>
      <c r="G1490" s="30" t="s">
        <v>9</v>
      </c>
      <c r="J1490" s="30" t="s">
        <v>391</v>
      </c>
    </row>
    <row r="1491" spans="3:10" x14ac:dyDescent="0.25">
      <c r="C1491" s="19" t="s">
        <v>375</v>
      </c>
      <c r="D1491" s="30">
        <v>4</v>
      </c>
      <c r="E1491" s="30">
        <v>1</v>
      </c>
      <c r="F1491" s="30">
        <f t="shared" si="48"/>
        <v>4</v>
      </c>
      <c r="G1491" s="30" t="s">
        <v>9</v>
      </c>
      <c r="J1491" s="30" t="s">
        <v>391</v>
      </c>
    </row>
    <row r="1492" spans="3:10" x14ac:dyDescent="0.25">
      <c r="C1492" s="33" t="s">
        <v>667</v>
      </c>
      <c r="D1492" s="30">
        <v>2</v>
      </c>
      <c r="E1492" s="30">
        <v>5</v>
      </c>
      <c r="F1492" s="30">
        <f t="shared" si="48"/>
        <v>10</v>
      </c>
      <c r="G1492" s="30" t="s">
        <v>9</v>
      </c>
      <c r="J1492" s="30" t="s">
        <v>391</v>
      </c>
    </row>
    <row r="1493" spans="3:10" x14ac:dyDescent="0.25">
      <c r="C1493" s="61" t="s">
        <v>154</v>
      </c>
      <c r="D1493" s="30">
        <v>10</v>
      </c>
      <c r="E1493" s="30">
        <v>1</v>
      </c>
      <c r="F1493" s="30">
        <f t="shared" si="48"/>
        <v>10</v>
      </c>
      <c r="G1493" s="30" t="s">
        <v>9</v>
      </c>
      <c r="J1493" s="30" t="s">
        <v>391</v>
      </c>
    </row>
    <row r="1494" spans="3:10" x14ac:dyDescent="0.25">
      <c r="C1494" s="33" t="s">
        <v>476</v>
      </c>
      <c r="D1494" s="30">
        <v>1</v>
      </c>
      <c r="E1494" s="30">
        <v>20</v>
      </c>
      <c r="F1494" s="30">
        <f t="shared" si="48"/>
        <v>20</v>
      </c>
      <c r="G1494" s="30" t="s">
        <v>9</v>
      </c>
      <c r="J1494" s="30" t="s">
        <v>391</v>
      </c>
    </row>
    <row r="1495" spans="3:10" x14ac:dyDescent="0.25">
      <c r="C1495" s="33" t="s">
        <v>385</v>
      </c>
      <c r="D1495" s="30">
        <v>1</v>
      </c>
      <c r="E1495" s="30">
        <v>10</v>
      </c>
      <c r="F1495" s="30">
        <f t="shared" si="48"/>
        <v>10</v>
      </c>
      <c r="G1495" s="30" t="s">
        <v>9</v>
      </c>
      <c r="J1495" s="30" t="s">
        <v>391</v>
      </c>
    </row>
    <row r="1496" spans="3:10" x14ac:dyDescent="0.25">
      <c r="C1496" s="33" t="s">
        <v>682</v>
      </c>
      <c r="D1496" s="30">
        <v>1</v>
      </c>
      <c r="E1496" s="30">
        <v>10</v>
      </c>
      <c r="F1496" s="30">
        <f t="shared" si="48"/>
        <v>10</v>
      </c>
      <c r="G1496" s="30" t="s">
        <v>9</v>
      </c>
      <c r="J1496" s="30" t="s">
        <v>391</v>
      </c>
    </row>
    <row r="1497" spans="3:10" x14ac:dyDescent="0.25">
      <c r="C1497" s="33" t="s">
        <v>385</v>
      </c>
      <c r="D1497" s="30">
        <v>2</v>
      </c>
      <c r="E1497" s="30">
        <v>10</v>
      </c>
      <c r="F1497" s="30">
        <f t="shared" si="48"/>
        <v>20</v>
      </c>
      <c r="G1497" s="30" t="s">
        <v>9</v>
      </c>
      <c r="J1497" s="30" t="s">
        <v>391</v>
      </c>
    </row>
    <row r="1498" spans="3:10" x14ac:dyDescent="0.25">
      <c r="C1498" s="33" t="s">
        <v>558</v>
      </c>
      <c r="D1498" s="30">
        <v>1</v>
      </c>
      <c r="E1498" s="30">
        <v>10</v>
      </c>
      <c r="F1498" s="30">
        <f t="shared" si="48"/>
        <v>10</v>
      </c>
      <c r="G1498" s="30" t="s">
        <v>9</v>
      </c>
      <c r="J1498" s="30" t="s">
        <v>391</v>
      </c>
    </row>
    <row r="1499" spans="3:10" x14ac:dyDescent="0.25">
      <c r="C1499" s="19" t="s">
        <v>684</v>
      </c>
      <c r="D1499" s="30">
        <v>1</v>
      </c>
      <c r="E1499" s="30">
        <v>10</v>
      </c>
      <c r="F1499" s="30">
        <f t="shared" si="48"/>
        <v>10</v>
      </c>
      <c r="G1499" s="30" t="s">
        <v>9</v>
      </c>
      <c r="J1499" s="30" t="s">
        <v>391</v>
      </c>
    </row>
    <row r="1500" spans="3:10" x14ac:dyDescent="0.25">
      <c r="C1500" s="19" t="s">
        <v>669</v>
      </c>
      <c r="D1500" s="30">
        <v>1</v>
      </c>
      <c r="E1500" s="30">
        <v>5</v>
      </c>
      <c r="F1500" s="30">
        <f t="shared" si="48"/>
        <v>5</v>
      </c>
      <c r="G1500" s="30" t="s">
        <v>9</v>
      </c>
      <c r="J1500" s="30" t="s">
        <v>391</v>
      </c>
    </row>
    <row r="1501" spans="3:10" x14ac:dyDescent="0.25">
      <c r="C1501" s="33" t="s">
        <v>667</v>
      </c>
      <c r="D1501" s="30">
        <v>2</v>
      </c>
      <c r="E1501" s="30">
        <v>5</v>
      </c>
      <c r="F1501" s="30">
        <f t="shared" si="48"/>
        <v>10</v>
      </c>
      <c r="G1501" s="30" t="s">
        <v>9</v>
      </c>
      <c r="I1501" s="139">
        <f>SUM(F1478:F1501)</f>
        <v>457.96000000000004</v>
      </c>
      <c r="J1501" s="30" t="s">
        <v>391</v>
      </c>
    </row>
    <row r="1502" spans="3:10" x14ac:dyDescent="0.25">
      <c r="C1502" s="19" t="s">
        <v>73</v>
      </c>
      <c r="D1502" s="30">
        <v>1</v>
      </c>
      <c r="E1502" s="30">
        <v>10</v>
      </c>
      <c r="F1502" s="30">
        <f t="shared" si="48"/>
        <v>10</v>
      </c>
      <c r="G1502" s="30" t="s">
        <v>9</v>
      </c>
      <c r="J1502" s="30" t="s">
        <v>392</v>
      </c>
    </row>
    <row r="1503" spans="3:10" x14ac:dyDescent="0.25">
      <c r="C1503" s="33" t="s">
        <v>502</v>
      </c>
      <c r="D1503" s="30">
        <v>1</v>
      </c>
      <c r="E1503" s="30">
        <v>10</v>
      </c>
      <c r="F1503" s="30">
        <f t="shared" si="48"/>
        <v>10</v>
      </c>
      <c r="G1503" s="30" t="s">
        <v>9</v>
      </c>
      <c r="J1503" s="30" t="s">
        <v>392</v>
      </c>
    </row>
    <row r="1504" spans="3:10" ht="30" x14ac:dyDescent="0.25">
      <c r="C1504" s="19" t="s">
        <v>501</v>
      </c>
      <c r="D1504" s="30">
        <v>2</v>
      </c>
      <c r="E1504" s="30">
        <v>5</v>
      </c>
      <c r="F1504" s="30">
        <f t="shared" si="48"/>
        <v>10</v>
      </c>
      <c r="G1504" s="30" t="s">
        <v>9</v>
      </c>
      <c r="J1504" s="30" t="s">
        <v>392</v>
      </c>
    </row>
    <row r="1505" spans="3:10" x14ac:dyDescent="0.25">
      <c r="C1505" s="19" t="s">
        <v>523</v>
      </c>
      <c r="D1505" s="30">
        <v>3.5999999999999997E-2</v>
      </c>
      <c r="E1505" s="30">
        <v>280</v>
      </c>
      <c r="F1505" s="30">
        <f t="shared" si="48"/>
        <v>10.08</v>
      </c>
      <c r="G1505" s="30" t="s">
        <v>9</v>
      </c>
      <c r="J1505" s="30" t="s">
        <v>392</v>
      </c>
    </row>
    <row r="1506" spans="3:10" x14ac:dyDescent="0.25">
      <c r="C1506" s="19" t="s">
        <v>571</v>
      </c>
      <c r="D1506" s="30">
        <v>1</v>
      </c>
      <c r="E1506" s="30">
        <v>20</v>
      </c>
      <c r="F1506" s="30">
        <f t="shared" si="48"/>
        <v>20</v>
      </c>
      <c r="G1506" s="30" t="s">
        <v>9</v>
      </c>
      <c r="J1506" s="30" t="s">
        <v>392</v>
      </c>
    </row>
    <row r="1507" spans="3:10" x14ac:dyDescent="0.25">
      <c r="C1507" s="33" t="s">
        <v>633</v>
      </c>
      <c r="D1507" s="30">
        <v>2</v>
      </c>
      <c r="E1507" s="30">
        <v>10</v>
      </c>
      <c r="F1507" s="30">
        <f t="shared" si="48"/>
        <v>20</v>
      </c>
      <c r="G1507" s="30" t="s">
        <v>9</v>
      </c>
      <c r="J1507" s="30" t="s">
        <v>392</v>
      </c>
    </row>
    <row r="1508" spans="3:10" x14ac:dyDescent="0.25">
      <c r="C1508" s="33" t="s">
        <v>680</v>
      </c>
      <c r="D1508" s="30">
        <v>1</v>
      </c>
      <c r="E1508" s="30">
        <v>10</v>
      </c>
      <c r="F1508" s="30">
        <f t="shared" si="48"/>
        <v>10</v>
      </c>
      <c r="G1508" s="30" t="s">
        <v>9</v>
      </c>
      <c r="J1508" s="30" t="s">
        <v>392</v>
      </c>
    </row>
    <row r="1509" spans="3:10" x14ac:dyDescent="0.25">
      <c r="C1509" s="19" t="s">
        <v>736</v>
      </c>
      <c r="D1509" s="30">
        <v>1</v>
      </c>
      <c r="E1509" s="30">
        <v>60</v>
      </c>
      <c r="F1509" s="30">
        <f t="shared" si="48"/>
        <v>60</v>
      </c>
      <c r="G1509" s="30" t="s">
        <v>9</v>
      </c>
      <c r="J1509" s="30" t="s">
        <v>392</v>
      </c>
    </row>
    <row r="1510" spans="3:10" ht="30" x14ac:dyDescent="0.25">
      <c r="C1510" s="33" t="s">
        <v>625</v>
      </c>
      <c r="D1510" s="30">
        <v>1</v>
      </c>
      <c r="E1510" s="30">
        <v>153</v>
      </c>
      <c r="F1510" s="30">
        <f t="shared" si="48"/>
        <v>153</v>
      </c>
      <c r="G1510" s="30" t="s">
        <v>9</v>
      </c>
      <c r="J1510" s="30" t="s">
        <v>392</v>
      </c>
    </row>
    <row r="1511" spans="3:10" x14ac:dyDescent="0.25">
      <c r="C1511" s="33" t="s">
        <v>633</v>
      </c>
      <c r="D1511" s="30">
        <v>1</v>
      </c>
      <c r="E1511" s="30">
        <v>10</v>
      </c>
      <c r="F1511" s="30">
        <f t="shared" si="48"/>
        <v>10</v>
      </c>
      <c r="G1511" s="30" t="s">
        <v>9</v>
      </c>
      <c r="J1511" s="30" t="s">
        <v>392</v>
      </c>
    </row>
    <row r="1512" spans="3:10" x14ac:dyDescent="0.25">
      <c r="C1512" s="33" t="s">
        <v>535</v>
      </c>
      <c r="D1512" s="30">
        <v>1</v>
      </c>
      <c r="E1512" s="30">
        <v>10</v>
      </c>
      <c r="F1512" s="30">
        <f t="shared" si="48"/>
        <v>10</v>
      </c>
      <c r="G1512" s="30" t="s">
        <v>9</v>
      </c>
      <c r="J1512" s="30" t="s">
        <v>392</v>
      </c>
    </row>
    <row r="1513" spans="3:10" x14ac:dyDescent="0.25">
      <c r="C1513" s="19" t="s">
        <v>699</v>
      </c>
      <c r="D1513" s="30">
        <v>1</v>
      </c>
      <c r="E1513" s="30">
        <v>20</v>
      </c>
      <c r="F1513" s="30">
        <f t="shared" si="48"/>
        <v>20</v>
      </c>
      <c r="G1513" s="30" t="s">
        <v>9</v>
      </c>
      <c r="J1513" s="30" t="s">
        <v>392</v>
      </c>
    </row>
    <row r="1514" spans="3:10" x14ac:dyDescent="0.25">
      <c r="C1514" s="33" t="s">
        <v>464</v>
      </c>
      <c r="D1514" s="30">
        <v>1</v>
      </c>
      <c r="E1514" s="30">
        <v>44</v>
      </c>
      <c r="F1514" s="30">
        <f t="shared" si="48"/>
        <v>44</v>
      </c>
      <c r="G1514" s="30" t="s">
        <v>9</v>
      </c>
      <c r="J1514" s="30" t="s">
        <v>392</v>
      </c>
    </row>
    <row r="1515" spans="3:10" x14ac:dyDescent="0.25">
      <c r="C1515" s="33" t="s">
        <v>563</v>
      </c>
      <c r="D1515" s="30">
        <v>0.5</v>
      </c>
      <c r="E1515" s="30">
        <v>30</v>
      </c>
      <c r="F1515" s="30">
        <f t="shared" si="48"/>
        <v>15</v>
      </c>
      <c r="G1515" s="30" t="s">
        <v>9</v>
      </c>
      <c r="J1515" s="30" t="s">
        <v>392</v>
      </c>
    </row>
    <row r="1516" spans="3:10" x14ac:dyDescent="0.25">
      <c r="C1516" s="33" t="s">
        <v>462</v>
      </c>
      <c r="D1516" s="30">
        <v>1</v>
      </c>
      <c r="E1516" s="30">
        <v>5</v>
      </c>
      <c r="F1516" s="30">
        <f t="shared" si="48"/>
        <v>5</v>
      </c>
      <c r="G1516" s="30" t="s">
        <v>9</v>
      </c>
      <c r="J1516" s="30" t="s">
        <v>392</v>
      </c>
    </row>
    <row r="1517" spans="3:10" x14ac:dyDescent="0.25">
      <c r="C1517" s="33" t="s">
        <v>345</v>
      </c>
      <c r="D1517" s="30">
        <v>2</v>
      </c>
      <c r="E1517" s="30">
        <v>1</v>
      </c>
      <c r="F1517" s="30">
        <f t="shared" si="48"/>
        <v>2</v>
      </c>
      <c r="G1517" s="30" t="s">
        <v>9</v>
      </c>
      <c r="J1517" s="30" t="s">
        <v>392</v>
      </c>
    </row>
    <row r="1518" spans="3:10" x14ac:dyDescent="0.25">
      <c r="C1518" s="33" t="s">
        <v>535</v>
      </c>
      <c r="D1518" s="30">
        <v>1</v>
      </c>
      <c r="E1518" s="30">
        <v>10</v>
      </c>
      <c r="F1518" s="30">
        <f t="shared" si="48"/>
        <v>10</v>
      </c>
      <c r="G1518" s="30" t="s">
        <v>9</v>
      </c>
      <c r="J1518" s="30" t="s">
        <v>392</v>
      </c>
    </row>
    <row r="1519" spans="3:10" x14ac:dyDescent="0.25">
      <c r="C1519" s="19" t="s">
        <v>102</v>
      </c>
      <c r="D1519" s="30">
        <v>1</v>
      </c>
      <c r="E1519" s="30">
        <v>25</v>
      </c>
      <c r="F1519" s="30">
        <f t="shared" si="48"/>
        <v>25</v>
      </c>
      <c r="G1519" s="30" t="s">
        <v>9</v>
      </c>
      <c r="J1519" s="30" t="s">
        <v>392</v>
      </c>
    </row>
    <row r="1520" spans="3:10" ht="30" x14ac:dyDescent="0.25">
      <c r="C1520" s="33" t="s">
        <v>589</v>
      </c>
      <c r="D1520" s="30">
        <v>0.50800000000000001</v>
      </c>
      <c r="E1520" s="30">
        <v>138</v>
      </c>
      <c r="F1520" s="30">
        <f t="shared" si="48"/>
        <v>70.103999999999999</v>
      </c>
      <c r="G1520" s="30" t="s">
        <v>9</v>
      </c>
      <c r="J1520" s="30" t="s">
        <v>392</v>
      </c>
    </row>
    <row r="1521" spans="3:10" x14ac:dyDescent="0.25">
      <c r="C1521" s="19" t="s">
        <v>643</v>
      </c>
      <c r="D1521" s="30">
        <v>2</v>
      </c>
      <c r="E1521" s="30">
        <v>10</v>
      </c>
      <c r="F1521" s="30">
        <f t="shared" si="48"/>
        <v>20</v>
      </c>
      <c r="G1521" s="30" t="s">
        <v>9</v>
      </c>
      <c r="J1521" s="30" t="s">
        <v>392</v>
      </c>
    </row>
    <row r="1522" spans="3:10" x14ac:dyDescent="0.25">
      <c r="C1522" s="19" t="s">
        <v>722</v>
      </c>
      <c r="D1522" s="30">
        <v>1.7999999999999999E-2</v>
      </c>
      <c r="E1522" s="30">
        <v>480</v>
      </c>
      <c r="F1522" s="30">
        <f t="shared" si="48"/>
        <v>8.6399999999999988</v>
      </c>
      <c r="G1522" s="30" t="s">
        <v>9</v>
      </c>
      <c r="J1522" s="30" t="s">
        <v>392</v>
      </c>
    </row>
    <row r="1523" spans="3:10" x14ac:dyDescent="0.25">
      <c r="C1523" s="19" t="s">
        <v>701</v>
      </c>
      <c r="D1523" s="30">
        <v>1</v>
      </c>
      <c r="E1523" s="30">
        <v>9</v>
      </c>
      <c r="F1523" s="30">
        <f t="shared" si="48"/>
        <v>9</v>
      </c>
      <c r="G1523" s="30" t="s">
        <v>9</v>
      </c>
      <c r="J1523" s="30" t="s">
        <v>392</v>
      </c>
    </row>
    <row r="1524" spans="3:10" x14ac:dyDescent="0.25">
      <c r="C1524" s="33" t="s">
        <v>541</v>
      </c>
      <c r="D1524" s="30">
        <v>0.14599999999999999</v>
      </c>
      <c r="E1524" s="30">
        <v>70</v>
      </c>
      <c r="F1524" s="30">
        <f t="shared" si="48"/>
        <v>10.219999999999999</v>
      </c>
      <c r="G1524" s="30" t="s">
        <v>9</v>
      </c>
      <c r="J1524" s="30" t="s">
        <v>392</v>
      </c>
    </row>
    <row r="1525" spans="3:10" x14ac:dyDescent="0.25">
      <c r="C1525" s="19" t="s">
        <v>724</v>
      </c>
      <c r="D1525" s="30">
        <v>2</v>
      </c>
      <c r="E1525" s="30">
        <v>10</v>
      </c>
      <c r="F1525" s="30">
        <f t="shared" si="48"/>
        <v>20</v>
      </c>
      <c r="G1525" s="30" t="s">
        <v>9</v>
      </c>
      <c r="J1525" s="30" t="s">
        <v>392</v>
      </c>
    </row>
    <row r="1526" spans="3:10" x14ac:dyDescent="0.25">
      <c r="C1526" s="19" t="s">
        <v>684</v>
      </c>
      <c r="D1526" s="30">
        <v>4</v>
      </c>
      <c r="E1526" s="30">
        <v>9.5</v>
      </c>
      <c r="F1526" s="30">
        <f t="shared" si="48"/>
        <v>38</v>
      </c>
      <c r="G1526" s="30" t="s">
        <v>9</v>
      </c>
      <c r="J1526" s="30" t="s">
        <v>392</v>
      </c>
    </row>
    <row r="1527" spans="3:10" x14ac:dyDescent="0.25">
      <c r="C1527" s="19" t="s">
        <v>639</v>
      </c>
      <c r="D1527" s="30">
        <v>1</v>
      </c>
      <c r="E1527" s="30">
        <v>2</v>
      </c>
      <c r="F1527" s="30">
        <f t="shared" si="48"/>
        <v>2</v>
      </c>
      <c r="G1527" s="30" t="s">
        <v>9</v>
      </c>
      <c r="J1527" s="30" t="s">
        <v>392</v>
      </c>
    </row>
    <row r="1528" spans="3:10" x14ac:dyDescent="0.25">
      <c r="C1528" s="19" t="s">
        <v>567</v>
      </c>
      <c r="D1528" s="30">
        <v>5</v>
      </c>
      <c r="E1528" s="30">
        <v>2</v>
      </c>
      <c r="F1528" s="30">
        <f t="shared" si="48"/>
        <v>10</v>
      </c>
      <c r="G1528" s="30" t="s">
        <v>9</v>
      </c>
      <c r="J1528" s="30" t="s">
        <v>392</v>
      </c>
    </row>
    <row r="1529" spans="3:10" x14ac:dyDescent="0.25">
      <c r="C1529" s="19" t="s">
        <v>574</v>
      </c>
      <c r="D1529" s="30">
        <v>1</v>
      </c>
      <c r="E1529" s="30">
        <v>10</v>
      </c>
      <c r="F1529" s="30">
        <f t="shared" si="48"/>
        <v>10</v>
      </c>
      <c r="G1529" s="30" t="s">
        <v>9</v>
      </c>
      <c r="J1529" s="30" t="s">
        <v>392</v>
      </c>
    </row>
    <row r="1530" spans="3:10" x14ac:dyDescent="0.25">
      <c r="C1530" s="33" t="s">
        <v>633</v>
      </c>
      <c r="D1530" s="30">
        <v>1</v>
      </c>
      <c r="E1530" s="30">
        <v>10</v>
      </c>
      <c r="F1530" s="30">
        <f t="shared" si="48"/>
        <v>10</v>
      </c>
      <c r="G1530" s="30" t="s">
        <v>9</v>
      </c>
      <c r="J1530" s="30" t="s">
        <v>392</v>
      </c>
    </row>
    <row r="1531" spans="3:10" x14ac:dyDescent="0.25">
      <c r="C1531" s="33" t="s">
        <v>541</v>
      </c>
      <c r="D1531" s="30">
        <v>0.5</v>
      </c>
      <c r="E1531" s="30">
        <v>70</v>
      </c>
      <c r="F1531" s="30">
        <f t="shared" si="48"/>
        <v>35</v>
      </c>
      <c r="G1531" s="30" t="s">
        <v>9</v>
      </c>
      <c r="J1531" s="30" t="s">
        <v>392</v>
      </c>
    </row>
    <row r="1532" spans="3:10" x14ac:dyDescent="0.25">
      <c r="C1532" s="19" t="s">
        <v>635</v>
      </c>
      <c r="D1532" s="30">
        <v>1</v>
      </c>
      <c r="E1532" s="30">
        <v>10</v>
      </c>
      <c r="F1532" s="30">
        <f t="shared" si="48"/>
        <v>10</v>
      </c>
      <c r="G1532" s="30" t="s">
        <v>9</v>
      </c>
      <c r="J1532" s="30" t="s">
        <v>392</v>
      </c>
    </row>
    <row r="1533" spans="3:10" x14ac:dyDescent="0.25">
      <c r="C1533" s="33" t="s">
        <v>576</v>
      </c>
      <c r="D1533" s="30">
        <v>1</v>
      </c>
      <c r="E1533" s="30">
        <v>5</v>
      </c>
      <c r="F1533" s="30">
        <f t="shared" si="48"/>
        <v>5</v>
      </c>
      <c r="G1533" s="30" t="s">
        <v>9</v>
      </c>
      <c r="J1533" s="30" t="s">
        <v>392</v>
      </c>
    </row>
    <row r="1534" spans="3:10" x14ac:dyDescent="0.25">
      <c r="C1534" s="33" t="s">
        <v>665</v>
      </c>
      <c r="D1534" s="30">
        <v>1</v>
      </c>
      <c r="E1534" s="30">
        <v>20</v>
      </c>
      <c r="F1534" s="30">
        <f t="shared" si="48"/>
        <v>20</v>
      </c>
      <c r="G1534" s="30" t="s">
        <v>9</v>
      </c>
      <c r="J1534" s="30" t="s">
        <v>392</v>
      </c>
    </row>
    <row r="1535" spans="3:10" x14ac:dyDescent="0.25">
      <c r="C1535" s="33" t="s">
        <v>535</v>
      </c>
      <c r="D1535" s="30">
        <v>2</v>
      </c>
      <c r="E1535" s="30">
        <v>10</v>
      </c>
      <c r="F1535" s="30">
        <f t="shared" si="48"/>
        <v>20</v>
      </c>
      <c r="G1535" s="30" t="s">
        <v>9</v>
      </c>
      <c r="J1535" s="30" t="s">
        <v>392</v>
      </c>
    </row>
    <row r="1536" spans="3:10" x14ac:dyDescent="0.25">
      <c r="C1536" s="33" t="s">
        <v>638</v>
      </c>
      <c r="D1536" s="30">
        <v>1</v>
      </c>
      <c r="E1536" s="30">
        <v>30</v>
      </c>
      <c r="F1536" s="30">
        <f t="shared" si="48"/>
        <v>30</v>
      </c>
      <c r="G1536" s="30" t="s">
        <v>9</v>
      </c>
      <c r="J1536" s="30" t="s">
        <v>392</v>
      </c>
    </row>
    <row r="1537" spans="1:10" x14ac:dyDescent="0.25">
      <c r="C1537" s="33" t="s">
        <v>502</v>
      </c>
      <c r="D1537" s="30">
        <v>2</v>
      </c>
      <c r="E1537" s="30">
        <v>10</v>
      </c>
      <c r="F1537" s="30">
        <f t="shared" si="48"/>
        <v>20</v>
      </c>
      <c r="G1537" s="30" t="s">
        <v>9</v>
      </c>
      <c r="I1537" s="139">
        <f>SUM(F1502:F1537)</f>
        <v>792.04399999999998</v>
      </c>
      <c r="J1537" s="30" t="s">
        <v>392</v>
      </c>
    </row>
    <row r="1538" spans="1:10" s="69" customFormat="1" ht="18.75" x14ac:dyDescent="0.3">
      <c r="A1538" s="235" t="s">
        <v>437</v>
      </c>
      <c r="B1538" s="236"/>
      <c r="C1538" s="236"/>
      <c r="D1538" s="236"/>
      <c r="E1538" s="236"/>
      <c r="F1538" s="236"/>
      <c r="G1538" s="236"/>
      <c r="H1538" s="237"/>
      <c r="I1538" s="69">
        <f>SUM(I1537,I1501)</f>
        <v>1250.0039999999999</v>
      </c>
    </row>
    <row r="1539" spans="1:10" x14ac:dyDescent="0.25">
      <c r="C1539" s="33" t="str">
        <f>'Stock Register'!A5</f>
        <v>LOOSE KHASA RICE LOT 1</v>
      </c>
      <c r="D1539" s="30">
        <v>0.5</v>
      </c>
      <c r="E1539" s="30">
        <v>200</v>
      </c>
      <c r="F1539" s="30">
        <f t="shared" ref="F1539:F1570" si="49">E1539*D1539</f>
        <v>100</v>
      </c>
      <c r="G1539" s="30" t="s">
        <v>9</v>
      </c>
      <c r="J1539" s="30" t="s">
        <v>391</v>
      </c>
    </row>
    <row r="1540" spans="1:10" ht="30" x14ac:dyDescent="0.25">
      <c r="C1540" s="19" t="s">
        <v>735</v>
      </c>
      <c r="D1540" s="30">
        <v>3</v>
      </c>
      <c r="E1540" s="30">
        <v>69</v>
      </c>
      <c r="F1540" s="30">
        <f t="shared" si="49"/>
        <v>207</v>
      </c>
      <c r="G1540" s="30" t="s">
        <v>9</v>
      </c>
      <c r="J1540" s="30" t="s">
        <v>391</v>
      </c>
    </row>
    <row r="1541" spans="1:10" x14ac:dyDescent="0.25">
      <c r="C1541" s="33" t="s">
        <v>636</v>
      </c>
      <c r="D1541" s="30">
        <v>0.192</v>
      </c>
      <c r="E1541" s="30">
        <v>70</v>
      </c>
      <c r="F1541" s="30">
        <f t="shared" si="49"/>
        <v>13.44</v>
      </c>
      <c r="J1541" s="30" t="s">
        <v>391</v>
      </c>
    </row>
    <row r="1542" spans="1:10" x14ac:dyDescent="0.25">
      <c r="C1542" s="33" t="s">
        <v>522</v>
      </c>
      <c r="D1542" s="30">
        <v>1</v>
      </c>
      <c r="E1542" s="30">
        <v>59</v>
      </c>
      <c r="F1542" s="30">
        <f t="shared" si="49"/>
        <v>59</v>
      </c>
      <c r="J1542" s="30" t="s">
        <v>391</v>
      </c>
    </row>
    <row r="1543" spans="1:10" x14ac:dyDescent="0.25">
      <c r="C1543" s="19" t="s">
        <v>395</v>
      </c>
      <c r="D1543" s="30">
        <v>1</v>
      </c>
      <c r="E1543" s="30">
        <v>5</v>
      </c>
      <c r="F1543" s="30">
        <f t="shared" si="49"/>
        <v>5</v>
      </c>
      <c r="I1543" s="139">
        <f>SUM(F1539:F1543)</f>
        <v>384.44</v>
      </c>
      <c r="J1543" s="30" t="s">
        <v>391</v>
      </c>
    </row>
    <row r="1544" spans="1:10" x14ac:dyDescent="0.25">
      <c r="C1544" s="33" t="s">
        <v>523</v>
      </c>
      <c r="D1544" s="30">
        <v>0.11</v>
      </c>
      <c r="E1544" s="30">
        <v>280</v>
      </c>
      <c r="F1544" s="30">
        <f t="shared" si="49"/>
        <v>30.8</v>
      </c>
      <c r="J1544" s="30" t="s">
        <v>392</v>
      </c>
    </row>
    <row r="1545" spans="1:10" x14ac:dyDescent="0.25">
      <c r="C1545" s="33" t="s">
        <v>692</v>
      </c>
      <c r="D1545" s="30">
        <v>0.25</v>
      </c>
      <c r="E1545" s="30">
        <v>80</v>
      </c>
      <c r="F1545" s="30">
        <f t="shared" si="49"/>
        <v>20</v>
      </c>
      <c r="J1545" s="30" t="s">
        <v>392</v>
      </c>
    </row>
    <row r="1546" spans="1:10" x14ac:dyDescent="0.25">
      <c r="C1546" s="33" t="s">
        <v>692</v>
      </c>
      <c r="D1546" s="30">
        <v>0.13</v>
      </c>
      <c r="E1546" s="30">
        <v>80</v>
      </c>
      <c r="F1546" s="30">
        <f t="shared" si="49"/>
        <v>10.4</v>
      </c>
      <c r="J1546" s="30" t="s">
        <v>392</v>
      </c>
    </row>
    <row r="1547" spans="1:10" x14ac:dyDescent="0.25">
      <c r="C1547" s="33" t="s">
        <v>686</v>
      </c>
      <c r="D1547" s="30">
        <v>1</v>
      </c>
      <c r="E1547" s="30">
        <v>9</v>
      </c>
      <c r="F1547" s="30">
        <f t="shared" si="49"/>
        <v>9</v>
      </c>
      <c r="J1547" s="30" t="s">
        <v>392</v>
      </c>
    </row>
    <row r="1548" spans="1:10" x14ac:dyDescent="0.25">
      <c r="C1548" s="33" t="s">
        <v>375</v>
      </c>
      <c r="D1548" s="30">
        <v>1</v>
      </c>
      <c r="E1548" s="30">
        <v>1</v>
      </c>
      <c r="F1548" s="30">
        <f t="shared" si="49"/>
        <v>1</v>
      </c>
      <c r="J1548" s="30" t="s">
        <v>392</v>
      </c>
    </row>
    <row r="1549" spans="1:10" x14ac:dyDescent="0.25">
      <c r="C1549" s="33" t="s">
        <v>541</v>
      </c>
      <c r="D1549" s="30">
        <v>0.28599999999999998</v>
      </c>
      <c r="E1549" s="30">
        <v>70</v>
      </c>
      <c r="F1549" s="30">
        <f t="shared" si="49"/>
        <v>20.02</v>
      </c>
      <c r="J1549" s="30" t="s">
        <v>392</v>
      </c>
    </row>
    <row r="1550" spans="1:10" x14ac:dyDescent="0.25">
      <c r="C1550" s="33" t="s">
        <v>424</v>
      </c>
      <c r="D1550" s="30">
        <v>1</v>
      </c>
      <c r="E1550" s="30">
        <v>20</v>
      </c>
      <c r="F1550" s="30">
        <f t="shared" si="49"/>
        <v>20</v>
      </c>
      <c r="J1550" s="30" t="s">
        <v>392</v>
      </c>
    </row>
    <row r="1551" spans="1:10" x14ac:dyDescent="0.25">
      <c r="C1551" s="33" t="s">
        <v>633</v>
      </c>
      <c r="D1551" s="30">
        <v>2</v>
      </c>
      <c r="E1551" s="30">
        <v>10</v>
      </c>
      <c r="F1551" s="30">
        <f t="shared" si="49"/>
        <v>20</v>
      </c>
      <c r="J1551" s="30" t="s">
        <v>392</v>
      </c>
    </row>
    <row r="1552" spans="1:10" x14ac:dyDescent="0.25">
      <c r="C1552" s="33" t="s">
        <v>633</v>
      </c>
      <c r="D1552" s="30">
        <v>1</v>
      </c>
      <c r="E1552" s="30">
        <v>10</v>
      </c>
      <c r="F1552" s="30">
        <f t="shared" si="49"/>
        <v>10</v>
      </c>
      <c r="J1552" s="30" t="s">
        <v>392</v>
      </c>
    </row>
    <row r="1553" spans="3:10" x14ac:dyDescent="0.25">
      <c r="C1553" s="19" t="s">
        <v>741</v>
      </c>
      <c r="D1553" s="30">
        <v>1</v>
      </c>
      <c r="E1553" s="30">
        <v>10</v>
      </c>
      <c r="F1553" s="30">
        <f t="shared" si="49"/>
        <v>10</v>
      </c>
      <c r="J1553" s="30" t="s">
        <v>392</v>
      </c>
    </row>
    <row r="1554" spans="3:10" x14ac:dyDescent="0.25">
      <c r="C1554" s="33" t="s">
        <v>497</v>
      </c>
      <c r="D1554" s="30">
        <v>2</v>
      </c>
      <c r="E1554" s="30">
        <v>35</v>
      </c>
      <c r="F1554" s="30">
        <f t="shared" si="49"/>
        <v>70</v>
      </c>
      <c r="J1554" s="30" t="s">
        <v>392</v>
      </c>
    </row>
    <row r="1555" spans="3:10" x14ac:dyDescent="0.25">
      <c r="C1555" s="33" t="s">
        <v>451</v>
      </c>
      <c r="D1555" s="30">
        <v>1</v>
      </c>
      <c r="E1555" s="30">
        <v>40</v>
      </c>
      <c r="F1555" s="30">
        <f t="shared" si="49"/>
        <v>40</v>
      </c>
      <c r="J1555" s="30" t="s">
        <v>392</v>
      </c>
    </row>
    <row r="1556" spans="3:10" x14ac:dyDescent="0.25">
      <c r="C1556" s="33" t="s">
        <v>605</v>
      </c>
      <c r="D1556" s="30">
        <v>1</v>
      </c>
      <c r="E1556" s="30">
        <v>198</v>
      </c>
      <c r="F1556" s="30">
        <f t="shared" si="49"/>
        <v>198</v>
      </c>
      <c r="J1556" s="30" t="s">
        <v>392</v>
      </c>
    </row>
    <row r="1557" spans="3:10" x14ac:dyDescent="0.25">
      <c r="C1557" s="33" t="s">
        <v>208</v>
      </c>
      <c r="D1557" s="30">
        <v>1</v>
      </c>
      <c r="E1557" s="30">
        <v>45</v>
      </c>
      <c r="F1557" s="30">
        <f t="shared" si="49"/>
        <v>45</v>
      </c>
      <c r="J1557" s="30" t="s">
        <v>392</v>
      </c>
    </row>
    <row r="1558" spans="3:10" x14ac:dyDescent="0.25">
      <c r="C1558" s="19" t="s">
        <v>610</v>
      </c>
      <c r="D1558" s="30">
        <v>6</v>
      </c>
      <c r="E1558" s="30">
        <v>5</v>
      </c>
      <c r="F1558" s="30">
        <f t="shared" si="49"/>
        <v>30</v>
      </c>
      <c r="J1558" s="30" t="s">
        <v>392</v>
      </c>
    </row>
    <row r="1559" spans="3:10" x14ac:dyDescent="0.25">
      <c r="C1559" s="19" t="s">
        <v>616</v>
      </c>
      <c r="D1559" s="30">
        <v>1</v>
      </c>
      <c r="E1559" s="30">
        <v>50</v>
      </c>
      <c r="F1559" s="30">
        <f t="shared" si="49"/>
        <v>50</v>
      </c>
      <c r="J1559" s="30" t="s">
        <v>392</v>
      </c>
    </row>
    <row r="1560" spans="3:10" x14ac:dyDescent="0.25">
      <c r="C1560" s="33" t="s">
        <v>149</v>
      </c>
      <c r="D1560" s="30">
        <v>1</v>
      </c>
      <c r="E1560" s="30">
        <v>165</v>
      </c>
      <c r="F1560" s="30">
        <f t="shared" si="49"/>
        <v>165</v>
      </c>
      <c r="J1560" s="30" t="s">
        <v>392</v>
      </c>
    </row>
    <row r="1561" spans="3:10" x14ac:dyDescent="0.25">
      <c r="C1561" s="33" t="s">
        <v>541</v>
      </c>
      <c r="D1561" s="30">
        <v>0.28599999999999998</v>
      </c>
      <c r="E1561" s="30">
        <v>70</v>
      </c>
      <c r="F1561" s="30">
        <f t="shared" si="49"/>
        <v>20.02</v>
      </c>
      <c r="J1561" s="30" t="s">
        <v>392</v>
      </c>
    </row>
    <row r="1562" spans="3:10" x14ac:dyDescent="0.25">
      <c r="C1562" s="33" t="s">
        <v>704</v>
      </c>
      <c r="D1562" s="30">
        <v>1</v>
      </c>
      <c r="E1562" s="30">
        <v>39</v>
      </c>
      <c r="F1562" s="30">
        <f t="shared" si="49"/>
        <v>39</v>
      </c>
      <c r="J1562" s="30" t="s">
        <v>392</v>
      </c>
    </row>
    <row r="1563" spans="3:10" x14ac:dyDescent="0.25">
      <c r="C1563" s="19" t="s">
        <v>525</v>
      </c>
      <c r="D1563" s="30">
        <v>1</v>
      </c>
      <c r="E1563" s="30">
        <v>28</v>
      </c>
      <c r="F1563" s="30">
        <f t="shared" si="49"/>
        <v>28</v>
      </c>
      <c r="J1563" s="30" t="s">
        <v>392</v>
      </c>
    </row>
    <row r="1564" spans="3:10" ht="30" x14ac:dyDescent="0.25">
      <c r="C1564" s="19" t="s">
        <v>434</v>
      </c>
      <c r="D1564" s="30">
        <v>1</v>
      </c>
      <c r="E1564" s="30">
        <v>20</v>
      </c>
      <c r="F1564" s="30">
        <f t="shared" si="49"/>
        <v>20</v>
      </c>
      <c r="J1564" s="30" t="s">
        <v>392</v>
      </c>
    </row>
    <row r="1565" spans="3:10" x14ac:dyDescent="0.25">
      <c r="C1565" s="33" t="s">
        <v>636</v>
      </c>
      <c r="D1565" s="30">
        <v>0.13</v>
      </c>
      <c r="E1565" s="30">
        <v>80</v>
      </c>
      <c r="F1565" s="30">
        <f t="shared" si="49"/>
        <v>10.4</v>
      </c>
      <c r="J1565" s="30" t="s">
        <v>392</v>
      </c>
    </row>
    <row r="1566" spans="3:10" x14ac:dyDescent="0.25">
      <c r="C1566" s="19" t="s">
        <v>535</v>
      </c>
      <c r="D1566" s="30">
        <v>1</v>
      </c>
      <c r="E1566" s="30">
        <v>10</v>
      </c>
      <c r="F1566" s="30">
        <f t="shared" si="49"/>
        <v>10</v>
      </c>
      <c r="J1566" s="30" t="s">
        <v>392</v>
      </c>
    </row>
    <row r="1567" spans="3:10" x14ac:dyDescent="0.25">
      <c r="C1567" s="33" t="s">
        <v>704</v>
      </c>
      <c r="D1567" s="30">
        <v>1</v>
      </c>
      <c r="E1567" s="30">
        <v>39</v>
      </c>
      <c r="F1567" s="30">
        <f t="shared" si="49"/>
        <v>39</v>
      </c>
      <c r="J1567" s="30" t="s">
        <v>392</v>
      </c>
    </row>
    <row r="1568" spans="3:10" x14ac:dyDescent="0.25">
      <c r="C1568" s="33" t="s">
        <v>736</v>
      </c>
      <c r="D1568" s="30">
        <v>1</v>
      </c>
      <c r="E1568" s="30">
        <v>60</v>
      </c>
      <c r="F1568" s="30">
        <f t="shared" si="49"/>
        <v>60</v>
      </c>
      <c r="J1568" s="30" t="s">
        <v>392</v>
      </c>
    </row>
    <row r="1569" spans="3:10" x14ac:dyDescent="0.25">
      <c r="C1569" s="33" t="s">
        <v>345</v>
      </c>
      <c r="D1569" s="30">
        <v>1</v>
      </c>
      <c r="E1569" s="30">
        <v>1</v>
      </c>
      <c r="F1569" s="30">
        <f t="shared" si="49"/>
        <v>1</v>
      </c>
      <c r="J1569" s="30" t="s">
        <v>392</v>
      </c>
    </row>
    <row r="1570" spans="3:10" ht="30" x14ac:dyDescent="0.25">
      <c r="C1570" s="19" t="s">
        <v>577</v>
      </c>
      <c r="D1570" s="30">
        <v>1</v>
      </c>
      <c r="E1570" s="30">
        <v>5</v>
      </c>
      <c r="F1570" s="30">
        <f t="shared" si="49"/>
        <v>5</v>
      </c>
      <c r="J1570" s="30" t="s">
        <v>392</v>
      </c>
    </row>
    <row r="1571" spans="3:10" x14ac:dyDescent="0.25">
      <c r="C1571" s="33" t="s">
        <v>502</v>
      </c>
      <c r="D1571" s="30">
        <v>1</v>
      </c>
      <c r="E1571" s="30">
        <v>10</v>
      </c>
      <c r="F1571" s="30">
        <f t="shared" ref="F1571:F1601" si="50">E1571*D1571</f>
        <v>10</v>
      </c>
      <c r="J1571" s="30" t="s">
        <v>392</v>
      </c>
    </row>
    <row r="1572" spans="3:10" x14ac:dyDescent="0.25">
      <c r="C1572" s="33" t="s">
        <v>420</v>
      </c>
      <c r="D1572" s="30">
        <v>1</v>
      </c>
      <c r="E1572" s="30">
        <v>10</v>
      </c>
      <c r="F1572" s="30">
        <f t="shared" si="50"/>
        <v>10</v>
      </c>
      <c r="J1572" s="30" t="s">
        <v>392</v>
      </c>
    </row>
    <row r="1573" spans="3:10" x14ac:dyDescent="0.25">
      <c r="C1573" s="19" t="s">
        <v>607</v>
      </c>
      <c r="D1573" s="30">
        <v>1</v>
      </c>
      <c r="E1573" s="30">
        <v>30</v>
      </c>
      <c r="F1573" s="30">
        <f t="shared" si="50"/>
        <v>30</v>
      </c>
      <c r="J1573" s="30" t="s">
        <v>392</v>
      </c>
    </row>
    <row r="1574" spans="3:10" x14ac:dyDescent="0.25">
      <c r="C1574" s="33" t="s">
        <v>682</v>
      </c>
      <c r="D1574" s="30">
        <v>1</v>
      </c>
      <c r="E1574" s="30">
        <v>10</v>
      </c>
      <c r="F1574" s="30">
        <f t="shared" si="50"/>
        <v>10</v>
      </c>
      <c r="J1574" s="30" t="s">
        <v>392</v>
      </c>
    </row>
    <row r="1575" spans="3:10" x14ac:dyDescent="0.25">
      <c r="C1575" s="33" t="s">
        <v>587</v>
      </c>
      <c r="D1575" s="30">
        <v>0.53600000000000003</v>
      </c>
      <c r="E1575" s="30">
        <v>56</v>
      </c>
      <c r="F1575" s="30">
        <f t="shared" si="50"/>
        <v>30.016000000000002</v>
      </c>
      <c r="J1575" s="30" t="s">
        <v>392</v>
      </c>
    </row>
    <row r="1576" spans="3:10" x14ac:dyDescent="0.25">
      <c r="C1576" s="33" t="s">
        <v>502</v>
      </c>
      <c r="D1576" s="30">
        <v>2</v>
      </c>
      <c r="E1576" s="30">
        <v>10</v>
      </c>
      <c r="F1576" s="30">
        <f t="shared" si="50"/>
        <v>20</v>
      </c>
      <c r="J1576" s="30" t="s">
        <v>392</v>
      </c>
    </row>
    <row r="1577" spans="3:10" x14ac:dyDescent="0.25">
      <c r="C1577" s="33" t="s">
        <v>587</v>
      </c>
      <c r="D1577" s="30">
        <v>0.156</v>
      </c>
      <c r="E1577" s="30">
        <v>56</v>
      </c>
      <c r="F1577" s="30">
        <f t="shared" si="50"/>
        <v>8.7360000000000007</v>
      </c>
      <c r="J1577" s="30" t="s">
        <v>392</v>
      </c>
    </row>
    <row r="1578" spans="3:10" x14ac:dyDescent="0.25">
      <c r="C1578" s="33" t="s">
        <v>667</v>
      </c>
      <c r="D1578" s="30">
        <v>2</v>
      </c>
      <c r="E1578" s="30">
        <v>5</v>
      </c>
      <c r="F1578" s="30">
        <f t="shared" si="50"/>
        <v>10</v>
      </c>
      <c r="J1578" s="30" t="s">
        <v>392</v>
      </c>
    </row>
    <row r="1579" spans="3:10" ht="30" x14ac:dyDescent="0.25">
      <c r="C1579" s="19" t="s">
        <v>426</v>
      </c>
      <c r="D1579" s="30">
        <v>1</v>
      </c>
      <c r="E1579" s="30">
        <v>10</v>
      </c>
      <c r="F1579" s="30">
        <f t="shared" si="50"/>
        <v>10</v>
      </c>
      <c r="J1579" s="30" t="s">
        <v>392</v>
      </c>
    </row>
    <row r="1580" spans="3:10" x14ac:dyDescent="0.25">
      <c r="C1580" s="33" t="s">
        <v>587</v>
      </c>
      <c r="D1580" s="30">
        <v>0.156</v>
      </c>
      <c r="E1580" s="30">
        <v>56</v>
      </c>
      <c r="F1580" s="30">
        <f t="shared" si="50"/>
        <v>8.7360000000000007</v>
      </c>
      <c r="J1580" s="30" t="s">
        <v>392</v>
      </c>
    </row>
    <row r="1581" spans="3:10" x14ac:dyDescent="0.25">
      <c r="C1581" s="33" t="s">
        <v>445</v>
      </c>
      <c r="D1581" s="30">
        <v>1</v>
      </c>
      <c r="E1581" s="30">
        <v>10</v>
      </c>
      <c r="F1581" s="30">
        <f t="shared" si="50"/>
        <v>10</v>
      </c>
      <c r="J1581" s="30" t="s">
        <v>392</v>
      </c>
    </row>
    <row r="1582" spans="3:10" x14ac:dyDescent="0.25">
      <c r="C1582" s="33" t="s">
        <v>386</v>
      </c>
      <c r="D1582" s="30">
        <v>1</v>
      </c>
      <c r="E1582" s="30">
        <v>10</v>
      </c>
      <c r="F1582" s="30">
        <f t="shared" si="50"/>
        <v>10</v>
      </c>
      <c r="J1582" s="30" t="s">
        <v>392</v>
      </c>
    </row>
    <row r="1583" spans="3:10" x14ac:dyDescent="0.25">
      <c r="C1583" s="19" t="s">
        <v>379</v>
      </c>
      <c r="D1583" s="30">
        <v>2</v>
      </c>
      <c r="E1583" s="30">
        <v>5</v>
      </c>
      <c r="F1583" s="30">
        <f t="shared" si="50"/>
        <v>10</v>
      </c>
      <c r="J1583" s="30" t="s">
        <v>392</v>
      </c>
    </row>
    <row r="1584" spans="3:10" x14ac:dyDescent="0.25">
      <c r="C1584" s="19" t="s">
        <v>535</v>
      </c>
      <c r="D1584" s="30">
        <v>1</v>
      </c>
      <c r="E1584" s="30">
        <v>10</v>
      </c>
      <c r="F1584" s="30">
        <f t="shared" si="50"/>
        <v>10</v>
      </c>
      <c r="J1584" s="30" t="s">
        <v>392</v>
      </c>
    </row>
    <row r="1585" spans="3:10" x14ac:dyDescent="0.25">
      <c r="C1585" s="33" t="s">
        <v>633</v>
      </c>
      <c r="D1585" s="30">
        <v>1</v>
      </c>
      <c r="E1585" s="30">
        <v>10</v>
      </c>
      <c r="F1585" s="30">
        <f t="shared" si="50"/>
        <v>10</v>
      </c>
      <c r="J1585" s="30" t="s">
        <v>392</v>
      </c>
    </row>
    <row r="1586" spans="3:10" x14ac:dyDescent="0.25">
      <c r="C1586" s="33" t="s">
        <v>633</v>
      </c>
      <c r="D1586" s="30">
        <v>2</v>
      </c>
      <c r="E1586" s="30">
        <v>10</v>
      </c>
      <c r="F1586" s="30">
        <f t="shared" si="50"/>
        <v>20</v>
      </c>
      <c r="J1586" s="30" t="s">
        <v>392</v>
      </c>
    </row>
    <row r="1587" spans="3:10" x14ac:dyDescent="0.25">
      <c r="C1587" s="33" t="s">
        <v>424</v>
      </c>
      <c r="D1587" s="30">
        <v>1</v>
      </c>
      <c r="E1587" s="30">
        <v>20</v>
      </c>
      <c r="F1587" s="30">
        <f t="shared" si="50"/>
        <v>20</v>
      </c>
      <c r="J1587" s="30" t="s">
        <v>392</v>
      </c>
    </row>
    <row r="1588" spans="3:10" x14ac:dyDescent="0.25">
      <c r="C1588" s="33" t="s">
        <v>633</v>
      </c>
      <c r="D1588" s="30">
        <v>2</v>
      </c>
      <c r="E1588" s="30">
        <v>10</v>
      </c>
      <c r="F1588" s="30">
        <f t="shared" si="50"/>
        <v>20</v>
      </c>
      <c r="J1588" s="30" t="s">
        <v>392</v>
      </c>
    </row>
    <row r="1589" spans="3:10" x14ac:dyDescent="0.25">
      <c r="C1589" s="19" t="s">
        <v>738</v>
      </c>
      <c r="D1589" s="30">
        <v>1</v>
      </c>
      <c r="E1589" s="30">
        <v>50</v>
      </c>
      <c r="F1589" s="30">
        <f t="shared" si="50"/>
        <v>50</v>
      </c>
      <c r="J1589" s="30" t="s">
        <v>392</v>
      </c>
    </row>
    <row r="1590" spans="3:10" x14ac:dyDescent="0.25">
      <c r="C1590" s="19" t="s">
        <v>519</v>
      </c>
      <c r="D1590" s="30">
        <v>1</v>
      </c>
      <c r="E1590" s="30">
        <v>10</v>
      </c>
      <c r="F1590" s="30">
        <f t="shared" si="50"/>
        <v>10</v>
      </c>
      <c r="J1590" s="30" t="s">
        <v>392</v>
      </c>
    </row>
    <row r="1591" spans="3:10" x14ac:dyDescent="0.25">
      <c r="C1591" s="19" t="s">
        <v>739</v>
      </c>
      <c r="D1591" s="30">
        <v>1</v>
      </c>
      <c r="E1591" s="30">
        <v>50</v>
      </c>
      <c r="F1591" s="30">
        <f t="shared" si="50"/>
        <v>50</v>
      </c>
      <c r="J1591" s="30" t="s">
        <v>392</v>
      </c>
    </row>
    <row r="1592" spans="3:10" x14ac:dyDescent="0.25">
      <c r="C1592" s="19" t="s">
        <v>532</v>
      </c>
      <c r="D1592" s="30">
        <v>2</v>
      </c>
      <c r="E1592" s="30">
        <v>5</v>
      </c>
      <c r="F1592" s="30">
        <f t="shared" si="50"/>
        <v>10</v>
      </c>
      <c r="J1592" s="30" t="s">
        <v>392</v>
      </c>
    </row>
    <row r="1593" spans="3:10" x14ac:dyDescent="0.25">
      <c r="C1593" s="19" t="s">
        <v>99</v>
      </c>
      <c r="D1593" s="30">
        <v>1</v>
      </c>
      <c r="E1593" s="30">
        <v>9</v>
      </c>
      <c r="F1593" s="30">
        <f t="shared" si="50"/>
        <v>9</v>
      </c>
      <c r="J1593" s="30" t="s">
        <v>392</v>
      </c>
    </row>
    <row r="1594" spans="3:10" x14ac:dyDescent="0.25">
      <c r="C1594" s="19" t="s">
        <v>103</v>
      </c>
      <c r="D1594" s="30">
        <v>1</v>
      </c>
      <c r="E1594" s="30">
        <v>13</v>
      </c>
      <c r="F1594" s="30">
        <f t="shared" si="50"/>
        <v>13</v>
      </c>
      <c r="J1594" s="30" t="s">
        <v>392</v>
      </c>
    </row>
    <row r="1595" spans="3:10" x14ac:dyDescent="0.25">
      <c r="C1595" s="33" t="s">
        <v>701</v>
      </c>
      <c r="D1595" s="30">
        <v>2</v>
      </c>
      <c r="E1595" s="30">
        <v>9</v>
      </c>
      <c r="F1595" s="30">
        <f t="shared" si="50"/>
        <v>18</v>
      </c>
      <c r="J1595" s="30" t="s">
        <v>392</v>
      </c>
    </row>
    <row r="1596" spans="3:10" x14ac:dyDescent="0.25">
      <c r="C1596" s="19" t="s">
        <v>665</v>
      </c>
      <c r="D1596" s="30">
        <v>1</v>
      </c>
      <c r="E1596" s="30">
        <v>20</v>
      </c>
      <c r="F1596" s="30">
        <f t="shared" si="50"/>
        <v>20</v>
      </c>
      <c r="J1596" s="30" t="s">
        <v>392</v>
      </c>
    </row>
    <row r="1597" spans="3:10" x14ac:dyDescent="0.25">
      <c r="C1597" s="19" t="s">
        <v>739</v>
      </c>
      <c r="D1597" s="30">
        <v>1</v>
      </c>
      <c r="E1597" s="30">
        <v>50</v>
      </c>
      <c r="F1597" s="30">
        <f t="shared" si="50"/>
        <v>50</v>
      </c>
      <c r="J1597" s="30" t="s">
        <v>392</v>
      </c>
    </row>
    <row r="1598" spans="3:10" x14ac:dyDescent="0.25">
      <c r="C1598" s="19" t="s">
        <v>731</v>
      </c>
      <c r="D1598" s="30">
        <v>0.26</v>
      </c>
      <c r="E1598" s="30">
        <v>60</v>
      </c>
      <c r="F1598" s="30">
        <f t="shared" si="50"/>
        <v>15.600000000000001</v>
      </c>
    </row>
    <row r="1599" spans="3:10" x14ac:dyDescent="0.25">
      <c r="C1599" s="19" t="s">
        <v>690</v>
      </c>
      <c r="D1599" s="30">
        <v>1</v>
      </c>
      <c r="E1599" s="30">
        <v>72</v>
      </c>
      <c r="F1599" s="30">
        <f t="shared" si="50"/>
        <v>72</v>
      </c>
    </row>
    <row r="1600" spans="3:10" x14ac:dyDescent="0.25">
      <c r="C1600" s="33" t="s">
        <v>476</v>
      </c>
      <c r="D1600" s="30">
        <v>1</v>
      </c>
      <c r="E1600" s="30">
        <v>20</v>
      </c>
      <c r="F1600" s="30">
        <f t="shared" si="50"/>
        <v>20</v>
      </c>
      <c r="J1600" s="30" t="s">
        <v>392</v>
      </c>
    </row>
    <row r="1601" spans="1:10" x14ac:dyDescent="0.25">
      <c r="C1601" s="19" t="s">
        <v>708</v>
      </c>
      <c r="D1601" s="30">
        <v>2</v>
      </c>
      <c r="E1601" s="30">
        <v>5</v>
      </c>
      <c r="F1601" s="30">
        <f t="shared" si="50"/>
        <v>10</v>
      </c>
      <c r="I1601" s="139">
        <f>SUM(F1544:F1601)</f>
        <v>1586.7280000000001</v>
      </c>
      <c r="J1601" s="30" t="s">
        <v>392</v>
      </c>
    </row>
    <row r="1602" spans="1:10" s="69" customFormat="1" ht="18.75" x14ac:dyDescent="0.3">
      <c r="A1602" s="235" t="s">
        <v>437</v>
      </c>
      <c r="B1602" s="236"/>
      <c r="C1602" s="236"/>
      <c r="D1602" s="236"/>
      <c r="E1602" s="236"/>
      <c r="F1602" s="236"/>
      <c r="G1602" s="236"/>
      <c r="H1602" s="237"/>
      <c r="I1602" s="69">
        <f>SUM(I1601,I1543)</f>
        <v>1971.1680000000001</v>
      </c>
    </row>
    <row r="1603" spans="1:10" x14ac:dyDescent="0.25">
      <c r="A1603" s="78">
        <v>46160</v>
      </c>
      <c r="C1603" s="19" t="s">
        <v>122</v>
      </c>
      <c r="D1603" s="30">
        <v>1</v>
      </c>
      <c r="E1603" s="30">
        <v>4.5</v>
      </c>
      <c r="F1603" s="30">
        <f t="shared" ref="F1603:F1625" si="51">E1603*D1603</f>
        <v>4.5</v>
      </c>
      <c r="G1603" s="30" t="s">
        <v>10</v>
      </c>
      <c r="I1603" s="139">
        <v>4.5</v>
      </c>
      <c r="J1603" s="30" t="s">
        <v>391</v>
      </c>
    </row>
    <row r="1604" spans="1:10" x14ac:dyDescent="0.25">
      <c r="A1604" s="78">
        <v>46160</v>
      </c>
      <c r="C1604" s="33" t="s">
        <v>502</v>
      </c>
      <c r="D1604" s="30">
        <v>1</v>
      </c>
      <c r="E1604" s="30">
        <v>10</v>
      </c>
      <c r="F1604" s="30">
        <f t="shared" si="51"/>
        <v>10</v>
      </c>
      <c r="G1604" s="30" t="s">
        <v>9</v>
      </c>
      <c r="J1604" s="30" t="s">
        <v>392</v>
      </c>
    </row>
    <row r="1605" spans="1:10" x14ac:dyDescent="0.25">
      <c r="A1605" s="78">
        <v>46160</v>
      </c>
      <c r="C1605" s="19" t="s">
        <v>351</v>
      </c>
      <c r="D1605" s="30">
        <v>1</v>
      </c>
      <c r="E1605" s="30">
        <v>107</v>
      </c>
      <c r="F1605" s="30">
        <f t="shared" si="51"/>
        <v>107</v>
      </c>
      <c r="G1605" s="30" t="s">
        <v>9</v>
      </c>
      <c r="J1605" s="30" t="s">
        <v>392</v>
      </c>
    </row>
    <row r="1606" spans="1:10" x14ac:dyDescent="0.25">
      <c r="A1606" s="78">
        <v>46160</v>
      </c>
      <c r="C1606" s="19" t="s">
        <v>746</v>
      </c>
      <c r="D1606" s="30">
        <v>1</v>
      </c>
      <c r="E1606" s="30">
        <v>55</v>
      </c>
      <c r="F1606" s="30">
        <f t="shared" si="51"/>
        <v>55</v>
      </c>
      <c r="G1606" s="30" t="s">
        <v>9</v>
      </c>
      <c r="J1606" s="30" t="s">
        <v>392</v>
      </c>
    </row>
    <row r="1607" spans="1:10" x14ac:dyDescent="0.25">
      <c r="A1607" s="78">
        <v>46160</v>
      </c>
      <c r="C1607" s="33" t="s">
        <v>662</v>
      </c>
      <c r="D1607" s="30">
        <v>2</v>
      </c>
      <c r="E1607" s="30">
        <v>55</v>
      </c>
      <c r="F1607" s="30">
        <f t="shared" si="51"/>
        <v>110</v>
      </c>
      <c r="J1607" s="30" t="s">
        <v>392</v>
      </c>
    </row>
    <row r="1608" spans="1:10" x14ac:dyDescent="0.25">
      <c r="A1608" s="78">
        <v>46160</v>
      </c>
      <c r="C1608" s="19" t="s">
        <v>626</v>
      </c>
      <c r="D1608" s="30">
        <v>1</v>
      </c>
      <c r="E1608" s="30">
        <v>10</v>
      </c>
      <c r="F1608" s="30">
        <f t="shared" si="51"/>
        <v>10</v>
      </c>
      <c r="J1608" s="30" t="s">
        <v>392</v>
      </c>
    </row>
    <row r="1609" spans="1:10" x14ac:dyDescent="0.25">
      <c r="A1609" s="78">
        <v>46160</v>
      </c>
      <c r="C1609" s="33" t="s">
        <v>420</v>
      </c>
      <c r="D1609" s="30">
        <v>2</v>
      </c>
      <c r="E1609" s="30">
        <v>10</v>
      </c>
      <c r="F1609" s="30">
        <f t="shared" si="51"/>
        <v>20</v>
      </c>
      <c r="J1609" s="30" t="s">
        <v>392</v>
      </c>
    </row>
    <row r="1610" spans="1:10" x14ac:dyDescent="0.25">
      <c r="A1610" s="78">
        <v>46160</v>
      </c>
      <c r="C1610" s="33" t="s">
        <v>420</v>
      </c>
      <c r="D1610" s="30">
        <v>1</v>
      </c>
      <c r="E1610" s="30">
        <v>10</v>
      </c>
      <c r="F1610" s="30">
        <f t="shared" si="51"/>
        <v>10</v>
      </c>
      <c r="J1610" s="30" t="s">
        <v>392</v>
      </c>
    </row>
    <row r="1611" spans="1:10" x14ac:dyDescent="0.25">
      <c r="A1611" s="78">
        <v>46160</v>
      </c>
      <c r="C1611" s="33" t="s">
        <v>375</v>
      </c>
      <c r="D1611" s="30">
        <v>3</v>
      </c>
      <c r="E1611" s="30">
        <v>1</v>
      </c>
      <c r="F1611" s="30">
        <f t="shared" si="51"/>
        <v>3</v>
      </c>
      <c r="J1611" s="30" t="s">
        <v>392</v>
      </c>
    </row>
    <row r="1612" spans="1:10" x14ac:dyDescent="0.25">
      <c r="A1612" s="78">
        <v>46160</v>
      </c>
      <c r="C1612" s="33" t="s">
        <v>523</v>
      </c>
      <c r="D1612" s="30">
        <v>0.107</v>
      </c>
      <c r="E1612" s="30">
        <v>280</v>
      </c>
      <c r="F1612" s="30">
        <f t="shared" si="51"/>
        <v>29.96</v>
      </c>
      <c r="J1612" s="30" t="s">
        <v>392</v>
      </c>
    </row>
    <row r="1613" spans="1:10" x14ac:dyDescent="0.25">
      <c r="A1613" s="78">
        <v>46160</v>
      </c>
      <c r="C1613" s="19" t="s">
        <v>654</v>
      </c>
      <c r="D1613" s="30">
        <v>1</v>
      </c>
      <c r="E1613" s="30">
        <v>95</v>
      </c>
      <c r="F1613" s="30">
        <f t="shared" si="51"/>
        <v>95</v>
      </c>
      <c r="J1613" s="30" t="s">
        <v>392</v>
      </c>
    </row>
    <row r="1614" spans="1:10" x14ac:dyDescent="0.25">
      <c r="A1614" s="78">
        <v>46160</v>
      </c>
      <c r="C1614" s="19" t="s">
        <v>737</v>
      </c>
      <c r="D1614" s="30">
        <v>1</v>
      </c>
      <c r="E1614" s="30">
        <v>20</v>
      </c>
      <c r="F1614" s="30">
        <f t="shared" si="51"/>
        <v>20</v>
      </c>
      <c r="J1614" s="30" t="s">
        <v>392</v>
      </c>
    </row>
    <row r="1615" spans="1:10" x14ac:dyDescent="0.25">
      <c r="A1615" s="78">
        <v>46160</v>
      </c>
      <c r="C1615" s="19" t="s">
        <v>643</v>
      </c>
      <c r="D1615" s="30">
        <v>4</v>
      </c>
      <c r="E1615" s="30">
        <v>10</v>
      </c>
      <c r="F1615" s="30">
        <f t="shared" si="51"/>
        <v>40</v>
      </c>
      <c r="J1615" s="30" t="s">
        <v>392</v>
      </c>
    </row>
    <row r="1616" spans="1:10" x14ac:dyDescent="0.25">
      <c r="A1616" s="78">
        <v>46160</v>
      </c>
      <c r="C1616" s="33" t="s">
        <v>208</v>
      </c>
      <c r="D1616" s="30">
        <v>1</v>
      </c>
      <c r="E1616" s="30">
        <v>45</v>
      </c>
      <c r="F1616" s="30">
        <f t="shared" si="51"/>
        <v>45</v>
      </c>
      <c r="J1616" s="30" t="s">
        <v>392</v>
      </c>
    </row>
    <row r="1617" spans="1:10" x14ac:dyDescent="0.25">
      <c r="A1617" s="78">
        <v>46160</v>
      </c>
      <c r="C1617" s="33" t="s">
        <v>701</v>
      </c>
      <c r="D1617" s="30">
        <v>4</v>
      </c>
      <c r="E1617" s="30">
        <v>9</v>
      </c>
      <c r="F1617" s="30">
        <f t="shared" si="51"/>
        <v>36</v>
      </c>
      <c r="J1617" s="30" t="s">
        <v>392</v>
      </c>
    </row>
    <row r="1618" spans="1:10" ht="30" x14ac:dyDescent="0.25">
      <c r="A1618" s="78">
        <v>46160</v>
      </c>
      <c r="C1618" s="33" t="s">
        <v>426</v>
      </c>
      <c r="D1618" s="30">
        <v>1</v>
      </c>
      <c r="E1618" s="30">
        <v>10</v>
      </c>
      <c r="F1618" s="30">
        <f t="shared" si="51"/>
        <v>10</v>
      </c>
      <c r="J1618" s="30" t="s">
        <v>392</v>
      </c>
    </row>
    <row r="1619" spans="1:10" x14ac:dyDescent="0.25">
      <c r="A1619" s="78">
        <v>46160</v>
      </c>
      <c r="C1619" s="33" t="s">
        <v>541</v>
      </c>
      <c r="D1619" s="30">
        <v>0.14599999999999999</v>
      </c>
      <c r="E1619" s="30">
        <v>70</v>
      </c>
      <c r="F1619" s="30">
        <f t="shared" si="51"/>
        <v>10.219999999999999</v>
      </c>
      <c r="J1619" s="30" t="s">
        <v>392</v>
      </c>
    </row>
    <row r="1620" spans="1:10" x14ac:dyDescent="0.25">
      <c r="A1620" s="78">
        <v>46160</v>
      </c>
      <c r="C1620" s="19" t="s">
        <v>643</v>
      </c>
      <c r="D1620" s="30">
        <v>2</v>
      </c>
      <c r="E1620" s="30">
        <v>10</v>
      </c>
      <c r="F1620" s="30">
        <f t="shared" si="51"/>
        <v>20</v>
      </c>
      <c r="J1620" s="30" t="s">
        <v>392</v>
      </c>
    </row>
    <row r="1621" spans="1:10" x14ac:dyDescent="0.25">
      <c r="A1621" s="78">
        <v>46160</v>
      </c>
      <c r="C1621" s="33" t="s">
        <v>423</v>
      </c>
      <c r="D1621" s="30">
        <v>2</v>
      </c>
      <c r="E1621" s="30">
        <v>5</v>
      </c>
      <c r="F1621" s="30">
        <f t="shared" si="51"/>
        <v>10</v>
      </c>
      <c r="J1621" s="30" t="s">
        <v>392</v>
      </c>
    </row>
    <row r="1622" spans="1:10" x14ac:dyDescent="0.25">
      <c r="A1622" s="78">
        <v>46160</v>
      </c>
      <c r="C1622" s="19" t="s">
        <v>626</v>
      </c>
      <c r="D1622" s="30">
        <v>3</v>
      </c>
      <c r="E1622" s="30">
        <v>10</v>
      </c>
      <c r="F1622" s="30">
        <f t="shared" si="51"/>
        <v>30</v>
      </c>
    </row>
    <row r="1623" spans="1:10" ht="30" x14ac:dyDescent="0.25">
      <c r="A1623" s="78">
        <v>46160</v>
      </c>
      <c r="C1623" s="19" t="s">
        <v>363</v>
      </c>
      <c r="D1623" s="30">
        <v>2</v>
      </c>
      <c r="E1623" s="30">
        <v>5</v>
      </c>
      <c r="F1623" s="30">
        <f t="shared" si="51"/>
        <v>10</v>
      </c>
    </row>
    <row r="1624" spans="1:10" x14ac:dyDescent="0.25">
      <c r="A1624" s="78">
        <v>46160</v>
      </c>
      <c r="C1624" s="33" t="s">
        <v>560</v>
      </c>
      <c r="D1624" s="30">
        <v>1</v>
      </c>
      <c r="E1624" s="30">
        <v>10</v>
      </c>
      <c r="F1624" s="30">
        <f t="shared" si="51"/>
        <v>10</v>
      </c>
      <c r="J1624" s="30" t="s">
        <v>392</v>
      </c>
    </row>
    <row r="1625" spans="1:10" x14ac:dyDescent="0.25">
      <c r="A1625" s="78">
        <v>46160</v>
      </c>
      <c r="C1625" s="33" t="s">
        <v>345</v>
      </c>
      <c r="D1625" s="30">
        <v>10</v>
      </c>
      <c r="E1625" s="30">
        <v>1</v>
      </c>
      <c r="F1625" s="30">
        <f t="shared" si="51"/>
        <v>10</v>
      </c>
      <c r="I1625" s="139">
        <f>SUM(F1604:F1625)</f>
        <v>701.18000000000006</v>
      </c>
      <c r="J1625" s="30" t="s">
        <v>392</v>
      </c>
    </row>
    <row r="1626" spans="1:10" s="69" customFormat="1" ht="18.75" x14ac:dyDescent="0.3">
      <c r="A1626" s="235" t="s">
        <v>437</v>
      </c>
      <c r="B1626" s="236"/>
      <c r="C1626" s="236"/>
      <c r="D1626" s="236"/>
      <c r="E1626" s="236"/>
      <c r="F1626" s="236"/>
      <c r="G1626" s="236"/>
      <c r="H1626" s="237"/>
      <c r="I1626" s="69">
        <f>SUM(I1625,I1603)</f>
        <v>705.68000000000006</v>
      </c>
    </row>
    <row r="1627" spans="1:10" x14ac:dyDescent="0.25">
      <c r="A1627" s="78">
        <v>46161</v>
      </c>
      <c r="C1627" s="33" t="s">
        <v>325</v>
      </c>
      <c r="D1627" s="30">
        <v>2</v>
      </c>
      <c r="E1627" s="30">
        <v>20</v>
      </c>
      <c r="F1627" s="30">
        <f t="shared" ref="F1627:F1670" si="52">E1627*D1627</f>
        <v>40</v>
      </c>
      <c r="G1627" s="30" t="s">
        <v>9</v>
      </c>
      <c r="J1627" s="30" t="s">
        <v>391</v>
      </c>
    </row>
    <row r="1628" spans="1:10" x14ac:dyDescent="0.25">
      <c r="A1628" s="78">
        <v>46161</v>
      </c>
      <c r="C1628" s="19" t="s">
        <v>635</v>
      </c>
      <c r="D1628" s="30">
        <v>1</v>
      </c>
      <c r="E1628" s="30">
        <v>10</v>
      </c>
      <c r="F1628" s="30">
        <f t="shared" si="52"/>
        <v>10</v>
      </c>
      <c r="G1628" s="30" t="s">
        <v>9</v>
      </c>
      <c r="J1628" s="30" t="s">
        <v>391</v>
      </c>
    </row>
    <row r="1629" spans="1:10" x14ac:dyDescent="0.25">
      <c r="A1629" s="78">
        <v>46161</v>
      </c>
      <c r="C1629" s="33" t="s">
        <v>680</v>
      </c>
      <c r="D1629" s="30">
        <v>1</v>
      </c>
      <c r="E1629" s="30">
        <v>10</v>
      </c>
      <c r="F1629" s="30">
        <f t="shared" si="52"/>
        <v>10</v>
      </c>
      <c r="G1629" s="30" t="s">
        <v>9</v>
      </c>
      <c r="J1629" s="30" t="s">
        <v>391</v>
      </c>
    </row>
    <row r="1630" spans="1:10" x14ac:dyDescent="0.25">
      <c r="A1630" s="78">
        <v>46161</v>
      </c>
      <c r="C1630" s="19" t="s">
        <v>669</v>
      </c>
      <c r="D1630" s="30">
        <v>2</v>
      </c>
      <c r="E1630" s="30">
        <v>5</v>
      </c>
      <c r="F1630" s="30">
        <f t="shared" si="52"/>
        <v>10</v>
      </c>
      <c r="G1630" s="30" t="s">
        <v>9</v>
      </c>
      <c r="J1630" s="30" t="s">
        <v>391</v>
      </c>
    </row>
    <row r="1631" spans="1:10" x14ac:dyDescent="0.25">
      <c r="A1631" s="78">
        <v>46161</v>
      </c>
      <c r="C1631" s="33" t="s">
        <v>704</v>
      </c>
      <c r="D1631" s="30">
        <v>1</v>
      </c>
      <c r="E1631" s="30">
        <v>39</v>
      </c>
      <c r="F1631" s="30">
        <f t="shared" si="52"/>
        <v>39</v>
      </c>
      <c r="G1631" s="30" t="s">
        <v>9</v>
      </c>
      <c r="J1631" s="30" t="s">
        <v>391</v>
      </c>
    </row>
    <row r="1632" spans="1:10" x14ac:dyDescent="0.25">
      <c r="A1632" s="78">
        <v>46161</v>
      </c>
      <c r="C1632" s="33" t="s">
        <v>541</v>
      </c>
      <c r="D1632" s="30">
        <v>0.5</v>
      </c>
      <c r="E1632" s="30">
        <v>70</v>
      </c>
      <c r="F1632" s="30">
        <f t="shared" si="52"/>
        <v>35</v>
      </c>
      <c r="G1632" s="30" t="s">
        <v>9</v>
      </c>
      <c r="I1632" s="139">
        <f>SUM(F1627:F1632)</f>
        <v>144</v>
      </c>
      <c r="J1632" s="30" t="s">
        <v>391</v>
      </c>
    </row>
    <row r="1633" spans="1:10" x14ac:dyDescent="0.25">
      <c r="A1633" s="78">
        <v>46161</v>
      </c>
      <c r="C1633" s="33" t="s">
        <v>208</v>
      </c>
      <c r="D1633" s="30">
        <v>1</v>
      </c>
      <c r="E1633" s="30">
        <v>45</v>
      </c>
      <c r="F1633" s="30">
        <f t="shared" si="52"/>
        <v>45</v>
      </c>
      <c r="G1633" s="30" t="s">
        <v>9</v>
      </c>
      <c r="J1633" s="30" t="s">
        <v>392</v>
      </c>
    </row>
    <row r="1634" spans="1:10" x14ac:dyDescent="0.25">
      <c r="A1634" s="78">
        <v>46161</v>
      </c>
      <c r="C1634" s="19" t="s">
        <v>366</v>
      </c>
      <c r="D1634" s="30">
        <v>1</v>
      </c>
      <c r="E1634" s="30">
        <v>50</v>
      </c>
      <c r="F1634" s="30">
        <f t="shared" si="52"/>
        <v>50</v>
      </c>
      <c r="G1634" s="30" t="s">
        <v>9</v>
      </c>
      <c r="J1634" s="30" t="s">
        <v>392</v>
      </c>
    </row>
    <row r="1635" spans="1:10" x14ac:dyDescent="0.25">
      <c r="A1635" s="78">
        <v>46161</v>
      </c>
      <c r="C1635" s="19" t="s">
        <v>616</v>
      </c>
      <c r="D1635" s="30">
        <v>1</v>
      </c>
      <c r="E1635" s="30">
        <v>50</v>
      </c>
      <c r="F1635" s="30">
        <f t="shared" si="52"/>
        <v>50</v>
      </c>
      <c r="G1635" s="30" t="s">
        <v>9</v>
      </c>
      <c r="J1635" s="30" t="s">
        <v>392</v>
      </c>
    </row>
    <row r="1636" spans="1:10" x14ac:dyDescent="0.25">
      <c r="A1636" s="78">
        <v>46161</v>
      </c>
      <c r="C1636" s="33" t="s">
        <v>541</v>
      </c>
      <c r="D1636" s="30">
        <v>0.5</v>
      </c>
      <c r="E1636" s="30">
        <v>70</v>
      </c>
      <c r="F1636" s="30">
        <f t="shared" si="52"/>
        <v>35</v>
      </c>
      <c r="G1636" s="30" t="s">
        <v>9</v>
      </c>
      <c r="J1636" s="30" t="s">
        <v>392</v>
      </c>
    </row>
    <row r="1637" spans="1:10" x14ac:dyDescent="0.25">
      <c r="A1637" s="78">
        <v>46161</v>
      </c>
      <c r="C1637" s="19" t="s">
        <v>11</v>
      </c>
      <c r="D1637" s="30">
        <v>2</v>
      </c>
      <c r="E1637" s="30">
        <v>10</v>
      </c>
      <c r="F1637" s="30">
        <f t="shared" si="52"/>
        <v>20</v>
      </c>
      <c r="G1637" s="30" t="s">
        <v>9</v>
      </c>
      <c r="J1637" s="30" t="s">
        <v>392</v>
      </c>
    </row>
    <row r="1638" spans="1:10" x14ac:dyDescent="0.25">
      <c r="A1638" s="78">
        <v>46161</v>
      </c>
      <c r="C1638" s="33" t="s">
        <v>57</v>
      </c>
      <c r="D1638" s="30">
        <v>3</v>
      </c>
      <c r="E1638" s="30">
        <v>1</v>
      </c>
      <c r="F1638" s="30">
        <f t="shared" si="52"/>
        <v>3</v>
      </c>
      <c r="G1638" s="30" t="s">
        <v>9</v>
      </c>
      <c r="J1638" s="30" t="s">
        <v>392</v>
      </c>
    </row>
    <row r="1639" spans="1:10" x14ac:dyDescent="0.25">
      <c r="A1639" s="78">
        <v>46161</v>
      </c>
      <c r="C1639" s="33" t="s">
        <v>55</v>
      </c>
      <c r="D1639" s="30">
        <v>3</v>
      </c>
      <c r="E1639" s="30">
        <v>1</v>
      </c>
      <c r="F1639" s="30">
        <f t="shared" si="52"/>
        <v>3</v>
      </c>
      <c r="G1639" s="30" t="s">
        <v>9</v>
      </c>
      <c r="J1639" s="30" t="s">
        <v>392</v>
      </c>
    </row>
    <row r="1640" spans="1:10" x14ac:dyDescent="0.25">
      <c r="A1640" s="78">
        <v>46161</v>
      </c>
      <c r="C1640" s="33" t="str">
        <f>'Stock Register'!A221</f>
        <v>WHOLE LONG LOT 1</v>
      </c>
      <c r="D1640" s="30">
        <v>0.1</v>
      </c>
      <c r="E1640" s="30">
        <v>200</v>
      </c>
      <c r="F1640" s="30">
        <f t="shared" si="52"/>
        <v>20</v>
      </c>
      <c r="G1640" s="30" t="s">
        <v>9</v>
      </c>
      <c r="J1640" s="30" t="s">
        <v>392</v>
      </c>
    </row>
    <row r="1641" spans="1:10" x14ac:dyDescent="0.25">
      <c r="A1641" s="78">
        <v>46161</v>
      </c>
      <c r="C1641" s="33" t="s">
        <v>522</v>
      </c>
      <c r="D1641" s="30">
        <v>1</v>
      </c>
      <c r="E1641" s="30">
        <v>59</v>
      </c>
      <c r="F1641" s="30">
        <f t="shared" si="52"/>
        <v>59</v>
      </c>
      <c r="G1641" s="30" t="s">
        <v>9</v>
      </c>
      <c r="J1641" s="30" t="s">
        <v>392</v>
      </c>
    </row>
    <row r="1642" spans="1:10" x14ac:dyDescent="0.25">
      <c r="A1642" s="78">
        <v>46161</v>
      </c>
      <c r="C1642" s="19" t="s">
        <v>85</v>
      </c>
      <c r="D1642" s="30">
        <v>1</v>
      </c>
      <c r="E1642" s="30">
        <v>20</v>
      </c>
      <c r="F1642" s="30">
        <f t="shared" si="52"/>
        <v>20</v>
      </c>
      <c r="G1642" s="30" t="s">
        <v>9</v>
      </c>
      <c r="J1642" s="30" t="s">
        <v>392</v>
      </c>
    </row>
    <row r="1643" spans="1:10" x14ac:dyDescent="0.25">
      <c r="A1643" s="78">
        <v>46161</v>
      </c>
      <c r="C1643" s="33" t="s">
        <v>348</v>
      </c>
      <c r="D1643" s="30">
        <v>3</v>
      </c>
      <c r="E1643" s="30">
        <v>1</v>
      </c>
      <c r="F1643" s="30">
        <f t="shared" si="52"/>
        <v>3</v>
      </c>
      <c r="G1643" s="30" t="s">
        <v>9</v>
      </c>
      <c r="J1643" s="30" t="s">
        <v>392</v>
      </c>
    </row>
    <row r="1644" spans="1:10" x14ac:dyDescent="0.25">
      <c r="A1644" s="78">
        <v>46161</v>
      </c>
      <c r="C1644" s="33" t="s">
        <v>543</v>
      </c>
      <c r="D1644" s="30">
        <v>1</v>
      </c>
      <c r="E1644" s="30">
        <v>27</v>
      </c>
      <c r="F1644" s="30">
        <f t="shared" si="52"/>
        <v>27</v>
      </c>
      <c r="G1644" s="30" t="s">
        <v>9</v>
      </c>
      <c r="J1644" s="30" t="s">
        <v>392</v>
      </c>
    </row>
    <row r="1645" spans="1:10" x14ac:dyDescent="0.25">
      <c r="A1645" s="78">
        <v>46161</v>
      </c>
      <c r="C1645" s="19" t="s">
        <v>415</v>
      </c>
      <c r="D1645" s="30">
        <v>1</v>
      </c>
      <c r="E1645" s="30">
        <v>90</v>
      </c>
      <c r="F1645" s="30">
        <f t="shared" si="52"/>
        <v>90</v>
      </c>
      <c r="G1645" s="30" t="s">
        <v>9</v>
      </c>
      <c r="J1645" s="30" t="s">
        <v>392</v>
      </c>
    </row>
    <row r="1646" spans="1:10" x14ac:dyDescent="0.25">
      <c r="A1646" s="78">
        <v>46161</v>
      </c>
      <c r="C1646" s="33" t="s">
        <v>449</v>
      </c>
      <c r="D1646" s="30">
        <v>1</v>
      </c>
      <c r="E1646" s="30">
        <v>5</v>
      </c>
      <c r="F1646" s="30">
        <f t="shared" si="52"/>
        <v>5</v>
      </c>
      <c r="G1646" s="30" t="s">
        <v>9</v>
      </c>
      <c r="J1646" s="30" t="s">
        <v>392</v>
      </c>
    </row>
    <row r="1647" spans="1:10" x14ac:dyDescent="0.25">
      <c r="A1647" s="78">
        <v>46161</v>
      </c>
      <c r="C1647" s="33" t="s">
        <v>55</v>
      </c>
      <c r="D1647" s="30">
        <v>5</v>
      </c>
      <c r="E1647" s="30">
        <v>1</v>
      </c>
      <c r="F1647" s="30">
        <f t="shared" si="52"/>
        <v>5</v>
      </c>
      <c r="G1647" s="30" t="s">
        <v>9</v>
      </c>
      <c r="J1647" s="30" t="s">
        <v>392</v>
      </c>
    </row>
    <row r="1648" spans="1:10" x14ac:dyDescent="0.25">
      <c r="A1648" s="78">
        <v>46161</v>
      </c>
      <c r="C1648" s="33" t="s">
        <v>57</v>
      </c>
      <c r="D1648" s="30">
        <v>10</v>
      </c>
      <c r="E1648" s="30">
        <v>1</v>
      </c>
      <c r="F1648" s="30">
        <f t="shared" si="52"/>
        <v>10</v>
      </c>
      <c r="G1648" s="30" t="s">
        <v>9</v>
      </c>
      <c r="J1648" s="30" t="s">
        <v>392</v>
      </c>
    </row>
    <row r="1649" spans="1:10" x14ac:dyDescent="0.25">
      <c r="A1649" s="78">
        <v>46161</v>
      </c>
      <c r="C1649" s="19" t="s">
        <v>705</v>
      </c>
      <c r="D1649" s="30">
        <v>1</v>
      </c>
      <c r="E1649" s="30">
        <v>10</v>
      </c>
      <c r="F1649" s="30">
        <f t="shared" si="52"/>
        <v>10</v>
      </c>
      <c r="G1649" s="30" t="s">
        <v>9</v>
      </c>
      <c r="J1649" s="30" t="s">
        <v>392</v>
      </c>
    </row>
    <row r="1650" spans="1:10" ht="30" x14ac:dyDescent="0.25">
      <c r="A1650" s="78">
        <v>46161</v>
      </c>
      <c r="C1650" s="33" t="s">
        <v>577</v>
      </c>
      <c r="D1650" s="30">
        <v>2</v>
      </c>
      <c r="E1650" s="30">
        <v>5</v>
      </c>
      <c r="F1650" s="30">
        <f t="shared" si="52"/>
        <v>10</v>
      </c>
      <c r="G1650" s="30" t="s">
        <v>9</v>
      </c>
      <c r="J1650" s="30" t="s">
        <v>392</v>
      </c>
    </row>
    <row r="1651" spans="1:10" x14ac:dyDescent="0.25">
      <c r="A1651" s="78">
        <v>46161</v>
      </c>
      <c r="C1651" s="33" t="s">
        <v>633</v>
      </c>
      <c r="D1651" s="30">
        <v>2</v>
      </c>
      <c r="E1651" s="30">
        <v>10</v>
      </c>
      <c r="F1651" s="30">
        <f t="shared" si="52"/>
        <v>20</v>
      </c>
      <c r="G1651" s="30" t="s">
        <v>9</v>
      </c>
      <c r="J1651" s="30" t="s">
        <v>392</v>
      </c>
    </row>
    <row r="1652" spans="1:10" x14ac:dyDescent="0.25">
      <c r="A1652" s="78">
        <v>46161</v>
      </c>
      <c r="C1652" s="33" t="s">
        <v>701</v>
      </c>
      <c r="D1652" s="30">
        <v>2</v>
      </c>
      <c r="E1652" s="30">
        <v>9</v>
      </c>
      <c r="F1652" s="30">
        <f t="shared" si="52"/>
        <v>18</v>
      </c>
      <c r="G1652" s="30" t="s">
        <v>9</v>
      </c>
      <c r="J1652" s="30" t="s">
        <v>392</v>
      </c>
    </row>
    <row r="1653" spans="1:10" x14ac:dyDescent="0.25">
      <c r="A1653" s="78">
        <v>46161</v>
      </c>
      <c r="C1653" s="33" t="s">
        <v>541</v>
      </c>
      <c r="D1653" s="30">
        <v>0.28599999999999998</v>
      </c>
      <c r="E1653" s="30">
        <v>70</v>
      </c>
      <c r="F1653" s="30">
        <f t="shared" si="52"/>
        <v>20.02</v>
      </c>
      <c r="G1653" s="30" t="s">
        <v>9</v>
      </c>
      <c r="J1653" s="30" t="s">
        <v>392</v>
      </c>
    </row>
    <row r="1654" spans="1:10" x14ac:dyDescent="0.25">
      <c r="A1654" s="78">
        <v>46161</v>
      </c>
      <c r="C1654" s="33" t="s">
        <v>345</v>
      </c>
      <c r="D1654" s="30">
        <v>5</v>
      </c>
      <c r="E1654" s="30">
        <v>1</v>
      </c>
      <c r="F1654" s="30">
        <f t="shared" si="52"/>
        <v>5</v>
      </c>
      <c r="G1654" s="30" t="s">
        <v>9</v>
      </c>
      <c r="J1654" s="30" t="s">
        <v>392</v>
      </c>
    </row>
    <row r="1655" spans="1:10" x14ac:dyDescent="0.25">
      <c r="A1655" s="78">
        <v>46161</v>
      </c>
      <c r="C1655" s="19" t="s">
        <v>539</v>
      </c>
      <c r="D1655" s="30">
        <v>1</v>
      </c>
      <c r="E1655" s="30">
        <v>25</v>
      </c>
      <c r="F1655" s="30">
        <f t="shared" si="52"/>
        <v>25</v>
      </c>
      <c r="G1655" s="30" t="s">
        <v>9</v>
      </c>
      <c r="J1655" s="30" t="s">
        <v>392</v>
      </c>
    </row>
    <row r="1656" spans="1:10" x14ac:dyDescent="0.25">
      <c r="A1656" s="78">
        <v>46161</v>
      </c>
      <c r="C1656" s="33" t="s">
        <v>325</v>
      </c>
      <c r="D1656" s="30">
        <v>1</v>
      </c>
      <c r="E1656" s="30">
        <v>20</v>
      </c>
      <c r="F1656" s="30">
        <f t="shared" si="52"/>
        <v>20</v>
      </c>
      <c r="G1656" s="30" t="s">
        <v>9</v>
      </c>
      <c r="J1656" s="30" t="s">
        <v>392</v>
      </c>
    </row>
    <row r="1657" spans="1:10" x14ac:dyDescent="0.25">
      <c r="A1657" s="78">
        <v>46161</v>
      </c>
      <c r="C1657" s="33" t="s">
        <v>563</v>
      </c>
      <c r="D1657" s="30">
        <v>1</v>
      </c>
      <c r="E1657" s="30">
        <v>30</v>
      </c>
      <c r="F1657" s="30">
        <f t="shared" si="52"/>
        <v>30</v>
      </c>
      <c r="G1657" s="30" t="s">
        <v>9</v>
      </c>
      <c r="J1657" s="30" t="s">
        <v>392</v>
      </c>
    </row>
    <row r="1658" spans="1:10" x14ac:dyDescent="0.25">
      <c r="A1658" s="78">
        <v>46161</v>
      </c>
      <c r="C1658" s="19" t="s">
        <v>643</v>
      </c>
      <c r="D1658" s="30">
        <v>2</v>
      </c>
      <c r="E1658" s="30">
        <v>10</v>
      </c>
      <c r="F1658" s="30">
        <f t="shared" si="52"/>
        <v>20</v>
      </c>
      <c r="G1658" s="30" t="s">
        <v>9</v>
      </c>
      <c r="J1658" s="30" t="s">
        <v>392</v>
      </c>
    </row>
    <row r="1659" spans="1:10" x14ac:dyDescent="0.25">
      <c r="A1659" s="78">
        <v>46161</v>
      </c>
      <c r="C1659" s="19" t="s">
        <v>93</v>
      </c>
      <c r="D1659" s="30">
        <v>1</v>
      </c>
      <c r="E1659" s="30">
        <v>38</v>
      </c>
      <c r="F1659" s="30">
        <f t="shared" si="52"/>
        <v>38</v>
      </c>
      <c r="G1659" s="30" t="s">
        <v>9</v>
      </c>
      <c r="J1659" s="30" t="s">
        <v>392</v>
      </c>
    </row>
    <row r="1660" spans="1:10" x14ac:dyDescent="0.25">
      <c r="A1660" s="78">
        <v>46161</v>
      </c>
      <c r="C1660" s="33" t="s">
        <v>345</v>
      </c>
      <c r="D1660" s="30">
        <v>2</v>
      </c>
      <c r="E1660" s="30">
        <v>1</v>
      </c>
      <c r="F1660" s="30">
        <f t="shared" si="52"/>
        <v>2</v>
      </c>
      <c r="G1660" s="30" t="s">
        <v>9</v>
      </c>
      <c r="J1660" s="30" t="s">
        <v>392</v>
      </c>
    </row>
    <row r="1661" spans="1:10" x14ac:dyDescent="0.25">
      <c r="A1661" s="78">
        <v>46161</v>
      </c>
      <c r="C1661" s="33" t="s">
        <v>560</v>
      </c>
      <c r="D1661" s="30">
        <v>1</v>
      </c>
      <c r="E1661" s="30">
        <v>10</v>
      </c>
      <c r="F1661" s="30">
        <f t="shared" si="52"/>
        <v>10</v>
      </c>
      <c r="G1661" s="30" t="s">
        <v>9</v>
      </c>
      <c r="J1661" s="30" t="s">
        <v>392</v>
      </c>
    </row>
    <row r="1662" spans="1:10" ht="30" x14ac:dyDescent="0.25">
      <c r="A1662" s="78">
        <v>46161</v>
      </c>
      <c r="C1662" s="33" t="s">
        <v>501</v>
      </c>
      <c r="D1662" s="30">
        <v>2</v>
      </c>
      <c r="E1662" s="30">
        <v>5</v>
      </c>
      <c r="F1662" s="30">
        <f t="shared" si="52"/>
        <v>10</v>
      </c>
      <c r="G1662" s="30" t="s">
        <v>9</v>
      </c>
      <c r="J1662" s="30" t="s">
        <v>392</v>
      </c>
    </row>
    <row r="1663" spans="1:10" x14ac:dyDescent="0.25">
      <c r="A1663" s="78">
        <v>46161</v>
      </c>
      <c r="C1663" s="33" t="s">
        <v>741</v>
      </c>
      <c r="D1663" s="30">
        <v>1</v>
      </c>
      <c r="E1663" s="30">
        <v>10</v>
      </c>
      <c r="F1663" s="30">
        <f t="shared" si="52"/>
        <v>10</v>
      </c>
      <c r="G1663" s="30" t="s">
        <v>9</v>
      </c>
      <c r="J1663" s="30" t="s">
        <v>392</v>
      </c>
    </row>
    <row r="1664" spans="1:10" x14ac:dyDescent="0.25">
      <c r="A1664" s="78">
        <v>46161</v>
      </c>
      <c r="C1664" s="33" t="s">
        <v>208</v>
      </c>
      <c r="D1664" s="30">
        <v>1</v>
      </c>
      <c r="E1664" s="30">
        <v>45</v>
      </c>
      <c r="F1664" s="30">
        <f t="shared" si="52"/>
        <v>45</v>
      </c>
      <c r="G1664" s="30" t="s">
        <v>9</v>
      </c>
      <c r="J1664" s="30" t="s">
        <v>392</v>
      </c>
    </row>
    <row r="1665" spans="1:10" x14ac:dyDescent="0.25">
      <c r="A1665" s="78">
        <v>46161</v>
      </c>
      <c r="C1665" s="33" t="s">
        <v>563</v>
      </c>
      <c r="D1665" s="30">
        <v>1</v>
      </c>
      <c r="E1665" s="30">
        <v>30</v>
      </c>
      <c r="F1665" s="30">
        <f t="shared" si="52"/>
        <v>30</v>
      </c>
      <c r="G1665" s="30" t="s">
        <v>9</v>
      </c>
      <c r="J1665" s="30" t="s">
        <v>392</v>
      </c>
    </row>
    <row r="1666" spans="1:10" x14ac:dyDescent="0.25">
      <c r="A1666" s="78">
        <v>46161</v>
      </c>
      <c r="C1666" s="33" t="s">
        <v>325</v>
      </c>
      <c r="D1666" s="30">
        <v>2</v>
      </c>
      <c r="E1666" s="30">
        <v>20</v>
      </c>
      <c r="F1666" s="30">
        <f t="shared" si="52"/>
        <v>40</v>
      </c>
      <c r="G1666" s="30" t="s">
        <v>9</v>
      </c>
      <c r="J1666" s="30" t="s">
        <v>392</v>
      </c>
    </row>
    <row r="1667" spans="1:10" x14ac:dyDescent="0.25">
      <c r="A1667" s="78">
        <v>46161</v>
      </c>
      <c r="C1667" s="19" t="s">
        <v>624</v>
      </c>
      <c r="D1667" s="30">
        <v>1</v>
      </c>
      <c r="E1667" s="30">
        <v>20</v>
      </c>
      <c r="F1667" s="30">
        <f t="shared" si="52"/>
        <v>20</v>
      </c>
      <c r="G1667" s="30" t="s">
        <v>9</v>
      </c>
      <c r="J1667" s="30" t="s">
        <v>392</v>
      </c>
    </row>
    <row r="1668" spans="1:10" x14ac:dyDescent="0.25">
      <c r="A1668" s="78">
        <v>46161</v>
      </c>
      <c r="C1668" s="19" t="s">
        <v>736</v>
      </c>
      <c r="D1668" s="30">
        <v>1</v>
      </c>
      <c r="E1668" s="30">
        <v>60</v>
      </c>
      <c r="F1668" s="30">
        <f t="shared" si="52"/>
        <v>60</v>
      </c>
      <c r="G1668" s="30" t="s">
        <v>9</v>
      </c>
      <c r="J1668" s="30" t="s">
        <v>392</v>
      </c>
    </row>
    <row r="1669" spans="1:10" x14ac:dyDescent="0.25">
      <c r="A1669" s="78">
        <v>46161</v>
      </c>
      <c r="C1669" s="19" t="s">
        <v>117</v>
      </c>
      <c r="D1669" s="30">
        <v>1</v>
      </c>
      <c r="E1669" s="30">
        <v>10</v>
      </c>
      <c r="F1669" s="30">
        <f t="shared" si="52"/>
        <v>10</v>
      </c>
      <c r="G1669" s="30" t="s">
        <v>9</v>
      </c>
      <c r="J1669" s="30" t="s">
        <v>392</v>
      </c>
    </row>
    <row r="1670" spans="1:10" x14ac:dyDescent="0.25">
      <c r="A1670" s="78">
        <v>46161</v>
      </c>
      <c r="C1670" s="19" t="s">
        <v>645</v>
      </c>
      <c r="D1670" s="30">
        <v>1</v>
      </c>
      <c r="E1670" s="30">
        <v>10</v>
      </c>
      <c r="F1670" s="30">
        <f t="shared" si="52"/>
        <v>10</v>
      </c>
      <c r="G1670" s="30" t="s">
        <v>9</v>
      </c>
      <c r="I1670" s="139">
        <f>SUM(F1633:F1670)</f>
        <v>908.02</v>
      </c>
      <c r="J1670" s="30" t="s">
        <v>392</v>
      </c>
    </row>
    <row r="1671" spans="1:10" s="69" customFormat="1" ht="18.75" x14ac:dyDescent="0.3">
      <c r="A1671" s="235" t="s">
        <v>437</v>
      </c>
      <c r="B1671" s="236"/>
      <c r="C1671" s="236"/>
      <c r="D1671" s="236"/>
      <c r="E1671" s="236"/>
      <c r="F1671" s="236"/>
      <c r="G1671" s="236"/>
      <c r="H1671" s="237"/>
      <c r="I1671" s="69">
        <f>SUM(I1670,I1632)</f>
        <v>1052.02</v>
      </c>
    </row>
    <row r="1672" spans="1:10" x14ac:dyDescent="0.25">
      <c r="A1672" s="78">
        <v>46162</v>
      </c>
      <c r="C1672" s="19" t="s">
        <v>102</v>
      </c>
      <c r="D1672" s="30">
        <v>1</v>
      </c>
      <c r="E1672" s="30">
        <v>25</v>
      </c>
      <c r="F1672" s="30">
        <f t="shared" ref="F1672:F1717" si="53">E1672*D1672</f>
        <v>25</v>
      </c>
      <c r="G1672" s="30" t="s">
        <v>9</v>
      </c>
      <c r="J1672" s="30" t="s">
        <v>391</v>
      </c>
    </row>
    <row r="1673" spans="1:10" ht="30" x14ac:dyDescent="0.25">
      <c r="A1673" s="78">
        <v>46162</v>
      </c>
      <c r="C1673" s="19" t="s">
        <v>70</v>
      </c>
      <c r="D1673" s="30">
        <v>1</v>
      </c>
      <c r="E1673" s="30">
        <v>5</v>
      </c>
      <c r="F1673" s="30">
        <f t="shared" si="53"/>
        <v>5</v>
      </c>
      <c r="G1673" s="30" t="s">
        <v>9</v>
      </c>
      <c r="J1673" s="30" t="s">
        <v>391</v>
      </c>
    </row>
    <row r="1674" spans="1:10" x14ac:dyDescent="0.25">
      <c r="A1674" s="78">
        <v>46162</v>
      </c>
      <c r="C1674" s="33" t="s">
        <v>325</v>
      </c>
      <c r="D1674" s="30">
        <v>1</v>
      </c>
      <c r="E1674" s="30">
        <v>20</v>
      </c>
      <c r="F1674" s="30">
        <f t="shared" si="53"/>
        <v>20</v>
      </c>
      <c r="G1674" s="30" t="s">
        <v>9</v>
      </c>
      <c r="J1674" s="30" t="s">
        <v>391</v>
      </c>
    </row>
    <row r="1675" spans="1:10" x14ac:dyDescent="0.25">
      <c r="A1675" s="78">
        <v>46162</v>
      </c>
      <c r="C1675" s="33" t="s">
        <v>701</v>
      </c>
      <c r="D1675" s="30">
        <v>5</v>
      </c>
      <c r="E1675" s="30">
        <v>9</v>
      </c>
      <c r="F1675" s="30">
        <f t="shared" si="53"/>
        <v>45</v>
      </c>
      <c r="G1675" s="30" t="s">
        <v>9</v>
      </c>
      <c r="J1675" s="30" t="s">
        <v>391</v>
      </c>
    </row>
    <row r="1676" spans="1:10" x14ac:dyDescent="0.25">
      <c r="A1676" s="78">
        <v>46162</v>
      </c>
      <c r="C1676" s="33" t="s">
        <v>543</v>
      </c>
      <c r="D1676" s="30">
        <v>1</v>
      </c>
      <c r="E1676" s="30">
        <v>27</v>
      </c>
      <c r="F1676" s="30">
        <f t="shared" si="53"/>
        <v>27</v>
      </c>
      <c r="G1676" s="30" t="s">
        <v>9</v>
      </c>
      <c r="J1676" s="30" t="s">
        <v>391</v>
      </c>
    </row>
    <row r="1677" spans="1:10" x14ac:dyDescent="0.25">
      <c r="A1677" s="78">
        <v>46162</v>
      </c>
      <c r="C1677" s="33" t="s">
        <v>476</v>
      </c>
      <c r="D1677" s="30">
        <v>3</v>
      </c>
      <c r="E1677" s="30">
        <v>20</v>
      </c>
      <c r="F1677" s="30">
        <f t="shared" si="53"/>
        <v>60</v>
      </c>
      <c r="G1677" s="30" t="s">
        <v>9</v>
      </c>
      <c r="J1677" s="30" t="s">
        <v>391</v>
      </c>
    </row>
    <row r="1678" spans="1:10" ht="30" x14ac:dyDescent="0.25">
      <c r="A1678" s="78">
        <v>46162</v>
      </c>
      <c r="C1678" s="33" t="s">
        <v>625</v>
      </c>
      <c r="D1678" s="30">
        <v>1</v>
      </c>
      <c r="E1678" s="30">
        <v>155</v>
      </c>
      <c r="F1678" s="30">
        <f t="shared" si="53"/>
        <v>155</v>
      </c>
      <c r="G1678" s="30" t="s">
        <v>9</v>
      </c>
      <c r="J1678" s="30" t="s">
        <v>391</v>
      </c>
    </row>
    <row r="1679" spans="1:10" x14ac:dyDescent="0.25">
      <c r="A1679" s="78">
        <v>46162</v>
      </c>
      <c r="C1679" s="33" t="s">
        <v>464</v>
      </c>
      <c r="D1679" s="30">
        <v>1</v>
      </c>
      <c r="E1679" s="30">
        <v>44</v>
      </c>
      <c r="F1679" s="30">
        <f t="shared" si="53"/>
        <v>44</v>
      </c>
      <c r="G1679" s="30" t="s">
        <v>9</v>
      </c>
      <c r="J1679" s="30" t="s">
        <v>391</v>
      </c>
    </row>
    <row r="1680" spans="1:10" x14ac:dyDescent="0.25">
      <c r="A1680" s="78">
        <v>46162</v>
      </c>
      <c r="C1680" s="33" t="s">
        <v>665</v>
      </c>
      <c r="D1680" s="30">
        <v>1</v>
      </c>
      <c r="E1680" s="30">
        <v>20</v>
      </c>
      <c r="F1680" s="30">
        <f t="shared" si="53"/>
        <v>20</v>
      </c>
      <c r="G1680" s="30" t="s">
        <v>9</v>
      </c>
      <c r="J1680" s="30" t="s">
        <v>391</v>
      </c>
    </row>
    <row r="1681" spans="1:10" x14ac:dyDescent="0.25">
      <c r="A1681" s="78">
        <v>46162</v>
      </c>
      <c r="C1681" s="33" t="s">
        <v>160</v>
      </c>
      <c r="D1681" s="30">
        <v>1.2</v>
      </c>
      <c r="E1681" s="30">
        <v>108</v>
      </c>
      <c r="F1681" s="30">
        <f t="shared" si="53"/>
        <v>129.6</v>
      </c>
      <c r="G1681" s="30" t="s">
        <v>9</v>
      </c>
      <c r="J1681" s="30" t="s">
        <v>391</v>
      </c>
    </row>
    <row r="1682" spans="1:10" x14ac:dyDescent="0.25">
      <c r="A1682" s="78">
        <v>46162</v>
      </c>
      <c r="C1682" s="33" t="s">
        <v>732</v>
      </c>
      <c r="D1682" s="30">
        <v>6</v>
      </c>
      <c r="E1682" s="30">
        <v>47</v>
      </c>
      <c r="F1682" s="30">
        <f t="shared" si="53"/>
        <v>282</v>
      </c>
      <c r="G1682" s="30" t="s">
        <v>9</v>
      </c>
      <c r="J1682" s="30" t="s">
        <v>391</v>
      </c>
    </row>
    <row r="1683" spans="1:10" ht="30" x14ac:dyDescent="0.25">
      <c r="A1683" s="78">
        <v>46162</v>
      </c>
      <c r="C1683" s="19" t="str">
        <f>'Stock Register'!A163</f>
        <v>SHALIMAR COCONUT OIL 85 ML LOT 1</v>
      </c>
      <c r="D1683" s="30">
        <v>2</v>
      </c>
      <c r="E1683" s="30">
        <v>10</v>
      </c>
      <c r="F1683" s="30">
        <f t="shared" si="53"/>
        <v>20</v>
      </c>
      <c r="G1683" s="30" t="s">
        <v>9</v>
      </c>
      <c r="J1683" s="30" t="s">
        <v>391</v>
      </c>
    </row>
    <row r="1684" spans="1:10" x14ac:dyDescent="0.25">
      <c r="A1684" s="78">
        <v>46162</v>
      </c>
      <c r="C1684" s="19" t="s">
        <v>564</v>
      </c>
      <c r="D1684" s="30">
        <v>0.1</v>
      </c>
      <c r="E1684" s="30">
        <v>300</v>
      </c>
      <c r="F1684" s="30">
        <f t="shared" si="53"/>
        <v>30</v>
      </c>
      <c r="G1684" s="30" t="s">
        <v>9</v>
      </c>
      <c r="J1684" s="30" t="s">
        <v>391</v>
      </c>
    </row>
    <row r="1685" spans="1:10" x14ac:dyDescent="0.25">
      <c r="A1685" s="78">
        <v>46162</v>
      </c>
      <c r="C1685" s="19" t="s">
        <v>381</v>
      </c>
      <c r="D1685" s="30">
        <v>1</v>
      </c>
      <c r="E1685" s="30">
        <v>15</v>
      </c>
      <c r="F1685" s="30">
        <f t="shared" si="53"/>
        <v>15</v>
      </c>
      <c r="G1685" s="30" t="s">
        <v>9</v>
      </c>
      <c r="J1685" s="30" t="s">
        <v>391</v>
      </c>
    </row>
    <row r="1686" spans="1:10" x14ac:dyDescent="0.25">
      <c r="A1686" s="78">
        <v>46162</v>
      </c>
      <c r="C1686" s="19" t="str">
        <f>'Stock Register'!A186</f>
        <v>SUNRISE GARAM MASALA LOT 1</v>
      </c>
      <c r="D1686" s="30">
        <v>4</v>
      </c>
      <c r="E1686" s="30">
        <v>5</v>
      </c>
      <c r="F1686" s="30">
        <f t="shared" si="53"/>
        <v>20</v>
      </c>
      <c r="G1686" s="30" t="s">
        <v>9</v>
      </c>
      <c r="J1686" s="30" t="s">
        <v>391</v>
      </c>
    </row>
    <row r="1687" spans="1:10" ht="30" x14ac:dyDescent="0.25">
      <c r="A1687" s="78">
        <v>46162</v>
      </c>
      <c r="C1687" s="19" t="s">
        <v>363</v>
      </c>
      <c r="D1687" s="30">
        <v>1</v>
      </c>
      <c r="E1687" s="30">
        <v>5</v>
      </c>
      <c r="F1687" s="30">
        <f t="shared" si="53"/>
        <v>5</v>
      </c>
      <c r="G1687" s="30" t="s">
        <v>9</v>
      </c>
      <c r="J1687" s="30" t="s">
        <v>391</v>
      </c>
    </row>
    <row r="1688" spans="1:10" x14ac:dyDescent="0.25">
      <c r="A1688" s="78">
        <v>46162</v>
      </c>
      <c r="C1688" s="19" t="s">
        <v>564</v>
      </c>
      <c r="D1688" s="30">
        <v>6.8000000000000005E-2</v>
      </c>
      <c r="E1688" s="30">
        <v>300</v>
      </c>
      <c r="F1688" s="30">
        <f t="shared" si="53"/>
        <v>20.400000000000002</v>
      </c>
      <c r="G1688" s="30" t="s">
        <v>9</v>
      </c>
      <c r="J1688" s="30" t="s">
        <v>391</v>
      </c>
    </row>
    <row r="1689" spans="1:10" x14ac:dyDescent="0.25">
      <c r="A1689" s="78">
        <v>46162</v>
      </c>
      <c r="C1689" s="33" t="s">
        <v>680</v>
      </c>
      <c r="D1689" s="30">
        <v>1</v>
      </c>
      <c r="E1689" s="30">
        <v>10</v>
      </c>
      <c r="F1689" s="30">
        <f t="shared" si="53"/>
        <v>10</v>
      </c>
      <c r="G1689" s="30" t="s">
        <v>9</v>
      </c>
      <c r="J1689" s="30" t="s">
        <v>391</v>
      </c>
    </row>
    <row r="1690" spans="1:10" x14ac:dyDescent="0.25">
      <c r="A1690" s="78">
        <v>46162</v>
      </c>
      <c r="C1690" s="33" t="s">
        <v>375</v>
      </c>
      <c r="D1690" s="30">
        <v>10</v>
      </c>
      <c r="E1690" s="30">
        <v>1</v>
      </c>
      <c r="F1690" s="30">
        <f t="shared" si="53"/>
        <v>10</v>
      </c>
      <c r="G1690" s="30" t="s">
        <v>9</v>
      </c>
      <c r="J1690" s="30" t="s">
        <v>391</v>
      </c>
    </row>
    <row r="1691" spans="1:10" x14ac:dyDescent="0.25">
      <c r="A1691" s="78">
        <v>46162</v>
      </c>
      <c r="C1691" s="33" t="s">
        <v>462</v>
      </c>
      <c r="D1691" s="30">
        <v>2</v>
      </c>
      <c r="E1691" s="30">
        <v>5</v>
      </c>
      <c r="F1691" s="30">
        <f t="shared" si="53"/>
        <v>10</v>
      </c>
      <c r="G1691" s="30" t="s">
        <v>9</v>
      </c>
      <c r="J1691" s="30" t="s">
        <v>391</v>
      </c>
    </row>
    <row r="1692" spans="1:10" x14ac:dyDescent="0.25">
      <c r="A1692" s="78">
        <v>46162</v>
      </c>
      <c r="C1692" s="33" t="s">
        <v>445</v>
      </c>
      <c r="D1692" s="30">
        <v>2</v>
      </c>
      <c r="E1692" s="30">
        <v>10</v>
      </c>
      <c r="F1692" s="30">
        <f t="shared" si="53"/>
        <v>20</v>
      </c>
      <c r="G1692" s="30" t="s">
        <v>9</v>
      </c>
      <c r="I1692" s="139">
        <f>SUM(F1672:F1692)</f>
        <v>973</v>
      </c>
      <c r="J1692" s="30" t="s">
        <v>391</v>
      </c>
    </row>
    <row r="1693" spans="1:10" x14ac:dyDescent="0.25">
      <c r="A1693" s="78">
        <v>46162</v>
      </c>
      <c r="C1693" s="33" t="s">
        <v>633</v>
      </c>
      <c r="D1693" s="30">
        <v>1</v>
      </c>
      <c r="E1693" s="30">
        <v>10</v>
      </c>
      <c r="F1693" s="30">
        <f t="shared" si="53"/>
        <v>10</v>
      </c>
      <c r="G1693" s="30" t="s">
        <v>9</v>
      </c>
      <c r="J1693" s="30" t="s">
        <v>392</v>
      </c>
    </row>
    <row r="1694" spans="1:10" x14ac:dyDescent="0.25">
      <c r="A1694" s="78">
        <v>46162</v>
      </c>
      <c r="C1694" s="33" t="s">
        <v>560</v>
      </c>
      <c r="D1694" s="30">
        <v>1</v>
      </c>
      <c r="E1694" s="30">
        <v>10</v>
      </c>
      <c r="F1694" s="30">
        <f t="shared" si="53"/>
        <v>10</v>
      </c>
      <c r="G1694" s="30" t="s">
        <v>9</v>
      </c>
      <c r="J1694" s="30" t="s">
        <v>392</v>
      </c>
    </row>
    <row r="1695" spans="1:10" x14ac:dyDescent="0.25">
      <c r="A1695" s="78">
        <v>46162</v>
      </c>
      <c r="C1695" s="33" t="s">
        <v>522</v>
      </c>
      <c r="D1695" s="30">
        <v>2</v>
      </c>
      <c r="E1695" s="30">
        <v>59</v>
      </c>
      <c r="F1695" s="30">
        <f t="shared" si="53"/>
        <v>118</v>
      </c>
      <c r="G1695" s="30" t="s">
        <v>9</v>
      </c>
      <c r="J1695" s="30" t="s">
        <v>392</v>
      </c>
    </row>
    <row r="1696" spans="1:10" x14ac:dyDescent="0.25">
      <c r="A1696" s="78">
        <v>46162</v>
      </c>
      <c r="C1696" s="33" t="s">
        <v>464</v>
      </c>
      <c r="D1696" s="30">
        <v>1</v>
      </c>
      <c r="E1696" s="30">
        <v>44</v>
      </c>
      <c r="F1696" s="30">
        <f t="shared" si="53"/>
        <v>44</v>
      </c>
      <c r="G1696" s="30" t="s">
        <v>9</v>
      </c>
      <c r="J1696" s="30" t="s">
        <v>392</v>
      </c>
    </row>
    <row r="1697" spans="1:10" x14ac:dyDescent="0.25">
      <c r="A1697" s="78">
        <v>46162</v>
      </c>
      <c r="C1697" s="33" t="s">
        <v>633</v>
      </c>
      <c r="D1697" s="30">
        <v>1</v>
      </c>
      <c r="E1697" s="30">
        <v>10</v>
      </c>
      <c r="F1697" s="30">
        <f t="shared" si="53"/>
        <v>10</v>
      </c>
      <c r="G1697" s="30" t="s">
        <v>9</v>
      </c>
      <c r="J1697" s="30" t="s">
        <v>392</v>
      </c>
    </row>
    <row r="1698" spans="1:10" ht="30" x14ac:dyDescent="0.25">
      <c r="A1698" s="78">
        <v>46162</v>
      </c>
      <c r="C1698" s="19" t="s">
        <v>707</v>
      </c>
      <c r="D1698" s="30">
        <v>1</v>
      </c>
      <c r="E1698" s="30">
        <v>15</v>
      </c>
      <c r="F1698" s="30">
        <f t="shared" si="53"/>
        <v>15</v>
      </c>
      <c r="G1698" s="30" t="s">
        <v>9</v>
      </c>
      <c r="J1698" s="30" t="s">
        <v>392</v>
      </c>
    </row>
    <row r="1699" spans="1:10" x14ac:dyDescent="0.25">
      <c r="A1699" s="78">
        <v>46162</v>
      </c>
      <c r="C1699" s="33" t="s">
        <v>638</v>
      </c>
      <c r="D1699" s="30">
        <v>1</v>
      </c>
      <c r="E1699" s="30">
        <v>30</v>
      </c>
      <c r="F1699" s="30">
        <f t="shared" si="53"/>
        <v>30</v>
      </c>
      <c r="G1699" s="30" t="s">
        <v>9</v>
      </c>
      <c r="J1699" s="30" t="s">
        <v>392</v>
      </c>
    </row>
    <row r="1700" spans="1:10" x14ac:dyDescent="0.25">
      <c r="A1700" s="78">
        <v>46162</v>
      </c>
      <c r="C1700" s="19" t="s">
        <v>582</v>
      </c>
      <c r="D1700" s="30">
        <v>1</v>
      </c>
      <c r="E1700" s="30">
        <v>10</v>
      </c>
      <c r="F1700" s="30">
        <f t="shared" si="53"/>
        <v>10</v>
      </c>
      <c r="G1700" s="30" t="s">
        <v>9</v>
      </c>
      <c r="J1700" s="30" t="s">
        <v>392</v>
      </c>
    </row>
    <row r="1701" spans="1:10" x14ac:dyDescent="0.25">
      <c r="A1701" s="78">
        <v>46162</v>
      </c>
      <c r="C1701" s="33" t="s">
        <v>476</v>
      </c>
      <c r="D1701" s="30">
        <v>1</v>
      </c>
      <c r="E1701" s="30">
        <v>20</v>
      </c>
      <c r="F1701" s="30">
        <f t="shared" si="53"/>
        <v>20</v>
      </c>
      <c r="G1701" s="30" t="s">
        <v>9</v>
      </c>
      <c r="J1701" s="30" t="s">
        <v>392</v>
      </c>
    </row>
    <row r="1702" spans="1:10" x14ac:dyDescent="0.25">
      <c r="A1702" s="78">
        <v>46162</v>
      </c>
      <c r="C1702" s="33" t="s">
        <v>423</v>
      </c>
      <c r="D1702" s="30">
        <v>2</v>
      </c>
      <c r="E1702" s="30">
        <v>5</v>
      </c>
      <c r="F1702" s="30">
        <f t="shared" si="53"/>
        <v>10</v>
      </c>
      <c r="G1702" s="30" t="s">
        <v>9</v>
      </c>
      <c r="J1702" s="30" t="s">
        <v>392</v>
      </c>
    </row>
    <row r="1703" spans="1:10" x14ac:dyDescent="0.25">
      <c r="A1703" s="78">
        <v>46162</v>
      </c>
      <c r="C1703" s="33" t="s">
        <v>157</v>
      </c>
      <c r="D1703" s="30">
        <v>0.5</v>
      </c>
      <c r="E1703" s="30">
        <v>200</v>
      </c>
      <c r="F1703" s="30">
        <f t="shared" si="53"/>
        <v>100</v>
      </c>
      <c r="G1703" s="30" t="s">
        <v>9</v>
      </c>
      <c r="J1703" s="30" t="s">
        <v>392</v>
      </c>
    </row>
    <row r="1704" spans="1:10" x14ac:dyDescent="0.25">
      <c r="A1704" s="78">
        <v>46162</v>
      </c>
      <c r="C1704" s="19" t="s">
        <v>626</v>
      </c>
      <c r="D1704" s="30">
        <v>4</v>
      </c>
      <c r="E1704" s="30">
        <v>10</v>
      </c>
      <c r="F1704" s="30">
        <f t="shared" si="53"/>
        <v>40</v>
      </c>
      <c r="G1704" s="30" t="s">
        <v>9</v>
      </c>
      <c r="J1704" s="30" t="s">
        <v>392</v>
      </c>
    </row>
    <row r="1705" spans="1:10" x14ac:dyDescent="0.25">
      <c r="A1705" s="78">
        <v>46162</v>
      </c>
      <c r="C1705" s="33" t="s">
        <v>423</v>
      </c>
      <c r="D1705" s="30">
        <v>2</v>
      </c>
      <c r="E1705" s="30">
        <v>5</v>
      </c>
      <c r="F1705" s="30">
        <f t="shared" si="53"/>
        <v>10</v>
      </c>
      <c r="G1705" s="30" t="s">
        <v>9</v>
      </c>
      <c r="J1705" s="30" t="s">
        <v>392</v>
      </c>
    </row>
    <row r="1706" spans="1:10" x14ac:dyDescent="0.25">
      <c r="A1706" s="78">
        <v>46162</v>
      </c>
      <c r="C1706" s="33" t="s">
        <v>560</v>
      </c>
      <c r="D1706" s="30">
        <v>2</v>
      </c>
      <c r="E1706" s="30">
        <v>10</v>
      </c>
      <c r="F1706" s="30">
        <f t="shared" si="53"/>
        <v>20</v>
      </c>
      <c r="G1706" s="30" t="s">
        <v>9</v>
      </c>
      <c r="J1706" s="30" t="s">
        <v>392</v>
      </c>
    </row>
    <row r="1707" spans="1:10" x14ac:dyDescent="0.25">
      <c r="A1707" s="78">
        <v>46162</v>
      </c>
      <c r="C1707" s="33" t="s">
        <v>449</v>
      </c>
      <c r="D1707" s="30">
        <v>2</v>
      </c>
      <c r="E1707" s="30">
        <v>5</v>
      </c>
      <c r="F1707" s="30">
        <f t="shared" si="53"/>
        <v>10</v>
      </c>
      <c r="G1707" s="30" t="s">
        <v>9</v>
      </c>
      <c r="J1707" s="30" t="s">
        <v>392</v>
      </c>
    </row>
    <row r="1708" spans="1:10" x14ac:dyDescent="0.25">
      <c r="A1708" s="78">
        <v>46162</v>
      </c>
      <c r="C1708" s="19" t="s">
        <v>653</v>
      </c>
      <c r="D1708" s="30">
        <v>1</v>
      </c>
      <c r="E1708" s="30">
        <v>110</v>
      </c>
      <c r="F1708" s="30">
        <f t="shared" si="53"/>
        <v>110</v>
      </c>
      <c r="G1708" s="30" t="s">
        <v>9</v>
      </c>
      <c r="J1708" s="30" t="s">
        <v>392</v>
      </c>
    </row>
    <row r="1709" spans="1:10" x14ac:dyDescent="0.25">
      <c r="A1709" s="78">
        <v>46162</v>
      </c>
      <c r="C1709" s="33" t="s">
        <v>748</v>
      </c>
      <c r="D1709" s="30">
        <v>30</v>
      </c>
      <c r="E1709" s="30">
        <v>8</v>
      </c>
      <c r="F1709" s="30">
        <f t="shared" si="53"/>
        <v>240</v>
      </c>
      <c r="G1709" s="30" t="s">
        <v>9</v>
      </c>
      <c r="J1709" s="30" t="s">
        <v>392</v>
      </c>
    </row>
    <row r="1710" spans="1:10" x14ac:dyDescent="0.25">
      <c r="A1710" s="78">
        <v>46162</v>
      </c>
      <c r="C1710" s="33" t="s">
        <v>587</v>
      </c>
      <c r="D1710" s="30">
        <v>1</v>
      </c>
      <c r="E1710" s="30">
        <v>56</v>
      </c>
      <c r="F1710" s="30">
        <f t="shared" si="53"/>
        <v>56</v>
      </c>
      <c r="G1710" s="30" t="s">
        <v>9</v>
      </c>
      <c r="J1710" s="30" t="s">
        <v>392</v>
      </c>
    </row>
    <row r="1711" spans="1:10" x14ac:dyDescent="0.25">
      <c r="A1711" s="78">
        <v>46162</v>
      </c>
      <c r="C1711" s="19" t="s">
        <v>135</v>
      </c>
      <c r="D1711" s="30">
        <v>1</v>
      </c>
      <c r="E1711" s="30">
        <v>14</v>
      </c>
      <c r="F1711" s="30">
        <f t="shared" si="53"/>
        <v>14</v>
      </c>
      <c r="G1711" s="30" t="s">
        <v>9</v>
      </c>
      <c r="J1711" s="30" t="s">
        <v>392</v>
      </c>
    </row>
    <row r="1712" spans="1:10" x14ac:dyDescent="0.25">
      <c r="A1712" s="78">
        <v>46162</v>
      </c>
      <c r="C1712" s="19" t="s">
        <v>68</v>
      </c>
      <c r="D1712" s="30">
        <v>1</v>
      </c>
      <c r="E1712" s="30">
        <v>10</v>
      </c>
      <c r="F1712" s="30">
        <f t="shared" si="53"/>
        <v>10</v>
      </c>
      <c r="G1712" s="30" t="s">
        <v>9</v>
      </c>
      <c r="J1712" s="30" t="s">
        <v>392</v>
      </c>
    </row>
    <row r="1713" spans="1:10" x14ac:dyDescent="0.25">
      <c r="A1713" s="78">
        <v>46162</v>
      </c>
      <c r="C1713" s="19" t="s">
        <v>701</v>
      </c>
      <c r="D1713" s="30">
        <v>4</v>
      </c>
      <c r="E1713" s="30">
        <v>9</v>
      </c>
      <c r="F1713" s="30">
        <f t="shared" si="53"/>
        <v>36</v>
      </c>
      <c r="G1713" s="30" t="s">
        <v>9</v>
      </c>
      <c r="J1713" s="30" t="s">
        <v>392</v>
      </c>
    </row>
    <row r="1714" spans="1:10" x14ac:dyDescent="0.25">
      <c r="A1714" s="78">
        <v>46162</v>
      </c>
      <c r="C1714" s="19" t="s">
        <v>379</v>
      </c>
      <c r="D1714" s="30">
        <v>2</v>
      </c>
      <c r="E1714" s="30">
        <v>5</v>
      </c>
      <c r="F1714" s="30">
        <f t="shared" si="53"/>
        <v>10</v>
      </c>
      <c r="G1714" s="30" t="s">
        <v>9</v>
      </c>
      <c r="J1714" s="30" t="s">
        <v>392</v>
      </c>
    </row>
    <row r="1715" spans="1:10" x14ac:dyDescent="0.25">
      <c r="A1715" s="78">
        <v>46162</v>
      </c>
      <c r="C1715" s="19" t="s">
        <v>727</v>
      </c>
      <c r="D1715" s="30">
        <v>0.52700000000000002</v>
      </c>
      <c r="E1715" s="30">
        <v>95</v>
      </c>
      <c r="F1715" s="30">
        <f t="shared" si="53"/>
        <v>50.065000000000005</v>
      </c>
      <c r="G1715" s="30" t="s">
        <v>9</v>
      </c>
      <c r="J1715" s="30" t="s">
        <v>392</v>
      </c>
    </row>
    <row r="1716" spans="1:10" ht="30" x14ac:dyDescent="0.25">
      <c r="A1716" s="78">
        <v>46162</v>
      </c>
      <c r="C1716" s="19" t="s">
        <v>621</v>
      </c>
      <c r="D1716" s="30">
        <v>1</v>
      </c>
      <c r="E1716" s="30">
        <v>75</v>
      </c>
      <c r="F1716" s="30">
        <f t="shared" si="53"/>
        <v>75</v>
      </c>
      <c r="G1716" s="30" t="s">
        <v>9</v>
      </c>
      <c r="J1716" s="30" t="s">
        <v>392</v>
      </c>
    </row>
    <row r="1717" spans="1:10" x14ac:dyDescent="0.25">
      <c r="A1717" s="78">
        <v>46162</v>
      </c>
      <c r="C1717" s="19" t="s">
        <v>379</v>
      </c>
      <c r="D1717" s="30">
        <v>1</v>
      </c>
      <c r="E1717" s="30">
        <v>5</v>
      </c>
      <c r="F1717" s="30">
        <f t="shared" si="53"/>
        <v>5</v>
      </c>
      <c r="G1717" s="30" t="s">
        <v>9</v>
      </c>
      <c r="J1717" s="30" t="s">
        <v>392</v>
      </c>
    </row>
    <row r="1718" spans="1:10" x14ac:dyDescent="0.25">
      <c r="A1718" s="78">
        <v>46162</v>
      </c>
      <c r="C1718" s="19" t="s">
        <v>748</v>
      </c>
      <c r="D1718" s="30">
        <v>30</v>
      </c>
      <c r="E1718" s="30">
        <v>8</v>
      </c>
      <c r="F1718" s="30">
        <f>E1718*D1718</f>
        <v>240</v>
      </c>
      <c r="G1718" s="30" t="s">
        <v>9</v>
      </c>
      <c r="J1718" s="30" t="s">
        <v>392</v>
      </c>
    </row>
    <row r="1719" spans="1:10" x14ac:dyDescent="0.25">
      <c r="A1719" s="78">
        <v>46162</v>
      </c>
      <c r="C1719" s="33" t="s">
        <v>736</v>
      </c>
      <c r="D1719" s="30">
        <v>1</v>
      </c>
      <c r="E1719" s="30">
        <v>60</v>
      </c>
      <c r="F1719" s="30">
        <f>E1719*D1719</f>
        <v>60</v>
      </c>
      <c r="G1719" s="30" t="s">
        <v>9</v>
      </c>
      <c r="J1719" s="30" t="s">
        <v>392</v>
      </c>
    </row>
    <row r="1720" spans="1:10" x14ac:dyDescent="0.25">
      <c r="A1720" s="78">
        <v>46162</v>
      </c>
      <c r="C1720" s="19" t="s">
        <v>737</v>
      </c>
      <c r="D1720" s="30">
        <v>1</v>
      </c>
      <c r="E1720" s="30">
        <v>20</v>
      </c>
      <c r="F1720" s="30">
        <f>E1720*D1720</f>
        <v>20</v>
      </c>
      <c r="G1720" s="30" t="s">
        <v>9</v>
      </c>
      <c r="J1720" s="30" t="s">
        <v>392</v>
      </c>
    </row>
    <row r="1721" spans="1:10" x14ac:dyDescent="0.25">
      <c r="A1721" s="78">
        <v>46162</v>
      </c>
      <c r="C1721" s="33" t="s">
        <v>665</v>
      </c>
      <c r="D1721" s="30">
        <v>1</v>
      </c>
      <c r="E1721" s="30">
        <v>20</v>
      </c>
      <c r="F1721" s="30">
        <f>E1721*D1721</f>
        <v>20</v>
      </c>
      <c r="G1721" s="30" t="s">
        <v>9</v>
      </c>
      <c r="J1721" s="30" t="s">
        <v>392</v>
      </c>
    </row>
    <row r="1722" spans="1:10" ht="30" x14ac:dyDescent="0.25">
      <c r="A1722" s="78">
        <v>46162</v>
      </c>
      <c r="C1722" s="19" t="s">
        <v>426</v>
      </c>
      <c r="D1722" s="30">
        <v>1</v>
      </c>
      <c r="E1722" s="30">
        <v>20</v>
      </c>
      <c r="F1722" s="30">
        <f>E1722*D1722</f>
        <v>20</v>
      </c>
      <c r="G1722" s="30" t="s">
        <v>9</v>
      </c>
      <c r="I1722" s="139">
        <f>SUM(F1693:F1722)</f>
        <v>1423.0650000000001</v>
      </c>
      <c r="J1722" s="30" t="s">
        <v>392</v>
      </c>
    </row>
    <row r="1723" spans="1:10" s="110" customFormat="1" ht="18.75" x14ac:dyDescent="0.3">
      <c r="A1723" s="235" t="s">
        <v>437</v>
      </c>
      <c r="B1723" s="236"/>
      <c r="C1723" s="236"/>
      <c r="D1723" s="236"/>
      <c r="E1723" s="236"/>
      <c r="F1723" s="236"/>
      <c r="G1723" s="236"/>
      <c r="H1723" s="237"/>
      <c r="I1723" s="110">
        <f>SUM(I1722,I1692)</f>
        <v>2396.0650000000001</v>
      </c>
    </row>
    <row r="1724" spans="1:10" x14ac:dyDescent="0.25">
      <c r="A1724" s="78">
        <v>46163</v>
      </c>
      <c r="C1724" s="33" t="s">
        <v>571</v>
      </c>
      <c r="D1724" s="30">
        <v>2</v>
      </c>
      <c r="E1724" s="30">
        <v>18</v>
      </c>
      <c r="F1724" s="30">
        <f t="shared" ref="F1724:F1745" si="54">E1724*D1724</f>
        <v>36</v>
      </c>
      <c r="G1724" s="30" t="s">
        <v>9</v>
      </c>
      <c r="J1724" s="30" t="s">
        <v>391</v>
      </c>
    </row>
    <row r="1725" spans="1:10" x14ac:dyDescent="0.25">
      <c r="A1725" s="78">
        <v>46163</v>
      </c>
      <c r="C1725" s="33" t="s">
        <v>694</v>
      </c>
      <c r="D1725" s="30">
        <v>1</v>
      </c>
      <c r="E1725" s="30">
        <v>23</v>
      </c>
      <c r="F1725" s="30">
        <f t="shared" si="54"/>
        <v>23</v>
      </c>
      <c r="G1725" s="30" t="s">
        <v>9</v>
      </c>
      <c r="I1725" s="139">
        <f>SUM(F1724:F1725)</f>
        <v>59</v>
      </c>
      <c r="J1725" s="30" t="s">
        <v>391</v>
      </c>
    </row>
    <row r="1726" spans="1:10" x14ac:dyDescent="0.25">
      <c r="A1726" s="78">
        <v>46163</v>
      </c>
      <c r="C1726" s="33" t="s">
        <v>748</v>
      </c>
      <c r="D1726" s="30">
        <v>1</v>
      </c>
      <c r="E1726" s="30">
        <v>9</v>
      </c>
      <c r="F1726" s="30">
        <f t="shared" si="54"/>
        <v>9</v>
      </c>
      <c r="G1726" s="30" t="s">
        <v>9</v>
      </c>
      <c r="J1726" s="30" t="s">
        <v>392</v>
      </c>
    </row>
    <row r="1727" spans="1:10" x14ac:dyDescent="0.25">
      <c r="A1727" s="78">
        <v>46163</v>
      </c>
      <c r="C1727" s="33" t="s">
        <v>563</v>
      </c>
      <c r="D1727" s="30">
        <v>0.14000000000000001</v>
      </c>
      <c r="E1727" s="30">
        <v>30</v>
      </c>
      <c r="F1727" s="30">
        <f t="shared" si="54"/>
        <v>4.2</v>
      </c>
      <c r="J1727" s="30" t="s">
        <v>392</v>
      </c>
    </row>
    <row r="1728" spans="1:10" x14ac:dyDescent="0.25">
      <c r="A1728" s="78">
        <v>46163</v>
      </c>
      <c r="C1728" s="33" t="s">
        <v>325</v>
      </c>
      <c r="D1728" s="30">
        <v>0.3</v>
      </c>
      <c r="E1728" s="30">
        <v>20</v>
      </c>
      <c r="F1728" s="30">
        <f t="shared" si="54"/>
        <v>6</v>
      </c>
      <c r="J1728" s="30" t="s">
        <v>392</v>
      </c>
    </row>
    <row r="1729" spans="1:10" x14ac:dyDescent="0.25">
      <c r="A1729" s="78">
        <v>46163</v>
      </c>
      <c r="C1729" s="33" t="s">
        <v>748</v>
      </c>
      <c r="D1729" s="30">
        <v>1</v>
      </c>
      <c r="E1729" s="30">
        <v>9</v>
      </c>
      <c r="F1729" s="30">
        <f t="shared" si="54"/>
        <v>9</v>
      </c>
      <c r="J1729" s="30" t="s">
        <v>392</v>
      </c>
    </row>
    <row r="1730" spans="1:10" x14ac:dyDescent="0.25">
      <c r="A1730" s="78">
        <v>46163</v>
      </c>
      <c r="C1730" s="33" t="s">
        <v>587</v>
      </c>
      <c r="D1730" s="30">
        <v>0.5</v>
      </c>
      <c r="E1730" s="30">
        <v>56</v>
      </c>
      <c r="F1730" s="30">
        <f t="shared" si="54"/>
        <v>28</v>
      </c>
      <c r="J1730" s="30" t="s">
        <v>392</v>
      </c>
    </row>
    <row r="1731" spans="1:10" x14ac:dyDescent="0.25">
      <c r="A1731" s="78">
        <v>46163</v>
      </c>
      <c r="C1731" s="33" t="s">
        <v>665</v>
      </c>
      <c r="D1731" s="30">
        <v>1</v>
      </c>
      <c r="E1731" s="30">
        <v>20</v>
      </c>
      <c r="F1731" s="30">
        <f t="shared" si="54"/>
        <v>20</v>
      </c>
      <c r="J1731" s="30" t="s">
        <v>392</v>
      </c>
    </row>
    <row r="1732" spans="1:10" x14ac:dyDescent="0.25">
      <c r="A1732" s="78">
        <v>46163</v>
      </c>
      <c r="C1732" s="33" t="s">
        <v>748</v>
      </c>
      <c r="D1732" s="30">
        <v>2</v>
      </c>
      <c r="E1732" s="30">
        <v>9</v>
      </c>
      <c r="F1732" s="30">
        <f t="shared" si="54"/>
        <v>18</v>
      </c>
      <c r="J1732" s="30" t="s">
        <v>392</v>
      </c>
    </row>
    <row r="1733" spans="1:10" x14ac:dyDescent="0.25">
      <c r="A1733" s="78">
        <v>46163</v>
      </c>
      <c r="C1733" s="19" t="s">
        <v>540</v>
      </c>
      <c r="D1733" s="30">
        <v>1</v>
      </c>
      <c r="E1733" s="30">
        <v>10</v>
      </c>
      <c r="F1733" s="30">
        <f t="shared" si="54"/>
        <v>10</v>
      </c>
      <c r="J1733" s="30" t="s">
        <v>392</v>
      </c>
    </row>
    <row r="1734" spans="1:10" x14ac:dyDescent="0.25">
      <c r="A1734" s="78">
        <v>46163</v>
      </c>
      <c r="C1734" s="33" t="s">
        <v>541</v>
      </c>
      <c r="D1734" s="30">
        <v>0.5</v>
      </c>
      <c r="E1734" s="30">
        <v>70</v>
      </c>
      <c r="F1734" s="30">
        <f t="shared" si="54"/>
        <v>35</v>
      </c>
      <c r="J1734" s="30" t="s">
        <v>392</v>
      </c>
    </row>
    <row r="1735" spans="1:10" x14ac:dyDescent="0.25">
      <c r="A1735" s="78">
        <v>46163</v>
      </c>
      <c r="C1735" s="33" t="s">
        <v>748</v>
      </c>
      <c r="D1735" s="30">
        <v>1</v>
      </c>
      <c r="E1735" s="30">
        <v>9</v>
      </c>
      <c r="F1735" s="30">
        <f t="shared" si="54"/>
        <v>9</v>
      </c>
      <c r="J1735" s="30" t="s">
        <v>392</v>
      </c>
    </row>
    <row r="1736" spans="1:10" x14ac:dyDescent="0.25">
      <c r="A1736" s="78">
        <v>46163</v>
      </c>
      <c r="C1736" s="33" t="s">
        <v>345</v>
      </c>
      <c r="D1736" s="30">
        <v>1</v>
      </c>
      <c r="E1736" s="30">
        <v>1</v>
      </c>
      <c r="F1736" s="30">
        <f t="shared" si="54"/>
        <v>1</v>
      </c>
      <c r="J1736" s="30" t="s">
        <v>392</v>
      </c>
    </row>
    <row r="1737" spans="1:10" x14ac:dyDescent="0.25">
      <c r="A1737" s="78">
        <v>46163</v>
      </c>
      <c r="C1737" s="33" t="s">
        <v>682</v>
      </c>
      <c r="D1737" s="30">
        <v>1</v>
      </c>
      <c r="E1737" s="30">
        <v>8</v>
      </c>
      <c r="F1737" s="30">
        <f t="shared" si="54"/>
        <v>8</v>
      </c>
      <c r="J1737" s="30" t="s">
        <v>392</v>
      </c>
    </row>
    <row r="1738" spans="1:10" x14ac:dyDescent="0.25">
      <c r="A1738" s="78">
        <v>46163</v>
      </c>
      <c r="C1738" s="33" t="s">
        <v>777</v>
      </c>
      <c r="D1738" s="30">
        <v>1</v>
      </c>
      <c r="E1738" s="30">
        <v>9.5</v>
      </c>
      <c r="F1738" s="30">
        <f t="shared" si="54"/>
        <v>9.5</v>
      </c>
      <c r="J1738" s="30" t="s">
        <v>392</v>
      </c>
    </row>
    <row r="1739" spans="1:10" x14ac:dyDescent="0.25">
      <c r="A1739" s="78">
        <v>46163</v>
      </c>
      <c r="C1739" s="33" t="s">
        <v>81</v>
      </c>
      <c r="D1739" s="30">
        <v>2</v>
      </c>
      <c r="E1739" s="30">
        <v>1</v>
      </c>
      <c r="F1739" s="30">
        <f t="shared" si="54"/>
        <v>2</v>
      </c>
      <c r="J1739" s="30" t="s">
        <v>392</v>
      </c>
    </row>
    <row r="1740" spans="1:10" ht="30" x14ac:dyDescent="0.25">
      <c r="A1740" s="78">
        <v>46163</v>
      </c>
      <c r="C1740" s="19" t="s">
        <v>589</v>
      </c>
      <c r="D1740" s="30">
        <v>0.50800000000000001</v>
      </c>
      <c r="E1740" s="30">
        <v>138</v>
      </c>
      <c r="F1740" s="30">
        <f t="shared" si="54"/>
        <v>70.103999999999999</v>
      </c>
      <c r="J1740" s="30" t="s">
        <v>392</v>
      </c>
    </row>
    <row r="1741" spans="1:10" x14ac:dyDescent="0.25">
      <c r="A1741" s="78">
        <v>46163</v>
      </c>
      <c r="C1741" s="33" t="s">
        <v>157</v>
      </c>
      <c r="D1741" s="30">
        <v>0.5</v>
      </c>
      <c r="E1741" s="30">
        <v>200</v>
      </c>
      <c r="F1741" s="30">
        <f t="shared" si="54"/>
        <v>100</v>
      </c>
      <c r="J1741" s="30" t="s">
        <v>392</v>
      </c>
    </row>
    <row r="1742" spans="1:10" ht="30" x14ac:dyDescent="0.25">
      <c r="A1742" s="78">
        <v>46163</v>
      </c>
      <c r="C1742" s="33" t="s">
        <v>735</v>
      </c>
      <c r="D1742" s="30">
        <v>7</v>
      </c>
      <c r="E1742" s="30">
        <v>69</v>
      </c>
      <c r="F1742" s="30">
        <f t="shared" si="54"/>
        <v>483</v>
      </c>
      <c r="J1742" s="30" t="s">
        <v>392</v>
      </c>
    </row>
    <row r="1743" spans="1:10" x14ac:dyDescent="0.25">
      <c r="A1743" s="78">
        <v>46163</v>
      </c>
      <c r="C1743" s="33" t="s">
        <v>633</v>
      </c>
      <c r="D1743" s="30">
        <v>2</v>
      </c>
      <c r="E1743" s="30">
        <v>10</v>
      </c>
      <c r="F1743" s="30">
        <f t="shared" si="54"/>
        <v>20</v>
      </c>
    </row>
    <row r="1744" spans="1:10" x14ac:dyDescent="0.25">
      <c r="A1744" s="78">
        <v>46163</v>
      </c>
      <c r="C1744" s="33" t="s">
        <v>628</v>
      </c>
      <c r="D1744" s="30">
        <v>1</v>
      </c>
      <c r="E1744" s="30">
        <v>62</v>
      </c>
      <c r="F1744" s="30">
        <f t="shared" si="54"/>
        <v>62</v>
      </c>
      <c r="J1744" s="30" t="s">
        <v>392</v>
      </c>
    </row>
    <row r="1745" spans="1:10" x14ac:dyDescent="0.25">
      <c r="A1745" s="78">
        <v>46163</v>
      </c>
      <c r="C1745" s="33" t="s">
        <v>775</v>
      </c>
      <c r="D1745" s="30">
        <v>10</v>
      </c>
      <c r="E1745" s="30">
        <v>9</v>
      </c>
      <c r="F1745" s="30">
        <f t="shared" si="54"/>
        <v>90</v>
      </c>
      <c r="I1745" s="139">
        <f>SUM(F1726:F1745)</f>
        <v>993.80399999999997</v>
      </c>
      <c r="J1745" s="30" t="s">
        <v>392</v>
      </c>
    </row>
    <row r="1746" spans="1:10" s="69" customFormat="1" ht="18.75" x14ac:dyDescent="0.3">
      <c r="A1746" s="235" t="s">
        <v>437</v>
      </c>
      <c r="B1746" s="236"/>
      <c r="C1746" s="236"/>
      <c r="D1746" s="236"/>
      <c r="E1746" s="236"/>
      <c r="F1746" s="236"/>
      <c r="G1746" s="236"/>
      <c r="H1746" s="237"/>
      <c r="I1746" s="69">
        <f>SUM(I1745,I1725)</f>
        <v>1052.8040000000001</v>
      </c>
    </row>
    <row r="1747" spans="1:10" x14ac:dyDescent="0.25">
      <c r="A1747" s="78">
        <v>46164</v>
      </c>
      <c r="C1747" s="33" t="s">
        <v>626</v>
      </c>
      <c r="D1747" s="30">
        <v>2</v>
      </c>
      <c r="E1747" s="30">
        <v>10</v>
      </c>
      <c r="F1747" s="30">
        <f t="shared" ref="F1747:F1771" si="55">E1747*D1747</f>
        <v>20</v>
      </c>
      <c r="G1747" s="30" t="s">
        <v>9</v>
      </c>
      <c r="J1747" s="30" t="s">
        <v>392</v>
      </c>
    </row>
    <row r="1748" spans="1:10" x14ac:dyDescent="0.25">
      <c r="A1748" s="78">
        <v>46164</v>
      </c>
      <c r="C1748" s="33" t="s">
        <v>325</v>
      </c>
      <c r="D1748" s="30">
        <v>0.84</v>
      </c>
      <c r="E1748" s="30">
        <v>20</v>
      </c>
      <c r="F1748" s="30">
        <f t="shared" si="55"/>
        <v>16.8</v>
      </c>
      <c r="G1748" s="30" t="s">
        <v>9</v>
      </c>
      <c r="J1748" s="30" t="s">
        <v>392</v>
      </c>
    </row>
    <row r="1749" spans="1:10" x14ac:dyDescent="0.25">
      <c r="A1749" s="78">
        <v>46164</v>
      </c>
      <c r="C1749" s="33" t="s">
        <v>626</v>
      </c>
      <c r="D1749" s="30">
        <v>1</v>
      </c>
      <c r="E1749" s="30">
        <v>10</v>
      </c>
      <c r="F1749" s="30">
        <f t="shared" si="55"/>
        <v>10</v>
      </c>
      <c r="G1749" s="30" t="s">
        <v>9</v>
      </c>
      <c r="J1749" s="30" t="s">
        <v>392</v>
      </c>
    </row>
    <row r="1750" spans="1:10" x14ac:dyDescent="0.25">
      <c r="A1750" s="78">
        <v>46164</v>
      </c>
      <c r="C1750" s="33" t="s">
        <v>587</v>
      </c>
      <c r="D1750" s="30">
        <v>0.156</v>
      </c>
      <c r="E1750" s="30">
        <v>56</v>
      </c>
      <c r="F1750" s="30">
        <f t="shared" si="55"/>
        <v>8.7360000000000007</v>
      </c>
      <c r="G1750" s="30" t="s">
        <v>9</v>
      </c>
      <c r="J1750" s="30" t="s">
        <v>392</v>
      </c>
    </row>
    <row r="1751" spans="1:10" x14ac:dyDescent="0.25">
      <c r="A1751" s="78">
        <v>46164</v>
      </c>
      <c r="C1751" s="33" t="s">
        <v>541</v>
      </c>
      <c r="D1751" s="30">
        <v>0.5</v>
      </c>
      <c r="E1751" s="30">
        <v>70</v>
      </c>
      <c r="F1751" s="30">
        <f t="shared" si="55"/>
        <v>35</v>
      </c>
      <c r="G1751" s="30" t="s">
        <v>9</v>
      </c>
      <c r="J1751" s="30" t="s">
        <v>392</v>
      </c>
    </row>
    <row r="1752" spans="1:10" x14ac:dyDescent="0.25">
      <c r="A1752" s="78">
        <v>46164</v>
      </c>
      <c r="C1752" s="19" t="s">
        <v>648</v>
      </c>
      <c r="D1752" s="30">
        <v>2</v>
      </c>
      <c r="E1752" s="30">
        <v>10</v>
      </c>
      <c r="F1752" s="30">
        <f t="shared" si="55"/>
        <v>20</v>
      </c>
      <c r="G1752" s="30" t="s">
        <v>9</v>
      </c>
      <c r="J1752" s="30" t="s">
        <v>392</v>
      </c>
    </row>
    <row r="1753" spans="1:10" x14ac:dyDescent="0.25">
      <c r="A1753" s="78">
        <v>46164</v>
      </c>
      <c r="C1753" s="33" t="s">
        <v>775</v>
      </c>
      <c r="D1753" s="30">
        <v>6</v>
      </c>
      <c r="E1753" s="30">
        <v>9</v>
      </c>
      <c r="F1753" s="30">
        <f t="shared" si="55"/>
        <v>54</v>
      </c>
      <c r="G1753" s="30" t="s">
        <v>9</v>
      </c>
      <c r="J1753" s="30" t="s">
        <v>392</v>
      </c>
    </row>
    <row r="1754" spans="1:10" x14ac:dyDescent="0.25">
      <c r="A1754" s="78">
        <v>46164</v>
      </c>
      <c r="C1754" s="33" t="s">
        <v>558</v>
      </c>
      <c r="D1754" s="30">
        <v>1</v>
      </c>
      <c r="E1754" s="30">
        <v>10</v>
      </c>
      <c r="F1754" s="30">
        <f t="shared" si="55"/>
        <v>10</v>
      </c>
      <c r="G1754" s="30" t="s">
        <v>9</v>
      </c>
      <c r="J1754" s="30" t="s">
        <v>392</v>
      </c>
    </row>
    <row r="1755" spans="1:10" x14ac:dyDescent="0.25">
      <c r="A1755" s="78">
        <v>46164</v>
      </c>
      <c r="C1755" s="19" t="s">
        <v>737</v>
      </c>
      <c r="D1755" s="30">
        <v>1</v>
      </c>
      <c r="E1755" s="30">
        <v>20</v>
      </c>
      <c r="F1755" s="30">
        <f t="shared" si="55"/>
        <v>20</v>
      </c>
      <c r="G1755" s="30" t="s">
        <v>9</v>
      </c>
      <c r="J1755" s="30" t="s">
        <v>392</v>
      </c>
    </row>
    <row r="1756" spans="1:10" x14ac:dyDescent="0.25">
      <c r="A1756" s="78">
        <v>46164</v>
      </c>
      <c r="C1756" s="33" t="s">
        <v>775</v>
      </c>
      <c r="D1756" s="30">
        <v>6</v>
      </c>
      <c r="E1756" s="30">
        <v>9</v>
      </c>
      <c r="F1756" s="30">
        <f t="shared" si="55"/>
        <v>54</v>
      </c>
      <c r="G1756" s="30" t="s">
        <v>9</v>
      </c>
      <c r="J1756" s="30" t="s">
        <v>392</v>
      </c>
    </row>
    <row r="1757" spans="1:10" x14ac:dyDescent="0.25">
      <c r="A1757" s="78">
        <v>46164</v>
      </c>
      <c r="C1757" s="33" t="s">
        <v>560</v>
      </c>
      <c r="D1757" s="30">
        <v>2</v>
      </c>
      <c r="E1757" s="30">
        <v>10</v>
      </c>
      <c r="F1757" s="30">
        <f t="shared" si="55"/>
        <v>20</v>
      </c>
      <c r="G1757" s="30" t="s">
        <v>9</v>
      </c>
      <c r="J1757" s="30" t="s">
        <v>392</v>
      </c>
    </row>
    <row r="1758" spans="1:10" x14ac:dyDescent="0.25">
      <c r="A1758" s="78">
        <v>46164</v>
      </c>
      <c r="C1758" s="33" t="s">
        <v>665</v>
      </c>
      <c r="D1758" s="30">
        <v>1</v>
      </c>
      <c r="E1758" s="30">
        <v>20</v>
      </c>
      <c r="F1758" s="30">
        <f t="shared" si="55"/>
        <v>20</v>
      </c>
      <c r="G1758" s="30" t="s">
        <v>9</v>
      </c>
      <c r="J1758" s="30" t="s">
        <v>392</v>
      </c>
    </row>
    <row r="1759" spans="1:10" ht="30" x14ac:dyDescent="0.25">
      <c r="A1759" s="78">
        <v>46164</v>
      </c>
      <c r="C1759" s="19" t="s">
        <v>478</v>
      </c>
      <c r="D1759" s="30">
        <v>1</v>
      </c>
      <c r="E1759" s="30">
        <v>70</v>
      </c>
      <c r="F1759" s="30">
        <f t="shared" si="55"/>
        <v>70</v>
      </c>
      <c r="G1759" s="30" t="s">
        <v>9</v>
      </c>
      <c r="J1759" s="30" t="s">
        <v>392</v>
      </c>
    </row>
    <row r="1760" spans="1:10" x14ac:dyDescent="0.25">
      <c r="A1760" s="78">
        <v>46164</v>
      </c>
      <c r="C1760" s="33" t="s">
        <v>11</v>
      </c>
      <c r="D1760" s="30">
        <v>1</v>
      </c>
      <c r="E1760" s="30">
        <v>10</v>
      </c>
      <c r="F1760" s="30">
        <f t="shared" si="55"/>
        <v>10</v>
      </c>
      <c r="G1760" s="30" t="s">
        <v>9</v>
      </c>
      <c r="J1760" s="30" t="s">
        <v>392</v>
      </c>
    </row>
    <row r="1761" spans="1:10" x14ac:dyDescent="0.25">
      <c r="A1761" s="78">
        <v>46164</v>
      </c>
      <c r="C1761" s="19" t="s">
        <v>351</v>
      </c>
      <c r="D1761" s="30">
        <v>1</v>
      </c>
      <c r="E1761" s="30">
        <v>205</v>
      </c>
      <c r="F1761" s="30">
        <f t="shared" si="55"/>
        <v>205</v>
      </c>
      <c r="G1761" s="30" t="s">
        <v>9</v>
      </c>
      <c r="J1761" s="30" t="s">
        <v>392</v>
      </c>
    </row>
    <row r="1762" spans="1:10" x14ac:dyDescent="0.25">
      <c r="A1762" s="78">
        <v>46164</v>
      </c>
      <c r="C1762" s="33" t="s">
        <v>662</v>
      </c>
      <c r="D1762" s="30">
        <v>1</v>
      </c>
      <c r="E1762" s="30">
        <v>53</v>
      </c>
      <c r="F1762" s="30">
        <f t="shared" si="55"/>
        <v>53</v>
      </c>
      <c r="G1762" s="30" t="s">
        <v>9</v>
      </c>
      <c r="J1762" s="30" t="s">
        <v>392</v>
      </c>
    </row>
    <row r="1763" spans="1:10" x14ac:dyDescent="0.25">
      <c r="A1763" s="78">
        <v>46164</v>
      </c>
      <c r="C1763" s="87" t="s">
        <v>611</v>
      </c>
      <c r="D1763" s="80">
        <v>1</v>
      </c>
      <c r="E1763" s="80">
        <v>30</v>
      </c>
      <c r="F1763" s="80">
        <f t="shared" si="55"/>
        <v>30</v>
      </c>
      <c r="J1763" s="30" t="s">
        <v>392</v>
      </c>
    </row>
    <row r="1764" spans="1:10" x14ac:dyDescent="0.25">
      <c r="A1764" s="78">
        <v>46164</v>
      </c>
      <c r="C1764" s="81" t="s">
        <v>543</v>
      </c>
      <c r="D1764" s="80">
        <v>1</v>
      </c>
      <c r="E1764" s="80">
        <v>27</v>
      </c>
      <c r="F1764" s="80">
        <f t="shared" si="55"/>
        <v>27</v>
      </c>
      <c r="J1764" s="30" t="s">
        <v>392</v>
      </c>
    </row>
    <row r="1765" spans="1:10" x14ac:dyDescent="0.25">
      <c r="A1765" s="78">
        <v>46164</v>
      </c>
      <c r="C1765" s="81" t="s">
        <v>325</v>
      </c>
      <c r="D1765" s="80">
        <v>1.2</v>
      </c>
      <c r="E1765" s="80">
        <v>20</v>
      </c>
      <c r="F1765" s="80">
        <f t="shared" si="55"/>
        <v>24</v>
      </c>
      <c r="J1765" s="30" t="s">
        <v>392</v>
      </c>
    </row>
    <row r="1766" spans="1:10" x14ac:dyDescent="0.25">
      <c r="A1766" s="78">
        <v>46164</v>
      </c>
      <c r="C1766" s="87" t="s">
        <v>653</v>
      </c>
      <c r="D1766" s="80">
        <v>1</v>
      </c>
      <c r="E1766" s="80">
        <v>110</v>
      </c>
      <c r="F1766" s="80">
        <f t="shared" si="55"/>
        <v>110</v>
      </c>
      <c r="J1766" s="30" t="s">
        <v>392</v>
      </c>
    </row>
    <row r="1767" spans="1:10" x14ac:dyDescent="0.25">
      <c r="A1767" s="78">
        <v>46164</v>
      </c>
      <c r="C1767" s="87" t="s">
        <v>74</v>
      </c>
      <c r="D1767" s="80">
        <v>1</v>
      </c>
      <c r="E1767" s="80">
        <v>20</v>
      </c>
      <c r="F1767" s="80">
        <f t="shared" si="55"/>
        <v>20</v>
      </c>
      <c r="J1767" s="30" t="s">
        <v>392</v>
      </c>
    </row>
    <row r="1768" spans="1:10" x14ac:dyDescent="0.25">
      <c r="A1768" s="78">
        <v>46164</v>
      </c>
      <c r="C1768" s="81" t="s">
        <v>626</v>
      </c>
      <c r="D1768" s="80">
        <v>5</v>
      </c>
      <c r="E1768" s="80">
        <v>10</v>
      </c>
      <c r="F1768" s="80">
        <f t="shared" si="55"/>
        <v>50</v>
      </c>
      <c r="J1768" s="30" t="s">
        <v>392</v>
      </c>
    </row>
    <row r="1769" spans="1:10" x14ac:dyDescent="0.25">
      <c r="A1769" s="78">
        <v>46164</v>
      </c>
      <c r="C1769" s="87" t="s">
        <v>643</v>
      </c>
      <c r="D1769" s="80">
        <v>2</v>
      </c>
      <c r="E1769" s="80">
        <v>10</v>
      </c>
      <c r="F1769" s="80">
        <f t="shared" si="55"/>
        <v>20</v>
      </c>
      <c r="J1769" s="30" t="s">
        <v>392</v>
      </c>
    </row>
    <row r="1770" spans="1:10" x14ac:dyDescent="0.25">
      <c r="A1770" s="78">
        <v>46164</v>
      </c>
      <c r="C1770" s="87" t="s">
        <v>557</v>
      </c>
      <c r="D1770" s="80">
        <v>1</v>
      </c>
      <c r="E1770" s="80">
        <v>10</v>
      </c>
      <c r="F1770" s="80">
        <f t="shared" si="55"/>
        <v>10</v>
      </c>
      <c r="J1770" s="30" t="s">
        <v>392</v>
      </c>
    </row>
    <row r="1771" spans="1:10" x14ac:dyDescent="0.25">
      <c r="A1771" s="78">
        <v>46164</v>
      </c>
      <c r="C1771" s="81" t="s">
        <v>587</v>
      </c>
      <c r="D1771" s="80">
        <v>0.5</v>
      </c>
      <c r="E1771" s="80">
        <v>56</v>
      </c>
      <c r="F1771" s="80">
        <f t="shared" si="55"/>
        <v>28</v>
      </c>
      <c r="I1771" s="139">
        <f>SUM(F1747:F1771)</f>
        <v>945.53600000000006</v>
      </c>
      <c r="J1771" s="30" t="s">
        <v>392</v>
      </c>
    </row>
    <row r="1772" spans="1:10" s="69" customFormat="1" ht="18.75" x14ac:dyDescent="0.3">
      <c r="A1772" s="261" t="s">
        <v>437</v>
      </c>
      <c r="B1772" s="262"/>
      <c r="C1772" s="262"/>
      <c r="D1772" s="262"/>
      <c r="E1772" s="262"/>
      <c r="F1772" s="262"/>
      <c r="G1772" s="262"/>
      <c r="H1772" s="264"/>
      <c r="I1772" s="69">
        <v>945</v>
      </c>
    </row>
    <row r="1773" spans="1:10" ht="30" x14ac:dyDescent="0.25">
      <c r="A1773" s="78">
        <v>46165</v>
      </c>
      <c r="C1773" s="19" t="s">
        <v>136</v>
      </c>
      <c r="D1773" s="30">
        <v>1</v>
      </c>
      <c r="E1773" s="30">
        <v>49</v>
      </c>
      <c r="F1773" s="30">
        <f t="shared" ref="F1773:F1824" si="56">E1773*D1773</f>
        <v>49</v>
      </c>
      <c r="G1773" s="30" t="s">
        <v>9</v>
      </c>
      <c r="J1773" s="30" t="s">
        <v>391</v>
      </c>
    </row>
    <row r="1774" spans="1:10" x14ac:dyDescent="0.25">
      <c r="A1774" s="78">
        <v>46165</v>
      </c>
      <c r="C1774" s="33" t="s">
        <v>563</v>
      </c>
      <c r="D1774" s="30">
        <v>1</v>
      </c>
      <c r="E1774" s="30">
        <v>28</v>
      </c>
      <c r="F1774" s="30">
        <f t="shared" si="56"/>
        <v>28</v>
      </c>
      <c r="G1774" s="30" t="s">
        <v>9</v>
      </c>
      <c r="J1774" s="30" t="s">
        <v>391</v>
      </c>
    </row>
    <row r="1775" spans="1:10" x14ac:dyDescent="0.25">
      <c r="A1775" s="78">
        <v>46165</v>
      </c>
      <c r="C1775" s="33" t="s">
        <v>692</v>
      </c>
      <c r="D1775" s="30">
        <v>0.25</v>
      </c>
      <c r="E1775" s="30">
        <v>80</v>
      </c>
      <c r="F1775" s="30">
        <f t="shared" si="56"/>
        <v>20</v>
      </c>
      <c r="G1775" s="30" t="s">
        <v>9</v>
      </c>
      <c r="J1775" s="30" t="s">
        <v>391</v>
      </c>
    </row>
    <row r="1776" spans="1:10" x14ac:dyDescent="0.25">
      <c r="A1776" s="78">
        <v>46165</v>
      </c>
      <c r="C1776" s="33" t="s">
        <v>636</v>
      </c>
      <c r="D1776" s="30">
        <v>0.25</v>
      </c>
      <c r="E1776" s="30">
        <v>80</v>
      </c>
      <c r="F1776" s="30">
        <f t="shared" si="56"/>
        <v>20</v>
      </c>
      <c r="G1776" s="30" t="s">
        <v>9</v>
      </c>
      <c r="J1776" s="30" t="s">
        <v>391</v>
      </c>
    </row>
    <row r="1777" spans="1:10" x14ac:dyDescent="0.25">
      <c r="A1777" s="78">
        <v>46165</v>
      </c>
      <c r="C1777" s="33" t="s">
        <v>154</v>
      </c>
      <c r="D1777" s="30">
        <v>1</v>
      </c>
      <c r="E1777" s="30">
        <v>1</v>
      </c>
      <c r="F1777" s="30">
        <f t="shared" si="56"/>
        <v>1</v>
      </c>
      <c r="G1777" s="30" t="s">
        <v>9</v>
      </c>
      <c r="J1777" s="30" t="s">
        <v>391</v>
      </c>
    </row>
    <row r="1778" spans="1:10" ht="30" x14ac:dyDescent="0.25">
      <c r="A1778" s="78">
        <v>46165</v>
      </c>
      <c r="C1778" s="33" t="s">
        <v>382</v>
      </c>
      <c r="D1778" s="30">
        <v>1</v>
      </c>
      <c r="E1778" s="30">
        <v>183</v>
      </c>
      <c r="F1778" s="30">
        <f t="shared" si="56"/>
        <v>183</v>
      </c>
      <c r="G1778" s="30" t="s">
        <v>9</v>
      </c>
      <c r="J1778" s="30" t="s">
        <v>391</v>
      </c>
    </row>
    <row r="1779" spans="1:10" x14ac:dyDescent="0.25">
      <c r="A1779" s="78">
        <v>46165</v>
      </c>
      <c r="C1779" s="33" t="s">
        <v>94</v>
      </c>
      <c r="D1779" s="30">
        <v>1</v>
      </c>
      <c r="E1779" s="30">
        <v>19</v>
      </c>
      <c r="F1779" s="30">
        <f t="shared" si="56"/>
        <v>19</v>
      </c>
      <c r="G1779" s="30" t="s">
        <v>9</v>
      </c>
      <c r="J1779" s="30" t="s">
        <v>391</v>
      </c>
    </row>
    <row r="1780" spans="1:10" x14ac:dyDescent="0.25">
      <c r="A1780" s="78">
        <v>46165</v>
      </c>
      <c r="C1780" s="33" t="s">
        <v>345</v>
      </c>
      <c r="D1780" s="30">
        <v>1</v>
      </c>
      <c r="E1780" s="30">
        <v>1</v>
      </c>
      <c r="F1780" s="30">
        <f t="shared" si="56"/>
        <v>1</v>
      </c>
      <c r="G1780" s="30" t="s">
        <v>9</v>
      </c>
      <c r="J1780" s="30" t="s">
        <v>391</v>
      </c>
    </row>
    <row r="1781" spans="1:10" x14ac:dyDescent="0.25">
      <c r="A1781" s="78">
        <v>46165</v>
      </c>
      <c r="C1781" s="19" t="s">
        <v>724</v>
      </c>
      <c r="D1781" s="30">
        <v>1</v>
      </c>
      <c r="E1781" s="30">
        <v>10</v>
      </c>
      <c r="F1781" s="30">
        <f t="shared" si="56"/>
        <v>10</v>
      </c>
      <c r="G1781" s="30" t="s">
        <v>9</v>
      </c>
      <c r="J1781" s="30" t="s">
        <v>391</v>
      </c>
    </row>
    <row r="1782" spans="1:10" x14ac:dyDescent="0.25">
      <c r="A1782" s="78">
        <v>46165</v>
      </c>
      <c r="C1782" s="19" t="s">
        <v>736</v>
      </c>
      <c r="D1782" s="30">
        <v>1</v>
      </c>
      <c r="E1782" s="30">
        <v>60</v>
      </c>
      <c r="F1782" s="30">
        <f t="shared" si="56"/>
        <v>60</v>
      </c>
      <c r="G1782" s="30" t="s">
        <v>10</v>
      </c>
      <c r="J1782" s="30" t="s">
        <v>391</v>
      </c>
    </row>
    <row r="1783" spans="1:10" x14ac:dyDescent="0.25">
      <c r="A1783" s="78">
        <v>46165</v>
      </c>
      <c r="C1783" s="19" t="s">
        <v>605</v>
      </c>
      <c r="D1783" s="30">
        <v>2</v>
      </c>
      <c r="E1783" s="30">
        <v>198</v>
      </c>
      <c r="F1783" s="30">
        <f t="shared" si="56"/>
        <v>396</v>
      </c>
      <c r="G1783" s="30" t="s">
        <v>10</v>
      </c>
      <c r="J1783" s="30" t="s">
        <v>391</v>
      </c>
    </row>
    <row r="1784" spans="1:10" x14ac:dyDescent="0.25">
      <c r="A1784" s="78">
        <v>46165</v>
      </c>
      <c r="C1784" s="19" t="s">
        <v>476</v>
      </c>
      <c r="D1784" s="30">
        <v>1</v>
      </c>
      <c r="E1784" s="30">
        <v>20</v>
      </c>
      <c r="F1784" s="30">
        <f t="shared" si="56"/>
        <v>20</v>
      </c>
      <c r="G1784" s="30" t="s">
        <v>9</v>
      </c>
      <c r="J1784" s="30" t="s">
        <v>391</v>
      </c>
    </row>
    <row r="1785" spans="1:10" ht="30" x14ac:dyDescent="0.25">
      <c r="A1785" s="78">
        <v>46165</v>
      </c>
      <c r="C1785" s="19" t="s">
        <v>735</v>
      </c>
      <c r="D1785" s="30">
        <v>8</v>
      </c>
      <c r="E1785" s="30">
        <v>69</v>
      </c>
      <c r="F1785" s="30">
        <f t="shared" si="56"/>
        <v>552</v>
      </c>
      <c r="G1785" s="30" t="s">
        <v>9</v>
      </c>
      <c r="J1785" s="30" t="s">
        <v>391</v>
      </c>
    </row>
    <row r="1786" spans="1:10" x14ac:dyDescent="0.25">
      <c r="A1786" s="78">
        <v>46165</v>
      </c>
      <c r="C1786" s="19" t="str">
        <f>'Stock Register'!A219</f>
        <v>WHOLE MEETHI LOT 1</v>
      </c>
      <c r="D1786" s="30">
        <v>7.0000000000000001E-3</v>
      </c>
      <c r="E1786" s="30">
        <v>1450</v>
      </c>
      <c r="F1786" s="30">
        <f t="shared" si="56"/>
        <v>10.15</v>
      </c>
      <c r="G1786" s="30" t="s">
        <v>9</v>
      </c>
      <c r="J1786" s="30" t="s">
        <v>391</v>
      </c>
    </row>
    <row r="1787" spans="1:10" x14ac:dyDescent="0.25">
      <c r="A1787" s="78">
        <v>46165</v>
      </c>
      <c r="C1787" s="19" t="s">
        <v>133</v>
      </c>
      <c r="D1787" s="30">
        <v>2</v>
      </c>
      <c r="E1787" s="30">
        <v>10</v>
      </c>
      <c r="F1787" s="30">
        <f t="shared" si="56"/>
        <v>20</v>
      </c>
      <c r="G1787" s="30" t="s">
        <v>9</v>
      </c>
      <c r="J1787" s="30" t="s">
        <v>391</v>
      </c>
    </row>
    <row r="1788" spans="1:10" x14ac:dyDescent="0.25">
      <c r="A1788" s="78">
        <v>46165</v>
      </c>
      <c r="C1788" s="33" t="s">
        <v>413</v>
      </c>
      <c r="D1788" s="30">
        <v>1</v>
      </c>
      <c r="E1788" s="30">
        <v>70</v>
      </c>
      <c r="F1788" s="30">
        <f t="shared" si="56"/>
        <v>70</v>
      </c>
      <c r="G1788" s="30" t="s">
        <v>10</v>
      </c>
      <c r="J1788" s="30" t="s">
        <v>391</v>
      </c>
    </row>
    <row r="1789" spans="1:10" x14ac:dyDescent="0.25">
      <c r="A1789" s="78">
        <v>46165</v>
      </c>
      <c r="C1789" s="33" t="s">
        <v>576</v>
      </c>
      <c r="D1789" s="30">
        <v>2</v>
      </c>
      <c r="E1789" s="30">
        <v>5</v>
      </c>
      <c r="F1789" s="30">
        <f t="shared" si="56"/>
        <v>10</v>
      </c>
      <c r="G1789" s="30" t="s">
        <v>9</v>
      </c>
      <c r="I1789" s="139">
        <f>SUM(F1773:F1789)</f>
        <v>1469.15</v>
      </c>
      <c r="J1789" s="30" t="s">
        <v>391</v>
      </c>
    </row>
    <row r="1790" spans="1:10" x14ac:dyDescent="0.25">
      <c r="A1790" s="78">
        <v>46165</v>
      </c>
      <c r="C1790" s="33" t="s">
        <v>775</v>
      </c>
      <c r="D1790" s="30">
        <v>1</v>
      </c>
      <c r="E1790" s="30">
        <v>9</v>
      </c>
      <c r="F1790" s="30">
        <f t="shared" si="56"/>
        <v>9</v>
      </c>
      <c r="G1790" s="30" t="s">
        <v>9</v>
      </c>
      <c r="J1790" s="30" t="s">
        <v>392</v>
      </c>
    </row>
    <row r="1791" spans="1:10" x14ac:dyDescent="0.25">
      <c r="A1791" s="78">
        <v>46165</v>
      </c>
      <c r="C1791" s="33" t="s">
        <v>633</v>
      </c>
      <c r="D1791" s="30">
        <v>1</v>
      </c>
      <c r="E1791" s="30">
        <v>10</v>
      </c>
      <c r="F1791" s="30">
        <f t="shared" si="56"/>
        <v>10</v>
      </c>
      <c r="G1791" s="30" t="s">
        <v>9</v>
      </c>
      <c r="J1791" s="30" t="s">
        <v>392</v>
      </c>
    </row>
    <row r="1792" spans="1:10" x14ac:dyDescent="0.25">
      <c r="A1792" s="78">
        <v>46165</v>
      </c>
      <c r="C1792" s="33" t="s">
        <v>375</v>
      </c>
      <c r="D1792" s="30">
        <v>1</v>
      </c>
      <c r="E1792" s="30">
        <v>1</v>
      </c>
      <c r="F1792" s="30">
        <f t="shared" si="56"/>
        <v>1</v>
      </c>
      <c r="G1792" s="30" t="s">
        <v>9</v>
      </c>
      <c r="J1792" s="30" t="s">
        <v>392</v>
      </c>
    </row>
    <row r="1793" spans="1:10" x14ac:dyDescent="0.25">
      <c r="A1793" s="78">
        <v>46165</v>
      </c>
      <c r="C1793" s="33" t="s">
        <v>587</v>
      </c>
      <c r="D1793" s="30">
        <v>0.33200000000000002</v>
      </c>
      <c r="E1793" s="30">
        <v>56</v>
      </c>
      <c r="F1793" s="30">
        <f t="shared" si="56"/>
        <v>18.592000000000002</v>
      </c>
      <c r="G1793" s="30" t="s">
        <v>9</v>
      </c>
      <c r="J1793" s="30" t="s">
        <v>392</v>
      </c>
    </row>
    <row r="1794" spans="1:10" x14ac:dyDescent="0.25">
      <c r="A1794" s="78">
        <v>46165</v>
      </c>
      <c r="C1794" s="19" t="s">
        <v>684</v>
      </c>
      <c r="D1794" s="30">
        <v>4</v>
      </c>
      <c r="E1794" s="30">
        <v>9.5</v>
      </c>
      <c r="F1794" s="30">
        <f t="shared" si="56"/>
        <v>38</v>
      </c>
      <c r="G1794" s="30" t="s">
        <v>9</v>
      </c>
      <c r="J1794" s="30" t="s">
        <v>392</v>
      </c>
    </row>
    <row r="1795" spans="1:10" x14ac:dyDescent="0.25">
      <c r="A1795" s="78">
        <v>46165</v>
      </c>
      <c r="C1795" s="19" t="s">
        <v>693</v>
      </c>
      <c r="D1795" s="30">
        <v>1</v>
      </c>
      <c r="E1795" s="30">
        <v>30</v>
      </c>
      <c r="F1795" s="30">
        <f t="shared" si="56"/>
        <v>30</v>
      </c>
      <c r="G1795" s="30" t="s">
        <v>9</v>
      </c>
      <c r="J1795" s="30" t="s">
        <v>392</v>
      </c>
    </row>
    <row r="1796" spans="1:10" x14ac:dyDescent="0.25">
      <c r="A1796" s="78">
        <v>46165</v>
      </c>
      <c r="C1796" s="33" t="s">
        <v>57</v>
      </c>
      <c r="D1796" s="30">
        <v>25</v>
      </c>
      <c r="E1796" s="30">
        <v>1</v>
      </c>
      <c r="F1796" s="30">
        <f t="shared" si="56"/>
        <v>25</v>
      </c>
      <c r="G1796" s="30" t="s">
        <v>9</v>
      </c>
      <c r="J1796" s="30" t="s">
        <v>392</v>
      </c>
    </row>
    <row r="1797" spans="1:10" x14ac:dyDescent="0.25">
      <c r="A1797" s="78">
        <v>46165</v>
      </c>
      <c r="C1797" s="33" t="s">
        <v>55</v>
      </c>
      <c r="D1797" s="30">
        <v>25</v>
      </c>
      <c r="E1797" s="30">
        <v>1</v>
      </c>
      <c r="F1797" s="30">
        <f t="shared" si="56"/>
        <v>25</v>
      </c>
      <c r="G1797" s="30" t="s">
        <v>9</v>
      </c>
      <c r="J1797" s="30" t="s">
        <v>392</v>
      </c>
    </row>
    <row r="1798" spans="1:10" x14ac:dyDescent="0.25">
      <c r="A1798" s="78">
        <v>46165</v>
      </c>
      <c r="C1798" s="19" t="s">
        <v>693</v>
      </c>
      <c r="D1798" s="30">
        <v>1</v>
      </c>
      <c r="E1798" s="30">
        <v>30</v>
      </c>
      <c r="F1798" s="30">
        <f t="shared" si="56"/>
        <v>30</v>
      </c>
      <c r="G1798" s="30" t="s">
        <v>9</v>
      </c>
      <c r="J1798" s="30" t="s">
        <v>392</v>
      </c>
    </row>
    <row r="1799" spans="1:10" x14ac:dyDescent="0.25">
      <c r="A1799" s="78">
        <v>46165</v>
      </c>
      <c r="C1799" s="19" t="s">
        <v>692</v>
      </c>
      <c r="D1799" s="30">
        <v>0.05</v>
      </c>
      <c r="E1799" s="30">
        <v>200</v>
      </c>
      <c r="F1799" s="30">
        <f t="shared" si="56"/>
        <v>10</v>
      </c>
      <c r="G1799" s="30" t="s">
        <v>9</v>
      </c>
      <c r="J1799" s="30" t="s">
        <v>392</v>
      </c>
    </row>
    <row r="1800" spans="1:10" x14ac:dyDescent="0.25">
      <c r="A1800" s="78">
        <v>46165</v>
      </c>
      <c r="C1800" s="19" t="s">
        <v>636</v>
      </c>
      <c r="D1800" s="30">
        <v>0.13200000000000001</v>
      </c>
      <c r="E1800" s="30">
        <v>150</v>
      </c>
      <c r="F1800" s="30">
        <f t="shared" si="56"/>
        <v>19.8</v>
      </c>
      <c r="G1800" s="30" t="s">
        <v>9</v>
      </c>
      <c r="J1800" s="30" t="s">
        <v>392</v>
      </c>
    </row>
    <row r="1801" spans="1:10" x14ac:dyDescent="0.25">
      <c r="A1801" s="78">
        <v>46165</v>
      </c>
      <c r="C1801" s="19" t="s">
        <v>385</v>
      </c>
      <c r="D1801" s="30">
        <v>1</v>
      </c>
      <c r="E1801" s="30">
        <v>10</v>
      </c>
      <c r="F1801" s="30">
        <f t="shared" si="56"/>
        <v>10</v>
      </c>
      <c r="G1801" s="30" t="s">
        <v>9</v>
      </c>
      <c r="J1801" s="30" t="s">
        <v>392</v>
      </c>
    </row>
    <row r="1802" spans="1:10" x14ac:dyDescent="0.25">
      <c r="A1802" s="78">
        <v>46165</v>
      </c>
      <c r="C1802" s="19" t="s">
        <v>778</v>
      </c>
      <c r="D1802" s="30">
        <v>2.5</v>
      </c>
      <c r="E1802" s="30">
        <v>20</v>
      </c>
      <c r="F1802" s="30">
        <f t="shared" si="56"/>
        <v>50</v>
      </c>
      <c r="G1802" s="30" t="s">
        <v>9</v>
      </c>
      <c r="J1802" s="30" t="s">
        <v>392</v>
      </c>
    </row>
    <row r="1803" spans="1:10" x14ac:dyDescent="0.25">
      <c r="A1803" s="78">
        <v>46165</v>
      </c>
      <c r="C1803" s="33" t="s">
        <v>541</v>
      </c>
      <c r="D1803" s="30">
        <v>0.28599999999999998</v>
      </c>
      <c r="E1803" s="30">
        <v>70</v>
      </c>
      <c r="F1803" s="30">
        <f t="shared" si="56"/>
        <v>20.02</v>
      </c>
      <c r="G1803" s="30" t="s">
        <v>9</v>
      </c>
      <c r="J1803" s="30" t="s">
        <v>392</v>
      </c>
    </row>
    <row r="1804" spans="1:10" x14ac:dyDescent="0.25">
      <c r="A1804" s="78">
        <v>46165</v>
      </c>
      <c r="C1804" s="19" t="s">
        <v>530</v>
      </c>
      <c r="D1804" s="30">
        <v>1</v>
      </c>
      <c r="E1804" s="30">
        <v>10</v>
      </c>
      <c r="F1804" s="30">
        <f t="shared" si="56"/>
        <v>10</v>
      </c>
      <c r="G1804" s="30" t="s">
        <v>9</v>
      </c>
      <c r="J1804" s="30" t="s">
        <v>392</v>
      </c>
    </row>
    <row r="1805" spans="1:10" x14ac:dyDescent="0.25">
      <c r="A1805" s="78">
        <v>46165</v>
      </c>
      <c r="C1805" s="19" t="s">
        <v>776</v>
      </c>
      <c r="D1805" s="30">
        <v>2</v>
      </c>
      <c r="E1805" s="30">
        <v>5</v>
      </c>
      <c r="F1805" s="30">
        <f t="shared" si="56"/>
        <v>10</v>
      </c>
      <c r="G1805" s="30" t="s">
        <v>9</v>
      </c>
      <c r="J1805" s="30" t="s">
        <v>392</v>
      </c>
    </row>
    <row r="1806" spans="1:10" x14ac:dyDescent="0.25">
      <c r="A1806" s="78">
        <v>46165</v>
      </c>
      <c r="C1806" s="19" t="s">
        <v>626</v>
      </c>
      <c r="D1806" s="30">
        <v>2</v>
      </c>
      <c r="E1806" s="30">
        <v>10</v>
      </c>
      <c r="F1806" s="30">
        <f t="shared" si="56"/>
        <v>20</v>
      </c>
      <c r="G1806" s="30" t="s">
        <v>9</v>
      </c>
      <c r="J1806" s="30" t="s">
        <v>392</v>
      </c>
    </row>
    <row r="1807" spans="1:10" x14ac:dyDescent="0.25">
      <c r="A1807" s="78">
        <v>46165</v>
      </c>
      <c r="C1807" s="19" t="s">
        <v>698</v>
      </c>
      <c r="D1807" s="30">
        <v>1</v>
      </c>
      <c r="E1807" s="30">
        <v>40</v>
      </c>
      <c r="F1807" s="30">
        <f t="shared" si="56"/>
        <v>40</v>
      </c>
      <c r="G1807" s="30" t="s">
        <v>9</v>
      </c>
      <c r="J1807" s="30" t="s">
        <v>392</v>
      </c>
    </row>
    <row r="1808" spans="1:10" x14ac:dyDescent="0.25">
      <c r="A1808" s="78">
        <v>46165</v>
      </c>
      <c r="C1808" s="33" t="s">
        <v>782</v>
      </c>
      <c r="D1808" s="30">
        <v>5</v>
      </c>
      <c r="E1808" s="30">
        <v>9</v>
      </c>
      <c r="F1808" s="30">
        <f t="shared" si="56"/>
        <v>45</v>
      </c>
      <c r="G1808" s="30" t="s">
        <v>9</v>
      </c>
      <c r="J1808" s="30" t="s">
        <v>392</v>
      </c>
    </row>
    <row r="1809" spans="1:10" x14ac:dyDescent="0.25">
      <c r="A1809" s="78">
        <v>46165</v>
      </c>
      <c r="C1809" s="19" t="s">
        <v>654</v>
      </c>
      <c r="D1809" s="30">
        <v>1</v>
      </c>
      <c r="E1809" s="30">
        <v>95</v>
      </c>
      <c r="F1809" s="30">
        <f t="shared" si="56"/>
        <v>95</v>
      </c>
      <c r="G1809" s="30" t="s">
        <v>9</v>
      </c>
      <c r="J1809" s="30" t="s">
        <v>392</v>
      </c>
    </row>
    <row r="1810" spans="1:10" x14ac:dyDescent="0.25">
      <c r="A1810" s="78">
        <v>46165</v>
      </c>
      <c r="C1810" s="19" t="str">
        <f>'Stock Register'!A136</f>
        <v>MAGGI 10 INR LOT 2</v>
      </c>
      <c r="D1810" s="30">
        <v>1</v>
      </c>
      <c r="E1810" s="30">
        <v>20</v>
      </c>
      <c r="F1810" s="30">
        <f t="shared" si="56"/>
        <v>20</v>
      </c>
      <c r="G1810" s="30" t="s">
        <v>9</v>
      </c>
      <c r="J1810" s="30" t="s">
        <v>392</v>
      </c>
    </row>
    <row r="1811" spans="1:10" x14ac:dyDescent="0.25">
      <c r="A1811" s="78">
        <v>46165</v>
      </c>
      <c r="C1811" s="19" t="s">
        <v>731</v>
      </c>
      <c r="D1811" s="30">
        <v>0.5</v>
      </c>
      <c r="E1811" s="30">
        <v>60</v>
      </c>
      <c r="F1811" s="30">
        <f t="shared" si="56"/>
        <v>30</v>
      </c>
      <c r="G1811" s="30" t="s">
        <v>9</v>
      </c>
      <c r="J1811" s="30" t="s">
        <v>392</v>
      </c>
    </row>
    <row r="1812" spans="1:10" x14ac:dyDescent="0.25">
      <c r="A1812" s="78">
        <v>46165</v>
      </c>
      <c r="C1812" s="19" t="s">
        <v>779</v>
      </c>
      <c r="D1812" s="30">
        <v>1</v>
      </c>
      <c r="E1812" s="30">
        <v>30</v>
      </c>
      <c r="F1812" s="30">
        <f t="shared" si="56"/>
        <v>30</v>
      </c>
      <c r="G1812" s="30" t="s">
        <v>9</v>
      </c>
      <c r="J1812" s="30" t="s">
        <v>392</v>
      </c>
    </row>
    <row r="1813" spans="1:10" x14ac:dyDescent="0.25">
      <c r="A1813" s="78">
        <v>46165</v>
      </c>
      <c r="C1813" s="33" t="s">
        <v>778</v>
      </c>
      <c r="D1813" s="30">
        <v>0.5</v>
      </c>
      <c r="E1813" s="30">
        <v>20</v>
      </c>
      <c r="F1813" s="30">
        <f t="shared" si="56"/>
        <v>10</v>
      </c>
      <c r="G1813" s="30" t="s">
        <v>9</v>
      </c>
      <c r="J1813" s="30" t="s">
        <v>392</v>
      </c>
    </row>
    <row r="1814" spans="1:10" x14ac:dyDescent="0.25">
      <c r="A1814" s="78">
        <v>46165</v>
      </c>
      <c r="C1814" s="33" t="s">
        <v>633</v>
      </c>
      <c r="D1814" s="30">
        <v>1</v>
      </c>
      <c r="E1814" s="30">
        <v>10</v>
      </c>
      <c r="F1814" s="30">
        <f t="shared" si="56"/>
        <v>10</v>
      </c>
      <c r="G1814" s="30" t="s">
        <v>9</v>
      </c>
      <c r="J1814" s="30" t="s">
        <v>392</v>
      </c>
    </row>
    <row r="1815" spans="1:10" x14ac:dyDescent="0.25">
      <c r="A1815" s="78">
        <v>46165</v>
      </c>
      <c r="C1815" s="19" t="s">
        <v>559</v>
      </c>
      <c r="D1815" s="30">
        <v>1</v>
      </c>
      <c r="E1815" s="30">
        <v>35</v>
      </c>
      <c r="F1815" s="30">
        <f t="shared" si="56"/>
        <v>35</v>
      </c>
      <c r="G1815" s="30" t="s">
        <v>9</v>
      </c>
      <c r="J1815" s="30" t="s">
        <v>392</v>
      </c>
    </row>
    <row r="1816" spans="1:10" x14ac:dyDescent="0.25">
      <c r="A1816" s="78">
        <v>46165</v>
      </c>
      <c r="C1816" s="33" t="s">
        <v>680</v>
      </c>
      <c r="D1816" s="30">
        <v>1</v>
      </c>
      <c r="E1816" s="30">
        <v>10</v>
      </c>
      <c r="F1816" s="30">
        <f t="shared" si="56"/>
        <v>10</v>
      </c>
      <c r="G1816" s="30" t="s">
        <v>9</v>
      </c>
      <c r="J1816" s="30" t="s">
        <v>392</v>
      </c>
    </row>
    <row r="1817" spans="1:10" x14ac:dyDescent="0.25">
      <c r="A1817" s="78">
        <v>46165</v>
      </c>
      <c r="C1817" s="19" t="s">
        <v>560</v>
      </c>
      <c r="D1817" s="30">
        <v>2</v>
      </c>
      <c r="E1817" s="30">
        <v>10</v>
      </c>
      <c r="F1817" s="30">
        <f t="shared" si="56"/>
        <v>20</v>
      </c>
      <c r="G1817" s="30" t="s">
        <v>9</v>
      </c>
      <c r="J1817" s="30" t="s">
        <v>392</v>
      </c>
    </row>
    <row r="1818" spans="1:10" x14ac:dyDescent="0.25">
      <c r="A1818" s="78">
        <v>46165</v>
      </c>
      <c r="C1818" s="19" t="s">
        <v>669</v>
      </c>
      <c r="D1818" s="30">
        <v>2</v>
      </c>
      <c r="E1818" s="30">
        <v>5</v>
      </c>
      <c r="F1818" s="30">
        <f t="shared" si="56"/>
        <v>10</v>
      </c>
      <c r="G1818" s="30" t="s">
        <v>9</v>
      </c>
      <c r="J1818" s="30" t="s">
        <v>392</v>
      </c>
    </row>
    <row r="1819" spans="1:10" x14ac:dyDescent="0.25">
      <c r="A1819" s="78">
        <v>46165</v>
      </c>
      <c r="C1819" s="33" t="s">
        <v>633</v>
      </c>
      <c r="D1819" s="30">
        <v>2</v>
      </c>
      <c r="E1819" s="30">
        <v>10</v>
      </c>
      <c r="F1819" s="30">
        <f t="shared" si="56"/>
        <v>20</v>
      </c>
      <c r="G1819" s="30" t="s">
        <v>9</v>
      </c>
      <c r="J1819" s="30" t="s">
        <v>392</v>
      </c>
    </row>
    <row r="1820" spans="1:10" x14ac:dyDescent="0.25">
      <c r="A1820" s="78">
        <v>46165</v>
      </c>
      <c r="C1820" s="19" t="s">
        <v>773</v>
      </c>
      <c r="D1820" s="30">
        <v>1</v>
      </c>
      <c r="E1820" s="30">
        <v>60</v>
      </c>
      <c r="F1820" s="30">
        <f t="shared" si="56"/>
        <v>60</v>
      </c>
      <c r="G1820" s="30" t="s">
        <v>9</v>
      </c>
      <c r="J1820" s="30" t="s">
        <v>392</v>
      </c>
    </row>
    <row r="1821" spans="1:10" x14ac:dyDescent="0.25">
      <c r="A1821" s="78">
        <v>46165</v>
      </c>
      <c r="C1821" s="33" t="s">
        <v>682</v>
      </c>
      <c r="D1821" s="30">
        <v>1</v>
      </c>
      <c r="E1821" s="30">
        <v>10</v>
      </c>
      <c r="F1821" s="30">
        <f t="shared" si="56"/>
        <v>10</v>
      </c>
      <c r="G1821" s="30" t="s">
        <v>9</v>
      </c>
      <c r="J1821" s="30" t="s">
        <v>392</v>
      </c>
    </row>
    <row r="1822" spans="1:10" x14ac:dyDescent="0.25">
      <c r="A1822" s="78">
        <v>46165</v>
      </c>
      <c r="C1822" s="33" t="s">
        <v>385</v>
      </c>
      <c r="D1822" s="30">
        <v>1</v>
      </c>
      <c r="E1822" s="30">
        <v>10</v>
      </c>
      <c r="F1822" s="30">
        <f t="shared" si="56"/>
        <v>10</v>
      </c>
      <c r="G1822" s="30" t="s">
        <v>9</v>
      </c>
      <c r="J1822" s="30" t="s">
        <v>392</v>
      </c>
    </row>
    <row r="1823" spans="1:10" ht="30" x14ac:dyDescent="0.25">
      <c r="A1823" s="78">
        <v>46165</v>
      </c>
      <c r="C1823" s="19" t="s">
        <v>501</v>
      </c>
      <c r="D1823" s="30">
        <v>1</v>
      </c>
      <c r="E1823" s="30">
        <v>5</v>
      </c>
      <c r="F1823" s="30">
        <f t="shared" si="56"/>
        <v>5</v>
      </c>
      <c r="G1823" s="30" t="s">
        <v>9</v>
      </c>
      <c r="J1823" s="30" t="s">
        <v>392</v>
      </c>
    </row>
    <row r="1824" spans="1:10" x14ac:dyDescent="0.25">
      <c r="A1824" s="78">
        <v>46165</v>
      </c>
      <c r="C1824" s="19" t="str">
        <f>'Stock Register'!A186</f>
        <v>SUNRISE GARAM MASALA LOT 1</v>
      </c>
      <c r="D1824" s="30">
        <v>1</v>
      </c>
      <c r="E1824" s="30">
        <v>5</v>
      </c>
      <c r="F1824" s="30">
        <f t="shared" si="56"/>
        <v>5</v>
      </c>
      <c r="G1824" s="30" t="s">
        <v>9</v>
      </c>
      <c r="I1824" s="139">
        <f>SUM(F1790:F1824)</f>
        <v>801.41200000000003</v>
      </c>
      <c r="J1824" s="30" t="s">
        <v>392</v>
      </c>
    </row>
    <row r="1825" spans="1:10" s="69" customFormat="1" ht="18.75" x14ac:dyDescent="0.3">
      <c r="A1825" s="235" t="s">
        <v>437</v>
      </c>
      <c r="B1825" s="236"/>
      <c r="C1825" s="236"/>
      <c r="D1825" s="236"/>
      <c r="E1825" s="236"/>
      <c r="F1825" s="236"/>
      <c r="G1825" s="236"/>
      <c r="H1825" s="237"/>
      <c r="I1825" s="69">
        <f>SUM(I1824,I1789)</f>
        <v>2270.5619999999999</v>
      </c>
    </row>
    <row r="1826" spans="1:10" x14ac:dyDescent="0.25">
      <c r="A1826" s="78">
        <v>46166</v>
      </c>
      <c r="C1826" s="33" t="s">
        <v>691</v>
      </c>
      <c r="D1826" s="30">
        <v>0.5</v>
      </c>
      <c r="E1826" s="30">
        <v>60</v>
      </c>
      <c r="F1826" s="30">
        <f t="shared" ref="F1826:F1861" si="57">E1826*D1826</f>
        <v>30</v>
      </c>
      <c r="G1826" s="30" t="s">
        <v>9</v>
      </c>
      <c r="J1826" s="30" t="s">
        <v>391</v>
      </c>
    </row>
    <row r="1827" spans="1:10" x14ac:dyDescent="0.25">
      <c r="A1827" s="78">
        <v>46166</v>
      </c>
      <c r="C1827" s="33" t="s">
        <v>519</v>
      </c>
      <c r="D1827" s="30">
        <v>1</v>
      </c>
      <c r="E1827" s="30">
        <v>10</v>
      </c>
      <c r="F1827" s="30">
        <f t="shared" si="57"/>
        <v>10</v>
      </c>
      <c r="G1827" s="30" t="s">
        <v>9</v>
      </c>
      <c r="J1827" s="30" t="s">
        <v>391</v>
      </c>
    </row>
    <row r="1828" spans="1:10" ht="30" x14ac:dyDescent="0.25">
      <c r="A1828" s="78">
        <v>46166</v>
      </c>
      <c r="C1828" s="19" t="s">
        <v>396</v>
      </c>
      <c r="D1828" s="30">
        <v>1</v>
      </c>
      <c r="E1828" s="30">
        <v>10</v>
      </c>
      <c r="F1828" s="30">
        <f t="shared" si="57"/>
        <v>10</v>
      </c>
      <c r="G1828" s="30" t="s">
        <v>9</v>
      </c>
      <c r="J1828" s="30" t="s">
        <v>391</v>
      </c>
    </row>
    <row r="1829" spans="1:10" x14ac:dyDescent="0.25">
      <c r="A1829" s="78">
        <v>46166</v>
      </c>
      <c r="C1829" s="19" t="s">
        <v>648</v>
      </c>
      <c r="D1829" s="30">
        <v>2</v>
      </c>
      <c r="E1829" s="30">
        <v>10</v>
      </c>
      <c r="F1829" s="30">
        <f t="shared" si="57"/>
        <v>20</v>
      </c>
      <c r="G1829" s="30" t="s">
        <v>9</v>
      </c>
      <c r="J1829" s="30" t="s">
        <v>391</v>
      </c>
    </row>
    <row r="1830" spans="1:10" x14ac:dyDescent="0.25">
      <c r="A1830" s="78">
        <v>46166</v>
      </c>
      <c r="C1830" s="33" t="s">
        <v>755</v>
      </c>
      <c r="D1830" s="30">
        <v>1</v>
      </c>
      <c r="E1830" s="30">
        <v>59</v>
      </c>
      <c r="F1830" s="30">
        <f t="shared" si="57"/>
        <v>59</v>
      </c>
      <c r="G1830" s="30" t="s">
        <v>9</v>
      </c>
      <c r="J1830" s="30" t="s">
        <v>391</v>
      </c>
    </row>
    <row r="1831" spans="1:10" x14ac:dyDescent="0.25">
      <c r="A1831" s="78">
        <v>46166</v>
      </c>
      <c r="C1831" s="19" t="s">
        <v>518</v>
      </c>
      <c r="D1831" s="30">
        <v>1</v>
      </c>
      <c r="E1831" s="30">
        <v>69</v>
      </c>
      <c r="F1831" s="30">
        <f t="shared" si="57"/>
        <v>69</v>
      </c>
      <c r="G1831" s="30" t="s">
        <v>9</v>
      </c>
      <c r="J1831" s="30" t="s">
        <v>391</v>
      </c>
    </row>
    <row r="1832" spans="1:10" x14ac:dyDescent="0.25">
      <c r="A1832" s="78">
        <v>46166</v>
      </c>
      <c r="C1832" s="19" t="s">
        <v>372</v>
      </c>
      <c r="D1832" s="30">
        <v>1</v>
      </c>
      <c r="E1832" s="30">
        <v>44</v>
      </c>
      <c r="F1832" s="30">
        <f t="shared" si="57"/>
        <v>44</v>
      </c>
      <c r="G1832" s="30" t="s">
        <v>9</v>
      </c>
      <c r="J1832" s="30" t="s">
        <v>391</v>
      </c>
    </row>
    <row r="1833" spans="1:10" x14ac:dyDescent="0.25">
      <c r="A1833" s="78">
        <v>46166</v>
      </c>
      <c r="C1833" s="19" t="s">
        <v>390</v>
      </c>
      <c r="D1833" s="30">
        <v>1</v>
      </c>
      <c r="E1833" s="30">
        <v>5</v>
      </c>
      <c r="F1833" s="30">
        <f t="shared" si="57"/>
        <v>5</v>
      </c>
      <c r="G1833" s="30" t="s">
        <v>9</v>
      </c>
      <c r="J1833" s="30" t="s">
        <v>391</v>
      </c>
    </row>
    <row r="1834" spans="1:10" x14ac:dyDescent="0.25">
      <c r="A1834" s="78">
        <v>46166</v>
      </c>
      <c r="C1834" s="33" t="s">
        <v>633</v>
      </c>
      <c r="D1834" s="30">
        <v>1</v>
      </c>
      <c r="E1834" s="30">
        <v>10</v>
      </c>
      <c r="F1834" s="30">
        <f t="shared" si="57"/>
        <v>10</v>
      </c>
      <c r="G1834" s="30" t="s">
        <v>9</v>
      </c>
      <c r="J1834" s="30" t="s">
        <v>391</v>
      </c>
    </row>
    <row r="1835" spans="1:10" ht="30" x14ac:dyDescent="0.25">
      <c r="A1835" s="78">
        <v>46166</v>
      </c>
      <c r="C1835" s="19" t="s">
        <v>444</v>
      </c>
      <c r="D1835" s="30">
        <v>1</v>
      </c>
      <c r="E1835" s="30">
        <v>5</v>
      </c>
      <c r="F1835" s="30">
        <f t="shared" si="57"/>
        <v>5</v>
      </c>
      <c r="G1835" s="30" t="s">
        <v>9</v>
      </c>
      <c r="J1835" s="30" t="s">
        <v>391</v>
      </c>
    </row>
    <row r="1836" spans="1:10" x14ac:dyDescent="0.25">
      <c r="A1836" s="78">
        <v>46166</v>
      </c>
      <c r="C1836" s="33" t="s">
        <v>348</v>
      </c>
      <c r="D1836" s="30">
        <v>1</v>
      </c>
      <c r="E1836" s="30">
        <v>1</v>
      </c>
      <c r="F1836" s="30">
        <f t="shared" si="57"/>
        <v>1</v>
      </c>
      <c r="G1836" s="30" t="s">
        <v>9</v>
      </c>
      <c r="J1836" s="30" t="s">
        <v>391</v>
      </c>
    </row>
    <row r="1837" spans="1:10" x14ac:dyDescent="0.25">
      <c r="A1837" s="78">
        <v>46166</v>
      </c>
      <c r="C1837" s="19" t="s">
        <v>400</v>
      </c>
      <c r="D1837" s="30">
        <v>0.51600000000000001</v>
      </c>
      <c r="E1837" s="30">
        <v>58</v>
      </c>
      <c r="F1837" s="30">
        <f t="shared" si="57"/>
        <v>29.928000000000001</v>
      </c>
      <c r="G1837" s="30" t="s">
        <v>9</v>
      </c>
      <c r="J1837" s="30" t="s">
        <v>391</v>
      </c>
    </row>
    <row r="1838" spans="1:10" x14ac:dyDescent="0.25">
      <c r="A1838" s="78">
        <v>46166</v>
      </c>
      <c r="C1838" s="33" t="s">
        <v>348</v>
      </c>
      <c r="D1838" s="30">
        <v>5</v>
      </c>
      <c r="E1838" s="30">
        <v>1</v>
      </c>
      <c r="F1838" s="30">
        <f t="shared" si="57"/>
        <v>5</v>
      </c>
      <c r="G1838" s="30" t="s">
        <v>9</v>
      </c>
      <c r="J1838" s="30" t="s">
        <v>391</v>
      </c>
    </row>
    <row r="1839" spans="1:10" x14ac:dyDescent="0.25">
      <c r="A1839" s="78">
        <v>46166</v>
      </c>
      <c r="C1839" s="19" t="s">
        <v>536</v>
      </c>
      <c r="D1839" s="30">
        <v>1</v>
      </c>
      <c r="E1839" s="30">
        <v>2</v>
      </c>
      <c r="F1839" s="30">
        <f t="shared" si="57"/>
        <v>2</v>
      </c>
      <c r="G1839" s="30" t="s">
        <v>9</v>
      </c>
      <c r="J1839" s="30" t="s">
        <v>391</v>
      </c>
    </row>
    <row r="1840" spans="1:10" x14ac:dyDescent="0.25">
      <c r="A1840" s="78">
        <v>46166</v>
      </c>
      <c r="C1840" s="19" t="str">
        <f>'Stock Register'!A159</f>
        <v>BRITANNIA MARIE GOLD LOT 1</v>
      </c>
      <c r="D1840" s="30">
        <v>1</v>
      </c>
      <c r="E1840" s="30">
        <v>10</v>
      </c>
      <c r="F1840" s="30">
        <f t="shared" si="57"/>
        <v>10</v>
      </c>
      <c r="G1840" s="30" t="s">
        <v>9</v>
      </c>
      <c r="J1840" s="30" t="s">
        <v>391</v>
      </c>
    </row>
    <row r="1841" spans="1:10" x14ac:dyDescent="0.25">
      <c r="A1841" s="78">
        <v>46166</v>
      </c>
      <c r="C1841" s="19" t="s">
        <v>667</v>
      </c>
      <c r="D1841" s="30">
        <v>1</v>
      </c>
      <c r="E1841" s="30">
        <v>4.5</v>
      </c>
      <c r="F1841" s="30">
        <f t="shared" si="57"/>
        <v>4.5</v>
      </c>
      <c r="G1841" s="30" t="s">
        <v>9</v>
      </c>
      <c r="I1841" s="139">
        <f>SUM(F1826:F1841)</f>
        <v>314.428</v>
      </c>
      <c r="J1841" s="30" t="s">
        <v>391</v>
      </c>
    </row>
    <row r="1842" spans="1:10" x14ac:dyDescent="0.25">
      <c r="A1842" s="78">
        <v>46166</v>
      </c>
      <c r="C1842" s="33" t="str">
        <f>'Stock Register'!A5</f>
        <v>LOOSE KHASA RICE LOT 1</v>
      </c>
      <c r="D1842" s="30">
        <v>0.5</v>
      </c>
      <c r="E1842" s="30">
        <v>200</v>
      </c>
      <c r="F1842" s="30">
        <f t="shared" si="57"/>
        <v>100</v>
      </c>
      <c r="G1842" s="30" t="s">
        <v>9</v>
      </c>
      <c r="J1842" s="30" t="s">
        <v>392</v>
      </c>
    </row>
    <row r="1843" spans="1:10" x14ac:dyDescent="0.25">
      <c r="A1843" s="78">
        <v>46166</v>
      </c>
      <c r="C1843" s="19" t="s">
        <v>503</v>
      </c>
      <c r="D1843" s="30">
        <v>1</v>
      </c>
      <c r="E1843" s="30">
        <v>20</v>
      </c>
      <c r="F1843" s="30">
        <f t="shared" si="57"/>
        <v>20</v>
      </c>
      <c r="G1843" s="30" t="s">
        <v>9</v>
      </c>
      <c r="J1843" s="30" t="s">
        <v>392</v>
      </c>
    </row>
    <row r="1844" spans="1:10" x14ac:dyDescent="0.25">
      <c r="A1844" s="78">
        <v>46166</v>
      </c>
      <c r="C1844" s="19" t="s">
        <v>571</v>
      </c>
      <c r="D1844" s="30">
        <v>1</v>
      </c>
      <c r="E1844" s="30">
        <v>20</v>
      </c>
      <c r="F1844" s="30">
        <f t="shared" si="57"/>
        <v>20</v>
      </c>
      <c r="G1844" s="30" t="s">
        <v>9</v>
      </c>
      <c r="J1844" s="30" t="s">
        <v>392</v>
      </c>
    </row>
    <row r="1845" spans="1:10" x14ac:dyDescent="0.25">
      <c r="A1845" s="78">
        <v>46166</v>
      </c>
      <c r="C1845" s="33" t="s">
        <v>462</v>
      </c>
      <c r="D1845" s="30">
        <v>2</v>
      </c>
      <c r="E1845" s="30">
        <v>5</v>
      </c>
      <c r="F1845" s="30">
        <f t="shared" si="57"/>
        <v>10</v>
      </c>
      <c r="G1845" s="30" t="s">
        <v>9</v>
      </c>
      <c r="J1845" s="30" t="s">
        <v>392</v>
      </c>
    </row>
    <row r="1846" spans="1:10" x14ac:dyDescent="0.25">
      <c r="A1846" s="78">
        <v>46166</v>
      </c>
      <c r="C1846" s="19" t="s">
        <v>706</v>
      </c>
      <c r="D1846" s="30">
        <v>2</v>
      </c>
      <c r="E1846" s="30">
        <v>5</v>
      </c>
      <c r="F1846" s="30">
        <f t="shared" si="57"/>
        <v>10</v>
      </c>
      <c r="G1846" s="30" t="s">
        <v>9</v>
      </c>
      <c r="J1846" s="30" t="s">
        <v>392</v>
      </c>
    </row>
    <row r="1847" spans="1:10" x14ac:dyDescent="0.25">
      <c r="A1847" s="78">
        <v>46166</v>
      </c>
      <c r="C1847" s="33" t="s">
        <v>704</v>
      </c>
      <c r="D1847" s="30">
        <v>1</v>
      </c>
      <c r="E1847" s="30">
        <v>39</v>
      </c>
      <c r="F1847" s="30">
        <f t="shared" si="57"/>
        <v>39</v>
      </c>
      <c r="G1847" s="30" t="s">
        <v>9</v>
      </c>
      <c r="J1847" s="30" t="s">
        <v>392</v>
      </c>
    </row>
    <row r="1848" spans="1:10" x14ac:dyDescent="0.25">
      <c r="A1848" s="78">
        <v>46166</v>
      </c>
      <c r="C1848" s="33" t="s">
        <v>633</v>
      </c>
      <c r="D1848" s="30">
        <v>2</v>
      </c>
      <c r="E1848" s="30">
        <v>10</v>
      </c>
      <c r="F1848" s="30">
        <f t="shared" si="57"/>
        <v>20</v>
      </c>
      <c r="G1848" s="30" t="s">
        <v>9</v>
      </c>
      <c r="J1848" s="30" t="s">
        <v>392</v>
      </c>
    </row>
    <row r="1849" spans="1:10" ht="30" x14ac:dyDescent="0.25">
      <c r="A1849" s="78">
        <v>46166</v>
      </c>
      <c r="C1849" s="19" t="s">
        <v>577</v>
      </c>
      <c r="D1849" s="30">
        <v>2</v>
      </c>
      <c r="E1849" s="30">
        <v>5</v>
      </c>
      <c r="F1849" s="30">
        <f t="shared" si="57"/>
        <v>10</v>
      </c>
      <c r="G1849" s="30" t="s">
        <v>9</v>
      </c>
      <c r="J1849" s="30" t="s">
        <v>392</v>
      </c>
    </row>
    <row r="1850" spans="1:10" x14ac:dyDescent="0.25">
      <c r="A1850" s="78">
        <v>46166</v>
      </c>
      <c r="C1850" s="33" t="s">
        <v>682</v>
      </c>
      <c r="D1850" s="30">
        <v>1</v>
      </c>
      <c r="E1850" s="30">
        <v>10</v>
      </c>
      <c r="F1850" s="30">
        <f t="shared" si="57"/>
        <v>10</v>
      </c>
      <c r="G1850" s="30" t="s">
        <v>9</v>
      </c>
      <c r="J1850" s="30" t="s">
        <v>392</v>
      </c>
    </row>
    <row r="1851" spans="1:10" x14ac:dyDescent="0.25">
      <c r="A1851" s="78">
        <v>46166</v>
      </c>
      <c r="C1851" s="33" t="s">
        <v>593</v>
      </c>
      <c r="D1851" s="30">
        <v>1</v>
      </c>
      <c r="E1851" s="30">
        <v>1</v>
      </c>
      <c r="F1851" s="30">
        <f t="shared" si="57"/>
        <v>1</v>
      </c>
      <c r="G1851" s="30" t="s">
        <v>9</v>
      </c>
      <c r="J1851" s="30" t="s">
        <v>392</v>
      </c>
    </row>
    <row r="1852" spans="1:10" x14ac:dyDescent="0.25">
      <c r="A1852" s="78">
        <v>46166</v>
      </c>
      <c r="C1852" s="33" t="s">
        <v>778</v>
      </c>
      <c r="D1852" s="30">
        <v>2.5</v>
      </c>
      <c r="E1852" s="30">
        <v>20</v>
      </c>
      <c r="F1852" s="30">
        <f t="shared" si="57"/>
        <v>50</v>
      </c>
      <c r="G1852" s="30" t="s">
        <v>9</v>
      </c>
      <c r="J1852" s="30" t="s">
        <v>392</v>
      </c>
    </row>
    <row r="1853" spans="1:10" x14ac:dyDescent="0.25">
      <c r="A1853" s="78">
        <v>46166</v>
      </c>
      <c r="C1853" s="33" t="s">
        <v>704</v>
      </c>
      <c r="D1853" s="30">
        <v>1</v>
      </c>
      <c r="E1853" s="30">
        <v>39</v>
      </c>
      <c r="F1853" s="30">
        <f t="shared" si="57"/>
        <v>39</v>
      </c>
      <c r="G1853" s="30" t="s">
        <v>9</v>
      </c>
      <c r="J1853" s="30" t="s">
        <v>392</v>
      </c>
    </row>
    <row r="1854" spans="1:10" x14ac:dyDescent="0.25">
      <c r="A1854" s="78">
        <v>46166</v>
      </c>
      <c r="C1854" s="61" t="s">
        <v>154</v>
      </c>
      <c r="D1854" s="30">
        <v>1</v>
      </c>
      <c r="E1854" s="30">
        <v>1</v>
      </c>
      <c r="F1854" s="30">
        <f t="shared" si="57"/>
        <v>1</v>
      </c>
      <c r="G1854" s="30" t="s">
        <v>9</v>
      </c>
      <c r="J1854" s="30" t="s">
        <v>392</v>
      </c>
    </row>
    <row r="1855" spans="1:10" x14ac:dyDescent="0.25">
      <c r="A1855" s="78">
        <v>46166</v>
      </c>
      <c r="C1855" s="33" t="s">
        <v>153</v>
      </c>
      <c r="D1855" s="30">
        <v>2</v>
      </c>
      <c r="E1855" s="30">
        <v>10</v>
      </c>
      <c r="F1855" s="30">
        <f t="shared" si="57"/>
        <v>20</v>
      </c>
      <c r="G1855" s="30" t="s">
        <v>9</v>
      </c>
      <c r="J1855" s="30" t="s">
        <v>392</v>
      </c>
    </row>
    <row r="1856" spans="1:10" x14ac:dyDescent="0.25">
      <c r="A1856" s="78">
        <v>46166</v>
      </c>
      <c r="C1856" s="19" t="s">
        <v>549</v>
      </c>
      <c r="D1856" s="30">
        <v>2</v>
      </c>
      <c r="E1856" s="30">
        <v>25</v>
      </c>
      <c r="F1856" s="30">
        <f t="shared" si="57"/>
        <v>50</v>
      </c>
      <c r="G1856" s="30" t="s">
        <v>9</v>
      </c>
      <c r="J1856" s="30" t="s">
        <v>392</v>
      </c>
    </row>
    <row r="1857" spans="1:10" x14ac:dyDescent="0.25">
      <c r="A1857" s="78">
        <v>46166</v>
      </c>
      <c r="C1857" s="33" t="s">
        <v>386</v>
      </c>
      <c r="D1857" s="30">
        <v>1</v>
      </c>
      <c r="E1857" s="30">
        <v>10</v>
      </c>
      <c r="F1857" s="30">
        <f t="shared" si="57"/>
        <v>10</v>
      </c>
      <c r="G1857" s="30" t="s">
        <v>9</v>
      </c>
      <c r="J1857" s="30" t="s">
        <v>392</v>
      </c>
    </row>
    <row r="1858" spans="1:10" x14ac:dyDescent="0.25">
      <c r="A1858" s="78">
        <v>46166</v>
      </c>
      <c r="C1858" s="19" t="s">
        <v>532</v>
      </c>
      <c r="D1858" s="30">
        <v>2</v>
      </c>
      <c r="E1858" s="30">
        <v>5</v>
      </c>
      <c r="F1858" s="30">
        <f t="shared" si="57"/>
        <v>10</v>
      </c>
      <c r="G1858" s="30" t="s">
        <v>9</v>
      </c>
      <c r="J1858" s="30" t="s">
        <v>392</v>
      </c>
    </row>
    <row r="1859" spans="1:10" x14ac:dyDescent="0.25">
      <c r="A1859" s="78">
        <v>46166</v>
      </c>
      <c r="C1859" s="19" t="s">
        <v>578</v>
      </c>
      <c r="D1859" s="30">
        <v>2</v>
      </c>
      <c r="E1859" s="30">
        <v>5</v>
      </c>
      <c r="F1859" s="30">
        <f t="shared" si="57"/>
        <v>10</v>
      </c>
      <c r="G1859" s="30" t="s">
        <v>9</v>
      </c>
      <c r="J1859" s="30" t="s">
        <v>392</v>
      </c>
    </row>
    <row r="1860" spans="1:10" x14ac:dyDescent="0.25">
      <c r="A1860" s="78">
        <v>46166</v>
      </c>
      <c r="C1860" s="33" t="s">
        <v>541</v>
      </c>
      <c r="D1860" s="30">
        <v>0.5</v>
      </c>
      <c r="E1860" s="30">
        <v>70</v>
      </c>
      <c r="F1860" s="30">
        <f t="shared" si="57"/>
        <v>35</v>
      </c>
      <c r="G1860" s="30" t="s">
        <v>9</v>
      </c>
      <c r="J1860" s="30" t="s">
        <v>392</v>
      </c>
    </row>
    <row r="1861" spans="1:10" x14ac:dyDescent="0.25">
      <c r="A1861" s="78">
        <v>46166</v>
      </c>
      <c r="C1861" s="19" t="s">
        <v>381</v>
      </c>
      <c r="D1861" s="30">
        <v>2</v>
      </c>
      <c r="E1861" s="30">
        <v>15</v>
      </c>
      <c r="F1861" s="30">
        <f t="shared" si="57"/>
        <v>30</v>
      </c>
      <c r="G1861" s="30" t="s">
        <v>9</v>
      </c>
      <c r="I1861" s="139">
        <f>SUM(F1842:F1861)</f>
        <v>495</v>
      </c>
      <c r="J1861" s="30" t="s">
        <v>392</v>
      </c>
    </row>
    <row r="1862" spans="1:10" s="69" customFormat="1" ht="18.75" x14ac:dyDescent="0.3">
      <c r="A1862" s="235" t="s">
        <v>437</v>
      </c>
      <c r="B1862" s="236"/>
      <c r="C1862" s="236"/>
      <c r="D1862" s="236"/>
      <c r="E1862" s="236"/>
      <c r="F1862" s="236"/>
      <c r="G1862" s="236"/>
      <c r="H1862" s="237"/>
      <c r="I1862" s="69">
        <f>SUM(I1861,I1841)</f>
        <v>809.428</v>
      </c>
    </row>
    <row r="1863" spans="1:10" x14ac:dyDescent="0.25">
      <c r="A1863" s="78">
        <v>46167</v>
      </c>
      <c r="C1863" s="33" t="s">
        <v>348</v>
      </c>
      <c r="D1863" s="30">
        <v>5</v>
      </c>
      <c r="E1863" s="30">
        <v>1</v>
      </c>
      <c r="F1863" s="30">
        <f t="shared" ref="F1863:F1885" si="58">E1863*D1863</f>
        <v>5</v>
      </c>
      <c r="G1863" s="30" t="s">
        <v>9</v>
      </c>
      <c r="J1863" s="30" t="s">
        <v>391</v>
      </c>
    </row>
    <row r="1864" spans="1:10" x14ac:dyDescent="0.25">
      <c r="A1864" s="78">
        <v>46167</v>
      </c>
      <c r="C1864" s="19" t="s">
        <v>532</v>
      </c>
      <c r="D1864" s="30">
        <v>1</v>
      </c>
      <c r="E1864" s="30">
        <v>5</v>
      </c>
      <c r="F1864" s="30">
        <f t="shared" si="58"/>
        <v>5</v>
      </c>
      <c r="G1864" s="30" t="s">
        <v>9</v>
      </c>
      <c r="J1864" s="30" t="s">
        <v>391</v>
      </c>
    </row>
    <row r="1865" spans="1:10" x14ac:dyDescent="0.25">
      <c r="A1865" s="78">
        <v>46167</v>
      </c>
      <c r="C1865" s="33" t="s">
        <v>541</v>
      </c>
      <c r="D1865" s="30">
        <v>0.28599999999999998</v>
      </c>
      <c r="E1865" s="30">
        <v>70</v>
      </c>
      <c r="F1865" s="30">
        <f t="shared" si="58"/>
        <v>20.02</v>
      </c>
      <c r="G1865" s="30" t="s">
        <v>9</v>
      </c>
      <c r="J1865" s="30" t="s">
        <v>391</v>
      </c>
    </row>
    <row r="1866" spans="1:10" x14ac:dyDescent="0.25">
      <c r="A1866" s="78">
        <v>46167</v>
      </c>
      <c r="C1866" s="19" t="s">
        <v>523</v>
      </c>
      <c r="D1866" s="30">
        <v>7.0999999999999994E-2</v>
      </c>
      <c r="E1866" s="30">
        <v>280</v>
      </c>
      <c r="F1866" s="30">
        <f t="shared" si="58"/>
        <v>19.88</v>
      </c>
      <c r="G1866" s="30" t="s">
        <v>9</v>
      </c>
      <c r="I1866" s="139">
        <f>SUM(F1863:F1866)</f>
        <v>49.9</v>
      </c>
      <c r="J1866" s="30" t="s">
        <v>391</v>
      </c>
    </row>
    <row r="1867" spans="1:10" ht="30" x14ac:dyDescent="0.25">
      <c r="A1867" s="78">
        <v>46167</v>
      </c>
      <c r="C1867" s="19" t="s">
        <v>800</v>
      </c>
      <c r="D1867" s="30">
        <v>1</v>
      </c>
      <c r="E1867" s="30">
        <v>48</v>
      </c>
      <c r="F1867" s="30">
        <f t="shared" si="58"/>
        <v>48</v>
      </c>
      <c r="G1867" s="30" t="s">
        <v>9</v>
      </c>
      <c r="J1867" s="30" t="s">
        <v>392</v>
      </c>
    </row>
    <row r="1868" spans="1:10" ht="30" x14ac:dyDescent="0.25">
      <c r="A1868" s="78">
        <v>46167</v>
      </c>
      <c r="C1868" s="19" t="s">
        <v>799</v>
      </c>
      <c r="D1868" s="30">
        <v>1</v>
      </c>
      <c r="E1868" s="30">
        <v>55</v>
      </c>
      <c r="F1868" s="30">
        <f t="shared" si="58"/>
        <v>55</v>
      </c>
      <c r="G1868" s="30" t="s">
        <v>9</v>
      </c>
      <c r="J1868" s="30" t="s">
        <v>392</v>
      </c>
    </row>
    <row r="1869" spans="1:10" x14ac:dyDescent="0.25">
      <c r="A1869" s="78">
        <v>46167</v>
      </c>
      <c r="C1869" s="33" t="s">
        <v>715</v>
      </c>
      <c r="D1869" s="30">
        <v>1</v>
      </c>
      <c r="E1869" s="30">
        <v>130</v>
      </c>
      <c r="F1869" s="30">
        <f t="shared" si="58"/>
        <v>130</v>
      </c>
      <c r="G1869" s="30" t="s">
        <v>9</v>
      </c>
      <c r="J1869" s="30" t="s">
        <v>392</v>
      </c>
    </row>
    <row r="1870" spans="1:10" x14ac:dyDescent="0.25">
      <c r="A1870" s="78">
        <v>46167</v>
      </c>
      <c r="C1870" s="19" t="s">
        <v>798</v>
      </c>
      <c r="D1870" s="30">
        <v>1</v>
      </c>
      <c r="E1870" s="30">
        <v>375</v>
      </c>
      <c r="F1870" s="30">
        <f t="shared" si="58"/>
        <v>375</v>
      </c>
      <c r="G1870" s="30" t="s">
        <v>9</v>
      </c>
      <c r="J1870" s="30" t="s">
        <v>392</v>
      </c>
    </row>
    <row r="1871" spans="1:10" x14ac:dyDescent="0.25">
      <c r="A1871" s="78">
        <v>46167</v>
      </c>
      <c r="C1871" s="19" t="s">
        <v>801</v>
      </c>
      <c r="D1871" s="30">
        <v>6</v>
      </c>
      <c r="E1871" s="30">
        <v>20</v>
      </c>
      <c r="F1871" s="30">
        <f t="shared" si="58"/>
        <v>120</v>
      </c>
      <c r="G1871" s="30" t="s">
        <v>9</v>
      </c>
      <c r="J1871" s="30" t="s">
        <v>392</v>
      </c>
    </row>
    <row r="1872" spans="1:10" x14ac:dyDescent="0.25">
      <c r="A1872" s="78">
        <v>46167</v>
      </c>
      <c r="C1872" s="33" t="s">
        <v>778</v>
      </c>
      <c r="D1872" s="30">
        <v>1</v>
      </c>
      <c r="E1872" s="30">
        <v>20</v>
      </c>
      <c r="F1872" s="30">
        <f t="shared" si="58"/>
        <v>20</v>
      </c>
      <c r="G1872" s="30" t="s">
        <v>9</v>
      </c>
      <c r="J1872" s="30" t="s">
        <v>392</v>
      </c>
    </row>
    <row r="1873" spans="1:10" x14ac:dyDescent="0.25">
      <c r="A1873" s="78">
        <v>46167</v>
      </c>
      <c r="C1873" s="33" t="s">
        <v>802</v>
      </c>
      <c r="D1873" s="30">
        <v>1</v>
      </c>
      <c r="E1873" s="30">
        <v>130</v>
      </c>
      <c r="F1873" s="30">
        <f t="shared" si="58"/>
        <v>130</v>
      </c>
      <c r="G1873" s="30" t="s">
        <v>9</v>
      </c>
      <c r="J1873" s="30" t="s">
        <v>392</v>
      </c>
    </row>
    <row r="1874" spans="1:10" x14ac:dyDescent="0.25">
      <c r="A1874" s="78">
        <v>46167</v>
      </c>
      <c r="C1874" s="33" t="s">
        <v>803</v>
      </c>
      <c r="D1874" s="30">
        <v>8</v>
      </c>
      <c r="E1874" s="30">
        <v>9.5</v>
      </c>
      <c r="F1874" s="30">
        <f t="shared" si="58"/>
        <v>76</v>
      </c>
      <c r="G1874" s="30" t="s">
        <v>9</v>
      </c>
      <c r="J1874" s="30" t="s">
        <v>392</v>
      </c>
    </row>
    <row r="1875" spans="1:10" x14ac:dyDescent="0.25">
      <c r="A1875" s="78">
        <v>46167</v>
      </c>
      <c r="C1875" s="33" t="s">
        <v>541</v>
      </c>
      <c r="D1875" s="30">
        <v>1</v>
      </c>
      <c r="E1875" s="30">
        <v>70</v>
      </c>
      <c r="F1875" s="30">
        <f t="shared" si="58"/>
        <v>70</v>
      </c>
      <c r="G1875" s="30" t="s">
        <v>9</v>
      </c>
      <c r="J1875" s="30" t="s">
        <v>392</v>
      </c>
    </row>
    <row r="1876" spans="1:10" x14ac:dyDescent="0.25">
      <c r="A1876" s="78">
        <v>46167</v>
      </c>
      <c r="C1876" s="19" t="s">
        <v>757</v>
      </c>
      <c r="D1876" s="30">
        <v>0.5</v>
      </c>
      <c r="E1876" s="30">
        <v>136</v>
      </c>
      <c r="F1876" s="30">
        <f t="shared" si="58"/>
        <v>68</v>
      </c>
      <c r="G1876" s="30" t="s">
        <v>9</v>
      </c>
      <c r="J1876" s="30" t="s">
        <v>392</v>
      </c>
    </row>
    <row r="1877" spans="1:10" x14ac:dyDescent="0.25">
      <c r="A1877" s="78">
        <v>46167</v>
      </c>
      <c r="C1877" s="61" t="s">
        <v>22</v>
      </c>
      <c r="D1877" s="30">
        <v>10</v>
      </c>
      <c r="E1877" s="30">
        <v>1</v>
      </c>
      <c r="F1877" s="30">
        <f t="shared" si="58"/>
        <v>10</v>
      </c>
      <c r="G1877" s="30" t="s">
        <v>9</v>
      </c>
      <c r="J1877" s="30" t="s">
        <v>392</v>
      </c>
    </row>
    <row r="1878" spans="1:10" ht="30" x14ac:dyDescent="0.25">
      <c r="A1878" s="78">
        <v>46167</v>
      </c>
      <c r="C1878" s="33" t="s">
        <v>789</v>
      </c>
      <c r="D1878" s="30">
        <v>12</v>
      </c>
      <c r="E1878" s="30">
        <v>4.83</v>
      </c>
      <c r="F1878" s="30">
        <f t="shared" si="58"/>
        <v>57.96</v>
      </c>
      <c r="G1878" s="30" t="s">
        <v>9</v>
      </c>
      <c r="J1878" s="30" t="s">
        <v>392</v>
      </c>
    </row>
    <row r="1879" spans="1:10" x14ac:dyDescent="0.25">
      <c r="A1879" s="78">
        <v>46167</v>
      </c>
      <c r="C1879" s="33" t="s">
        <v>682</v>
      </c>
      <c r="D1879" s="30">
        <v>1</v>
      </c>
      <c r="E1879" s="30">
        <v>9.5</v>
      </c>
      <c r="F1879" s="30">
        <f t="shared" si="58"/>
        <v>9.5</v>
      </c>
      <c r="G1879" s="30" t="s">
        <v>9</v>
      </c>
      <c r="J1879" s="30" t="s">
        <v>392</v>
      </c>
    </row>
    <row r="1880" spans="1:10" ht="30" x14ac:dyDescent="0.25">
      <c r="A1880" s="78">
        <v>46167</v>
      </c>
      <c r="C1880" s="33" t="s">
        <v>382</v>
      </c>
      <c r="D1880" s="30">
        <v>1</v>
      </c>
      <c r="E1880" s="30">
        <v>182</v>
      </c>
      <c r="F1880" s="30">
        <f t="shared" si="58"/>
        <v>182</v>
      </c>
      <c r="G1880" s="30" t="s">
        <v>9</v>
      </c>
      <c r="J1880" s="30" t="s">
        <v>392</v>
      </c>
    </row>
    <row r="1881" spans="1:10" x14ac:dyDescent="0.25">
      <c r="A1881" s="78">
        <v>46167</v>
      </c>
      <c r="C1881" s="19" t="s">
        <v>518</v>
      </c>
      <c r="D1881" s="30">
        <v>1</v>
      </c>
      <c r="E1881" s="30">
        <v>69</v>
      </c>
      <c r="F1881" s="30">
        <f t="shared" si="58"/>
        <v>69</v>
      </c>
      <c r="G1881" s="30" t="s">
        <v>9</v>
      </c>
      <c r="J1881" s="30" t="s">
        <v>392</v>
      </c>
    </row>
    <row r="1882" spans="1:10" x14ac:dyDescent="0.25">
      <c r="A1882" s="78">
        <v>46167</v>
      </c>
      <c r="C1882" s="33" t="s">
        <v>785</v>
      </c>
      <c r="D1882" s="30">
        <v>5</v>
      </c>
      <c r="E1882" s="30">
        <v>1</v>
      </c>
      <c r="F1882" s="30">
        <f t="shared" si="58"/>
        <v>5</v>
      </c>
      <c r="G1882" s="30" t="s">
        <v>9</v>
      </c>
      <c r="J1882" s="30" t="s">
        <v>392</v>
      </c>
    </row>
    <row r="1883" spans="1:10" x14ac:dyDescent="0.25">
      <c r="A1883" s="78">
        <v>46167</v>
      </c>
      <c r="C1883" s="19" t="s">
        <v>722</v>
      </c>
      <c r="D1883" s="30">
        <v>3.5999999999999997E-2</v>
      </c>
      <c r="E1883" s="30">
        <v>550</v>
      </c>
      <c r="F1883" s="30">
        <f t="shared" si="58"/>
        <v>19.799999999999997</v>
      </c>
      <c r="G1883" s="30" t="s">
        <v>9</v>
      </c>
      <c r="J1883" s="30" t="s">
        <v>392</v>
      </c>
    </row>
    <row r="1884" spans="1:10" x14ac:dyDescent="0.25">
      <c r="A1884" s="78">
        <v>46167</v>
      </c>
      <c r="C1884" s="33" t="s">
        <v>81</v>
      </c>
      <c r="D1884" s="30">
        <v>5</v>
      </c>
      <c r="E1884" s="30">
        <v>1</v>
      </c>
      <c r="F1884" s="30">
        <f t="shared" si="58"/>
        <v>5</v>
      </c>
      <c r="G1884" s="30" t="s">
        <v>9</v>
      </c>
      <c r="J1884" s="30" t="s">
        <v>392</v>
      </c>
    </row>
    <row r="1885" spans="1:10" x14ac:dyDescent="0.25">
      <c r="A1885" s="78">
        <v>46167</v>
      </c>
      <c r="C1885" s="33" t="s">
        <v>741</v>
      </c>
      <c r="D1885" s="30">
        <v>1</v>
      </c>
      <c r="E1885" s="30">
        <v>9.5</v>
      </c>
      <c r="F1885" s="30">
        <f t="shared" si="58"/>
        <v>9.5</v>
      </c>
      <c r="G1885" s="30" t="s">
        <v>9</v>
      </c>
      <c r="I1885" s="139">
        <f>SUM(F1867:F1885)</f>
        <v>1459.76</v>
      </c>
      <c r="J1885" s="30" t="s">
        <v>392</v>
      </c>
    </row>
    <row r="1886" spans="1:10" s="69" customFormat="1" ht="18.75" x14ac:dyDescent="0.3">
      <c r="A1886" s="235" t="s">
        <v>437</v>
      </c>
      <c r="B1886" s="236"/>
      <c r="C1886" s="236"/>
      <c r="D1886" s="236"/>
      <c r="E1886" s="236"/>
      <c r="F1886" s="236"/>
      <c r="G1886" s="236"/>
      <c r="H1886" s="237"/>
      <c r="I1886" s="69">
        <f>SUM(I1885,I1866)</f>
        <v>1509.66</v>
      </c>
    </row>
    <row r="1887" spans="1:10" x14ac:dyDescent="0.25">
      <c r="A1887" s="78">
        <v>46168</v>
      </c>
      <c r="C1887" s="19" t="s">
        <v>757</v>
      </c>
      <c r="D1887" s="30">
        <v>0.28000000000000003</v>
      </c>
      <c r="E1887" s="30">
        <v>140</v>
      </c>
      <c r="F1887" s="30">
        <f t="shared" ref="F1887:F1911" si="59">E1887*D1887</f>
        <v>39.200000000000003</v>
      </c>
      <c r="G1887" s="30" t="s">
        <v>9</v>
      </c>
      <c r="J1887" s="30" t="s">
        <v>392</v>
      </c>
    </row>
    <row r="1888" spans="1:10" x14ac:dyDescent="0.25">
      <c r="A1888" s="78">
        <v>46168</v>
      </c>
      <c r="C1888" s="33" t="s">
        <v>633</v>
      </c>
      <c r="D1888" s="30">
        <v>2</v>
      </c>
      <c r="E1888" s="30">
        <v>10</v>
      </c>
      <c r="F1888" s="30">
        <f t="shared" si="59"/>
        <v>20</v>
      </c>
      <c r="G1888" s="30" t="s">
        <v>9</v>
      </c>
      <c r="J1888" s="30" t="s">
        <v>392</v>
      </c>
    </row>
    <row r="1889" spans="1:10" x14ac:dyDescent="0.25">
      <c r="A1889" s="78">
        <v>46168</v>
      </c>
      <c r="C1889" s="33" t="s">
        <v>578</v>
      </c>
      <c r="D1889" s="30">
        <v>2</v>
      </c>
      <c r="E1889" s="30">
        <v>5</v>
      </c>
      <c r="F1889" s="30">
        <f t="shared" si="59"/>
        <v>10</v>
      </c>
      <c r="G1889" s="30" t="s">
        <v>9</v>
      </c>
      <c r="J1889" s="30" t="s">
        <v>392</v>
      </c>
    </row>
    <row r="1890" spans="1:10" x14ac:dyDescent="0.25">
      <c r="A1890" s="78">
        <v>46168</v>
      </c>
      <c r="C1890" s="33" t="s">
        <v>691</v>
      </c>
      <c r="D1890" s="30">
        <v>0.5</v>
      </c>
      <c r="E1890" s="30">
        <v>60</v>
      </c>
      <c r="F1890" s="30">
        <f t="shared" si="59"/>
        <v>30</v>
      </c>
      <c r="G1890" s="30" t="s">
        <v>9</v>
      </c>
      <c r="J1890" s="30" t="s">
        <v>392</v>
      </c>
    </row>
    <row r="1891" spans="1:10" x14ac:dyDescent="0.25">
      <c r="A1891" s="78">
        <v>46168</v>
      </c>
      <c r="C1891" s="19" t="s">
        <v>67</v>
      </c>
      <c r="D1891" s="30">
        <v>4</v>
      </c>
      <c r="E1891" s="30">
        <v>12</v>
      </c>
      <c r="F1891" s="30">
        <f t="shared" si="59"/>
        <v>48</v>
      </c>
      <c r="G1891" s="30" t="s">
        <v>9</v>
      </c>
      <c r="J1891" s="30" t="s">
        <v>392</v>
      </c>
    </row>
    <row r="1892" spans="1:10" x14ac:dyDescent="0.25">
      <c r="A1892" s="78">
        <v>46168</v>
      </c>
      <c r="C1892" s="104" t="s">
        <v>612</v>
      </c>
      <c r="D1892" s="30">
        <v>1</v>
      </c>
      <c r="E1892" s="30">
        <v>78</v>
      </c>
      <c r="F1892" s="30">
        <f t="shared" si="59"/>
        <v>78</v>
      </c>
      <c r="G1892" s="30" t="s">
        <v>9</v>
      </c>
      <c r="J1892" s="30" t="s">
        <v>392</v>
      </c>
    </row>
    <row r="1893" spans="1:10" x14ac:dyDescent="0.25">
      <c r="A1893" s="78">
        <v>46168</v>
      </c>
      <c r="C1893" s="19" t="s">
        <v>779</v>
      </c>
      <c r="D1893" s="30">
        <v>1</v>
      </c>
      <c r="E1893" s="30">
        <v>30</v>
      </c>
      <c r="F1893" s="30">
        <f t="shared" si="59"/>
        <v>30</v>
      </c>
      <c r="G1893" s="30" t="s">
        <v>9</v>
      </c>
      <c r="J1893" s="30" t="s">
        <v>392</v>
      </c>
    </row>
    <row r="1894" spans="1:10" x14ac:dyDescent="0.25">
      <c r="A1894" s="78">
        <v>46168</v>
      </c>
      <c r="C1894" s="19" t="s">
        <v>670</v>
      </c>
      <c r="D1894" s="30">
        <v>1</v>
      </c>
      <c r="E1894" s="30">
        <v>10</v>
      </c>
      <c r="F1894" s="30">
        <f t="shared" si="59"/>
        <v>10</v>
      </c>
      <c r="G1894" s="30" t="s">
        <v>9</v>
      </c>
      <c r="J1894" s="30" t="s">
        <v>392</v>
      </c>
    </row>
    <row r="1895" spans="1:10" x14ac:dyDescent="0.25">
      <c r="A1895" s="78">
        <v>46168</v>
      </c>
      <c r="C1895" s="19" t="s">
        <v>737</v>
      </c>
      <c r="D1895" s="30">
        <v>1</v>
      </c>
      <c r="E1895" s="30">
        <v>20</v>
      </c>
      <c r="F1895" s="30">
        <f t="shared" si="59"/>
        <v>20</v>
      </c>
      <c r="G1895" s="30" t="s">
        <v>9</v>
      </c>
      <c r="J1895" s="30" t="s">
        <v>392</v>
      </c>
    </row>
    <row r="1896" spans="1:10" x14ac:dyDescent="0.25">
      <c r="A1896" s="78">
        <v>46168</v>
      </c>
      <c r="C1896" s="19" t="s">
        <v>737</v>
      </c>
      <c r="D1896" s="30">
        <v>1</v>
      </c>
      <c r="E1896" s="30">
        <v>20</v>
      </c>
      <c r="F1896" s="30">
        <f t="shared" si="59"/>
        <v>20</v>
      </c>
      <c r="G1896" s="30" t="s">
        <v>9</v>
      </c>
      <c r="J1896" s="30" t="s">
        <v>392</v>
      </c>
    </row>
    <row r="1897" spans="1:10" x14ac:dyDescent="0.25">
      <c r="A1897" s="78">
        <v>46168</v>
      </c>
      <c r="C1897" s="19" t="s">
        <v>570</v>
      </c>
      <c r="D1897" s="30">
        <v>1</v>
      </c>
      <c r="E1897" s="30">
        <v>20</v>
      </c>
      <c r="F1897" s="30">
        <f t="shared" si="59"/>
        <v>20</v>
      </c>
      <c r="G1897" s="30" t="s">
        <v>9</v>
      </c>
      <c r="J1897" s="30" t="s">
        <v>392</v>
      </c>
    </row>
    <row r="1898" spans="1:10" x14ac:dyDescent="0.25">
      <c r="A1898" s="78">
        <v>46168</v>
      </c>
      <c r="C1898" s="33" t="s">
        <v>778</v>
      </c>
      <c r="D1898" s="30">
        <v>1</v>
      </c>
      <c r="E1898" s="30">
        <v>20</v>
      </c>
      <c r="F1898" s="30">
        <f t="shared" si="59"/>
        <v>20</v>
      </c>
      <c r="G1898" s="30" t="s">
        <v>9</v>
      </c>
      <c r="J1898" s="30" t="s">
        <v>392</v>
      </c>
    </row>
    <row r="1899" spans="1:10" x14ac:dyDescent="0.25">
      <c r="A1899" s="78">
        <v>46168</v>
      </c>
      <c r="C1899" s="19" t="s">
        <v>779</v>
      </c>
      <c r="D1899" s="30">
        <v>0.65</v>
      </c>
      <c r="E1899" s="30">
        <v>30</v>
      </c>
      <c r="F1899" s="30">
        <f t="shared" si="59"/>
        <v>19.5</v>
      </c>
      <c r="G1899" s="30" t="s">
        <v>9</v>
      </c>
      <c r="J1899" s="30" t="s">
        <v>392</v>
      </c>
    </row>
    <row r="1900" spans="1:10" x14ac:dyDescent="0.25">
      <c r="A1900" s="78">
        <v>46168</v>
      </c>
      <c r="C1900" s="19" t="s">
        <v>587</v>
      </c>
      <c r="D1900" s="30">
        <v>0.68799999999999994</v>
      </c>
      <c r="E1900" s="30">
        <v>58</v>
      </c>
      <c r="F1900" s="30">
        <f t="shared" si="59"/>
        <v>39.903999999999996</v>
      </c>
      <c r="G1900" s="30" t="s">
        <v>9</v>
      </c>
      <c r="J1900" s="30" t="s">
        <v>392</v>
      </c>
    </row>
    <row r="1901" spans="1:10" x14ac:dyDescent="0.25">
      <c r="A1901" s="78">
        <v>46168</v>
      </c>
      <c r="C1901" s="19" t="s">
        <v>692</v>
      </c>
      <c r="D1901" s="30">
        <v>0.1</v>
      </c>
      <c r="E1901" s="30">
        <v>200</v>
      </c>
      <c r="F1901" s="30">
        <f t="shared" si="59"/>
        <v>20</v>
      </c>
      <c r="G1901" s="30" t="s">
        <v>9</v>
      </c>
      <c r="J1901" s="30" t="s">
        <v>392</v>
      </c>
    </row>
    <row r="1902" spans="1:10" x14ac:dyDescent="0.25">
      <c r="A1902" s="78">
        <v>46168</v>
      </c>
      <c r="C1902" s="19" t="s">
        <v>636</v>
      </c>
      <c r="D1902" s="30">
        <v>6.6000000000000003E-2</v>
      </c>
      <c r="E1902" s="30">
        <v>150</v>
      </c>
      <c r="F1902" s="30">
        <f t="shared" si="59"/>
        <v>9.9</v>
      </c>
      <c r="G1902" s="30" t="s">
        <v>9</v>
      </c>
      <c r="J1902" s="30" t="s">
        <v>392</v>
      </c>
    </row>
    <row r="1903" spans="1:10" x14ac:dyDescent="0.25">
      <c r="C1903" s="19" t="s">
        <v>779</v>
      </c>
      <c r="D1903" s="30">
        <v>1</v>
      </c>
      <c r="E1903" s="30">
        <v>30</v>
      </c>
      <c r="F1903" s="30">
        <f t="shared" si="59"/>
        <v>30</v>
      </c>
      <c r="G1903" s="30" t="s">
        <v>9</v>
      </c>
      <c r="J1903" s="30" t="s">
        <v>392</v>
      </c>
    </row>
    <row r="1904" spans="1:10" x14ac:dyDescent="0.25">
      <c r="C1904" s="19" t="s">
        <v>633</v>
      </c>
      <c r="D1904" s="30">
        <v>1</v>
      </c>
      <c r="E1904" s="30">
        <v>10</v>
      </c>
      <c r="F1904" s="30">
        <f t="shared" si="59"/>
        <v>10</v>
      </c>
      <c r="G1904" s="30" t="s">
        <v>9</v>
      </c>
      <c r="J1904" s="30" t="s">
        <v>392</v>
      </c>
    </row>
    <row r="1905" spans="1:10" ht="30" x14ac:dyDescent="0.25">
      <c r="A1905" s="78">
        <v>46168</v>
      </c>
      <c r="C1905" s="19" t="s">
        <v>625</v>
      </c>
      <c r="D1905" s="30">
        <v>1</v>
      </c>
      <c r="E1905" s="30">
        <v>155</v>
      </c>
      <c r="F1905" s="30">
        <f t="shared" si="59"/>
        <v>155</v>
      </c>
      <c r="G1905" s="30" t="s">
        <v>9</v>
      </c>
      <c r="J1905" s="30" t="s">
        <v>392</v>
      </c>
    </row>
    <row r="1906" spans="1:10" x14ac:dyDescent="0.25">
      <c r="A1906" s="78">
        <v>46168</v>
      </c>
      <c r="C1906" s="19" t="s">
        <v>782</v>
      </c>
      <c r="D1906" s="30">
        <v>10</v>
      </c>
      <c r="E1906" s="30">
        <v>9.5</v>
      </c>
      <c r="F1906" s="30">
        <f t="shared" si="59"/>
        <v>95</v>
      </c>
      <c r="G1906" s="30" t="s">
        <v>9</v>
      </c>
      <c r="J1906" s="30" t="s">
        <v>392</v>
      </c>
    </row>
    <row r="1907" spans="1:10" x14ac:dyDescent="0.25">
      <c r="A1907" s="78">
        <v>46168</v>
      </c>
      <c r="C1907" s="19" t="s">
        <v>560</v>
      </c>
      <c r="D1907" s="30">
        <v>2</v>
      </c>
      <c r="E1907" s="30">
        <v>10</v>
      </c>
      <c r="F1907" s="30">
        <f t="shared" si="59"/>
        <v>20</v>
      </c>
      <c r="G1907" s="30" t="s">
        <v>9</v>
      </c>
      <c r="J1907" s="30" t="s">
        <v>392</v>
      </c>
    </row>
    <row r="1908" spans="1:10" x14ac:dyDescent="0.25">
      <c r="A1908" s="78">
        <v>46168</v>
      </c>
      <c r="C1908" s="19" t="s">
        <v>755</v>
      </c>
      <c r="D1908" s="30">
        <v>1</v>
      </c>
      <c r="E1908" s="30">
        <v>59</v>
      </c>
      <c r="F1908" s="30">
        <f t="shared" si="59"/>
        <v>59</v>
      </c>
      <c r="G1908" s="30" t="s">
        <v>9</v>
      </c>
      <c r="J1908" s="30" t="s">
        <v>392</v>
      </c>
    </row>
    <row r="1909" spans="1:10" x14ac:dyDescent="0.25">
      <c r="A1909" s="78">
        <v>46168</v>
      </c>
      <c r="C1909" s="19" t="s">
        <v>727</v>
      </c>
      <c r="D1909" s="30">
        <v>0.42099999999999999</v>
      </c>
      <c r="E1909" s="30">
        <v>95</v>
      </c>
      <c r="F1909" s="30">
        <f t="shared" si="59"/>
        <v>39.994999999999997</v>
      </c>
      <c r="G1909" s="30" t="s">
        <v>9</v>
      </c>
      <c r="J1909" s="30" t="s">
        <v>392</v>
      </c>
    </row>
    <row r="1910" spans="1:10" x14ac:dyDescent="0.25">
      <c r="A1910" s="78">
        <v>46168</v>
      </c>
      <c r="C1910" s="19" t="s">
        <v>445</v>
      </c>
      <c r="D1910" s="30">
        <v>1</v>
      </c>
      <c r="E1910" s="30">
        <v>10</v>
      </c>
      <c r="F1910" s="30">
        <f t="shared" si="59"/>
        <v>10</v>
      </c>
      <c r="G1910" s="30" t="s">
        <v>9</v>
      </c>
      <c r="J1910" s="30" t="s">
        <v>392</v>
      </c>
    </row>
    <row r="1911" spans="1:10" x14ac:dyDescent="0.25">
      <c r="A1911" s="78">
        <v>46168</v>
      </c>
      <c r="C1911" s="19" t="s">
        <v>68</v>
      </c>
      <c r="D1911" s="30">
        <v>2</v>
      </c>
      <c r="E1911" s="30">
        <v>10</v>
      </c>
      <c r="F1911" s="30">
        <f t="shared" si="59"/>
        <v>20</v>
      </c>
      <c r="G1911" s="30" t="s">
        <v>9</v>
      </c>
      <c r="J1911" s="30" t="s">
        <v>392</v>
      </c>
    </row>
    <row r="1912" spans="1:10" s="69" customFormat="1" ht="18.75" x14ac:dyDescent="0.3">
      <c r="A1912" s="235" t="s">
        <v>437</v>
      </c>
      <c r="B1912" s="236"/>
      <c r="C1912" s="236"/>
      <c r="D1912" s="236"/>
      <c r="E1912" s="236"/>
      <c r="F1912" s="236"/>
      <c r="G1912" s="236"/>
      <c r="H1912" s="237"/>
      <c r="I1912" s="69">
        <f>SUM(F1887:F1911)</f>
        <v>873.49899999999991</v>
      </c>
    </row>
    <row r="1913" spans="1:10" x14ac:dyDescent="0.25">
      <c r="A1913" s="78">
        <v>46169</v>
      </c>
      <c r="C1913" s="19" t="s">
        <v>117</v>
      </c>
      <c r="D1913" s="30">
        <v>1</v>
      </c>
      <c r="E1913" s="30">
        <v>10</v>
      </c>
      <c r="F1913" s="30">
        <f t="shared" ref="F1913:F1939" si="60">E1913*D1913</f>
        <v>10</v>
      </c>
      <c r="G1913" s="30" t="s">
        <v>9</v>
      </c>
      <c r="J1913" s="30" t="s">
        <v>391</v>
      </c>
    </row>
    <row r="1914" spans="1:10" x14ac:dyDescent="0.25">
      <c r="A1914" s="78">
        <v>46169</v>
      </c>
      <c r="C1914" s="19" t="s">
        <v>684</v>
      </c>
      <c r="D1914" s="30">
        <v>2</v>
      </c>
      <c r="E1914" s="30">
        <v>10</v>
      </c>
      <c r="F1914" s="30">
        <f t="shared" si="60"/>
        <v>20</v>
      </c>
      <c r="G1914" s="30" t="s">
        <v>9</v>
      </c>
      <c r="I1914" s="139">
        <v>30</v>
      </c>
      <c r="J1914" s="30" t="s">
        <v>391</v>
      </c>
    </row>
    <row r="1915" spans="1:10" x14ac:dyDescent="0.25">
      <c r="A1915" s="78">
        <v>46169</v>
      </c>
      <c r="C1915" s="33" t="s">
        <v>541</v>
      </c>
      <c r="D1915" s="30">
        <v>1</v>
      </c>
      <c r="E1915" s="30">
        <v>69</v>
      </c>
      <c r="F1915" s="30">
        <f t="shared" si="60"/>
        <v>69</v>
      </c>
      <c r="G1915" s="30" t="s">
        <v>9</v>
      </c>
      <c r="J1915" s="30" t="s">
        <v>392</v>
      </c>
    </row>
    <row r="1916" spans="1:10" x14ac:dyDescent="0.25">
      <c r="A1916" s="78">
        <v>46169</v>
      </c>
      <c r="C1916" s="19" t="s">
        <v>716</v>
      </c>
      <c r="D1916" s="30">
        <v>0.5</v>
      </c>
      <c r="E1916" s="30">
        <v>58</v>
      </c>
      <c r="F1916" s="30">
        <f t="shared" si="60"/>
        <v>29</v>
      </c>
      <c r="G1916" s="30" t="s">
        <v>9</v>
      </c>
      <c r="J1916" s="30" t="s">
        <v>392</v>
      </c>
    </row>
    <row r="1917" spans="1:10" x14ac:dyDescent="0.25">
      <c r="A1917" s="78">
        <v>46169</v>
      </c>
      <c r="C1917" s="19" t="s">
        <v>747</v>
      </c>
      <c r="D1917" s="30">
        <v>1</v>
      </c>
      <c r="E1917" s="30">
        <v>10</v>
      </c>
      <c r="F1917" s="30">
        <f t="shared" si="60"/>
        <v>10</v>
      </c>
      <c r="G1917" s="30" t="s">
        <v>9</v>
      </c>
      <c r="J1917" s="30" t="s">
        <v>392</v>
      </c>
    </row>
    <row r="1918" spans="1:10" x14ac:dyDescent="0.25">
      <c r="A1918" s="78">
        <v>46169</v>
      </c>
      <c r="C1918" s="19" t="s">
        <v>564</v>
      </c>
      <c r="D1918" s="30">
        <v>0.1</v>
      </c>
      <c r="E1918" s="30">
        <v>290</v>
      </c>
      <c r="F1918" s="30">
        <f t="shared" si="60"/>
        <v>29</v>
      </c>
      <c r="G1918" s="30" t="s">
        <v>9</v>
      </c>
      <c r="J1918" s="30" t="s">
        <v>392</v>
      </c>
    </row>
    <row r="1919" spans="1:10" x14ac:dyDescent="0.25">
      <c r="A1919" s="78">
        <v>46169</v>
      </c>
      <c r="C1919" s="33" t="s">
        <v>704</v>
      </c>
      <c r="D1919" s="30">
        <v>2</v>
      </c>
      <c r="E1919" s="30">
        <v>39</v>
      </c>
      <c r="F1919" s="30">
        <f t="shared" si="60"/>
        <v>78</v>
      </c>
      <c r="G1919" s="30" t="s">
        <v>9</v>
      </c>
      <c r="J1919" s="30" t="s">
        <v>392</v>
      </c>
    </row>
    <row r="1920" spans="1:10" x14ac:dyDescent="0.25">
      <c r="A1920" s="78">
        <v>46169</v>
      </c>
      <c r="C1920" s="33" t="s">
        <v>778</v>
      </c>
      <c r="D1920" s="30">
        <v>1</v>
      </c>
      <c r="E1920" s="30">
        <v>20</v>
      </c>
      <c r="F1920" s="30">
        <f t="shared" si="60"/>
        <v>20</v>
      </c>
      <c r="G1920" s="30" t="s">
        <v>9</v>
      </c>
      <c r="J1920" s="30" t="s">
        <v>392</v>
      </c>
    </row>
    <row r="1921" spans="1:10" x14ac:dyDescent="0.25">
      <c r="A1921" s="78">
        <v>46169</v>
      </c>
      <c r="C1921" s="33" t="s">
        <v>638</v>
      </c>
      <c r="D1921" s="30">
        <v>1</v>
      </c>
      <c r="E1921" s="30">
        <v>30</v>
      </c>
      <c r="F1921" s="30">
        <f t="shared" si="60"/>
        <v>30</v>
      </c>
      <c r="G1921" s="30" t="s">
        <v>9</v>
      </c>
      <c r="J1921" s="30" t="s">
        <v>392</v>
      </c>
    </row>
    <row r="1922" spans="1:10" ht="30" x14ac:dyDescent="0.25">
      <c r="A1922" s="78">
        <v>46169</v>
      </c>
      <c r="C1922" s="19" t="s">
        <v>97</v>
      </c>
      <c r="D1922" s="30">
        <v>1</v>
      </c>
      <c r="E1922" s="30">
        <v>38</v>
      </c>
      <c r="F1922" s="30">
        <f t="shared" si="60"/>
        <v>38</v>
      </c>
      <c r="G1922" s="30" t="s">
        <v>9</v>
      </c>
      <c r="J1922" s="30" t="s">
        <v>392</v>
      </c>
    </row>
    <row r="1923" spans="1:10" x14ac:dyDescent="0.25">
      <c r="A1923" s="78">
        <v>46169</v>
      </c>
      <c r="C1923" s="19" t="s">
        <v>731</v>
      </c>
      <c r="D1923" s="30">
        <v>0.34</v>
      </c>
      <c r="E1923" s="30">
        <v>60</v>
      </c>
      <c r="F1923" s="30">
        <f t="shared" si="60"/>
        <v>20.400000000000002</v>
      </c>
      <c r="G1923" s="30" t="s">
        <v>9</v>
      </c>
      <c r="J1923" s="30" t="s">
        <v>392</v>
      </c>
    </row>
    <row r="1924" spans="1:10" x14ac:dyDescent="0.25">
      <c r="A1924" s="78">
        <v>46169</v>
      </c>
      <c r="C1924" s="19" t="s">
        <v>532</v>
      </c>
      <c r="D1924" s="30">
        <v>2</v>
      </c>
      <c r="E1924" s="30">
        <v>5</v>
      </c>
      <c r="F1924" s="30">
        <f t="shared" si="60"/>
        <v>10</v>
      </c>
      <c r="G1924" s="30" t="s">
        <v>9</v>
      </c>
      <c r="J1924" s="30" t="s">
        <v>392</v>
      </c>
    </row>
    <row r="1925" spans="1:10" x14ac:dyDescent="0.25">
      <c r="A1925" s="78">
        <v>46169</v>
      </c>
      <c r="C1925" s="19" t="s">
        <v>653</v>
      </c>
      <c r="D1925" s="30">
        <v>1</v>
      </c>
      <c r="E1925" s="30">
        <v>100</v>
      </c>
      <c r="F1925" s="30">
        <f t="shared" si="60"/>
        <v>100</v>
      </c>
      <c r="G1925" s="30" t="s">
        <v>9</v>
      </c>
      <c r="J1925" s="30" t="s">
        <v>392</v>
      </c>
    </row>
    <row r="1926" spans="1:10" ht="30" x14ac:dyDescent="0.25">
      <c r="A1926" s="78">
        <v>46169</v>
      </c>
      <c r="C1926" s="33" t="s">
        <v>577</v>
      </c>
      <c r="D1926" s="30">
        <v>2</v>
      </c>
      <c r="E1926" s="30">
        <v>5</v>
      </c>
      <c r="F1926" s="30">
        <f t="shared" si="60"/>
        <v>10</v>
      </c>
      <c r="G1926" s="30" t="s">
        <v>9</v>
      </c>
      <c r="J1926" s="30" t="s">
        <v>392</v>
      </c>
    </row>
    <row r="1927" spans="1:10" x14ac:dyDescent="0.25">
      <c r="A1927" s="78">
        <v>46169</v>
      </c>
      <c r="C1927" s="33" t="s">
        <v>541</v>
      </c>
      <c r="D1927" s="30">
        <v>0.5</v>
      </c>
      <c r="E1927" s="30">
        <v>70</v>
      </c>
      <c r="F1927" s="30">
        <f t="shared" si="60"/>
        <v>35</v>
      </c>
      <c r="G1927" s="30" t="s">
        <v>9</v>
      </c>
      <c r="J1927" s="30" t="s">
        <v>392</v>
      </c>
    </row>
    <row r="1928" spans="1:10" x14ac:dyDescent="0.25">
      <c r="A1928" s="78">
        <v>46169</v>
      </c>
      <c r="C1928" s="19" t="s">
        <v>532</v>
      </c>
      <c r="D1928" s="30">
        <v>1</v>
      </c>
      <c r="E1928" s="30">
        <v>5</v>
      </c>
      <c r="F1928" s="30">
        <f t="shared" si="60"/>
        <v>5</v>
      </c>
      <c r="G1928" s="30" t="s">
        <v>9</v>
      </c>
      <c r="J1928" s="30" t="s">
        <v>392</v>
      </c>
    </row>
    <row r="1929" spans="1:10" x14ac:dyDescent="0.25">
      <c r="A1929" s="78">
        <v>46169</v>
      </c>
      <c r="C1929" s="33" t="s">
        <v>782</v>
      </c>
      <c r="D1929" s="30">
        <v>4</v>
      </c>
      <c r="E1929" s="30">
        <v>9.5</v>
      </c>
      <c r="F1929" s="30">
        <f t="shared" si="60"/>
        <v>38</v>
      </c>
      <c r="G1929" s="30" t="s">
        <v>9</v>
      </c>
      <c r="J1929" s="30" t="s">
        <v>392</v>
      </c>
    </row>
    <row r="1930" spans="1:10" x14ac:dyDescent="0.25">
      <c r="A1930" s="78">
        <v>46169</v>
      </c>
      <c r="C1930" s="33" t="s">
        <v>587</v>
      </c>
      <c r="D1930" s="30">
        <v>0.51200000000000001</v>
      </c>
      <c r="E1930" s="30">
        <v>58</v>
      </c>
      <c r="F1930" s="30">
        <f t="shared" si="60"/>
        <v>29.696000000000002</v>
      </c>
      <c r="G1930" s="30" t="s">
        <v>9</v>
      </c>
      <c r="J1930" s="30" t="s">
        <v>392</v>
      </c>
    </row>
    <row r="1931" spans="1:10" x14ac:dyDescent="0.25">
      <c r="A1931" s="78">
        <v>46169</v>
      </c>
      <c r="C1931" s="33" t="s">
        <v>778</v>
      </c>
      <c r="D1931" s="30">
        <v>1</v>
      </c>
      <c r="E1931" s="30">
        <v>20</v>
      </c>
      <c r="F1931" s="30">
        <f t="shared" si="60"/>
        <v>20</v>
      </c>
      <c r="G1931" s="30" t="s">
        <v>9</v>
      </c>
      <c r="J1931" s="30" t="s">
        <v>392</v>
      </c>
    </row>
    <row r="1932" spans="1:10" x14ac:dyDescent="0.25">
      <c r="A1932" s="78">
        <v>46169</v>
      </c>
      <c r="C1932" s="19" t="s">
        <v>779</v>
      </c>
      <c r="D1932" s="30">
        <v>1</v>
      </c>
      <c r="E1932" s="30">
        <v>30</v>
      </c>
      <c r="F1932" s="30">
        <f t="shared" si="60"/>
        <v>30</v>
      </c>
      <c r="G1932" s="30" t="s">
        <v>9</v>
      </c>
      <c r="J1932" s="30" t="s">
        <v>392</v>
      </c>
    </row>
    <row r="1933" spans="1:10" x14ac:dyDescent="0.25">
      <c r="A1933" s="78">
        <v>46169</v>
      </c>
      <c r="C1933" s="19" t="s">
        <v>567</v>
      </c>
      <c r="D1933" s="30">
        <v>5</v>
      </c>
      <c r="E1933" s="30">
        <v>2</v>
      </c>
      <c r="F1933" s="30">
        <f t="shared" si="60"/>
        <v>10</v>
      </c>
      <c r="G1933" s="30" t="s">
        <v>9</v>
      </c>
      <c r="J1933" s="30" t="s">
        <v>392</v>
      </c>
    </row>
    <row r="1934" spans="1:10" x14ac:dyDescent="0.25">
      <c r="A1934" s="78">
        <v>46169</v>
      </c>
      <c r="C1934" s="19" t="s">
        <v>695</v>
      </c>
      <c r="D1934" s="30">
        <v>1</v>
      </c>
      <c r="E1934" s="30">
        <v>30</v>
      </c>
      <c r="F1934" s="30">
        <f t="shared" si="60"/>
        <v>30</v>
      </c>
      <c r="G1934" s="30" t="s">
        <v>9</v>
      </c>
      <c r="J1934" s="30" t="s">
        <v>392</v>
      </c>
    </row>
    <row r="1935" spans="1:10" x14ac:dyDescent="0.25">
      <c r="A1935" s="78">
        <v>46169</v>
      </c>
      <c r="C1935" s="19" t="s">
        <v>736</v>
      </c>
      <c r="D1935" s="30">
        <v>1</v>
      </c>
      <c r="E1935" s="30">
        <v>60</v>
      </c>
      <c r="F1935" s="30">
        <f t="shared" si="60"/>
        <v>60</v>
      </c>
      <c r="G1935" s="30" t="s">
        <v>9</v>
      </c>
      <c r="J1935" s="30" t="s">
        <v>392</v>
      </c>
    </row>
    <row r="1936" spans="1:10" x14ac:dyDescent="0.25">
      <c r="A1936" s="78">
        <v>46169</v>
      </c>
      <c r="C1936" s="33" t="s">
        <v>375</v>
      </c>
      <c r="D1936" s="30">
        <v>2</v>
      </c>
      <c r="E1936" s="30">
        <v>1</v>
      </c>
      <c r="F1936" s="30">
        <f t="shared" si="60"/>
        <v>2</v>
      </c>
      <c r="G1936" s="30" t="s">
        <v>9</v>
      </c>
      <c r="J1936" s="30" t="s">
        <v>392</v>
      </c>
    </row>
    <row r="1937" spans="1:10" x14ac:dyDescent="0.25">
      <c r="A1937" s="78">
        <v>46169</v>
      </c>
      <c r="C1937" s="19" t="str">
        <f>'Stock Register'!A368</f>
        <v>MODERN DALMOOT 250 GM LOT 2</v>
      </c>
      <c r="D1937" s="30">
        <v>1</v>
      </c>
      <c r="E1937" s="30">
        <v>60</v>
      </c>
      <c r="F1937" s="30">
        <f t="shared" si="60"/>
        <v>60</v>
      </c>
      <c r="G1937" s="30" t="s">
        <v>9</v>
      </c>
      <c r="J1937" s="30" t="s">
        <v>392</v>
      </c>
    </row>
    <row r="1938" spans="1:10" x14ac:dyDescent="0.25">
      <c r="A1938" s="78">
        <v>46169</v>
      </c>
      <c r="C1938" s="19" t="s">
        <v>733</v>
      </c>
      <c r="D1938" s="30">
        <v>20</v>
      </c>
      <c r="E1938" s="30">
        <v>50</v>
      </c>
      <c r="F1938" s="30">
        <f t="shared" si="60"/>
        <v>1000</v>
      </c>
      <c r="G1938" s="30" t="s">
        <v>9</v>
      </c>
      <c r="J1938" s="30" t="s">
        <v>392</v>
      </c>
    </row>
    <row r="1939" spans="1:10" x14ac:dyDescent="0.25">
      <c r="A1939" s="78">
        <v>46169</v>
      </c>
      <c r="C1939" s="61" t="s">
        <v>87</v>
      </c>
      <c r="D1939" s="30">
        <v>1</v>
      </c>
      <c r="E1939" s="30">
        <v>82</v>
      </c>
      <c r="F1939" s="30">
        <f t="shared" si="60"/>
        <v>82</v>
      </c>
      <c r="G1939" s="30" t="s">
        <v>9</v>
      </c>
      <c r="I1939" s="139">
        <f>SUM(F1915:F1939)</f>
        <v>1845.096</v>
      </c>
      <c r="J1939" s="30" t="s">
        <v>392</v>
      </c>
    </row>
    <row r="1940" spans="1:10" s="69" customFormat="1" ht="18.75" x14ac:dyDescent="0.3">
      <c r="A1940" s="235" t="s">
        <v>437</v>
      </c>
      <c r="B1940" s="236"/>
      <c r="C1940" s="236"/>
      <c r="D1940" s="236"/>
      <c r="E1940" s="236"/>
      <c r="F1940" s="236"/>
      <c r="G1940" s="236"/>
      <c r="H1940" s="237"/>
      <c r="I1940" s="69">
        <f>SUM(I1939,I1914)</f>
        <v>1875.096</v>
      </c>
    </row>
    <row r="1941" spans="1:10" x14ac:dyDescent="0.25">
      <c r="A1941" s="78">
        <v>46170</v>
      </c>
      <c r="C1941" s="19" t="s">
        <v>733</v>
      </c>
      <c r="D1941" s="30">
        <v>26</v>
      </c>
      <c r="E1941" s="30">
        <v>50</v>
      </c>
      <c r="F1941" s="30">
        <f t="shared" ref="F1941:F1977" si="61">E1941*D1941</f>
        <v>1300</v>
      </c>
      <c r="G1941" s="30" t="s">
        <v>9</v>
      </c>
      <c r="J1941" s="30" t="s">
        <v>391</v>
      </c>
    </row>
    <row r="1942" spans="1:10" x14ac:dyDescent="0.25">
      <c r="A1942" s="78">
        <v>46170</v>
      </c>
      <c r="C1942" s="33" t="s">
        <v>804</v>
      </c>
      <c r="D1942" s="30">
        <v>5</v>
      </c>
      <c r="E1942" s="30">
        <v>2</v>
      </c>
      <c r="F1942" s="30">
        <f t="shared" si="61"/>
        <v>10</v>
      </c>
      <c r="G1942" s="30" t="s">
        <v>9</v>
      </c>
      <c r="J1942" s="30" t="s">
        <v>391</v>
      </c>
    </row>
    <row r="1943" spans="1:10" x14ac:dyDescent="0.25">
      <c r="A1943" s="78">
        <v>46170</v>
      </c>
      <c r="C1943" s="19" t="s">
        <v>782</v>
      </c>
      <c r="D1943" s="30">
        <v>30</v>
      </c>
      <c r="E1943" s="30">
        <v>8</v>
      </c>
      <c r="F1943" s="30">
        <f t="shared" si="61"/>
        <v>240</v>
      </c>
      <c r="G1943" s="30" t="s">
        <v>9</v>
      </c>
      <c r="J1943" s="30" t="s">
        <v>391</v>
      </c>
    </row>
    <row r="1944" spans="1:10" x14ac:dyDescent="0.25">
      <c r="A1944" s="78">
        <v>46170</v>
      </c>
      <c r="C1944" s="33" t="s">
        <v>576</v>
      </c>
      <c r="D1944" s="30">
        <v>4</v>
      </c>
      <c r="E1944" s="30">
        <v>5</v>
      </c>
      <c r="F1944" s="30">
        <f t="shared" si="61"/>
        <v>20</v>
      </c>
      <c r="G1944" s="30" t="s">
        <v>9</v>
      </c>
      <c r="J1944" s="30" t="s">
        <v>391</v>
      </c>
    </row>
    <row r="1945" spans="1:10" x14ac:dyDescent="0.25">
      <c r="A1945" s="78">
        <v>46170</v>
      </c>
      <c r="C1945" s="33" t="s">
        <v>567</v>
      </c>
      <c r="D1945" s="30">
        <v>5</v>
      </c>
      <c r="E1945" s="30">
        <v>2</v>
      </c>
      <c r="F1945" s="30">
        <f t="shared" si="61"/>
        <v>10</v>
      </c>
      <c r="G1945" s="30" t="s">
        <v>9</v>
      </c>
      <c r="J1945" s="30" t="s">
        <v>391</v>
      </c>
    </row>
    <row r="1946" spans="1:10" x14ac:dyDescent="0.25">
      <c r="A1946" s="78">
        <v>46170</v>
      </c>
      <c r="C1946" s="33" t="s">
        <v>375</v>
      </c>
      <c r="D1946" s="30">
        <v>10</v>
      </c>
      <c r="E1946" s="30">
        <v>1</v>
      </c>
      <c r="F1946" s="30">
        <f t="shared" si="61"/>
        <v>10</v>
      </c>
      <c r="G1946" s="30" t="s">
        <v>9</v>
      </c>
      <c r="J1946" s="30" t="s">
        <v>391</v>
      </c>
    </row>
    <row r="1947" spans="1:10" x14ac:dyDescent="0.25">
      <c r="A1947" s="78">
        <v>46170</v>
      </c>
      <c r="C1947" s="33" t="s">
        <v>581</v>
      </c>
      <c r="D1947" s="30">
        <v>3</v>
      </c>
      <c r="E1947" s="30">
        <v>1</v>
      </c>
      <c r="F1947" s="30">
        <f t="shared" si="61"/>
        <v>3</v>
      </c>
      <c r="G1947" s="30" t="s">
        <v>9</v>
      </c>
      <c r="J1947" s="30" t="s">
        <v>391</v>
      </c>
    </row>
    <row r="1948" spans="1:10" x14ac:dyDescent="0.25">
      <c r="A1948" s="78">
        <v>46170</v>
      </c>
      <c r="C1948" s="19" t="s">
        <v>670</v>
      </c>
      <c r="D1948" s="30">
        <v>1</v>
      </c>
      <c r="E1948" s="30">
        <v>10</v>
      </c>
      <c r="F1948" s="30">
        <f t="shared" si="61"/>
        <v>10</v>
      </c>
      <c r="G1948" s="30" t="s">
        <v>9</v>
      </c>
      <c r="J1948" s="30" t="s">
        <v>391</v>
      </c>
    </row>
    <row r="1949" spans="1:10" x14ac:dyDescent="0.25">
      <c r="A1949" s="78">
        <v>46170</v>
      </c>
      <c r="C1949" s="19" t="s">
        <v>733</v>
      </c>
      <c r="D1949" s="30">
        <v>52</v>
      </c>
      <c r="E1949" s="30">
        <v>50.38</v>
      </c>
      <c r="F1949" s="30">
        <f t="shared" si="61"/>
        <v>2619.7600000000002</v>
      </c>
      <c r="G1949" s="30" t="s">
        <v>9</v>
      </c>
      <c r="J1949" s="30" t="s">
        <v>391</v>
      </c>
    </row>
    <row r="1950" spans="1:10" x14ac:dyDescent="0.25">
      <c r="A1950" s="78">
        <v>46170</v>
      </c>
      <c r="C1950" s="19" t="s">
        <v>162</v>
      </c>
      <c r="D1950" s="30">
        <v>1</v>
      </c>
      <c r="E1950" s="30">
        <v>15</v>
      </c>
      <c r="F1950" s="30">
        <f t="shared" si="61"/>
        <v>15</v>
      </c>
      <c r="G1950" s="30" t="s">
        <v>9</v>
      </c>
      <c r="J1950" s="30" t="s">
        <v>391</v>
      </c>
    </row>
    <row r="1951" spans="1:10" x14ac:dyDescent="0.25">
      <c r="A1951" s="78">
        <v>46170</v>
      </c>
      <c r="C1951" s="33" t="s">
        <v>448</v>
      </c>
      <c r="D1951" s="30">
        <v>1</v>
      </c>
      <c r="E1951" s="30">
        <v>10</v>
      </c>
      <c r="F1951" s="30">
        <f t="shared" si="61"/>
        <v>10</v>
      </c>
      <c r="G1951" s="30" t="s">
        <v>9</v>
      </c>
      <c r="J1951" s="30" t="s">
        <v>391</v>
      </c>
    </row>
    <row r="1952" spans="1:10" x14ac:dyDescent="0.25">
      <c r="A1952" s="78">
        <v>46170</v>
      </c>
      <c r="C1952" s="33" t="s">
        <v>638</v>
      </c>
      <c r="D1952" s="30">
        <v>1</v>
      </c>
      <c r="E1952" s="30">
        <v>30</v>
      </c>
      <c r="F1952" s="30">
        <f t="shared" si="61"/>
        <v>30</v>
      </c>
      <c r="G1952" s="30" t="s">
        <v>9</v>
      </c>
      <c r="J1952" s="30" t="s">
        <v>391</v>
      </c>
    </row>
    <row r="1953" spans="1:10" x14ac:dyDescent="0.25">
      <c r="A1953" s="78">
        <v>46170</v>
      </c>
      <c r="C1953" s="33" t="s">
        <v>762</v>
      </c>
      <c r="D1953" s="30">
        <v>1</v>
      </c>
      <c r="E1953" s="30">
        <v>10</v>
      </c>
      <c r="F1953" s="30">
        <f t="shared" si="61"/>
        <v>10</v>
      </c>
      <c r="G1953" s="30" t="s">
        <v>9</v>
      </c>
      <c r="J1953" s="30" t="s">
        <v>391</v>
      </c>
    </row>
    <row r="1954" spans="1:10" x14ac:dyDescent="0.25">
      <c r="A1954" s="78">
        <v>46170</v>
      </c>
      <c r="C1954" s="33" t="s">
        <v>541</v>
      </c>
      <c r="D1954" s="30">
        <v>0.5</v>
      </c>
      <c r="E1954" s="30">
        <v>70</v>
      </c>
      <c r="F1954" s="30">
        <f t="shared" si="61"/>
        <v>35</v>
      </c>
      <c r="G1954" s="30" t="s">
        <v>9</v>
      </c>
      <c r="J1954" s="30" t="s">
        <v>391</v>
      </c>
    </row>
    <row r="1955" spans="1:10" x14ac:dyDescent="0.25">
      <c r="A1955" s="78">
        <v>46170</v>
      </c>
      <c r="C1955" s="33" t="s">
        <v>785</v>
      </c>
      <c r="D1955" s="30">
        <v>5</v>
      </c>
      <c r="E1955" s="30">
        <v>1</v>
      </c>
      <c r="F1955" s="30">
        <f t="shared" si="61"/>
        <v>5</v>
      </c>
      <c r="G1955" s="30" t="s">
        <v>9</v>
      </c>
      <c r="J1955" s="30" t="s">
        <v>391</v>
      </c>
    </row>
    <row r="1956" spans="1:10" x14ac:dyDescent="0.25">
      <c r="A1956" s="78">
        <v>46170</v>
      </c>
      <c r="C1956" s="19" t="s">
        <v>698</v>
      </c>
      <c r="D1956" s="30">
        <v>1</v>
      </c>
      <c r="E1956" s="30">
        <v>40</v>
      </c>
      <c r="F1956" s="30">
        <f t="shared" si="61"/>
        <v>40</v>
      </c>
      <c r="G1956" s="30" t="s">
        <v>9</v>
      </c>
      <c r="J1956" s="30" t="s">
        <v>391</v>
      </c>
    </row>
    <row r="1957" spans="1:10" x14ac:dyDescent="0.25">
      <c r="A1957" s="78">
        <v>46170</v>
      </c>
      <c r="C1957" s="19" t="s">
        <v>151</v>
      </c>
      <c r="D1957" s="30">
        <v>2</v>
      </c>
      <c r="E1957" s="30">
        <v>10</v>
      </c>
      <c r="F1957" s="30">
        <f t="shared" si="61"/>
        <v>20</v>
      </c>
      <c r="G1957" s="30" t="s">
        <v>9</v>
      </c>
      <c r="J1957" s="30" t="s">
        <v>391</v>
      </c>
    </row>
    <row r="1958" spans="1:10" x14ac:dyDescent="0.25">
      <c r="A1958" s="78">
        <v>46170</v>
      </c>
      <c r="C1958" s="19" t="s">
        <v>518</v>
      </c>
      <c r="D1958" s="30">
        <v>1</v>
      </c>
      <c r="E1958" s="30">
        <v>70</v>
      </c>
      <c r="F1958" s="30">
        <f t="shared" si="61"/>
        <v>70</v>
      </c>
      <c r="G1958" s="30" t="s">
        <v>9</v>
      </c>
      <c r="J1958" s="30" t="s">
        <v>391</v>
      </c>
    </row>
    <row r="1959" spans="1:10" x14ac:dyDescent="0.25">
      <c r="A1959" s="78">
        <v>46170</v>
      </c>
      <c r="C1959" s="19" t="str">
        <f>'Stock Register'!A218</f>
        <v>WHOLE JEERA LOT 1</v>
      </c>
      <c r="D1959" s="30">
        <v>4.1000000000000002E-2</v>
      </c>
      <c r="E1959" s="30">
        <v>420</v>
      </c>
      <c r="F1959" s="30">
        <f t="shared" si="61"/>
        <v>17.220000000000002</v>
      </c>
      <c r="G1959" s="30" t="s">
        <v>9</v>
      </c>
      <c r="J1959" s="30" t="s">
        <v>391</v>
      </c>
    </row>
    <row r="1960" spans="1:10" x14ac:dyDescent="0.25">
      <c r="A1960" s="78">
        <v>46170</v>
      </c>
      <c r="C1960" s="33" t="str">
        <f>'Stock Register'!A220</f>
        <v>WHOLE KALIJEERA LOT 1</v>
      </c>
      <c r="D1960" s="30">
        <v>0.16700000000000001</v>
      </c>
      <c r="E1960" s="30">
        <v>120</v>
      </c>
      <c r="F1960" s="30">
        <f t="shared" si="61"/>
        <v>20.040000000000003</v>
      </c>
      <c r="G1960" s="30" t="s">
        <v>9</v>
      </c>
      <c r="J1960" s="30" t="s">
        <v>391</v>
      </c>
    </row>
    <row r="1961" spans="1:10" x14ac:dyDescent="0.25">
      <c r="A1961" s="78">
        <v>46170</v>
      </c>
      <c r="C1961" s="19" t="s">
        <v>380</v>
      </c>
      <c r="D1961" s="30">
        <v>1</v>
      </c>
      <c r="E1961" s="30">
        <v>10</v>
      </c>
      <c r="F1961" s="30">
        <f t="shared" si="61"/>
        <v>10</v>
      </c>
      <c r="G1961" s="30" t="s">
        <v>9</v>
      </c>
      <c r="J1961" s="30" t="s">
        <v>391</v>
      </c>
    </row>
    <row r="1962" spans="1:10" x14ac:dyDescent="0.25">
      <c r="A1962" s="78">
        <v>46170</v>
      </c>
      <c r="C1962" s="61" t="s">
        <v>60</v>
      </c>
      <c r="D1962" s="30">
        <v>2</v>
      </c>
      <c r="E1962" s="30">
        <v>10</v>
      </c>
      <c r="F1962" s="30">
        <f t="shared" si="61"/>
        <v>20</v>
      </c>
      <c r="G1962" s="30" t="s">
        <v>9</v>
      </c>
      <c r="J1962" s="30" t="s">
        <v>391</v>
      </c>
    </row>
    <row r="1963" spans="1:10" x14ac:dyDescent="0.25">
      <c r="A1963" s="78">
        <v>46170</v>
      </c>
      <c r="C1963" s="19" t="s">
        <v>767</v>
      </c>
      <c r="D1963" s="30">
        <v>1</v>
      </c>
      <c r="E1963" s="30">
        <v>10</v>
      </c>
      <c r="F1963" s="30">
        <f t="shared" si="61"/>
        <v>10</v>
      </c>
      <c r="G1963" s="30" t="s">
        <v>9</v>
      </c>
      <c r="J1963" s="30" t="s">
        <v>391</v>
      </c>
    </row>
    <row r="1964" spans="1:10" x14ac:dyDescent="0.25">
      <c r="A1964" s="78">
        <v>46170</v>
      </c>
      <c r="C1964" s="19" t="s">
        <v>386</v>
      </c>
      <c r="D1964" s="30">
        <v>1</v>
      </c>
      <c r="E1964" s="30">
        <v>10</v>
      </c>
      <c r="F1964" s="30">
        <f t="shared" si="61"/>
        <v>10</v>
      </c>
      <c r="G1964" s="30" t="s">
        <v>9</v>
      </c>
      <c r="J1964" s="30" t="s">
        <v>391</v>
      </c>
    </row>
    <row r="1965" spans="1:10" x14ac:dyDescent="0.25">
      <c r="A1965" s="78">
        <v>46170</v>
      </c>
      <c r="C1965" s="19" t="s">
        <v>782</v>
      </c>
      <c r="D1965" s="30">
        <v>2</v>
      </c>
      <c r="E1965" s="30">
        <v>9</v>
      </c>
      <c r="F1965" s="30">
        <f t="shared" si="61"/>
        <v>18</v>
      </c>
      <c r="G1965" s="30" t="s">
        <v>9</v>
      </c>
      <c r="J1965" s="30" t="s">
        <v>391</v>
      </c>
    </row>
    <row r="1966" spans="1:10" x14ac:dyDescent="0.25">
      <c r="A1966" s="78">
        <v>46170</v>
      </c>
      <c r="C1966" s="19" t="s">
        <v>751</v>
      </c>
      <c r="D1966" s="30">
        <v>1</v>
      </c>
      <c r="E1966" s="30">
        <v>100</v>
      </c>
      <c r="F1966" s="30">
        <f t="shared" si="61"/>
        <v>100</v>
      </c>
      <c r="G1966" s="30" t="s">
        <v>9</v>
      </c>
      <c r="J1966" s="30" t="s">
        <v>391</v>
      </c>
    </row>
    <row r="1967" spans="1:10" x14ac:dyDescent="0.25">
      <c r="A1967" s="78">
        <v>46170</v>
      </c>
      <c r="C1967" s="19" t="s">
        <v>645</v>
      </c>
      <c r="D1967" s="30">
        <v>2</v>
      </c>
      <c r="E1967" s="30">
        <v>10</v>
      </c>
      <c r="F1967" s="30">
        <f t="shared" si="61"/>
        <v>20</v>
      </c>
      <c r="G1967" s="30" t="s">
        <v>9</v>
      </c>
      <c r="I1967" s="139">
        <f>SUM(F1941:F1967)</f>
        <v>4683.0200000000004</v>
      </c>
      <c r="J1967" s="30" t="s">
        <v>391</v>
      </c>
    </row>
    <row r="1968" spans="1:10" x14ac:dyDescent="0.25">
      <c r="A1968" s="78">
        <v>46170</v>
      </c>
      <c r="C1968" s="19" t="s">
        <v>695</v>
      </c>
      <c r="D1968" s="30">
        <v>1</v>
      </c>
      <c r="E1968" s="30">
        <v>30</v>
      </c>
      <c r="F1968" s="30">
        <f t="shared" si="61"/>
        <v>30</v>
      </c>
      <c r="G1968" s="30" t="s">
        <v>9</v>
      </c>
      <c r="J1968" s="30" t="s">
        <v>392</v>
      </c>
    </row>
    <row r="1969" spans="1:10" x14ac:dyDescent="0.25">
      <c r="A1969" s="78">
        <v>46170</v>
      </c>
      <c r="C1969" s="19" t="s">
        <v>684</v>
      </c>
      <c r="D1969" s="30">
        <v>4</v>
      </c>
      <c r="E1969" s="30">
        <v>9.5</v>
      </c>
      <c r="F1969" s="30">
        <f t="shared" si="61"/>
        <v>38</v>
      </c>
      <c r="G1969" s="30" t="s">
        <v>9</v>
      </c>
      <c r="J1969" s="30" t="s">
        <v>392</v>
      </c>
    </row>
    <row r="1970" spans="1:10" x14ac:dyDescent="0.25">
      <c r="A1970" s="78">
        <v>46170</v>
      </c>
      <c r="C1970" s="33" t="s">
        <v>549</v>
      </c>
      <c r="D1970" s="30">
        <v>1</v>
      </c>
      <c r="E1970" s="30">
        <v>25</v>
      </c>
      <c r="F1970" s="30">
        <f t="shared" si="61"/>
        <v>25</v>
      </c>
      <c r="G1970" s="30" t="s">
        <v>9</v>
      </c>
      <c r="J1970" s="30" t="s">
        <v>392</v>
      </c>
    </row>
    <row r="1971" spans="1:10" x14ac:dyDescent="0.25">
      <c r="A1971" s="78">
        <v>46170</v>
      </c>
      <c r="C1971" s="19" t="s">
        <v>679</v>
      </c>
      <c r="D1971" s="30">
        <v>1</v>
      </c>
      <c r="E1971" s="30">
        <v>20</v>
      </c>
      <c r="F1971" s="30">
        <f t="shared" si="61"/>
        <v>20</v>
      </c>
      <c r="G1971" s="30" t="s">
        <v>9</v>
      </c>
      <c r="J1971" s="30" t="s">
        <v>392</v>
      </c>
    </row>
    <row r="1972" spans="1:10" x14ac:dyDescent="0.25">
      <c r="A1972" s="78">
        <v>46170</v>
      </c>
      <c r="C1972" s="19" t="s">
        <v>724</v>
      </c>
      <c r="D1972" s="30">
        <v>2</v>
      </c>
      <c r="E1972" s="30">
        <v>10</v>
      </c>
      <c r="F1972" s="30">
        <f t="shared" si="61"/>
        <v>20</v>
      </c>
      <c r="G1972" s="30" t="s">
        <v>9</v>
      </c>
      <c r="J1972" s="30" t="s">
        <v>392</v>
      </c>
    </row>
    <row r="1973" spans="1:10" x14ac:dyDescent="0.25">
      <c r="A1973" s="78">
        <v>46170</v>
      </c>
      <c r="C1973" s="33" t="s">
        <v>633</v>
      </c>
      <c r="D1973" s="30">
        <v>3</v>
      </c>
      <c r="E1973" s="30">
        <v>10</v>
      </c>
      <c r="F1973" s="30">
        <f t="shared" si="61"/>
        <v>30</v>
      </c>
      <c r="G1973" s="30" t="s">
        <v>9</v>
      </c>
      <c r="J1973" s="30" t="s">
        <v>392</v>
      </c>
    </row>
    <row r="1974" spans="1:10" x14ac:dyDescent="0.25">
      <c r="A1974" s="78">
        <v>46170</v>
      </c>
      <c r="C1974" s="33" t="s">
        <v>605</v>
      </c>
      <c r="D1974" s="30">
        <v>1</v>
      </c>
      <c r="E1974" s="30">
        <v>199</v>
      </c>
      <c r="F1974" s="30">
        <f t="shared" si="61"/>
        <v>199</v>
      </c>
      <c r="G1974" s="30" t="s">
        <v>9</v>
      </c>
      <c r="J1974" s="30" t="s">
        <v>392</v>
      </c>
    </row>
    <row r="1975" spans="1:10" x14ac:dyDescent="0.25">
      <c r="A1975" s="78">
        <v>46170</v>
      </c>
      <c r="C1975" s="19" t="s">
        <v>829</v>
      </c>
      <c r="D1975" s="30">
        <v>3</v>
      </c>
      <c r="E1975" s="30">
        <v>195</v>
      </c>
      <c r="F1975" s="30">
        <f t="shared" si="61"/>
        <v>585</v>
      </c>
      <c r="G1975" s="30" t="s">
        <v>9</v>
      </c>
      <c r="J1975" s="30" t="s">
        <v>392</v>
      </c>
    </row>
    <row r="1976" spans="1:10" x14ac:dyDescent="0.25">
      <c r="A1976" s="78">
        <v>46170</v>
      </c>
      <c r="C1976" s="19" t="s">
        <v>684</v>
      </c>
      <c r="D1976" s="30">
        <v>2</v>
      </c>
      <c r="E1976" s="30">
        <v>10</v>
      </c>
      <c r="F1976" s="30">
        <f t="shared" si="61"/>
        <v>20</v>
      </c>
      <c r="G1976" s="30" t="s">
        <v>9</v>
      </c>
      <c r="J1976" s="30" t="s">
        <v>392</v>
      </c>
    </row>
    <row r="1977" spans="1:10" ht="30" x14ac:dyDescent="0.25">
      <c r="A1977" s="78">
        <v>46170</v>
      </c>
      <c r="C1977" s="19" t="s">
        <v>426</v>
      </c>
      <c r="D1977" s="30">
        <v>1</v>
      </c>
      <c r="E1977" s="30">
        <v>10</v>
      </c>
      <c r="F1977" s="30">
        <f t="shared" si="61"/>
        <v>10</v>
      </c>
      <c r="G1977" s="30" t="s">
        <v>9</v>
      </c>
      <c r="I1977" s="139">
        <f>SUM(F1968:F1978)</f>
        <v>977</v>
      </c>
      <c r="J1977" s="30" t="s">
        <v>392</v>
      </c>
    </row>
    <row r="1978" spans="1:10" s="69" customFormat="1" ht="18.75" x14ac:dyDescent="0.3">
      <c r="A1978" s="235" t="s">
        <v>437</v>
      </c>
      <c r="B1978" s="236"/>
      <c r="C1978" s="236"/>
      <c r="D1978" s="236"/>
      <c r="E1978" s="236"/>
      <c r="F1978" s="236"/>
      <c r="G1978" s="236"/>
      <c r="H1978" s="237"/>
      <c r="I1978" s="69">
        <f>SUM(I1977,I1967)</f>
        <v>5660.02</v>
      </c>
    </row>
    <row r="1979" spans="1:10" x14ac:dyDescent="0.25">
      <c r="A1979" s="78">
        <v>46171</v>
      </c>
      <c r="C1979" s="61" t="s">
        <v>60</v>
      </c>
      <c r="D1979" s="30">
        <v>1</v>
      </c>
      <c r="E1979" s="30">
        <v>10</v>
      </c>
      <c r="F1979" s="30">
        <f t="shared" ref="F1979:F2009" si="62">E1979*D1979</f>
        <v>10</v>
      </c>
      <c r="G1979" s="30" t="s">
        <v>9</v>
      </c>
      <c r="J1979" s="30" t="s">
        <v>391</v>
      </c>
    </row>
    <row r="1980" spans="1:10" x14ac:dyDescent="0.25">
      <c r="A1980" s="78">
        <v>46171</v>
      </c>
      <c r="C1980" s="33" t="s">
        <v>626</v>
      </c>
      <c r="D1980" s="30">
        <v>1</v>
      </c>
      <c r="E1980" s="30">
        <v>10</v>
      </c>
      <c r="F1980" s="30">
        <f t="shared" si="62"/>
        <v>10</v>
      </c>
      <c r="G1980" s="30" t="s">
        <v>9</v>
      </c>
      <c r="J1980" s="30" t="s">
        <v>391</v>
      </c>
    </row>
    <row r="1981" spans="1:10" x14ac:dyDescent="0.25">
      <c r="A1981" s="78">
        <v>46171</v>
      </c>
      <c r="C1981" s="33" t="s">
        <v>778</v>
      </c>
      <c r="D1981" s="30">
        <v>1</v>
      </c>
      <c r="E1981" s="30">
        <v>20</v>
      </c>
      <c r="F1981" s="30">
        <f t="shared" si="62"/>
        <v>20</v>
      </c>
      <c r="G1981" s="30" t="s">
        <v>9</v>
      </c>
      <c r="J1981" s="30" t="s">
        <v>391</v>
      </c>
    </row>
    <row r="1982" spans="1:10" x14ac:dyDescent="0.25">
      <c r="A1982" s="78">
        <v>46171</v>
      </c>
      <c r="C1982" s="33" t="s">
        <v>638</v>
      </c>
      <c r="D1982" s="30">
        <v>1</v>
      </c>
      <c r="E1982" s="30">
        <v>30</v>
      </c>
      <c r="F1982" s="30">
        <f t="shared" si="62"/>
        <v>30</v>
      </c>
      <c r="G1982" s="30" t="s">
        <v>9</v>
      </c>
      <c r="J1982" s="30" t="s">
        <v>391</v>
      </c>
    </row>
    <row r="1983" spans="1:10" x14ac:dyDescent="0.25">
      <c r="A1983" s="78">
        <v>46171</v>
      </c>
      <c r="C1983" s="33" t="s">
        <v>135</v>
      </c>
      <c r="D1983" s="30">
        <v>2</v>
      </c>
      <c r="E1983" s="30">
        <v>14</v>
      </c>
      <c r="F1983" s="30">
        <f t="shared" si="62"/>
        <v>28</v>
      </c>
      <c r="G1983" s="30" t="s">
        <v>9</v>
      </c>
      <c r="J1983" s="30" t="s">
        <v>391</v>
      </c>
    </row>
    <row r="1984" spans="1:10" x14ac:dyDescent="0.25">
      <c r="A1984" s="78">
        <v>46171</v>
      </c>
      <c r="C1984" s="19" t="s">
        <v>767</v>
      </c>
      <c r="D1984" s="30">
        <v>1</v>
      </c>
      <c r="E1984" s="30">
        <v>10</v>
      </c>
      <c r="F1984" s="30">
        <f t="shared" si="62"/>
        <v>10</v>
      </c>
      <c r="G1984" s="30" t="s">
        <v>9</v>
      </c>
      <c r="J1984" s="30" t="s">
        <v>391</v>
      </c>
    </row>
    <row r="1985" spans="1:10" ht="30" x14ac:dyDescent="0.25">
      <c r="A1985" s="78">
        <v>46171</v>
      </c>
      <c r="C1985" s="19" t="s">
        <v>589</v>
      </c>
      <c r="D1985" s="30">
        <v>7.1999999999999995E-2</v>
      </c>
      <c r="E1985" s="30">
        <v>138</v>
      </c>
      <c r="F1985" s="30">
        <f t="shared" si="62"/>
        <v>9.9359999999999999</v>
      </c>
      <c r="G1985" s="30" t="s">
        <v>9</v>
      </c>
      <c r="I1985" s="139">
        <f>SUM(F1979:F1985)</f>
        <v>117.93600000000001</v>
      </c>
      <c r="J1985" s="30" t="s">
        <v>391</v>
      </c>
    </row>
    <row r="1986" spans="1:10" x14ac:dyDescent="0.25">
      <c r="A1986" s="78">
        <v>46171</v>
      </c>
      <c r="C1986" s="19" t="s">
        <v>805</v>
      </c>
      <c r="D1986" s="30">
        <v>26</v>
      </c>
      <c r="E1986" s="30">
        <v>54.6</v>
      </c>
      <c r="F1986" s="30">
        <f t="shared" si="62"/>
        <v>1419.6000000000001</v>
      </c>
      <c r="G1986" s="30" t="s">
        <v>9</v>
      </c>
      <c r="J1986" s="30" t="s">
        <v>392</v>
      </c>
    </row>
    <row r="1987" spans="1:10" x14ac:dyDescent="0.25">
      <c r="A1987" s="78">
        <v>46171</v>
      </c>
      <c r="C1987" s="19" t="s">
        <v>831</v>
      </c>
      <c r="D1987" s="30">
        <v>1</v>
      </c>
      <c r="E1987" s="30">
        <v>480</v>
      </c>
      <c r="F1987" s="30">
        <f t="shared" si="62"/>
        <v>480</v>
      </c>
      <c r="G1987" s="30" t="s">
        <v>9</v>
      </c>
      <c r="J1987" s="30" t="s">
        <v>392</v>
      </c>
    </row>
    <row r="1988" spans="1:10" x14ac:dyDescent="0.25">
      <c r="A1988" s="78">
        <v>46171</v>
      </c>
      <c r="C1988" s="19" t="s">
        <v>824</v>
      </c>
      <c r="D1988" s="30">
        <v>1</v>
      </c>
      <c r="E1988" s="30">
        <v>500</v>
      </c>
      <c r="F1988" s="30">
        <f t="shared" si="62"/>
        <v>500</v>
      </c>
      <c r="G1988" s="30" t="s">
        <v>9</v>
      </c>
      <c r="J1988" s="30" t="s">
        <v>392</v>
      </c>
    </row>
    <row r="1989" spans="1:10" ht="30" x14ac:dyDescent="0.25">
      <c r="A1989" s="78">
        <v>46171</v>
      </c>
      <c r="C1989" s="33" t="s">
        <v>625</v>
      </c>
      <c r="D1989" s="30">
        <v>2</v>
      </c>
      <c r="E1989" s="30">
        <v>158</v>
      </c>
      <c r="F1989" s="30">
        <f t="shared" si="62"/>
        <v>316</v>
      </c>
      <c r="G1989" s="30" t="s">
        <v>9</v>
      </c>
      <c r="J1989" s="30" t="s">
        <v>392</v>
      </c>
    </row>
    <row r="1990" spans="1:10" ht="30" x14ac:dyDescent="0.25">
      <c r="A1990" s="78">
        <v>46171</v>
      </c>
      <c r="C1990" s="33" t="s">
        <v>382</v>
      </c>
      <c r="D1990" s="30">
        <v>1</v>
      </c>
      <c r="E1990" s="30">
        <v>188</v>
      </c>
      <c r="F1990" s="30">
        <f t="shared" si="62"/>
        <v>188</v>
      </c>
      <c r="G1990" s="30" t="s">
        <v>9</v>
      </c>
      <c r="J1990" s="30" t="s">
        <v>392</v>
      </c>
    </row>
    <row r="1991" spans="1:10" x14ac:dyDescent="0.25">
      <c r="A1991" s="78">
        <v>46171</v>
      </c>
      <c r="C1991" s="33" t="s">
        <v>628</v>
      </c>
      <c r="D1991" s="30">
        <v>2</v>
      </c>
      <c r="E1991" s="30">
        <v>62</v>
      </c>
      <c r="F1991" s="30">
        <f t="shared" si="62"/>
        <v>124</v>
      </c>
      <c r="G1991" s="30" t="s">
        <v>9</v>
      </c>
      <c r="J1991" s="30" t="s">
        <v>392</v>
      </c>
    </row>
    <row r="1992" spans="1:10" x14ac:dyDescent="0.25">
      <c r="A1992" s="78">
        <v>46171</v>
      </c>
      <c r="C1992" s="33" t="s">
        <v>806</v>
      </c>
      <c r="D1992" s="30">
        <v>30</v>
      </c>
      <c r="E1992" s="30">
        <v>8</v>
      </c>
      <c r="F1992" s="30">
        <f t="shared" si="62"/>
        <v>240</v>
      </c>
      <c r="G1992" s="30" t="s">
        <v>9</v>
      </c>
      <c r="J1992" s="30" t="s">
        <v>392</v>
      </c>
    </row>
    <row r="1993" spans="1:10" x14ac:dyDescent="0.25">
      <c r="A1993" s="78">
        <v>46171</v>
      </c>
      <c r="C1993" s="19" t="s">
        <v>532</v>
      </c>
      <c r="D1993" s="30">
        <v>4</v>
      </c>
      <c r="E1993" s="30">
        <v>5</v>
      </c>
      <c r="F1993" s="30">
        <f t="shared" si="62"/>
        <v>20</v>
      </c>
      <c r="G1993" s="30" t="s">
        <v>9</v>
      </c>
      <c r="J1993" s="30" t="s">
        <v>392</v>
      </c>
    </row>
    <row r="1994" spans="1:10" x14ac:dyDescent="0.25">
      <c r="A1994" s="78">
        <v>46171</v>
      </c>
      <c r="C1994" s="33" t="s">
        <v>682</v>
      </c>
      <c r="D1994" s="30">
        <v>4</v>
      </c>
      <c r="E1994" s="30">
        <v>9.5</v>
      </c>
      <c r="F1994" s="30">
        <f t="shared" si="62"/>
        <v>38</v>
      </c>
      <c r="G1994" s="30" t="s">
        <v>9</v>
      </c>
      <c r="J1994" s="30" t="s">
        <v>392</v>
      </c>
    </row>
    <row r="1995" spans="1:10" x14ac:dyDescent="0.25">
      <c r="A1995" s="78">
        <v>46171</v>
      </c>
      <c r="C1995" s="33" t="s">
        <v>684</v>
      </c>
      <c r="D1995" s="30">
        <v>1</v>
      </c>
      <c r="E1995" s="30">
        <v>10</v>
      </c>
      <c r="F1995" s="30">
        <f t="shared" si="62"/>
        <v>10</v>
      </c>
      <c r="G1995" s="30" t="s">
        <v>9</v>
      </c>
      <c r="J1995" s="30" t="s">
        <v>392</v>
      </c>
    </row>
    <row r="1996" spans="1:10" x14ac:dyDescent="0.25">
      <c r="A1996" s="78">
        <v>46171</v>
      </c>
      <c r="C1996" s="33" t="s">
        <v>779</v>
      </c>
      <c r="D1996" s="30">
        <v>0.5</v>
      </c>
      <c r="E1996" s="30">
        <v>30</v>
      </c>
      <c r="F1996" s="30">
        <f t="shared" si="62"/>
        <v>15</v>
      </c>
      <c r="G1996" s="30" t="s">
        <v>9</v>
      </c>
      <c r="J1996" s="30" t="s">
        <v>392</v>
      </c>
    </row>
    <row r="1997" spans="1:10" x14ac:dyDescent="0.25">
      <c r="A1997" s="78">
        <v>46171</v>
      </c>
      <c r="C1997" s="33" t="s">
        <v>633</v>
      </c>
      <c r="D1997" s="30">
        <v>1</v>
      </c>
      <c r="E1997" s="30">
        <v>10</v>
      </c>
      <c r="F1997" s="30">
        <f t="shared" si="62"/>
        <v>10</v>
      </c>
      <c r="G1997" s="30" t="s">
        <v>9</v>
      </c>
      <c r="J1997" s="30" t="s">
        <v>392</v>
      </c>
    </row>
    <row r="1998" spans="1:10" x14ac:dyDescent="0.25">
      <c r="A1998" s="78">
        <v>46171</v>
      </c>
      <c r="C1998" s="19" t="s">
        <v>557</v>
      </c>
      <c r="D1998" s="30">
        <v>1</v>
      </c>
      <c r="E1998" s="30">
        <v>110</v>
      </c>
      <c r="F1998" s="30">
        <f t="shared" si="62"/>
        <v>110</v>
      </c>
      <c r="G1998" s="30" t="s">
        <v>9</v>
      </c>
      <c r="J1998" s="30" t="s">
        <v>392</v>
      </c>
    </row>
    <row r="1999" spans="1:10" x14ac:dyDescent="0.25">
      <c r="A1999" s="78">
        <v>46171</v>
      </c>
      <c r="C1999" s="33" t="s">
        <v>682</v>
      </c>
      <c r="D1999" s="30">
        <v>1</v>
      </c>
      <c r="E1999" s="30">
        <v>10</v>
      </c>
      <c r="F1999" s="30">
        <f t="shared" si="62"/>
        <v>10</v>
      </c>
      <c r="G1999" s="30" t="s">
        <v>9</v>
      </c>
      <c r="J1999" s="30" t="s">
        <v>392</v>
      </c>
    </row>
    <row r="2000" spans="1:10" x14ac:dyDescent="0.25">
      <c r="A2000" s="78">
        <v>46171</v>
      </c>
      <c r="C2000" s="19" t="s">
        <v>568</v>
      </c>
      <c r="D2000" s="30">
        <v>2</v>
      </c>
      <c r="E2000" s="30">
        <v>1</v>
      </c>
      <c r="F2000" s="30">
        <f t="shared" si="62"/>
        <v>2</v>
      </c>
      <c r="G2000" s="30" t="s">
        <v>9</v>
      </c>
      <c r="J2000" s="30" t="s">
        <v>392</v>
      </c>
    </row>
    <row r="2001" spans="1:10" x14ac:dyDescent="0.25">
      <c r="A2001" s="78">
        <v>46171</v>
      </c>
      <c r="C2001" s="33" t="s">
        <v>807</v>
      </c>
      <c r="D2001" s="30">
        <v>0.28599999999999998</v>
      </c>
      <c r="E2001" s="30">
        <v>70</v>
      </c>
      <c r="F2001" s="30">
        <f t="shared" si="62"/>
        <v>20.02</v>
      </c>
      <c r="G2001" s="30" t="s">
        <v>9</v>
      </c>
      <c r="J2001" s="30" t="s">
        <v>392</v>
      </c>
    </row>
    <row r="2002" spans="1:10" x14ac:dyDescent="0.25">
      <c r="A2002" s="78">
        <v>46171</v>
      </c>
      <c r="C2002" s="33" t="s">
        <v>730</v>
      </c>
      <c r="D2002" s="30">
        <v>0.34399999999999997</v>
      </c>
      <c r="E2002" s="30">
        <v>58</v>
      </c>
      <c r="F2002" s="30">
        <f t="shared" si="62"/>
        <v>19.951999999999998</v>
      </c>
      <c r="G2002" s="30" t="s">
        <v>9</v>
      </c>
      <c r="J2002" s="30" t="s">
        <v>392</v>
      </c>
    </row>
    <row r="2003" spans="1:10" x14ac:dyDescent="0.25">
      <c r="A2003" s="78">
        <v>46171</v>
      </c>
      <c r="C2003" s="33" t="s">
        <v>476</v>
      </c>
      <c r="D2003" s="30">
        <v>1</v>
      </c>
      <c r="E2003" s="30">
        <v>20</v>
      </c>
      <c r="F2003" s="30">
        <f t="shared" si="62"/>
        <v>20</v>
      </c>
      <c r="G2003" s="30" t="s">
        <v>9</v>
      </c>
      <c r="J2003" s="30" t="s">
        <v>392</v>
      </c>
    </row>
    <row r="2004" spans="1:10" x14ac:dyDescent="0.25">
      <c r="A2004" s="78">
        <v>46171</v>
      </c>
      <c r="C2004" s="33" t="s">
        <v>448</v>
      </c>
      <c r="D2004" s="30">
        <v>2</v>
      </c>
      <c r="E2004" s="30">
        <v>10</v>
      </c>
      <c r="F2004" s="30">
        <f t="shared" si="62"/>
        <v>20</v>
      </c>
      <c r="G2004" s="30" t="s">
        <v>9</v>
      </c>
      <c r="J2004" s="30" t="s">
        <v>392</v>
      </c>
    </row>
    <row r="2005" spans="1:10" x14ac:dyDescent="0.25">
      <c r="A2005" s="78">
        <v>46171</v>
      </c>
      <c r="C2005" s="19" t="str">
        <f>'Stock Register'!A6</f>
        <v>LOOSE TEA LOT 2</v>
      </c>
      <c r="D2005" s="30">
        <v>1</v>
      </c>
      <c r="E2005" s="30">
        <v>20</v>
      </c>
      <c r="F2005" s="30">
        <f t="shared" si="62"/>
        <v>20</v>
      </c>
      <c r="G2005" s="30" t="s">
        <v>9</v>
      </c>
      <c r="J2005" s="30" t="s">
        <v>392</v>
      </c>
    </row>
    <row r="2006" spans="1:10" x14ac:dyDescent="0.25">
      <c r="A2006" s="78">
        <v>46171</v>
      </c>
      <c r="C2006" s="33" t="s">
        <v>714</v>
      </c>
      <c r="D2006" s="30">
        <v>1</v>
      </c>
      <c r="E2006" s="30">
        <v>30</v>
      </c>
      <c r="F2006" s="30">
        <f t="shared" si="62"/>
        <v>30</v>
      </c>
      <c r="G2006" s="30" t="s">
        <v>9</v>
      </c>
      <c r="J2006" s="30" t="s">
        <v>392</v>
      </c>
    </row>
    <row r="2007" spans="1:10" x14ac:dyDescent="0.25">
      <c r="A2007" s="78">
        <v>46171</v>
      </c>
      <c r="C2007" s="33" t="s">
        <v>781</v>
      </c>
      <c r="D2007" s="30">
        <v>0.2</v>
      </c>
      <c r="E2007" s="30">
        <v>200</v>
      </c>
      <c r="F2007" s="30">
        <f t="shared" si="62"/>
        <v>40</v>
      </c>
      <c r="G2007" s="30" t="s">
        <v>9</v>
      </c>
      <c r="J2007" s="30" t="s">
        <v>392</v>
      </c>
    </row>
    <row r="2008" spans="1:10" x14ac:dyDescent="0.25">
      <c r="A2008" s="78">
        <v>46171</v>
      </c>
      <c r="C2008" s="33" t="s">
        <v>81</v>
      </c>
      <c r="D2008" s="30">
        <v>20</v>
      </c>
      <c r="E2008" s="30">
        <v>1</v>
      </c>
      <c r="F2008" s="30">
        <f t="shared" si="62"/>
        <v>20</v>
      </c>
      <c r="G2008" s="30" t="s">
        <v>9</v>
      </c>
      <c r="J2008" s="30" t="s">
        <v>392</v>
      </c>
    </row>
    <row r="2009" spans="1:10" x14ac:dyDescent="0.25">
      <c r="A2009" s="78">
        <v>46171</v>
      </c>
      <c r="C2009" s="33" t="s">
        <v>704</v>
      </c>
      <c r="D2009" s="30">
        <v>1</v>
      </c>
      <c r="E2009" s="30">
        <v>39</v>
      </c>
      <c r="F2009" s="30">
        <f t="shared" si="62"/>
        <v>39</v>
      </c>
      <c r="G2009" s="30" t="s">
        <v>9</v>
      </c>
      <c r="I2009" s="139">
        <f>SUM(F1986:F2009)</f>
        <v>3711.5720000000001</v>
      </c>
      <c r="J2009" s="30" t="s">
        <v>392</v>
      </c>
    </row>
    <row r="2010" spans="1:10" s="69" customFormat="1" ht="18.75" x14ac:dyDescent="0.3">
      <c r="A2010" s="235" t="s">
        <v>437</v>
      </c>
      <c r="B2010" s="236"/>
      <c r="C2010" s="236"/>
      <c r="D2010" s="236"/>
      <c r="E2010" s="236"/>
      <c r="F2010" s="236"/>
      <c r="G2010" s="236"/>
      <c r="H2010" s="237"/>
      <c r="I2010" s="69">
        <f>SUM(I2009,I1985)</f>
        <v>3829.5080000000003</v>
      </c>
    </row>
    <row r="2011" spans="1:10" x14ac:dyDescent="0.25">
      <c r="A2011" s="78">
        <v>46172</v>
      </c>
      <c r="C2011" s="33" t="s">
        <v>670</v>
      </c>
      <c r="D2011" s="30">
        <v>1</v>
      </c>
      <c r="E2011" s="30">
        <v>10</v>
      </c>
      <c r="F2011" s="30">
        <f t="shared" ref="F2011:F2030" si="63">E2011*D2011</f>
        <v>10</v>
      </c>
      <c r="G2011" s="30" t="s">
        <v>9</v>
      </c>
      <c r="J2011" s="30" t="s">
        <v>392</v>
      </c>
    </row>
    <row r="2012" spans="1:10" x14ac:dyDescent="0.25">
      <c r="A2012" s="78">
        <v>46172</v>
      </c>
      <c r="C2012" s="33" t="s">
        <v>476</v>
      </c>
      <c r="D2012" s="30">
        <v>1</v>
      </c>
      <c r="E2012" s="30">
        <v>20</v>
      </c>
      <c r="F2012" s="30">
        <f t="shared" si="63"/>
        <v>20</v>
      </c>
      <c r="G2012" s="30" t="s">
        <v>9</v>
      </c>
      <c r="J2012" s="30" t="s">
        <v>392</v>
      </c>
    </row>
    <row r="2013" spans="1:10" x14ac:dyDescent="0.25">
      <c r="A2013" s="78">
        <v>46172</v>
      </c>
      <c r="C2013" s="33" t="s">
        <v>560</v>
      </c>
      <c r="D2013" s="30">
        <v>1</v>
      </c>
      <c r="E2013" s="30">
        <v>10</v>
      </c>
      <c r="F2013" s="30">
        <f t="shared" si="63"/>
        <v>10</v>
      </c>
      <c r="G2013" s="30" t="s">
        <v>9</v>
      </c>
      <c r="J2013" s="30" t="s">
        <v>392</v>
      </c>
    </row>
    <row r="2014" spans="1:10" x14ac:dyDescent="0.25">
      <c r="A2014" s="78">
        <v>46172</v>
      </c>
      <c r="C2014" s="33" t="s">
        <v>667</v>
      </c>
      <c r="D2014" s="30">
        <v>2</v>
      </c>
      <c r="E2014" s="30">
        <v>5</v>
      </c>
      <c r="F2014" s="30">
        <f t="shared" si="63"/>
        <v>10</v>
      </c>
      <c r="G2014" s="30" t="s">
        <v>9</v>
      </c>
      <c r="J2014" s="30" t="s">
        <v>392</v>
      </c>
    </row>
    <row r="2015" spans="1:10" x14ac:dyDescent="0.25">
      <c r="A2015" s="78">
        <v>46172</v>
      </c>
      <c r="C2015" s="19" t="s">
        <v>807</v>
      </c>
      <c r="D2015" s="30">
        <v>0.28599999999999998</v>
      </c>
      <c r="E2015" s="30">
        <v>70</v>
      </c>
      <c r="F2015" s="30">
        <f t="shared" si="63"/>
        <v>20.02</v>
      </c>
      <c r="G2015" s="30" t="s">
        <v>9</v>
      </c>
      <c r="J2015" s="30" t="s">
        <v>392</v>
      </c>
    </row>
    <row r="2016" spans="1:10" x14ac:dyDescent="0.25">
      <c r="A2016" s="78">
        <v>46172</v>
      </c>
      <c r="C2016" s="19" t="s">
        <v>779</v>
      </c>
      <c r="D2016" s="30">
        <v>0.5</v>
      </c>
      <c r="E2016" s="30">
        <v>30</v>
      </c>
      <c r="F2016" s="30">
        <f t="shared" si="63"/>
        <v>15</v>
      </c>
      <c r="G2016" s="30" t="s">
        <v>9</v>
      </c>
      <c r="J2016" s="30" t="s">
        <v>392</v>
      </c>
    </row>
    <row r="2017" spans="1:10" x14ac:dyDescent="0.25">
      <c r="A2017" s="78">
        <v>46172</v>
      </c>
      <c r="C2017" s="19" t="s">
        <v>549</v>
      </c>
      <c r="D2017" s="30">
        <v>1</v>
      </c>
      <c r="E2017" s="30">
        <v>25</v>
      </c>
      <c r="F2017" s="30">
        <f t="shared" si="63"/>
        <v>25</v>
      </c>
      <c r="G2017" s="30" t="s">
        <v>9</v>
      </c>
      <c r="J2017" s="30" t="s">
        <v>392</v>
      </c>
    </row>
    <row r="2018" spans="1:10" x14ac:dyDescent="0.25">
      <c r="A2018" s="78">
        <v>46172</v>
      </c>
      <c r="C2018" s="33" t="s">
        <v>704</v>
      </c>
      <c r="D2018" s="30">
        <v>1</v>
      </c>
      <c r="E2018" s="30">
        <v>39</v>
      </c>
      <c r="F2018" s="30">
        <f t="shared" si="63"/>
        <v>39</v>
      </c>
      <c r="G2018" s="30" t="s">
        <v>9</v>
      </c>
      <c r="J2018" s="30" t="s">
        <v>392</v>
      </c>
    </row>
    <row r="2019" spans="1:10" x14ac:dyDescent="0.25">
      <c r="A2019" s="78">
        <v>46172</v>
      </c>
      <c r="C2019" s="33" t="s">
        <v>558</v>
      </c>
      <c r="D2019" s="30">
        <v>1</v>
      </c>
      <c r="E2019" s="30">
        <v>10</v>
      </c>
      <c r="F2019" s="30">
        <f t="shared" si="63"/>
        <v>10</v>
      </c>
      <c r="G2019" s="30" t="s">
        <v>9</v>
      </c>
      <c r="J2019" s="30" t="s">
        <v>392</v>
      </c>
    </row>
    <row r="2020" spans="1:10" x14ac:dyDescent="0.25">
      <c r="A2020" s="78">
        <v>46172</v>
      </c>
      <c r="C2020" s="33" t="s">
        <v>670</v>
      </c>
      <c r="D2020" s="30">
        <v>1</v>
      </c>
      <c r="E2020" s="30">
        <v>10</v>
      </c>
      <c r="F2020" s="30">
        <f t="shared" si="63"/>
        <v>10</v>
      </c>
      <c r="G2020" s="30" t="s">
        <v>9</v>
      </c>
      <c r="J2020" s="30" t="s">
        <v>392</v>
      </c>
    </row>
    <row r="2021" spans="1:10" x14ac:dyDescent="0.25">
      <c r="A2021" s="78">
        <v>46172</v>
      </c>
      <c r="C2021" s="33" t="s">
        <v>476</v>
      </c>
      <c r="D2021" s="30">
        <v>1</v>
      </c>
      <c r="E2021" s="30">
        <v>20</v>
      </c>
      <c r="F2021" s="30">
        <f t="shared" si="63"/>
        <v>20</v>
      </c>
      <c r="G2021" s="30" t="s">
        <v>9</v>
      </c>
      <c r="J2021" s="30" t="s">
        <v>392</v>
      </c>
    </row>
    <row r="2022" spans="1:10" x14ac:dyDescent="0.25">
      <c r="A2022" s="78">
        <v>46172</v>
      </c>
      <c r="C2022" s="33" t="s">
        <v>348</v>
      </c>
      <c r="D2022" s="30">
        <v>1</v>
      </c>
      <c r="E2022" s="30">
        <v>1</v>
      </c>
      <c r="F2022" s="30">
        <f t="shared" si="63"/>
        <v>1</v>
      </c>
      <c r="G2022" s="30" t="s">
        <v>9</v>
      </c>
      <c r="J2022" s="30" t="s">
        <v>392</v>
      </c>
    </row>
    <row r="2023" spans="1:10" x14ac:dyDescent="0.25">
      <c r="A2023" s="78">
        <v>46172</v>
      </c>
      <c r="C2023" s="33" t="s">
        <v>386</v>
      </c>
      <c r="D2023" s="30">
        <v>1</v>
      </c>
      <c r="E2023" s="30">
        <v>10</v>
      </c>
      <c r="F2023" s="30">
        <f t="shared" si="63"/>
        <v>10</v>
      </c>
      <c r="G2023" s="30" t="s">
        <v>9</v>
      </c>
      <c r="J2023" s="30" t="s">
        <v>392</v>
      </c>
    </row>
    <row r="2024" spans="1:10" x14ac:dyDescent="0.25">
      <c r="A2024" s="78">
        <v>46172</v>
      </c>
      <c r="C2024" s="33" t="s">
        <v>682</v>
      </c>
      <c r="D2024" s="30">
        <v>1</v>
      </c>
      <c r="E2024" s="30">
        <v>10</v>
      </c>
      <c r="F2024" s="30">
        <f t="shared" si="63"/>
        <v>10</v>
      </c>
      <c r="G2024" s="30" t="s">
        <v>9</v>
      </c>
      <c r="J2024" s="30" t="s">
        <v>392</v>
      </c>
    </row>
    <row r="2025" spans="1:10" x14ac:dyDescent="0.25">
      <c r="A2025" s="78">
        <v>46172</v>
      </c>
      <c r="C2025" s="33" t="s">
        <v>633</v>
      </c>
      <c r="D2025" s="30">
        <v>2</v>
      </c>
      <c r="E2025" s="30">
        <v>10</v>
      </c>
      <c r="F2025" s="30">
        <f t="shared" si="63"/>
        <v>20</v>
      </c>
      <c r="G2025" s="30" t="s">
        <v>9</v>
      </c>
      <c r="J2025" s="30" t="s">
        <v>392</v>
      </c>
    </row>
    <row r="2026" spans="1:10" x14ac:dyDescent="0.25">
      <c r="A2026" s="78">
        <v>46172</v>
      </c>
      <c r="C2026" s="19" t="s">
        <v>532</v>
      </c>
      <c r="D2026" s="30">
        <v>1</v>
      </c>
      <c r="E2026" s="30">
        <v>5</v>
      </c>
      <c r="F2026" s="30">
        <f t="shared" si="63"/>
        <v>5</v>
      </c>
      <c r="G2026" s="30" t="s">
        <v>9</v>
      </c>
      <c r="J2026" s="30" t="s">
        <v>392</v>
      </c>
    </row>
    <row r="2027" spans="1:10" x14ac:dyDescent="0.25">
      <c r="A2027" s="78">
        <v>46172</v>
      </c>
      <c r="C2027" s="19" t="s">
        <v>346</v>
      </c>
      <c r="D2027" s="30">
        <v>1</v>
      </c>
      <c r="E2027" s="30">
        <v>5</v>
      </c>
      <c r="F2027" s="30">
        <f t="shared" si="63"/>
        <v>5</v>
      </c>
      <c r="G2027" s="30" t="s">
        <v>9</v>
      </c>
      <c r="J2027" s="30" t="s">
        <v>392</v>
      </c>
    </row>
    <row r="2028" spans="1:10" x14ac:dyDescent="0.25">
      <c r="A2028" s="78">
        <v>46172</v>
      </c>
      <c r="C2028" s="19" t="s">
        <v>385</v>
      </c>
      <c r="D2028" s="30">
        <v>1</v>
      </c>
      <c r="E2028" s="30">
        <v>10</v>
      </c>
      <c r="F2028" s="30">
        <f t="shared" si="63"/>
        <v>10</v>
      </c>
      <c r="G2028" s="30" t="s">
        <v>9</v>
      </c>
      <c r="J2028" s="30" t="s">
        <v>392</v>
      </c>
    </row>
    <row r="2029" spans="1:10" x14ac:dyDescent="0.25">
      <c r="A2029" s="78">
        <v>46172</v>
      </c>
      <c r="C2029" s="19" t="s">
        <v>346</v>
      </c>
      <c r="D2029" s="30">
        <v>2</v>
      </c>
      <c r="E2029" s="30">
        <v>5</v>
      </c>
      <c r="F2029" s="30">
        <f t="shared" si="63"/>
        <v>10</v>
      </c>
      <c r="G2029" s="30" t="s">
        <v>9</v>
      </c>
      <c r="J2029" s="30" t="s">
        <v>392</v>
      </c>
    </row>
    <row r="2030" spans="1:10" x14ac:dyDescent="0.25">
      <c r="A2030" s="78">
        <v>46172</v>
      </c>
      <c r="C2030" s="33" t="s">
        <v>807</v>
      </c>
      <c r="D2030" s="30">
        <v>1</v>
      </c>
      <c r="E2030" s="30">
        <v>70</v>
      </c>
      <c r="F2030" s="30">
        <f t="shared" si="63"/>
        <v>70</v>
      </c>
      <c r="G2030" s="30" t="s">
        <v>9</v>
      </c>
      <c r="J2030" s="30" t="s">
        <v>392</v>
      </c>
    </row>
    <row r="2031" spans="1:10" x14ac:dyDescent="0.25">
      <c r="A2031" s="78">
        <v>46172</v>
      </c>
      <c r="C2031" s="19" t="str">
        <f>'Stock Register'!A218</f>
        <v>WHOLE JEERA LOT 1</v>
      </c>
      <c r="D2031" s="30">
        <v>0.05</v>
      </c>
      <c r="E2031" s="30">
        <v>420</v>
      </c>
      <c r="F2031" s="30">
        <v>20</v>
      </c>
      <c r="G2031" s="30" t="s">
        <v>9</v>
      </c>
      <c r="J2031" s="30" t="s">
        <v>392</v>
      </c>
    </row>
    <row r="2032" spans="1:10" x14ac:dyDescent="0.25">
      <c r="A2032" s="78">
        <v>46172</v>
      </c>
      <c r="C2032" s="19" t="str">
        <f>'Stock Register'!A135</f>
        <v>LOOSE CHIWDA HARD LOT 1</v>
      </c>
      <c r="D2032" s="30">
        <v>1</v>
      </c>
      <c r="E2032" s="30">
        <v>10</v>
      </c>
      <c r="F2032" s="30">
        <f t="shared" ref="F2032:F2061" si="64">E2032*D2032</f>
        <v>10</v>
      </c>
      <c r="G2032" s="30" t="s">
        <v>9</v>
      </c>
      <c r="J2032" s="30" t="s">
        <v>392</v>
      </c>
    </row>
    <row r="2033" spans="1:10" x14ac:dyDescent="0.25">
      <c r="A2033" s="78">
        <v>46172</v>
      </c>
      <c r="C2033" s="33" t="s">
        <v>679</v>
      </c>
      <c r="D2033" s="30">
        <v>1</v>
      </c>
      <c r="E2033" s="30">
        <v>20</v>
      </c>
      <c r="F2033" s="30">
        <f t="shared" si="64"/>
        <v>20</v>
      </c>
      <c r="G2033" s="30" t="s">
        <v>9</v>
      </c>
      <c r="J2033" s="30" t="s">
        <v>392</v>
      </c>
    </row>
    <row r="2034" spans="1:10" x14ac:dyDescent="0.25">
      <c r="A2034" s="78">
        <v>46172</v>
      </c>
      <c r="C2034" s="33" t="s">
        <v>782</v>
      </c>
      <c r="D2034" s="30">
        <v>2</v>
      </c>
      <c r="E2034" s="30">
        <v>9</v>
      </c>
      <c r="F2034" s="30">
        <f t="shared" si="64"/>
        <v>18</v>
      </c>
      <c r="G2034" s="30" t="s">
        <v>9</v>
      </c>
      <c r="J2034" s="30" t="s">
        <v>392</v>
      </c>
    </row>
    <row r="2035" spans="1:10" x14ac:dyDescent="0.25">
      <c r="A2035" s="78">
        <v>46172</v>
      </c>
      <c r="C2035" s="19" t="s">
        <v>706</v>
      </c>
      <c r="D2035" s="30">
        <v>1</v>
      </c>
      <c r="E2035" s="30">
        <v>5</v>
      </c>
      <c r="F2035" s="30">
        <f t="shared" si="64"/>
        <v>5</v>
      </c>
      <c r="G2035" s="30" t="s">
        <v>9</v>
      </c>
      <c r="J2035" s="30" t="s">
        <v>392</v>
      </c>
    </row>
    <row r="2036" spans="1:10" x14ac:dyDescent="0.25">
      <c r="A2036" s="78">
        <v>46172</v>
      </c>
      <c r="C2036" s="33" t="s">
        <v>785</v>
      </c>
      <c r="D2036" s="30">
        <v>1</v>
      </c>
      <c r="E2036" s="30">
        <v>1</v>
      </c>
      <c r="F2036" s="30">
        <f t="shared" si="64"/>
        <v>1</v>
      </c>
      <c r="G2036" s="30" t="s">
        <v>9</v>
      </c>
      <c r="J2036" s="30" t="s">
        <v>392</v>
      </c>
    </row>
    <row r="2037" spans="1:10" x14ac:dyDescent="0.25">
      <c r="A2037" s="78">
        <v>46172</v>
      </c>
      <c r="C2037" s="76" t="s">
        <v>557</v>
      </c>
      <c r="D2037" s="30">
        <v>1</v>
      </c>
      <c r="E2037" s="30">
        <v>110</v>
      </c>
      <c r="F2037" s="30">
        <f t="shared" si="64"/>
        <v>110</v>
      </c>
      <c r="G2037" s="30" t="s">
        <v>9</v>
      </c>
      <c r="J2037" s="30" t="s">
        <v>392</v>
      </c>
    </row>
    <row r="2038" spans="1:10" x14ac:dyDescent="0.25">
      <c r="A2038" s="78">
        <v>46172</v>
      </c>
      <c r="C2038" s="19" t="s">
        <v>767</v>
      </c>
      <c r="D2038" s="30">
        <v>2</v>
      </c>
      <c r="E2038" s="30">
        <v>10</v>
      </c>
      <c r="F2038" s="30">
        <f t="shared" si="64"/>
        <v>20</v>
      </c>
      <c r="G2038" s="30" t="s">
        <v>9</v>
      </c>
      <c r="J2038" s="30" t="s">
        <v>392</v>
      </c>
    </row>
    <row r="2039" spans="1:10" x14ac:dyDescent="0.25">
      <c r="A2039" s="78">
        <v>46172</v>
      </c>
      <c r="C2039" s="19" t="s">
        <v>94</v>
      </c>
      <c r="D2039" s="30">
        <v>1</v>
      </c>
      <c r="E2039" s="30">
        <v>19</v>
      </c>
      <c r="F2039" s="30">
        <f t="shared" si="64"/>
        <v>19</v>
      </c>
      <c r="G2039" s="30" t="s">
        <v>9</v>
      </c>
      <c r="J2039" s="30" t="s">
        <v>392</v>
      </c>
    </row>
    <row r="2040" spans="1:10" x14ac:dyDescent="0.25">
      <c r="A2040" s="78">
        <v>46172</v>
      </c>
      <c r="C2040" s="19" t="s">
        <v>102</v>
      </c>
      <c r="D2040" s="30">
        <v>1</v>
      </c>
      <c r="E2040" s="30">
        <v>25</v>
      </c>
      <c r="F2040" s="30">
        <f t="shared" si="64"/>
        <v>25</v>
      </c>
      <c r="G2040" s="30" t="s">
        <v>9</v>
      </c>
      <c r="J2040" s="30" t="s">
        <v>392</v>
      </c>
    </row>
    <row r="2041" spans="1:10" x14ac:dyDescent="0.25">
      <c r="A2041" s="78">
        <v>46172</v>
      </c>
      <c r="C2041" s="19" t="s">
        <v>653</v>
      </c>
      <c r="D2041" s="30">
        <v>1</v>
      </c>
      <c r="E2041" s="30">
        <v>100</v>
      </c>
      <c r="F2041" s="30">
        <f t="shared" si="64"/>
        <v>100</v>
      </c>
      <c r="G2041" s="30" t="s">
        <v>9</v>
      </c>
      <c r="J2041" s="30" t="s">
        <v>392</v>
      </c>
    </row>
    <row r="2042" spans="1:10" x14ac:dyDescent="0.25">
      <c r="A2042" s="78">
        <v>46172</v>
      </c>
      <c r="C2042" s="33" t="s">
        <v>679</v>
      </c>
      <c r="D2042" s="30">
        <v>1</v>
      </c>
      <c r="E2042" s="30">
        <v>20</v>
      </c>
      <c r="F2042" s="30">
        <f t="shared" si="64"/>
        <v>20</v>
      </c>
      <c r="G2042" s="30" t="s">
        <v>9</v>
      </c>
      <c r="J2042" s="30" t="s">
        <v>392</v>
      </c>
    </row>
    <row r="2043" spans="1:10" x14ac:dyDescent="0.25">
      <c r="A2043" s="78">
        <v>46172</v>
      </c>
      <c r="C2043" s="33" t="s">
        <v>785</v>
      </c>
      <c r="D2043" s="30">
        <v>2</v>
      </c>
      <c r="E2043" s="30">
        <v>1</v>
      </c>
      <c r="F2043" s="30">
        <f t="shared" si="64"/>
        <v>2</v>
      </c>
      <c r="G2043" s="30" t="s">
        <v>9</v>
      </c>
      <c r="J2043" s="30" t="s">
        <v>392</v>
      </c>
    </row>
    <row r="2044" spans="1:10" x14ac:dyDescent="0.25">
      <c r="A2044" s="78">
        <v>46172</v>
      </c>
      <c r="C2044" s="19" t="s">
        <v>57</v>
      </c>
      <c r="D2044" s="30">
        <v>2</v>
      </c>
      <c r="E2044" s="30">
        <v>1</v>
      </c>
      <c r="F2044" s="30">
        <f t="shared" si="64"/>
        <v>2</v>
      </c>
      <c r="G2044" s="30" t="s">
        <v>9</v>
      </c>
      <c r="J2044" s="30" t="s">
        <v>392</v>
      </c>
    </row>
    <row r="2045" spans="1:10" x14ac:dyDescent="0.25">
      <c r="A2045" s="78">
        <v>46172</v>
      </c>
      <c r="C2045" s="19" t="s">
        <v>192</v>
      </c>
      <c r="D2045" s="30">
        <v>2</v>
      </c>
      <c r="E2045" s="30">
        <v>1</v>
      </c>
      <c r="F2045" s="30">
        <f t="shared" si="64"/>
        <v>2</v>
      </c>
      <c r="G2045" s="30" t="s">
        <v>9</v>
      </c>
      <c r="J2045" s="30" t="s">
        <v>392</v>
      </c>
    </row>
    <row r="2046" spans="1:10" x14ac:dyDescent="0.25">
      <c r="A2046" s="78">
        <v>46172</v>
      </c>
      <c r="C2046" s="19" t="s">
        <v>764</v>
      </c>
      <c r="D2046" s="30">
        <v>2</v>
      </c>
      <c r="E2046" s="30">
        <v>5</v>
      </c>
      <c r="F2046" s="30">
        <f t="shared" si="64"/>
        <v>10</v>
      </c>
      <c r="G2046" s="30" t="s">
        <v>9</v>
      </c>
      <c r="J2046" s="30" t="s">
        <v>392</v>
      </c>
    </row>
    <row r="2047" spans="1:10" x14ac:dyDescent="0.25">
      <c r="A2047" s="78">
        <v>46172</v>
      </c>
      <c r="C2047" s="33" t="s">
        <v>386</v>
      </c>
      <c r="D2047" s="30">
        <v>1</v>
      </c>
      <c r="E2047" s="30">
        <v>9.5</v>
      </c>
      <c r="F2047" s="30">
        <f t="shared" si="64"/>
        <v>9.5</v>
      </c>
      <c r="G2047" s="30" t="s">
        <v>9</v>
      </c>
      <c r="J2047" s="30" t="s">
        <v>392</v>
      </c>
    </row>
    <row r="2048" spans="1:10" ht="30" x14ac:dyDescent="0.25">
      <c r="A2048" s="78">
        <v>46172</v>
      </c>
      <c r="C2048" s="19" t="s">
        <v>589</v>
      </c>
      <c r="D2048" s="30">
        <v>0.254</v>
      </c>
      <c r="E2048" s="30">
        <v>138</v>
      </c>
      <c r="F2048" s="30">
        <f t="shared" si="64"/>
        <v>35.052</v>
      </c>
      <c r="G2048" s="30" t="s">
        <v>9</v>
      </c>
      <c r="J2048" s="30" t="s">
        <v>392</v>
      </c>
    </row>
    <row r="2049" spans="1:10" ht="30" x14ac:dyDescent="0.25">
      <c r="A2049" s="78">
        <v>46172</v>
      </c>
      <c r="C2049" s="19" t="s">
        <v>526</v>
      </c>
      <c r="D2049" s="30">
        <v>1</v>
      </c>
      <c r="E2049" s="30">
        <v>70</v>
      </c>
      <c r="F2049" s="30">
        <f t="shared" si="64"/>
        <v>70</v>
      </c>
      <c r="G2049" s="30" t="s">
        <v>9</v>
      </c>
      <c r="J2049" s="30" t="s">
        <v>392</v>
      </c>
    </row>
    <row r="2050" spans="1:10" x14ac:dyDescent="0.25">
      <c r="A2050" s="78">
        <v>46172</v>
      </c>
      <c r="C2050" s="33" t="s">
        <v>532</v>
      </c>
      <c r="D2050" s="30">
        <v>1</v>
      </c>
      <c r="E2050" s="30">
        <v>5</v>
      </c>
      <c r="F2050" s="30">
        <f t="shared" si="64"/>
        <v>5</v>
      </c>
      <c r="G2050" s="30" t="s">
        <v>9</v>
      </c>
      <c r="J2050" s="30" t="s">
        <v>392</v>
      </c>
    </row>
    <row r="2051" spans="1:10" x14ac:dyDescent="0.25">
      <c r="A2051" s="78">
        <v>46172</v>
      </c>
      <c r="C2051" s="33" t="s">
        <v>782</v>
      </c>
      <c r="D2051" s="30">
        <v>1</v>
      </c>
      <c r="E2051" s="30">
        <v>9</v>
      </c>
      <c r="F2051" s="30">
        <f t="shared" si="64"/>
        <v>9</v>
      </c>
      <c r="G2051" s="30" t="s">
        <v>9</v>
      </c>
      <c r="J2051" s="30" t="s">
        <v>392</v>
      </c>
    </row>
    <row r="2052" spans="1:10" x14ac:dyDescent="0.25">
      <c r="A2052" s="78">
        <v>46172</v>
      </c>
      <c r="C2052" s="33" t="s">
        <v>375</v>
      </c>
      <c r="D2052" s="30">
        <v>1</v>
      </c>
      <c r="E2052" s="30">
        <v>1</v>
      </c>
      <c r="F2052" s="30">
        <f t="shared" si="64"/>
        <v>1</v>
      </c>
      <c r="G2052" s="30" t="s">
        <v>9</v>
      </c>
      <c r="J2052" s="30" t="s">
        <v>392</v>
      </c>
    </row>
    <row r="2053" spans="1:10" x14ac:dyDescent="0.25">
      <c r="A2053" s="78">
        <v>46172</v>
      </c>
      <c r="C2053" s="19" t="s">
        <v>786</v>
      </c>
      <c r="D2053" s="30">
        <v>2</v>
      </c>
      <c r="E2053" s="30">
        <v>40</v>
      </c>
      <c r="F2053" s="30">
        <f t="shared" si="64"/>
        <v>80</v>
      </c>
      <c r="G2053" s="30" t="s">
        <v>9</v>
      </c>
      <c r="J2053" s="30" t="s">
        <v>392</v>
      </c>
    </row>
    <row r="2054" spans="1:10" x14ac:dyDescent="0.25">
      <c r="A2054" s="78">
        <v>46172</v>
      </c>
      <c r="C2054" s="33" t="s">
        <v>532</v>
      </c>
      <c r="D2054" s="30">
        <v>2</v>
      </c>
      <c r="E2054" s="30">
        <v>5</v>
      </c>
      <c r="F2054" s="30">
        <f t="shared" si="64"/>
        <v>10</v>
      </c>
      <c r="G2054" s="30" t="s">
        <v>9</v>
      </c>
      <c r="J2054" s="30" t="s">
        <v>392</v>
      </c>
    </row>
    <row r="2055" spans="1:10" x14ac:dyDescent="0.25">
      <c r="A2055" s="78">
        <v>46172</v>
      </c>
      <c r="C2055" s="33" t="s">
        <v>806</v>
      </c>
      <c r="D2055" s="30">
        <v>8</v>
      </c>
      <c r="E2055" s="30">
        <v>9</v>
      </c>
      <c r="F2055" s="30">
        <f t="shared" si="64"/>
        <v>72</v>
      </c>
      <c r="G2055" s="30" t="s">
        <v>9</v>
      </c>
      <c r="J2055" s="30" t="s">
        <v>392</v>
      </c>
    </row>
    <row r="2056" spans="1:10" x14ac:dyDescent="0.25">
      <c r="A2056" s="78">
        <v>46172</v>
      </c>
      <c r="C2056" s="33" t="s">
        <v>375</v>
      </c>
      <c r="D2056" s="30">
        <v>1</v>
      </c>
      <c r="E2056" s="30">
        <v>1</v>
      </c>
      <c r="F2056" s="30">
        <f t="shared" si="64"/>
        <v>1</v>
      </c>
      <c r="G2056" s="30" t="s">
        <v>9</v>
      </c>
      <c r="J2056" s="30" t="s">
        <v>392</v>
      </c>
    </row>
    <row r="2057" spans="1:10" x14ac:dyDescent="0.25">
      <c r="A2057" s="78">
        <v>46172</v>
      </c>
      <c r="C2057" s="33" t="s">
        <v>706</v>
      </c>
      <c r="D2057" s="30">
        <v>1</v>
      </c>
      <c r="E2057" s="30">
        <v>5</v>
      </c>
      <c r="F2057" s="30">
        <f t="shared" si="64"/>
        <v>5</v>
      </c>
      <c r="G2057" s="30" t="s">
        <v>9</v>
      </c>
      <c r="J2057" s="30" t="s">
        <v>392</v>
      </c>
    </row>
    <row r="2058" spans="1:10" x14ac:dyDescent="0.25">
      <c r="A2058" s="78">
        <v>46172</v>
      </c>
      <c r="C2058" s="19" t="s">
        <v>571</v>
      </c>
      <c r="D2058" s="30">
        <v>1</v>
      </c>
      <c r="E2058" s="30">
        <v>20</v>
      </c>
      <c r="F2058" s="30">
        <f t="shared" si="64"/>
        <v>20</v>
      </c>
      <c r="G2058" s="30" t="s">
        <v>9</v>
      </c>
      <c r="J2058" s="30" t="s">
        <v>392</v>
      </c>
    </row>
    <row r="2059" spans="1:10" x14ac:dyDescent="0.25">
      <c r="A2059" s="78">
        <v>46172</v>
      </c>
      <c r="C2059" s="33" t="s">
        <v>806</v>
      </c>
      <c r="D2059" s="30">
        <v>4</v>
      </c>
      <c r="E2059" s="30">
        <v>9</v>
      </c>
      <c r="F2059" s="30">
        <f t="shared" si="64"/>
        <v>36</v>
      </c>
      <c r="G2059" s="30" t="s">
        <v>9</v>
      </c>
      <c r="J2059" s="30" t="s">
        <v>392</v>
      </c>
    </row>
    <row r="2060" spans="1:10" x14ac:dyDescent="0.25">
      <c r="A2060" s="78">
        <v>46172</v>
      </c>
      <c r="C2060" s="33" t="s">
        <v>532</v>
      </c>
      <c r="D2060" s="30">
        <v>2</v>
      </c>
      <c r="E2060" s="30">
        <v>5</v>
      </c>
      <c r="F2060" s="30">
        <f t="shared" si="64"/>
        <v>10</v>
      </c>
      <c r="G2060" s="30" t="s">
        <v>9</v>
      </c>
      <c r="J2060" s="30" t="s">
        <v>392</v>
      </c>
    </row>
    <row r="2061" spans="1:10" x14ac:dyDescent="0.25">
      <c r="A2061" s="78">
        <v>46172</v>
      </c>
      <c r="C2061" s="33" t="s">
        <v>633</v>
      </c>
      <c r="D2061" s="30">
        <v>2</v>
      </c>
      <c r="E2061" s="30">
        <v>10</v>
      </c>
      <c r="F2061" s="30">
        <f t="shared" si="64"/>
        <v>20</v>
      </c>
      <c r="G2061" s="30" t="s">
        <v>9</v>
      </c>
      <c r="I2061" s="139">
        <f>SUM(F2011:F2061)</f>
        <v>1097.5720000000001</v>
      </c>
      <c r="J2061" s="30" t="s">
        <v>392</v>
      </c>
    </row>
    <row r="2062" spans="1:10" s="69" customFormat="1" ht="18.75" x14ac:dyDescent="0.3">
      <c r="A2062" s="235" t="s">
        <v>437</v>
      </c>
      <c r="B2062" s="236"/>
      <c r="C2062" s="236"/>
      <c r="D2062" s="236"/>
      <c r="E2062" s="236"/>
      <c r="F2062" s="236"/>
      <c r="G2062" s="236"/>
      <c r="H2062" s="237"/>
      <c r="I2062" s="69">
        <v>1097</v>
      </c>
    </row>
    <row r="2063" spans="1:10" x14ac:dyDescent="0.25">
      <c r="A2063" s="78">
        <v>46173</v>
      </c>
      <c r="C2063" s="19" t="s">
        <v>820</v>
      </c>
      <c r="D2063" s="30">
        <v>1</v>
      </c>
      <c r="E2063" s="30">
        <v>51</v>
      </c>
      <c r="F2063" s="30">
        <f t="shared" ref="F2063:F2098" si="65">E2063*D2063</f>
        <v>51</v>
      </c>
      <c r="G2063" s="30" t="s">
        <v>9</v>
      </c>
      <c r="J2063" s="30" t="s">
        <v>392</v>
      </c>
    </row>
    <row r="2064" spans="1:10" x14ac:dyDescent="0.25">
      <c r="A2064" s="78">
        <v>46173</v>
      </c>
      <c r="C2064" s="33" t="s">
        <v>633</v>
      </c>
      <c r="D2064" s="30">
        <v>1</v>
      </c>
      <c r="E2064" s="30">
        <v>10</v>
      </c>
      <c r="F2064" s="30">
        <f t="shared" si="65"/>
        <v>10</v>
      </c>
      <c r="G2064" s="30" t="s">
        <v>9</v>
      </c>
      <c r="J2064" s="30" t="s">
        <v>392</v>
      </c>
    </row>
    <row r="2065" spans="1:10" x14ac:dyDescent="0.25">
      <c r="A2065" s="78">
        <v>46173</v>
      </c>
      <c r="C2065" s="19" t="s">
        <v>705</v>
      </c>
      <c r="D2065" s="30">
        <v>1</v>
      </c>
      <c r="E2065" s="30">
        <v>10</v>
      </c>
      <c r="F2065" s="30">
        <f t="shared" si="65"/>
        <v>10</v>
      </c>
      <c r="G2065" s="30" t="s">
        <v>9</v>
      </c>
      <c r="J2065" s="30" t="s">
        <v>392</v>
      </c>
    </row>
    <row r="2066" spans="1:10" x14ac:dyDescent="0.25">
      <c r="A2066" s="78">
        <v>46173</v>
      </c>
      <c r="C2066" s="19" t="s">
        <v>806</v>
      </c>
      <c r="D2066" s="30">
        <v>30</v>
      </c>
      <c r="E2066" s="30">
        <v>8</v>
      </c>
      <c r="F2066" s="30">
        <f t="shared" si="65"/>
        <v>240</v>
      </c>
      <c r="G2066" s="30" t="s">
        <v>9</v>
      </c>
      <c r="J2066" s="30" t="s">
        <v>392</v>
      </c>
    </row>
    <row r="2067" spans="1:10" x14ac:dyDescent="0.25">
      <c r="A2067" s="78">
        <v>46173</v>
      </c>
      <c r="C2067" s="33" t="s">
        <v>779</v>
      </c>
      <c r="D2067" s="30">
        <v>1</v>
      </c>
      <c r="E2067" s="30">
        <v>29</v>
      </c>
      <c r="F2067" s="30">
        <f t="shared" si="65"/>
        <v>29</v>
      </c>
      <c r="G2067" s="30" t="s">
        <v>9</v>
      </c>
      <c r="J2067" s="30" t="s">
        <v>392</v>
      </c>
    </row>
    <row r="2068" spans="1:10" x14ac:dyDescent="0.25">
      <c r="A2068" s="78">
        <v>46173</v>
      </c>
      <c r="C2068" s="33" t="s">
        <v>682</v>
      </c>
      <c r="D2068" s="30">
        <v>2</v>
      </c>
      <c r="E2068" s="30">
        <v>10</v>
      </c>
      <c r="F2068" s="30">
        <f t="shared" si="65"/>
        <v>20</v>
      </c>
      <c r="G2068" s="30" t="s">
        <v>9</v>
      </c>
      <c r="J2068" s="30" t="s">
        <v>392</v>
      </c>
    </row>
    <row r="2069" spans="1:10" x14ac:dyDescent="0.25">
      <c r="A2069" s="78">
        <v>46173</v>
      </c>
      <c r="C2069" s="19" t="s">
        <v>740</v>
      </c>
      <c r="D2069" s="30">
        <v>1</v>
      </c>
      <c r="E2069" s="30">
        <v>10</v>
      </c>
      <c r="F2069" s="30">
        <f t="shared" si="65"/>
        <v>10</v>
      </c>
      <c r="G2069" s="30" t="s">
        <v>9</v>
      </c>
      <c r="J2069" s="30" t="s">
        <v>392</v>
      </c>
    </row>
    <row r="2070" spans="1:10" ht="30" x14ac:dyDescent="0.25">
      <c r="A2070" s="78">
        <v>46173</v>
      </c>
      <c r="C2070" s="61" t="s">
        <v>12</v>
      </c>
      <c r="D2070" s="30">
        <v>2</v>
      </c>
      <c r="E2070" s="30">
        <v>5</v>
      </c>
      <c r="F2070" s="30">
        <f t="shared" si="65"/>
        <v>10</v>
      </c>
      <c r="G2070" s="30" t="s">
        <v>9</v>
      </c>
      <c r="J2070" s="30" t="s">
        <v>392</v>
      </c>
    </row>
    <row r="2071" spans="1:10" x14ac:dyDescent="0.25">
      <c r="A2071" s="78">
        <v>46173</v>
      </c>
      <c r="C2071" s="33" t="s">
        <v>679</v>
      </c>
      <c r="D2071" s="30">
        <v>1</v>
      </c>
      <c r="E2071" s="30">
        <v>20</v>
      </c>
      <c r="F2071" s="30">
        <f t="shared" si="65"/>
        <v>20</v>
      </c>
      <c r="G2071" s="30" t="s">
        <v>9</v>
      </c>
      <c r="J2071" s="30" t="s">
        <v>392</v>
      </c>
    </row>
    <row r="2072" spans="1:10" x14ac:dyDescent="0.25">
      <c r="A2072" s="78">
        <v>46173</v>
      </c>
      <c r="C2072" s="19" t="s">
        <v>772</v>
      </c>
      <c r="D2072" s="30">
        <v>1</v>
      </c>
      <c r="E2072" s="30">
        <v>20</v>
      </c>
      <c r="F2072" s="30">
        <f t="shared" si="65"/>
        <v>20</v>
      </c>
      <c r="G2072" s="30" t="s">
        <v>9</v>
      </c>
      <c r="J2072" s="30" t="s">
        <v>392</v>
      </c>
    </row>
    <row r="2073" spans="1:10" x14ac:dyDescent="0.25">
      <c r="A2073" s="78">
        <v>46173</v>
      </c>
      <c r="C2073" s="19" t="s">
        <v>564</v>
      </c>
      <c r="D2073" s="30">
        <v>0.1</v>
      </c>
      <c r="E2073" s="30">
        <v>300</v>
      </c>
      <c r="F2073" s="30">
        <f t="shared" si="65"/>
        <v>30</v>
      </c>
      <c r="G2073" s="30" t="s">
        <v>9</v>
      </c>
      <c r="J2073" s="30" t="s">
        <v>392</v>
      </c>
    </row>
    <row r="2074" spans="1:10" x14ac:dyDescent="0.25">
      <c r="A2074" s="78">
        <v>46173</v>
      </c>
      <c r="C2074" s="33" t="s">
        <v>582</v>
      </c>
      <c r="D2074" s="30">
        <v>1</v>
      </c>
      <c r="E2074" s="30">
        <v>10</v>
      </c>
      <c r="F2074" s="30">
        <f t="shared" si="65"/>
        <v>10</v>
      </c>
      <c r="G2074" s="30" t="s">
        <v>9</v>
      </c>
      <c r="J2074" s="30" t="s">
        <v>392</v>
      </c>
    </row>
    <row r="2075" spans="1:10" x14ac:dyDescent="0.25">
      <c r="A2075" s="78">
        <v>46173</v>
      </c>
      <c r="C2075" s="33" t="s">
        <v>806</v>
      </c>
      <c r="D2075" s="30">
        <v>10</v>
      </c>
      <c r="E2075" s="30">
        <v>9</v>
      </c>
      <c r="F2075" s="30">
        <f t="shared" si="65"/>
        <v>90</v>
      </c>
      <c r="G2075" s="30" t="s">
        <v>9</v>
      </c>
      <c r="J2075" s="30" t="s">
        <v>392</v>
      </c>
    </row>
    <row r="2076" spans="1:10" x14ac:dyDescent="0.25">
      <c r="A2076" s="78">
        <v>46173</v>
      </c>
      <c r="C2076" s="19" t="s">
        <v>730</v>
      </c>
      <c r="D2076" s="30">
        <v>1.022</v>
      </c>
      <c r="E2076" s="30">
        <v>58</v>
      </c>
      <c r="F2076" s="30">
        <f t="shared" si="65"/>
        <v>59.276000000000003</v>
      </c>
      <c r="G2076" s="30" t="s">
        <v>9</v>
      </c>
      <c r="J2076" s="30" t="s">
        <v>392</v>
      </c>
    </row>
    <row r="2077" spans="1:10" x14ac:dyDescent="0.25">
      <c r="A2077" s="78">
        <v>46173</v>
      </c>
      <c r="C2077" s="33" t="s">
        <v>386</v>
      </c>
      <c r="D2077" s="30">
        <v>1</v>
      </c>
      <c r="E2077" s="30">
        <v>10</v>
      </c>
      <c r="F2077" s="30">
        <f t="shared" si="65"/>
        <v>10</v>
      </c>
      <c r="G2077" s="30" t="s">
        <v>9</v>
      </c>
      <c r="J2077" s="30" t="s">
        <v>392</v>
      </c>
    </row>
    <row r="2078" spans="1:10" x14ac:dyDescent="0.25">
      <c r="A2078" s="78">
        <v>46173</v>
      </c>
      <c r="B2078" s="133"/>
      <c r="C2078" s="85" t="s">
        <v>448</v>
      </c>
      <c r="D2078" s="84">
        <v>1</v>
      </c>
      <c r="E2078" s="84">
        <v>10</v>
      </c>
      <c r="F2078" s="84">
        <f t="shared" si="65"/>
        <v>10</v>
      </c>
      <c r="G2078" s="84" t="s">
        <v>9</v>
      </c>
      <c r="H2078" s="86"/>
      <c r="J2078" s="30" t="s">
        <v>392</v>
      </c>
    </row>
    <row r="2079" spans="1:10" x14ac:dyDescent="0.25">
      <c r="A2079" s="78">
        <v>46173</v>
      </c>
      <c r="B2079" s="133"/>
      <c r="C2079" s="85" t="s">
        <v>633</v>
      </c>
      <c r="D2079" s="84">
        <v>1</v>
      </c>
      <c r="E2079" s="84">
        <v>10</v>
      </c>
      <c r="F2079" s="84">
        <f t="shared" si="65"/>
        <v>10</v>
      </c>
      <c r="G2079" s="84" t="s">
        <v>9</v>
      </c>
      <c r="H2079" s="86"/>
      <c r="J2079" s="30" t="s">
        <v>392</v>
      </c>
    </row>
    <row r="2080" spans="1:10" x14ac:dyDescent="0.25">
      <c r="A2080" s="78">
        <v>46173</v>
      </c>
      <c r="B2080" s="133"/>
      <c r="C2080" s="85" t="s">
        <v>679</v>
      </c>
      <c r="D2080" s="84">
        <v>1</v>
      </c>
      <c r="E2080" s="84">
        <v>20</v>
      </c>
      <c r="F2080" s="84">
        <f t="shared" si="65"/>
        <v>20</v>
      </c>
      <c r="G2080" s="84" t="s">
        <v>9</v>
      </c>
      <c r="H2080" s="86"/>
      <c r="J2080" s="30" t="s">
        <v>392</v>
      </c>
    </row>
    <row r="2081" spans="1:10" x14ac:dyDescent="0.25">
      <c r="A2081" s="78">
        <v>46173</v>
      </c>
      <c r="B2081" s="133"/>
      <c r="C2081" s="85" t="s">
        <v>549</v>
      </c>
      <c r="D2081" s="84">
        <v>2</v>
      </c>
      <c r="E2081" s="84">
        <v>25</v>
      </c>
      <c r="F2081" s="84">
        <f t="shared" si="65"/>
        <v>50</v>
      </c>
      <c r="G2081" s="84" t="s">
        <v>9</v>
      </c>
      <c r="H2081" s="86"/>
      <c r="J2081" s="30" t="s">
        <v>392</v>
      </c>
    </row>
    <row r="2082" spans="1:10" x14ac:dyDescent="0.25">
      <c r="A2082" s="78">
        <v>46173</v>
      </c>
      <c r="B2082" s="133"/>
      <c r="C2082" s="85" t="s">
        <v>476</v>
      </c>
      <c r="D2082" s="84">
        <v>1</v>
      </c>
      <c r="E2082" s="84">
        <v>20</v>
      </c>
      <c r="F2082" s="84">
        <f t="shared" si="65"/>
        <v>20</v>
      </c>
      <c r="G2082" s="84" t="s">
        <v>9</v>
      </c>
      <c r="H2082" s="86"/>
      <c r="J2082" s="30" t="s">
        <v>392</v>
      </c>
    </row>
    <row r="2083" spans="1:10" x14ac:dyDescent="0.25">
      <c r="A2083" s="78">
        <v>46173</v>
      </c>
      <c r="B2083" s="133"/>
      <c r="C2083" s="19" t="s">
        <v>614</v>
      </c>
      <c r="D2083" s="84">
        <v>1</v>
      </c>
      <c r="E2083" s="84">
        <v>22</v>
      </c>
      <c r="F2083" s="84">
        <f t="shared" si="65"/>
        <v>22</v>
      </c>
      <c r="G2083" s="84" t="s">
        <v>9</v>
      </c>
      <c r="H2083" s="86"/>
      <c r="J2083" s="30" t="s">
        <v>392</v>
      </c>
    </row>
    <row r="2084" spans="1:10" ht="30" x14ac:dyDescent="0.25">
      <c r="A2084" s="78">
        <v>46173</v>
      </c>
      <c r="B2084" s="133"/>
      <c r="C2084" s="33" t="s">
        <v>526</v>
      </c>
      <c r="D2084" s="84">
        <v>1</v>
      </c>
      <c r="E2084" s="84">
        <v>55</v>
      </c>
      <c r="F2084" s="84">
        <f t="shared" si="65"/>
        <v>55</v>
      </c>
      <c r="G2084" s="84" t="s">
        <v>9</v>
      </c>
      <c r="H2084" s="86"/>
      <c r="J2084" s="30" t="s">
        <v>392</v>
      </c>
    </row>
    <row r="2085" spans="1:10" x14ac:dyDescent="0.25">
      <c r="A2085" s="78">
        <v>46173</v>
      </c>
      <c r="B2085" s="133"/>
      <c r="C2085" s="85" t="s">
        <v>806</v>
      </c>
      <c r="D2085" s="84">
        <v>4</v>
      </c>
      <c r="E2085" s="84">
        <v>9</v>
      </c>
      <c r="F2085" s="84">
        <f t="shared" si="65"/>
        <v>36</v>
      </c>
      <c r="G2085" s="84" t="s">
        <v>9</v>
      </c>
      <c r="H2085" s="86"/>
      <c r="J2085" s="30" t="s">
        <v>392</v>
      </c>
    </row>
    <row r="2086" spans="1:10" x14ac:dyDescent="0.25">
      <c r="A2086" s="78">
        <v>46173</v>
      </c>
      <c r="B2086" s="133"/>
      <c r="C2086" s="85" t="s">
        <v>633</v>
      </c>
      <c r="D2086" s="84">
        <v>2</v>
      </c>
      <c r="E2086" s="84">
        <v>10</v>
      </c>
      <c r="F2086" s="84">
        <f t="shared" si="65"/>
        <v>20</v>
      </c>
      <c r="G2086" s="84" t="s">
        <v>9</v>
      </c>
      <c r="H2086" s="86"/>
      <c r="J2086" s="30" t="s">
        <v>392</v>
      </c>
    </row>
    <row r="2087" spans="1:10" x14ac:dyDescent="0.25">
      <c r="A2087" s="78">
        <v>46173</v>
      </c>
      <c r="B2087" s="133"/>
      <c r="C2087" s="85" t="s">
        <v>532</v>
      </c>
      <c r="D2087" s="84">
        <v>1</v>
      </c>
      <c r="E2087" s="84">
        <v>5</v>
      </c>
      <c r="F2087" s="84">
        <f t="shared" si="65"/>
        <v>5</v>
      </c>
      <c r="G2087" s="84" t="s">
        <v>9</v>
      </c>
      <c r="H2087" s="86"/>
      <c r="J2087" s="30" t="s">
        <v>392</v>
      </c>
    </row>
    <row r="2088" spans="1:10" x14ac:dyDescent="0.25">
      <c r="A2088" s="78">
        <v>46173</v>
      </c>
      <c r="B2088" s="133"/>
      <c r="C2088" s="85" t="s">
        <v>679</v>
      </c>
      <c r="D2088" s="84">
        <v>1</v>
      </c>
      <c r="E2088" s="84">
        <v>20</v>
      </c>
      <c r="F2088" s="84">
        <f t="shared" si="65"/>
        <v>20</v>
      </c>
      <c r="G2088" s="84" t="s">
        <v>9</v>
      </c>
      <c r="H2088" s="86"/>
      <c r="J2088" s="30" t="s">
        <v>392</v>
      </c>
    </row>
    <row r="2089" spans="1:10" ht="30" x14ac:dyDescent="0.25">
      <c r="A2089" s="78">
        <v>46173</v>
      </c>
      <c r="B2089" s="133"/>
      <c r="C2089" s="85" t="s">
        <v>382</v>
      </c>
      <c r="D2089" s="84">
        <v>1</v>
      </c>
      <c r="E2089" s="84">
        <v>180</v>
      </c>
      <c r="F2089" s="84">
        <f t="shared" si="65"/>
        <v>180</v>
      </c>
      <c r="G2089" s="84" t="s">
        <v>9</v>
      </c>
      <c r="H2089" s="86"/>
      <c r="J2089" s="30" t="s">
        <v>392</v>
      </c>
    </row>
    <row r="2090" spans="1:10" x14ac:dyDescent="0.25">
      <c r="A2090" s="78">
        <v>46173</v>
      </c>
      <c r="B2090" s="133"/>
      <c r="C2090" s="85" t="s">
        <v>605</v>
      </c>
      <c r="D2090" s="84">
        <v>1</v>
      </c>
      <c r="E2090" s="84">
        <v>195</v>
      </c>
      <c r="F2090" s="84">
        <f t="shared" si="65"/>
        <v>195</v>
      </c>
      <c r="G2090" s="84" t="s">
        <v>9</v>
      </c>
      <c r="H2090" s="86"/>
      <c r="J2090" s="30" t="s">
        <v>392</v>
      </c>
    </row>
    <row r="2091" spans="1:10" ht="30" x14ac:dyDescent="0.25">
      <c r="A2091" s="78">
        <v>46173</v>
      </c>
      <c r="B2091" s="133"/>
      <c r="C2091" s="85" t="s">
        <v>625</v>
      </c>
      <c r="D2091" s="84">
        <v>1</v>
      </c>
      <c r="E2091" s="84">
        <v>150</v>
      </c>
      <c r="F2091" s="84">
        <f t="shared" si="65"/>
        <v>150</v>
      </c>
      <c r="G2091" s="84" t="s">
        <v>9</v>
      </c>
      <c r="H2091" s="86"/>
      <c r="J2091" s="30" t="s">
        <v>392</v>
      </c>
    </row>
    <row r="2092" spans="1:10" x14ac:dyDescent="0.25">
      <c r="A2092" s="78">
        <v>46173</v>
      </c>
      <c r="B2092" s="133"/>
      <c r="C2092" s="19" t="s">
        <v>691</v>
      </c>
      <c r="D2092" s="84">
        <v>0.33</v>
      </c>
      <c r="E2092" s="84">
        <v>60</v>
      </c>
      <c r="F2092" s="84">
        <f t="shared" si="65"/>
        <v>19.8</v>
      </c>
      <c r="G2092" s="84" t="s">
        <v>9</v>
      </c>
      <c r="H2092" s="86"/>
      <c r="J2092" s="30" t="s">
        <v>392</v>
      </c>
    </row>
    <row r="2093" spans="1:10" x14ac:dyDescent="0.25">
      <c r="A2093" s="78">
        <v>46173</v>
      </c>
      <c r="B2093" s="133"/>
      <c r="C2093" s="76" t="s">
        <v>351</v>
      </c>
      <c r="D2093" s="84">
        <v>1</v>
      </c>
      <c r="E2093" s="84">
        <v>107</v>
      </c>
      <c r="F2093" s="84">
        <f t="shared" si="65"/>
        <v>107</v>
      </c>
      <c r="G2093" s="84" t="s">
        <v>9</v>
      </c>
      <c r="H2093" s="86"/>
      <c r="J2093" s="30" t="s">
        <v>392</v>
      </c>
    </row>
    <row r="2094" spans="1:10" x14ac:dyDescent="0.25">
      <c r="A2094" s="78">
        <v>46173</v>
      </c>
      <c r="B2094" s="133"/>
      <c r="C2094" s="19" t="s">
        <v>733</v>
      </c>
      <c r="D2094" s="84">
        <v>2</v>
      </c>
      <c r="E2094" s="84">
        <v>55</v>
      </c>
      <c r="F2094" s="84">
        <f t="shared" si="65"/>
        <v>110</v>
      </c>
      <c r="G2094" s="84" t="s">
        <v>9</v>
      </c>
      <c r="H2094" s="86"/>
      <c r="J2094" s="30" t="s">
        <v>392</v>
      </c>
    </row>
    <row r="2095" spans="1:10" x14ac:dyDescent="0.25">
      <c r="A2095" s="78">
        <v>46173</v>
      </c>
      <c r="B2095" s="133"/>
      <c r="C2095" s="85" t="s">
        <v>704</v>
      </c>
      <c r="D2095" s="84">
        <v>2</v>
      </c>
      <c r="E2095" s="84">
        <v>39</v>
      </c>
      <c r="F2095" s="84">
        <f t="shared" si="65"/>
        <v>78</v>
      </c>
      <c r="G2095" s="84" t="s">
        <v>9</v>
      </c>
      <c r="H2095" s="86"/>
      <c r="J2095" s="30" t="s">
        <v>392</v>
      </c>
    </row>
    <row r="2096" spans="1:10" x14ac:dyDescent="0.25">
      <c r="A2096" s="78">
        <v>46173</v>
      </c>
      <c r="B2096" s="133"/>
      <c r="C2096" s="19" t="s">
        <v>345</v>
      </c>
      <c r="D2096" s="84">
        <v>2</v>
      </c>
      <c r="E2096" s="84">
        <v>1</v>
      </c>
      <c r="F2096" s="84">
        <f t="shared" si="65"/>
        <v>2</v>
      </c>
      <c r="G2096" s="84" t="s">
        <v>9</v>
      </c>
      <c r="H2096" s="86"/>
      <c r="J2096" s="30" t="s">
        <v>392</v>
      </c>
    </row>
    <row r="2097" spans="1:11" x14ac:dyDescent="0.25">
      <c r="A2097" s="78">
        <v>46173</v>
      </c>
      <c r="B2097" s="133"/>
      <c r="C2097" s="85" t="s">
        <v>476</v>
      </c>
      <c r="D2097" s="84">
        <v>1</v>
      </c>
      <c r="E2097" s="84">
        <v>20</v>
      </c>
      <c r="F2097" s="84">
        <f t="shared" si="65"/>
        <v>20</v>
      </c>
      <c r="G2097" s="84" t="s">
        <v>9</v>
      </c>
      <c r="H2097" s="86"/>
      <c r="J2097" s="30" t="s">
        <v>392</v>
      </c>
    </row>
    <row r="2098" spans="1:11" ht="30" x14ac:dyDescent="0.25">
      <c r="A2098" s="78">
        <v>46173</v>
      </c>
      <c r="B2098" s="133"/>
      <c r="C2098" s="19" t="s">
        <v>416</v>
      </c>
      <c r="D2098" s="84">
        <v>1</v>
      </c>
      <c r="E2098" s="84">
        <v>4</v>
      </c>
      <c r="F2098" s="84">
        <f t="shared" si="65"/>
        <v>4</v>
      </c>
      <c r="G2098" s="84" t="s">
        <v>9</v>
      </c>
      <c r="H2098" s="86"/>
      <c r="J2098" s="30" t="s">
        <v>392</v>
      </c>
    </row>
    <row r="2099" spans="1:11" s="69" customFormat="1" ht="18.75" x14ac:dyDescent="0.3">
      <c r="A2099" s="235" t="s">
        <v>437</v>
      </c>
      <c r="B2099" s="236"/>
      <c r="C2099" s="236"/>
      <c r="D2099" s="236"/>
      <c r="E2099" s="236"/>
      <c r="F2099" s="236"/>
      <c r="G2099" s="236"/>
      <c r="H2099" s="237"/>
      <c r="I2099" s="112">
        <f>SUM(F2063:F2098)</f>
        <v>1753.0759999999998</v>
      </c>
    </row>
    <row r="2100" spans="1:11" x14ac:dyDescent="0.25">
      <c r="A2100" s="78">
        <v>46174</v>
      </c>
      <c r="C2100" s="19" t="s">
        <v>730</v>
      </c>
      <c r="D2100" s="30">
        <v>2</v>
      </c>
      <c r="E2100" s="30">
        <v>58</v>
      </c>
      <c r="F2100" s="30">
        <f>E2100*D2100</f>
        <v>116</v>
      </c>
      <c r="G2100" s="30" t="s">
        <v>9</v>
      </c>
      <c r="J2100" s="30" t="s">
        <v>391</v>
      </c>
      <c r="K2100" s="30">
        <f>VLOOKUP(C2100, PA!A:M, 13, FALSE)</f>
        <v>0.16666666666666666</v>
      </c>
    </row>
    <row r="2101" spans="1:11" x14ac:dyDescent="0.25">
      <c r="A2101" s="78">
        <v>46174</v>
      </c>
      <c r="C2101" s="19" t="s">
        <v>795</v>
      </c>
      <c r="D2101" s="30">
        <v>1</v>
      </c>
      <c r="E2101" s="30">
        <v>160</v>
      </c>
      <c r="F2101" s="30">
        <f>E2101*D2101</f>
        <v>160</v>
      </c>
      <c r="G2101" s="30" t="s">
        <v>9</v>
      </c>
      <c r="J2101" s="30" t="s">
        <v>391</v>
      </c>
      <c r="K2101" s="30">
        <f>VLOOKUP(C2101, PA!A:M, 13, FALSE)</f>
        <v>0.14285714285714285</v>
      </c>
    </row>
    <row r="2102" spans="1:11" x14ac:dyDescent="0.25">
      <c r="A2102" s="78">
        <v>46174</v>
      </c>
      <c r="C2102" s="19" t="s">
        <v>762</v>
      </c>
      <c r="D2102" s="30">
        <v>7</v>
      </c>
      <c r="E2102" s="30">
        <v>10</v>
      </c>
      <c r="F2102" s="30">
        <v>68</v>
      </c>
      <c r="G2102" s="30" t="s">
        <v>9</v>
      </c>
      <c r="J2102" s="30" t="s">
        <v>391</v>
      </c>
      <c r="K2102" s="30">
        <f>VLOOKUP(C2102, PA!A:M, 13, FALSE)</f>
        <v>-0.45454545454545453</v>
      </c>
    </row>
    <row r="2103" spans="1:11" x14ac:dyDescent="0.25">
      <c r="A2103" s="78">
        <v>46174</v>
      </c>
      <c r="C2103" s="19" t="s">
        <v>706</v>
      </c>
      <c r="D2103" s="30">
        <v>4</v>
      </c>
      <c r="E2103" s="30">
        <v>5</v>
      </c>
      <c r="F2103" s="30">
        <f t="shared" ref="F2103:F2132" si="66">E2103*D2103</f>
        <v>20</v>
      </c>
      <c r="G2103" s="30" t="s">
        <v>9</v>
      </c>
      <c r="J2103" s="30" t="s">
        <v>391</v>
      </c>
      <c r="K2103" s="30">
        <f>VLOOKUP(C2103, PA!A:M, 13, FALSE)</f>
        <v>9.0909090909090981E-2</v>
      </c>
    </row>
    <row r="2104" spans="1:11" x14ac:dyDescent="0.25">
      <c r="A2104" s="78">
        <v>46174</v>
      </c>
      <c r="C2104" s="19" t="s">
        <v>671</v>
      </c>
      <c r="D2104" s="30">
        <v>1</v>
      </c>
      <c r="E2104" s="30">
        <v>70</v>
      </c>
      <c r="F2104" s="30">
        <f t="shared" si="66"/>
        <v>70</v>
      </c>
      <c r="G2104" s="30" t="s">
        <v>9</v>
      </c>
      <c r="J2104" s="30" t="s">
        <v>391</v>
      </c>
      <c r="K2104" s="30">
        <f>VLOOKUP(C2104, PA!A:M, 13, FALSE)</f>
        <v>7.6923076923076927E-2</v>
      </c>
    </row>
    <row r="2105" spans="1:11" x14ac:dyDescent="0.25">
      <c r="A2105" s="78">
        <v>46174</v>
      </c>
      <c r="C2105" s="19" t="s">
        <v>836</v>
      </c>
      <c r="D2105" s="30">
        <v>1</v>
      </c>
      <c r="E2105" s="30">
        <v>30</v>
      </c>
      <c r="F2105" s="30">
        <f t="shared" si="66"/>
        <v>30</v>
      </c>
      <c r="G2105" s="30" t="s">
        <v>9</v>
      </c>
      <c r="J2105" s="30" t="s">
        <v>391</v>
      </c>
      <c r="K2105" s="30">
        <f>VLOOKUP(C2105, PA!A:M, 13, FALSE)</f>
        <v>7.1428571428571425E-2</v>
      </c>
    </row>
    <row r="2106" spans="1:11" x14ac:dyDescent="0.25">
      <c r="A2106" s="78">
        <v>46174</v>
      </c>
      <c r="C2106" s="33" t="s">
        <v>714</v>
      </c>
      <c r="D2106" s="30">
        <v>1</v>
      </c>
      <c r="E2106" s="30">
        <v>30</v>
      </c>
      <c r="F2106" s="30">
        <f t="shared" si="66"/>
        <v>30</v>
      </c>
      <c r="G2106" s="30" t="s">
        <v>9</v>
      </c>
      <c r="J2106" s="30" t="s">
        <v>391</v>
      </c>
      <c r="K2106" s="30">
        <f>VLOOKUP(C2106, PA!A:M, 13, FALSE)</f>
        <v>0.15384615384615385</v>
      </c>
    </row>
    <row r="2107" spans="1:11" x14ac:dyDescent="0.25">
      <c r="A2107" s="78">
        <v>46174</v>
      </c>
      <c r="C2107" s="33" t="s">
        <v>806</v>
      </c>
      <c r="D2107" s="30">
        <v>4</v>
      </c>
      <c r="E2107" s="30">
        <v>9</v>
      </c>
      <c r="F2107" s="30">
        <f t="shared" si="66"/>
        <v>36</v>
      </c>
      <c r="G2107" s="30" t="s">
        <v>9</v>
      </c>
      <c r="J2107" s="30" t="s">
        <v>391</v>
      </c>
      <c r="K2107" s="30">
        <f>VLOOKUP(C2107, PA!A:M, 13, FALSE)</f>
        <v>0.17391304347826084</v>
      </c>
    </row>
    <row r="2108" spans="1:11" x14ac:dyDescent="0.25">
      <c r="A2108" s="78">
        <v>46174</v>
      </c>
      <c r="C2108" s="19" t="s">
        <v>79</v>
      </c>
      <c r="D2108" s="30">
        <v>1</v>
      </c>
      <c r="E2108" s="30">
        <v>50</v>
      </c>
      <c r="F2108" s="30">
        <f t="shared" si="66"/>
        <v>50</v>
      </c>
      <c r="G2108" s="30" t="s">
        <v>9</v>
      </c>
      <c r="J2108" s="30" t="s">
        <v>391</v>
      </c>
      <c r="K2108" s="30">
        <f>VLOOKUP(C2108, PA!A:M, 13, FALSE)</f>
        <v>0.25</v>
      </c>
    </row>
    <row r="2109" spans="1:11" x14ac:dyDescent="0.25">
      <c r="A2109" s="78">
        <v>46174</v>
      </c>
      <c r="C2109" s="19" t="s">
        <v>618</v>
      </c>
      <c r="D2109" s="30">
        <v>1</v>
      </c>
      <c r="E2109" s="30">
        <v>50</v>
      </c>
      <c r="F2109" s="30">
        <f t="shared" si="66"/>
        <v>50</v>
      </c>
      <c r="G2109" s="30" t="s">
        <v>9</v>
      </c>
      <c r="J2109" s="30" t="s">
        <v>391</v>
      </c>
      <c r="K2109" s="30">
        <f>VLOOKUP(C2109, PA!A:M, 13, FALSE)</f>
        <v>8.6956521739130432E-2</v>
      </c>
    </row>
    <row r="2110" spans="1:11" x14ac:dyDescent="0.25">
      <c r="A2110" s="78">
        <v>46174</v>
      </c>
      <c r="C2110" s="61" t="s">
        <v>207</v>
      </c>
      <c r="D2110" s="30">
        <v>1</v>
      </c>
      <c r="E2110" s="30">
        <v>45</v>
      </c>
      <c r="F2110" s="30">
        <f t="shared" si="66"/>
        <v>45</v>
      </c>
      <c r="G2110" s="30" t="s">
        <v>9</v>
      </c>
      <c r="J2110" s="30" t="s">
        <v>391</v>
      </c>
      <c r="K2110" s="30">
        <f>VLOOKUP(C2110, PA!A:M, 13, FALSE)</f>
        <v>0.14285714285714285</v>
      </c>
    </row>
    <row r="2111" spans="1:11" x14ac:dyDescent="0.25">
      <c r="A2111" s="78">
        <v>46174</v>
      </c>
      <c r="C2111" s="33" t="s">
        <v>345</v>
      </c>
      <c r="D2111" s="30">
        <v>10</v>
      </c>
      <c r="E2111" s="30">
        <v>1</v>
      </c>
      <c r="F2111" s="30">
        <f t="shared" si="66"/>
        <v>10</v>
      </c>
      <c r="G2111" s="30" t="s">
        <v>9</v>
      </c>
      <c r="J2111" s="30" t="s">
        <v>391</v>
      </c>
      <c r="K2111" s="30">
        <f>VLOOKUP(C2111, PA!A:M, 13, FALSE)</f>
        <v>0.14942528735632185</v>
      </c>
    </row>
    <row r="2112" spans="1:11" x14ac:dyDescent="0.25">
      <c r="A2112" s="78">
        <v>46174</v>
      </c>
      <c r="C2112" s="19" t="s">
        <v>671</v>
      </c>
      <c r="D2112" s="30">
        <v>1</v>
      </c>
      <c r="E2112" s="30">
        <v>70</v>
      </c>
      <c r="F2112" s="30">
        <f t="shared" si="66"/>
        <v>70</v>
      </c>
      <c r="G2112" s="30" t="s">
        <v>9</v>
      </c>
      <c r="I2112" s="139">
        <f>SUM(F2100:F2112)</f>
        <v>755</v>
      </c>
      <c r="J2112" s="30" t="s">
        <v>391</v>
      </c>
      <c r="K2112" s="30">
        <f>VLOOKUP(C2112, PA!A:M, 13, FALSE)</f>
        <v>7.6923076923076927E-2</v>
      </c>
    </row>
    <row r="2113" spans="1:11" x14ac:dyDescent="0.25">
      <c r="A2113" s="78">
        <v>46174</v>
      </c>
      <c r="C2113" s="19" t="s">
        <v>533</v>
      </c>
      <c r="D2113" s="30">
        <v>1</v>
      </c>
      <c r="E2113" s="30">
        <v>10</v>
      </c>
      <c r="F2113" s="30">
        <f t="shared" si="66"/>
        <v>10</v>
      </c>
      <c r="G2113" s="30" t="s">
        <v>9</v>
      </c>
      <c r="J2113" s="30" t="s">
        <v>392</v>
      </c>
      <c r="K2113" s="30">
        <f>VLOOKUP(C2113, PA!A:M, 13, FALSE)</f>
        <v>0.19999999999999993</v>
      </c>
    </row>
    <row r="2114" spans="1:11" x14ac:dyDescent="0.25">
      <c r="A2114" s="78">
        <v>46174</v>
      </c>
      <c r="C2114" s="19" t="s">
        <v>530</v>
      </c>
      <c r="D2114" s="30">
        <v>1</v>
      </c>
      <c r="E2114" s="30">
        <v>10</v>
      </c>
      <c r="F2114" s="30">
        <f t="shared" si="66"/>
        <v>10</v>
      </c>
      <c r="G2114" s="30" t="s">
        <v>9</v>
      </c>
      <c r="J2114" s="30" t="s">
        <v>392</v>
      </c>
      <c r="K2114" s="30">
        <f>VLOOKUP(C2114, PA!A:M, 13, FALSE)</f>
        <v>0.19999999999999993</v>
      </c>
    </row>
    <row r="2115" spans="1:11" x14ac:dyDescent="0.25">
      <c r="A2115" s="78">
        <v>46174</v>
      </c>
      <c r="C2115" s="33" t="s">
        <v>807</v>
      </c>
      <c r="D2115" s="30">
        <v>0.3</v>
      </c>
      <c r="E2115" s="30">
        <v>70</v>
      </c>
      <c r="F2115" s="30">
        <f t="shared" si="66"/>
        <v>21</v>
      </c>
      <c r="G2115" s="30" t="s">
        <v>9</v>
      </c>
      <c r="J2115" s="30" t="s">
        <v>392</v>
      </c>
      <c r="K2115" s="30">
        <f>VLOOKUP(C2115, PA!A:M, 13, FALSE)</f>
        <v>0.2068269230769231</v>
      </c>
    </row>
    <row r="2116" spans="1:11" x14ac:dyDescent="0.25">
      <c r="A2116" s="78">
        <v>46174</v>
      </c>
      <c r="C2116" s="33" t="s">
        <v>345</v>
      </c>
      <c r="D2116" s="30">
        <v>1</v>
      </c>
      <c r="E2116" s="30">
        <v>1</v>
      </c>
      <c r="F2116" s="30">
        <f t="shared" si="66"/>
        <v>1</v>
      </c>
      <c r="G2116" s="30" t="s">
        <v>9</v>
      </c>
      <c r="J2116" s="30" t="s">
        <v>392</v>
      </c>
      <c r="K2116" s="30">
        <f>VLOOKUP(C2116, PA!A:M, 13, FALSE)</f>
        <v>0.14942528735632185</v>
      </c>
    </row>
    <row r="2117" spans="1:11" x14ac:dyDescent="0.25">
      <c r="A2117" s="78">
        <v>46174</v>
      </c>
      <c r="C2117" s="33" t="s">
        <v>565</v>
      </c>
      <c r="D2117" s="30">
        <v>2</v>
      </c>
      <c r="E2117" s="30">
        <v>10</v>
      </c>
      <c r="F2117" s="30">
        <f t="shared" si="66"/>
        <v>20</v>
      </c>
      <c r="G2117" s="30" t="s">
        <v>9</v>
      </c>
      <c r="J2117" s="30" t="s">
        <v>392</v>
      </c>
      <c r="K2117" s="30">
        <f>VLOOKUP(C2117, PA!A:M, 13, FALSE)</f>
        <v>0.10091743119266047</v>
      </c>
    </row>
    <row r="2118" spans="1:11" x14ac:dyDescent="0.25">
      <c r="A2118" s="78">
        <v>46174</v>
      </c>
      <c r="C2118" s="33" t="s">
        <v>806</v>
      </c>
      <c r="D2118" s="30">
        <v>4</v>
      </c>
      <c r="E2118" s="30">
        <v>9</v>
      </c>
      <c r="F2118" s="30">
        <f t="shared" si="66"/>
        <v>36</v>
      </c>
      <c r="G2118" s="30" t="s">
        <v>9</v>
      </c>
      <c r="J2118" s="30" t="s">
        <v>392</v>
      </c>
      <c r="K2118" s="30">
        <f>VLOOKUP(C2118, PA!A:M, 13, FALSE)</f>
        <v>0.17391304347826084</v>
      </c>
    </row>
    <row r="2119" spans="1:11" x14ac:dyDescent="0.25">
      <c r="A2119" s="78">
        <v>46174</v>
      </c>
      <c r="C2119" s="33" t="s">
        <v>779</v>
      </c>
      <c r="D2119" s="30">
        <v>0.35</v>
      </c>
      <c r="E2119" s="30">
        <v>30</v>
      </c>
      <c r="F2119" s="30">
        <f t="shared" si="66"/>
        <v>10.5</v>
      </c>
      <c r="G2119" s="30" t="s">
        <v>9</v>
      </c>
      <c r="J2119" s="30" t="s">
        <v>392</v>
      </c>
      <c r="K2119" s="30">
        <f>VLOOKUP(C2119, PA!A:M, 13, FALSE)</f>
        <v>0.14285714285714285</v>
      </c>
    </row>
    <row r="2120" spans="1:11" ht="30" x14ac:dyDescent="0.25">
      <c r="A2120" s="78">
        <v>46174</v>
      </c>
      <c r="C2120" s="19" t="s">
        <v>426</v>
      </c>
      <c r="D2120" s="30">
        <v>2</v>
      </c>
      <c r="E2120" s="30">
        <v>10</v>
      </c>
      <c r="F2120" s="30">
        <f t="shared" si="66"/>
        <v>20</v>
      </c>
      <c r="G2120" s="30" t="s">
        <v>9</v>
      </c>
      <c r="J2120" s="30" t="s">
        <v>392</v>
      </c>
      <c r="K2120" s="30">
        <f>VLOOKUP(C2120, PA!A:M, 13, FALSE)</f>
        <v>0.41242937853107342</v>
      </c>
    </row>
    <row r="2121" spans="1:11" x14ac:dyDescent="0.25">
      <c r="A2121" s="78">
        <v>46174</v>
      </c>
      <c r="C2121" s="33" t="s">
        <v>785</v>
      </c>
      <c r="D2121" s="30">
        <v>2</v>
      </c>
      <c r="E2121" s="30">
        <v>1</v>
      </c>
      <c r="F2121" s="30">
        <f t="shared" si="66"/>
        <v>2</v>
      </c>
      <c r="G2121" s="30" t="s">
        <v>9</v>
      </c>
      <c r="J2121" s="30" t="s">
        <v>392</v>
      </c>
      <c r="K2121" s="30">
        <f>VLOOKUP(C2121, PA!A:M, 13, FALSE)</f>
        <v>0.13333333333333336</v>
      </c>
    </row>
    <row r="2122" spans="1:11" x14ac:dyDescent="0.25">
      <c r="A2122" s="78">
        <v>46174</v>
      </c>
      <c r="C2122" s="33" t="s">
        <v>55</v>
      </c>
      <c r="D2122" s="30">
        <v>2</v>
      </c>
      <c r="E2122" s="30">
        <v>1</v>
      </c>
      <c r="F2122" s="30">
        <f t="shared" si="66"/>
        <v>2</v>
      </c>
      <c r="G2122" s="30" t="s">
        <v>9</v>
      </c>
      <c r="J2122" s="30" t="s">
        <v>392</v>
      </c>
      <c r="K2122" s="30">
        <f>VLOOKUP(C2122, PA!A:M, 13, FALSE)</f>
        <v>0.17370892018779346</v>
      </c>
    </row>
    <row r="2123" spans="1:11" x14ac:dyDescent="0.25">
      <c r="A2123" s="78">
        <v>46174</v>
      </c>
      <c r="C2123" s="33" t="s">
        <v>834</v>
      </c>
      <c r="D2123" s="30">
        <v>1</v>
      </c>
      <c r="E2123" s="30">
        <v>20</v>
      </c>
      <c r="F2123" s="30">
        <f t="shared" si="66"/>
        <v>20</v>
      </c>
      <c r="G2123" s="30" t="s">
        <v>9</v>
      </c>
      <c r="J2123" s="30" t="s">
        <v>392</v>
      </c>
      <c r="K2123" s="30">
        <f>VLOOKUP(C2123, PA!A:M, 13, FALSE)</f>
        <v>0.38461538461538458</v>
      </c>
    </row>
    <row r="2124" spans="1:11" x14ac:dyDescent="0.25">
      <c r="A2124" s="78">
        <v>46174</v>
      </c>
      <c r="C2124" s="33" t="s">
        <v>532</v>
      </c>
      <c r="D2124" s="30">
        <v>2</v>
      </c>
      <c r="E2124" s="30">
        <v>5</v>
      </c>
      <c r="F2124" s="30">
        <f t="shared" si="66"/>
        <v>10</v>
      </c>
      <c r="G2124" s="30" t="s">
        <v>9</v>
      </c>
      <c r="J2124" s="30" t="s">
        <v>392</v>
      </c>
      <c r="K2124" s="30">
        <f>VLOOKUP(C2124, PA!A:M, 13, FALSE)</f>
        <v>0.10294117647058826</v>
      </c>
    </row>
    <row r="2125" spans="1:11" x14ac:dyDescent="0.25">
      <c r="A2125" s="78">
        <v>46174</v>
      </c>
      <c r="C2125" s="33" t="s">
        <v>66</v>
      </c>
      <c r="D2125" s="30">
        <v>1</v>
      </c>
      <c r="E2125" s="30">
        <v>10</v>
      </c>
      <c r="F2125" s="30">
        <f t="shared" si="66"/>
        <v>10</v>
      </c>
      <c r="G2125" s="30" t="s">
        <v>9</v>
      </c>
      <c r="J2125" s="30" t="s">
        <v>392</v>
      </c>
      <c r="K2125" s="30">
        <f>VLOOKUP(C2125, PA!A:M, 13, FALSE)</f>
        <v>0.15473441108545033</v>
      </c>
    </row>
    <row r="2126" spans="1:11" x14ac:dyDescent="0.25">
      <c r="A2126" s="78">
        <v>46174</v>
      </c>
      <c r="C2126" s="19" t="s">
        <v>670</v>
      </c>
      <c r="D2126" s="30">
        <v>1</v>
      </c>
      <c r="E2126" s="30">
        <v>10</v>
      </c>
      <c r="F2126" s="30">
        <f t="shared" si="66"/>
        <v>10</v>
      </c>
      <c r="G2126" s="30" t="s">
        <v>9</v>
      </c>
      <c r="J2126" s="30" t="s">
        <v>392</v>
      </c>
      <c r="K2126" s="30">
        <f>VLOOKUP(C2126, PA!A:M, 13, FALSE)</f>
        <v>0.1111111111111111</v>
      </c>
    </row>
    <row r="2127" spans="1:11" x14ac:dyDescent="0.25">
      <c r="A2127" s="78">
        <v>46174</v>
      </c>
      <c r="C2127" s="33" t="s">
        <v>582</v>
      </c>
      <c r="D2127" s="30">
        <v>1</v>
      </c>
      <c r="E2127" s="30">
        <v>10</v>
      </c>
      <c r="F2127" s="30">
        <f t="shared" si="66"/>
        <v>10</v>
      </c>
      <c r="G2127" s="30" t="s">
        <v>9</v>
      </c>
      <c r="J2127" s="30" t="s">
        <v>392</v>
      </c>
      <c r="K2127" s="30">
        <f>VLOOKUP(C2127, PA!A:M, 13, FALSE)</f>
        <v>0.42857142857142855</v>
      </c>
    </row>
    <row r="2128" spans="1:11" x14ac:dyDescent="0.25">
      <c r="A2128" s="78">
        <v>46174</v>
      </c>
      <c r="C2128" s="19" t="s">
        <v>787</v>
      </c>
      <c r="D2128" s="30">
        <v>1</v>
      </c>
      <c r="E2128" s="30">
        <v>35</v>
      </c>
      <c r="F2128" s="30">
        <f t="shared" si="66"/>
        <v>35</v>
      </c>
      <c r="G2128" s="30" t="s">
        <v>9</v>
      </c>
      <c r="J2128" s="30" t="s">
        <v>392</v>
      </c>
      <c r="K2128" s="30">
        <f>VLOOKUP(C2128, PA!A:M, 13, FALSE)</f>
        <v>9.375E-2</v>
      </c>
    </row>
    <row r="2129" spans="1:12" x14ac:dyDescent="0.25">
      <c r="A2129" s="78">
        <v>46174</v>
      </c>
      <c r="C2129" s="33" t="s">
        <v>779</v>
      </c>
      <c r="D2129" s="30">
        <v>1</v>
      </c>
      <c r="E2129" s="30">
        <v>30</v>
      </c>
      <c r="F2129" s="30">
        <f t="shared" si="66"/>
        <v>30</v>
      </c>
      <c r="G2129" s="30" t="s">
        <v>9</v>
      </c>
      <c r="J2129" s="30" t="s">
        <v>392</v>
      </c>
      <c r="K2129" s="30">
        <f>VLOOKUP(C2129, PA!A:M, 13, FALSE)</f>
        <v>0.14285714285714285</v>
      </c>
    </row>
    <row r="2130" spans="1:12" x14ac:dyDescent="0.25">
      <c r="A2130" s="78">
        <v>46174</v>
      </c>
      <c r="C2130" s="33" t="s">
        <v>576</v>
      </c>
      <c r="D2130" s="30">
        <v>4</v>
      </c>
      <c r="E2130" s="30">
        <v>5</v>
      </c>
      <c r="F2130" s="30">
        <f t="shared" si="66"/>
        <v>20</v>
      </c>
      <c r="G2130" s="30" t="s">
        <v>9</v>
      </c>
      <c r="J2130" s="30" t="s">
        <v>392</v>
      </c>
      <c r="K2130" s="30">
        <f>VLOOKUP(C2130, PA!A:M, 13, FALSE)</f>
        <v>0.25</v>
      </c>
    </row>
    <row r="2131" spans="1:12" x14ac:dyDescent="0.25">
      <c r="A2131" s="78">
        <v>46174</v>
      </c>
      <c r="C2131" s="33" t="s">
        <v>736</v>
      </c>
      <c r="D2131" s="30">
        <v>1</v>
      </c>
      <c r="E2131" s="30">
        <v>60</v>
      </c>
      <c r="F2131" s="30">
        <f t="shared" si="66"/>
        <v>60</v>
      </c>
      <c r="G2131" s="30" t="s">
        <v>9</v>
      </c>
      <c r="J2131" s="30" t="s">
        <v>392</v>
      </c>
      <c r="K2131" s="30">
        <f>VLOOKUP(C2131, PA!A:M, 13, FALSE)</f>
        <v>0.1</v>
      </c>
    </row>
    <row r="2132" spans="1:12" x14ac:dyDescent="0.25">
      <c r="A2132" s="78">
        <v>46174</v>
      </c>
      <c r="C2132" s="19" t="s">
        <v>699</v>
      </c>
      <c r="D2132" s="30">
        <v>1</v>
      </c>
      <c r="E2132" s="30">
        <v>15</v>
      </c>
      <c r="F2132" s="30">
        <f t="shared" si="66"/>
        <v>15</v>
      </c>
      <c r="G2132" s="30" t="s">
        <v>9</v>
      </c>
      <c r="I2132" s="139">
        <f>SUM(F2113:F2132)</f>
        <v>352.5</v>
      </c>
      <c r="J2132" s="30" t="s">
        <v>392</v>
      </c>
      <c r="K2132" s="30">
        <f>VLOOKUP(C2132, PA!A:M, 13, FALSE)</f>
        <v>6.6666666666666666E-2</v>
      </c>
      <c r="L2132" s="123">
        <f>AVERAGE(K2100:K2132)</f>
        <v>0.14717633641910491</v>
      </c>
    </row>
    <row r="2133" spans="1:12" s="69" customFormat="1" ht="18.75" x14ac:dyDescent="0.3">
      <c r="A2133" s="235" t="s">
        <v>437</v>
      </c>
      <c r="B2133" s="236"/>
      <c r="C2133" s="236"/>
      <c r="D2133" s="236"/>
      <c r="E2133" s="236"/>
      <c r="F2133" s="236"/>
      <c r="G2133" s="236"/>
      <c r="H2133" s="237"/>
      <c r="I2133" s="238">
        <f>SUM(I2132,I2112)</f>
        <v>1107.5</v>
      </c>
      <c r="J2133" s="239"/>
      <c r="K2133" s="239"/>
      <c r="L2133" s="240"/>
    </row>
    <row r="2134" spans="1:12" x14ac:dyDescent="0.25">
      <c r="A2134" s="78">
        <v>46175</v>
      </c>
      <c r="C2134" s="19" t="s">
        <v>533</v>
      </c>
      <c r="D2134" s="30">
        <v>2</v>
      </c>
      <c r="E2134" s="30">
        <v>10</v>
      </c>
      <c r="F2134" s="30">
        <f t="shared" ref="F2134:F2172" si="67">E2134*D2134</f>
        <v>20</v>
      </c>
      <c r="G2134" s="30" t="s">
        <v>9</v>
      </c>
      <c r="J2134" s="30" t="s">
        <v>391</v>
      </c>
      <c r="K2134" s="30">
        <f>VLOOKUP(C2134, PA!A:M, 13, FALSE)</f>
        <v>0.19999999999999993</v>
      </c>
    </row>
    <row r="2135" spans="1:12" ht="30" x14ac:dyDescent="0.25">
      <c r="A2135" s="78">
        <v>46175</v>
      </c>
      <c r="C2135" s="19" t="s">
        <v>589</v>
      </c>
      <c r="D2135" s="30">
        <v>0.36199999999999999</v>
      </c>
      <c r="E2135" s="30">
        <v>138</v>
      </c>
      <c r="F2135" s="30">
        <f t="shared" si="67"/>
        <v>49.955999999999996</v>
      </c>
      <c r="G2135" s="30" t="s">
        <v>9</v>
      </c>
      <c r="J2135" s="30" t="s">
        <v>391</v>
      </c>
      <c r="K2135" s="30">
        <f>VLOOKUP(C2135, PA!A:M, 13, FALSE)</f>
        <v>0.125</v>
      </c>
    </row>
    <row r="2136" spans="1:12" x14ac:dyDescent="0.25">
      <c r="A2136" s="78">
        <v>46175</v>
      </c>
      <c r="C2136" s="19" t="s">
        <v>787</v>
      </c>
      <c r="D2136" s="30">
        <v>1</v>
      </c>
      <c r="E2136" s="30">
        <v>35</v>
      </c>
      <c r="F2136" s="30">
        <f t="shared" si="67"/>
        <v>35</v>
      </c>
      <c r="G2136" s="30" t="s">
        <v>9</v>
      </c>
      <c r="J2136" s="30" t="s">
        <v>391</v>
      </c>
      <c r="K2136" s="30">
        <f>VLOOKUP(C2136, PA!A:M, 13, FALSE)</f>
        <v>9.375E-2</v>
      </c>
    </row>
    <row r="2137" spans="1:12" x14ac:dyDescent="0.25">
      <c r="A2137" s="78">
        <v>46175</v>
      </c>
      <c r="C2137" s="19" t="s">
        <v>767</v>
      </c>
      <c r="D2137" s="30">
        <v>1</v>
      </c>
      <c r="E2137" s="30">
        <v>10</v>
      </c>
      <c r="F2137" s="30">
        <f t="shared" si="67"/>
        <v>10</v>
      </c>
      <c r="G2137" s="30" t="s">
        <v>9</v>
      </c>
      <c r="J2137" s="30" t="s">
        <v>391</v>
      </c>
      <c r="K2137" s="30">
        <f>VLOOKUP(C2137, PA!A:M, 13, FALSE)</f>
        <v>0.1111111111111111</v>
      </c>
    </row>
    <row r="2138" spans="1:12" x14ac:dyDescent="0.25">
      <c r="A2138" s="78">
        <v>46175</v>
      </c>
      <c r="C2138" s="33" t="s">
        <v>413</v>
      </c>
      <c r="D2138" s="30">
        <v>1</v>
      </c>
      <c r="E2138" s="30">
        <v>68</v>
      </c>
      <c r="F2138" s="30">
        <f t="shared" si="67"/>
        <v>68</v>
      </c>
      <c r="G2138" s="30" t="s">
        <v>9</v>
      </c>
      <c r="J2138" s="30" t="s">
        <v>391</v>
      </c>
      <c r="K2138" s="30">
        <f>VLOOKUP(C2138, PA!A:M, 13, FALSE)</f>
        <v>7.6923076923076927E-2</v>
      </c>
    </row>
    <row r="2139" spans="1:12" x14ac:dyDescent="0.25">
      <c r="A2139" s="78">
        <v>46175</v>
      </c>
      <c r="C2139" s="19" t="s">
        <v>510</v>
      </c>
      <c r="D2139" s="30">
        <v>1</v>
      </c>
      <c r="E2139" s="30">
        <v>200</v>
      </c>
      <c r="F2139" s="30">
        <f t="shared" si="67"/>
        <v>200</v>
      </c>
      <c r="G2139" s="30" t="s">
        <v>9</v>
      </c>
      <c r="J2139" s="30" t="s">
        <v>391</v>
      </c>
      <c r="K2139" s="30">
        <f>VLOOKUP(C2139, PA!A:M, 13, FALSE)</f>
        <v>0.10526315789473684</v>
      </c>
    </row>
    <row r="2140" spans="1:12" x14ac:dyDescent="0.25">
      <c r="A2140" s="78">
        <v>46175</v>
      </c>
      <c r="C2140" s="19" t="s">
        <v>675</v>
      </c>
      <c r="D2140" s="30">
        <v>1</v>
      </c>
      <c r="E2140" s="30">
        <v>40</v>
      </c>
      <c r="F2140" s="30">
        <f t="shared" si="67"/>
        <v>40</v>
      </c>
      <c r="G2140" s="30" t="s">
        <v>9</v>
      </c>
      <c r="J2140" s="30" t="s">
        <v>391</v>
      </c>
      <c r="K2140" s="30">
        <f>VLOOKUP(C2140, PA!A:M, 13, FALSE)</f>
        <v>6.6666666666666666E-2</v>
      </c>
    </row>
    <row r="2141" spans="1:12" x14ac:dyDescent="0.25">
      <c r="A2141" s="78">
        <v>46175</v>
      </c>
      <c r="C2141" s="19" t="s">
        <v>671</v>
      </c>
      <c r="D2141" s="30">
        <v>1</v>
      </c>
      <c r="E2141" s="30">
        <v>70</v>
      </c>
      <c r="F2141" s="30">
        <f t="shared" si="67"/>
        <v>70</v>
      </c>
      <c r="G2141" s="30" t="s">
        <v>9</v>
      </c>
      <c r="I2141" s="139">
        <f>SUM(F2134:F2141)</f>
        <v>492.95600000000002</v>
      </c>
      <c r="J2141" s="30" t="s">
        <v>391</v>
      </c>
      <c r="K2141" s="30">
        <f>VLOOKUP(C2141, PA!A:M, 13, FALSE)</f>
        <v>7.6923076923076927E-2</v>
      </c>
    </row>
    <row r="2142" spans="1:12" x14ac:dyDescent="0.25">
      <c r="A2142" s="78">
        <v>46175</v>
      </c>
      <c r="C2142" s="33" t="s">
        <v>778</v>
      </c>
      <c r="D2142" s="30">
        <v>0.46</v>
      </c>
      <c r="E2142" s="30">
        <v>20</v>
      </c>
      <c r="F2142" s="30">
        <f t="shared" si="67"/>
        <v>9.2000000000000011</v>
      </c>
      <c r="G2142" s="30" t="s">
        <v>9</v>
      </c>
      <c r="J2142" s="30" t="s">
        <v>392</v>
      </c>
      <c r="K2142" s="30">
        <f>VLOOKUP(C2142, PA!A:M, 13, FALSE)</f>
        <v>0.25</v>
      </c>
    </row>
    <row r="2143" spans="1:12" x14ac:dyDescent="0.25">
      <c r="A2143" s="78">
        <v>46175</v>
      </c>
      <c r="C2143" s="33" t="s">
        <v>714</v>
      </c>
      <c r="D2143" s="30">
        <v>1</v>
      </c>
      <c r="E2143" s="30">
        <v>30</v>
      </c>
      <c r="F2143" s="30">
        <f t="shared" si="67"/>
        <v>30</v>
      </c>
      <c r="G2143" s="30" t="s">
        <v>9</v>
      </c>
      <c r="J2143" s="30" t="s">
        <v>392</v>
      </c>
      <c r="K2143" s="30">
        <f>VLOOKUP(C2143, PA!A:M, 13, FALSE)</f>
        <v>0.15384615384615385</v>
      </c>
    </row>
    <row r="2144" spans="1:12" x14ac:dyDescent="0.25">
      <c r="A2144" s="78">
        <v>46175</v>
      </c>
      <c r="C2144" s="33" t="s">
        <v>781</v>
      </c>
      <c r="D2144" s="30">
        <v>0.05</v>
      </c>
      <c r="E2144" s="30">
        <v>200</v>
      </c>
      <c r="F2144" s="30">
        <f t="shared" si="67"/>
        <v>10</v>
      </c>
      <c r="G2144" s="30" t="s">
        <v>9</v>
      </c>
      <c r="J2144" s="30" t="s">
        <v>392</v>
      </c>
      <c r="K2144" s="30">
        <f>VLOOKUP(C2144, PA!A:M, 13, FALSE)</f>
        <v>0.42857142857142855</v>
      </c>
    </row>
    <row r="2145" spans="1:11" x14ac:dyDescent="0.25">
      <c r="A2145" s="78">
        <v>46175</v>
      </c>
      <c r="C2145" s="33" t="s">
        <v>780</v>
      </c>
      <c r="D2145" s="30">
        <v>6.6000000000000003E-2</v>
      </c>
      <c r="E2145" s="30">
        <v>150</v>
      </c>
      <c r="F2145" s="30">
        <f t="shared" si="67"/>
        <v>9.9</v>
      </c>
      <c r="G2145" s="30" t="s">
        <v>9</v>
      </c>
      <c r="J2145" s="30" t="s">
        <v>392</v>
      </c>
      <c r="K2145" s="30">
        <f>VLOOKUP(C2145, PA!A:M, 13, FALSE)</f>
        <v>0.66666666666666663</v>
      </c>
    </row>
    <row r="2146" spans="1:11" x14ac:dyDescent="0.25">
      <c r="A2146" s="78">
        <v>46175</v>
      </c>
      <c r="C2146" s="19" t="s">
        <v>530</v>
      </c>
      <c r="D2146" s="30">
        <v>1</v>
      </c>
      <c r="E2146" s="30">
        <v>10</v>
      </c>
      <c r="F2146" s="30">
        <f t="shared" si="67"/>
        <v>10</v>
      </c>
      <c r="G2146" s="30" t="s">
        <v>9</v>
      </c>
      <c r="J2146" s="30" t="s">
        <v>392</v>
      </c>
      <c r="K2146" s="30">
        <f>VLOOKUP(C2146, PA!A:M, 13, FALSE)</f>
        <v>0.19999999999999993</v>
      </c>
    </row>
    <row r="2147" spans="1:11" x14ac:dyDescent="0.25">
      <c r="A2147" s="78">
        <v>46175</v>
      </c>
      <c r="C2147" s="19" t="s">
        <v>615</v>
      </c>
      <c r="D2147" s="30">
        <v>1</v>
      </c>
      <c r="E2147" s="30">
        <v>30</v>
      </c>
      <c r="F2147" s="30">
        <f t="shared" si="67"/>
        <v>30</v>
      </c>
      <c r="G2147" s="30" t="s">
        <v>9</v>
      </c>
      <c r="J2147" s="30" t="s">
        <v>392</v>
      </c>
      <c r="K2147" s="30">
        <f>VLOOKUP(C2147, PA!A:M, 13, FALSE)</f>
        <v>0.24137931034482751</v>
      </c>
    </row>
    <row r="2148" spans="1:11" x14ac:dyDescent="0.25">
      <c r="A2148" s="78">
        <v>46175</v>
      </c>
      <c r="C2148" s="19" t="str">
        <f>'Stock Register'!A186</f>
        <v>SUNRISE GARAM MASALA LOT 1</v>
      </c>
      <c r="D2148" s="30">
        <v>1</v>
      </c>
      <c r="E2148" s="30">
        <v>5</v>
      </c>
      <c r="F2148" s="30">
        <f t="shared" si="67"/>
        <v>5</v>
      </c>
      <c r="G2148" s="30" t="s">
        <v>9</v>
      </c>
      <c r="J2148" s="30" t="s">
        <v>392</v>
      </c>
      <c r="K2148" s="30">
        <f>VLOOKUP(C2148, PA!A:M, 13, FALSE)</f>
        <v>0.25</v>
      </c>
    </row>
    <row r="2149" spans="1:11" x14ac:dyDescent="0.25">
      <c r="A2149" s="78">
        <v>46175</v>
      </c>
      <c r="C2149" s="33" t="s">
        <v>565</v>
      </c>
      <c r="D2149" s="30">
        <v>1</v>
      </c>
      <c r="E2149" s="30">
        <v>10</v>
      </c>
      <c r="F2149" s="30">
        <f t="shared" si="67"/>
        <v>10</v>
      </c>
      <c r="G2149" s="30" t="s">
        <v>9</v>
      </c>
      <c r="J2149" s="30" t="s">
        <v>392</v>
      </c>
      <c r="K2149" s="30">
        <f>VLOOKUP(C2149, PA!A:M, 13, FALSE)</f>
        <v>0.10091743119266047</v>
      </c>
    </row>
    <row r="2150" spans="1:11" x14ac:dyDescent="0.25">
      <c r="A2150" s="78">
        <v>46175</v>
      </c>
      <c r="C2150" s="33" t="s">
        <v>683</v>
      </c>
      <c r="D2150" s="30">
        <v>1</v>
      </c>
      <c r="E2150" s="30">
        <v>10</v>
      </c>
      <c r="F2150" s="30">
        <f t="shared" si="67"/>
        <v>10</v>
      </c>
      <c r="G2150" s="30" t="s">
        <v>9</v>
      </c>
      <c r="J2150" s="30" t="s">
        <v>392</v>
      </c>
      <c r="K2150" s="30">
        <f>VLOOKUP(C2150, PA!A:M, 13, FALSE)</f>
        <v>0.42857142857142855</v>
      </c>
    </row>
    <row r="2151" spans="1:11" x14ac:dyDescent="0.25">
      <c r="A2151" s="78">
        <v>46175</v>
      </c>
      <c r="C2151" s="19" t="s">
        <v>110</v>
      </c>
      <c r="D2151" s="30">
        <v>2</v>
      </c>
      <c r="E2151" s="30">
        <v>5</v>
      </c>
      <c r="F2151" s="30">
        <f t="shared" si="67"/>
        <v>10</v>
      </c>
      <c r="G2151" s="30" t="s">
        <v>9</v>
      </c>
      <c r="J2151" s="30" t="s">
        <v>392</v>
      </c>
      <c r="K2151" s="30">
        <f>VLOOKUP(C2151, PA!A:M, 13, FALSE)</f>
        <v>0.1111111111111111</v>
      </c>
    </row>
    <row r="2152" spans="1:11" x14ac:dyDescent="0.25">
      <c r="A2152" s="78">
        <v>46175</v>
      </c>
      <c r="C2152" s="19" t="s">
        <v>110</v>
      </c>
      <c r="D2152" s="30">
        <v>4</v>
      </c>
      <c r="E2152" s="30">
        <v>5</v>
      </c>
      <c r="F2152" s="30">
        <f t="shared" si="67"/>
        <v>20</v>
      </c>
      <c r="G2152" s="30" t="s">
        <v>9</v>
      </c>
      <c r="J2152" s="30" t="s">
        <v>392</v>
      </c>
      <c r="K2152" s="30">
        <f>VLOOKUP(C2152, PA!A:M, 13, FALSE)</f>
        <v>0.1111111111111111</v>
      </c>
    </row>
    <row r="2153" spans="1:11" x14ac:dyDescent="0.25">
      <c r="A2153" s="78">
        <v>46175</v>
      </c>
      <c r="C2153" s="33" t="s">
        <v>476</v>
      </c>
      <c r="D2153" s="30">
        <v>1</v>
      </c>
      <c r="E2153" s="30">
        <v>20</v>
      </c>
      <c r="F2153" s="30">
        <f t="shared" si="67"/>
        <v>20</v>
      </c>
      <c r="G2153" s="30" t="s">
        <v>9</v>
      </c>
      <c r="J2153" s="30" t="s">
        <v>392</v>
      </c>
      <c r="K2153" s="30">
        <f>VLOOKUP(C2153, PA!A:M, 13, FALSE)</f>
        <v>0.13207547169811312</v>
      </c>
    </row>
    <row r="2154" spans="1:11" x14ac:dyDescent="0.25">
      <c r="A2154" s="78">
        <v>46175</v>
      </c>
      <c r="C2154" s="19" t="s">
        <v>627</v>
      </c>
      <c r="D2154" s="30">
        <v>1</v>
      </c>
      <c r="E2154" s="30">
        <v>35</v>
      </c>
      <c r="F2154" s="30">
        <f t="shared" si="67"/>
        <v>35</v>
      </c>
      <c r="G2154" s="30" t="s">
        <v>9</v>
      </c>
      <c r="J2154" s="30" t="s">
        <v>392</v>
      </c>
      <c r="K2154" s="30">
        <f>VLOOKUP(C2154, PA!A:M, 13, FALSE)</f>
        <v>0.25</v>
      </c>
    </row>
    <row r="2155" spans="1:11" x14ac:dyDescent="0.25">
      <c r="A2155" s="78">
        <v>46175</v>
      </c>
      <c r="C2155" s="19" t="s">
        <v>554</v>
      </c>
      <c r="D2155" s="30">
        <v>1</v>
      </c>
      <c r="E2155" s="30">
        <v>10</v>
      </c>
      <c r="F2155" s="30">
        <f t="shared" si="67"/>
        <v>10</v>
      </c>
      <c r="G2155" s="30" t="s">
        <v>9</v>
      </c>
      <c r="J2155" s="30" t="s">
        <v>392</v>
      </c>
      <c r="K2155" s="30">
        <f>VLOOKUP(C2155, PA!A:M, 13, FALSE)</f>
        <v>0.25</v>
      </c>
    </row>
    <row r="2156" spans="1:11" x14ac:dyDescent="0.25">
      <c r="A2156" s="78">
        <v>46175</v>
      </c>
      <c r="C2156" s="33" t="s">
        <v>706</v>
      </c>
      <c r="D2156" s="30">
        <v>1</v>
      </c>
      <c r="E2156" s="30">
        <v>5</v>
      </c>
      <c r="F2156" s="30">
        <f t="shared" si="67"/>
        <v>5</v>
      </c>
      <c r="G2156" s="30" t="s">
        <v>9</v>
      </c>
      <c r="J2156" s="30" t="s">
        <v>392</v>
      </c>
      <c r="K2156" s="30">
        <f>VLOOKUP(C2156, PA!A:M, 13, FALSE)</f>
        <v>9.0909090909090981E-2</v>
      </c>
    </row>
    <row r="2157" spans="1:11" x14ac:dyDescent="0.25">
      <c r="A2157" s="78">
        <v>46175</v>
      </c>
      <c r="C2157" s="33" t="s">
        <v>682</v>
      </c>
      <c r="D2157" s="30">
        <v>2</v>
      </c>
      <c r="E2157" s="30">
        <v>10</v>
      </c>
      <c r="F2157" s="30">
        <f t="shared" si="67"/>
        <v>20</v>
      </c>
      <c r="G2157" s="30" t="s">
        <v>9</v>
      </c>
      <c r="J2157" s="30" t="s">
        <v>392</v>
      </c>
      <c r="K2157" s="30">
        <f>VLOOKUP(C2157, PA!A:M, 13, FALSE)</f>
        <v>0.33333333333333331</v>
      </c>
    </row>
    <row r="2158" spans="1:11" x14ac:dyDescent="0.25">
      <c r="A2158" s="78">
        <v>46175</v>
      </c>
      <c r="C2158" s="33" t="s">
        <v>705</v>
      </c>
      <c r="D2158" s="30">
        <v>1</v>
      </c>
      <c r="E2158" s="30">
        <v>10</v>
      </c>
      <c r="F2158" s="30">
        <f t="shared" si="67"/>
        <v>10</v>
      </c>
      <c r="G2158" s="30" t="s">
        <v>9</v>
      </c>
      <c r="J2158" s="30" t="s">
        <v>392</v>
      </c>
      <c r="K2158" s="30">
        <f>VLOOKUP(C2158, PA!A:M, 13, FALSE)</f>
        <v>9.0909090909090981E-2</v>
      </c>
    </row>
    <row r="2159" spans="1:11" x14ac:dyDescent="0.25">
      <c r="A2159" s="78">
        <v>46175</v>
      </c>
      <c r="C2159" s="33" t="s">
        <v>565</v>
      </c>
      <c r="D2159" s="30">
        <v>1</v>
      </c>
      <c r="E2159" s="30">
        <v>10</v>
      </c>
      <c r="F2159" s="30">
        <f t="shared" si="67"/>
        <v>10</v>
      </c>
      <c r="G2159" s="30" t="s">
        <v>9</v>
      </c>
      <c r="J2159" s="30" t="s">
        <v>392</v>
      </c>
      <c r="K2159" s="30">
        <f>VLOOKUP(C2159, PA!A:M, 13, FALSE)</f>
        <v>0.10091743119266047</v>
      </c>
    </row>
    <row r="2160" spans="1:11" x14ac:dyDescent="0.25">
      <c r="A2160" s="78">
        <v>46175</v>
      </c>
      <c r="C2160" s="33" t="s">
        <v>705</v>
      </c>
      <c r="D2160" s="30">
        <v>1</v>
      </c>
      <c r="E2160" s="30">
        <v>10</v>
      </c>
      <c r="F2160" s="30">
        <f t="shared" si="67"/>
        <v>10</v>
      </c>
      <c r="G2160" s="30" t="s">
        <v>9</v>
      </c>
      <c r="J2160" s="30" t="s">
        <v>392</v>
      </c>
      <c r="K2160" s="30">
        <f>VLOOKUP(C2160, PA!A:M, 13, FALSE)</f>
        <v>9.0909090909090981E-2</v>
      </c>
    </row>
    <row r="2161" spans="1:11" x14ac:dyDescent="0.25">
      <c r="A2161" s="78">
        <v>46175</v>
      </c>
      <c r="C2161" s="33" t="s">
        <v>628</v>
      </c>
      <c r="D2161" s="30">
        <v>1</v>
      </c>
      <c r="E2161" s="30">
        <v>61</v>
      </c>
      <c r="F2161" s="30">
        <f t="shared" si="67"/>
        <v>61</v>
      </c>
      <c r="G2161" s="30" t="s">
        <v>9</v>
      </c>
      <c r="J2161" s="30" t="s">
        <v>392</v>
      </c>
      <c r="K2161" s="30">
        <f>VLOOKUP(C2161, PA!A:M, 13, FALSE)</f>
        <v>0.16981132075471697</v>
      </c>
    </row>
    <row r="2162" spans="1:11" x14ac:dyDescent="0.25">
      <c r="A2162" s="78">
        <v>46175</v>
      </c>
      <c r="C2162" s="19" t="s">
        <v>674</v>
      </c>
      <c r="D2162" s="30">
        <v>1</v>
      </c>
      <c r="E2162" s="30">
        <v>58</v>
      </c>
      <c r="F2162" s="30">
        <f t="shared" si="67"/>
        <v>58</v>
      </c>
      <c r="G2162" s="30" t="s">
        <v>9</v>
      </c>
      <c r="J2162" s="30" t="s">
        <v>392</v>
      </c>
      <c r="K2162" s="30">
        <f>VLOOKUP(C2162, PA!A:M, 13, FALSE)</f>
        <v>7.407407407407407E-2</v>
      </c>
    </row>
    <row r="2163" spans="1:11" x14ac:dyDescent="0.25">
      <c r="A2163" s="78">
        <v>46175</v>
      </c>
      <c r="C2163" s="33" t="s">
        <v>345</v>
      </c>
      <c r="D2163" s="30">
        <v>2</v>
      </c>
      <c r="E2163" s="30">
        <v>1</v>
      </c>
      <c r="F2163" s="30">
        <f t="shared" si="67"/>
        <v>2</v>
      </c>
      <c r="G2163" s="30" t="s">
        <v>9</v>
      </c>
      <c r="J2163" s="30" t="s">
        <v>392</v>
      </c>
      <c r="K2163" s="30">
        <f>VLOOKUP(C2163, PA!A:M, 13, FALSE)</f>
        <v>0.14942528735632185</v>
      </c>
    </row>
    <row r="2164" spans="1:11" ht="30" x14ac:dyDescent="0.25">
      <c r="A2164" s="78">
        <v>46175</v>
      </c>
      <c r="C2164" s="19" t="s">
        <v>774</v>
      </c>
      <c r="D2164" s="30">
        <v>2</v>
      </c>
      <c r="E2164" s="30">
        <v>1810</v>
      </c>
      <c r="F2164" s="30">
        <f t="shared" si="67"/>
        <v>3620</v>
      </c>
      <c r="G2164" s="30" t="s">
        <v>9</v>
      </c>
      <c r="J2164" s="30" t="s">
        <v>392</v>
      </c>
      <c r="K2164" s="30">
        <f>VLOOKUP(C2164, PA!A:M, 13, FALSE)</f>
        <v>1.4005602240896359E-2</v>
      </c>
    </row>
    <row r="2165" spans="1:11" x14ac:dyDescent="0.25">
      <c r="A2165" s="78">
        <v>46175</v>
      </c>
      <c r="C2165" s="33" t="s">
        <v>565</v>
      </c>
      <c r="D2165" s="30">
        <v>1</v>
      </c>
      <c r="E2165" s="30">
        <v>10</v>
      </c>
      <c r="F2165" s="30">
        <f t="shared" si="67"/>
        <v>10</v>
      </c>
      <c r="G2165" s="30" t="s">
        <v>9</v>
      </c>
      <c r="J2165" s="30" t="s">
        <v>392</v>
      </c>
      <c r="K2165" s="30">
        <f>VLOOKUP(C2165, PA!A:M, 13, FALSE)</f>
        <v>0.10091743119266047</v>
      </c>
    </row>
    <row r="2166" spans="1:11" x14ac:dyDescent="0.25">
      <c r="A2166" s="78">
        <v>46175</v>
      </c>
      <c r="C2166" s="33" t="s">
        <v>682</v>
      </c>
      <c r="D2166" s="30">
        <v>1</v>
      </c>
      <c r="E2166" s="30">
        <v>10</v>
      </c>
      <c r="F2166" s="30">
        <f t="shared" si="67"/>
        <v>10</v>
      </c>
      <c r="G2166" s="30" t="s">
        <v>9</v>
      </c>
      <c r="J2166" s="30" t="s">
        <v>392</v>
      </c>
      <c r="K2166" s="30">
        <f>VLOOKUP(C2166, PA!A:M, 13, FALSE)</f>
        <v>0.33333333333333331</v>
      </c>
    </row>
    <row r="2167" spans="1:11" x14ac:dyDescent="0.25">
      <c r="A2167" s="78">
        <v>46175</v>
      </c>
      <c r="C2167" s="19" t="s">
        <v>74</v>
      </c>
      <c r="D2167" s="30">
        <v>1</v>
      </c>
      <c r="E2167" s="30">
        <v>20</v>
      </c>
      <c r="F2167" s="30">
        <f t="shared" si="67"/>
        <v>20</v>
      </c>
      <c r="G2167" s="30" t="s">
        <v>9</v>
      </c>
      <c r="J2167" s="30" t="s">
        <v>392</v>
      </c>
      <c r="K2167" s="30">
        <f>VLOOKUP(C2167, PA!A:M, 13, FALSE)</f>
        <v>0.33333333333333331</v>
      </c>
    </row>
    <row r="2168" spans="1:11" ht="30" x14ac:dyDescent="0.25">
      <c r="A2168" s="78">
        <v>46175</v>
      </c>
      <c r="C2168" s="19" t="s">
        <v>434</v>
      </c>
      <c r="D2168" s="30">
        <v>1</v>
      </c>
      <c r="E2168" s="30">
        <v>20</v>
      </c>
      <c r="F2168" s="30">
        <f t="shared" si="67"/>
        <v>20</v>
      </c>
      <c r="G2168" s="30" t="s">
        <v>9</v>
      </c>
      <c r="J2168" s="30" t="s">
        <v>392</v>
      </c>
      <c r="K2168" s="30">
        <f>VLOOKUP(C2168, PA!A:M, 13, FALSE)</f>
        <v>0.19999999999999965</v>
      </c>
    </row>
    <row r="2169" spans="1:11" x14ac:dyDescent="0.25">
      <c r="A2169" s="78">
        <v>46175</v>
      </c>
      <c r="C2169" s="19" t="s">
        <v>611</v>
      </c>
      <c r="D2169" s="30">
        <v>1</v>
      </c>
      <c r="E2169" s="30">
        <v>30</v>
      </c>
      <c r="F2169" s="30">
        <f t="shared" si="67"/>
        <v>30</v>
      </c>
      <c r="G2169" s="30" t="s">
        <v>9</v>
      </c>
      <c r="J2169" s="30" t="s">
        <v>392</v>
      </c>
      <c r="K2169" s="30">
        <f>VLOOKUP(C2169, PA!A:M, 13, FALSE)</f>
        <v>-0.4642857142857143</v>
      </c>
    </row>
    <row r="2170" spans="1:11" x14ac:dyDescent="0.25">
      <c r="A2170" s="78">
        <v>46175</v>
      </c>
      <c r="C2170" s="19" t="s">
        <v>790</v>
      </c>
      <c r="D2170" s="30">
        <v>2</v>
      </c>
      <c r="E2170" s="30">
        <v>26</v>
      </c>
      <c r="F2170" s="30">
        <f t="shared" si="67"/>
        <v>52</v>
      </c>
      <c r="G2170" s="30" t="s">
        <v>9</v>
      </c>
      <c r="J2170" s="30" t="s">
        <v>392</v>
      </c>
      <c r="K2170" s="30">
        <f>VLOOKUP(C2170, PA!A:M, 13, FALSE)</f>
        <v>0.08</v>
      </c>
    </row>
    <row r="2171" spans="1:11" x14ac:dyDescent="0.25">
      <c r="A2171" s="78">
        <v>46175</v>
      </c>
      <c r="C2171" s="61" t="s">
        <v>154</v>
      </c>
      <c r="D2171" s="30">
        <v>11</v>
      </c>
      <c r="E2171" s="30">
        <v>1</v>
      </c>
      <c r="F2171" s="30">
        <f t="shared" si="67"/>
        <v>11</v>
      </c>
      <c r="G2171" s="30" t="s">
        <v>9</v>
      </c>
      <c r="J2171" s="30" t="s">
        <v>392</v>
      </c>
      <c r="K2171" s="30">
        <f>VLOOKUP(C2171, PA!A:M, 13, FALSE)</f>
        <v>0.23456790123456783</v>
      </c>
    </row>
    <row r="2172" spans="1:11" x14ac:dyDescent="0.25">
      <c r="A2172" s="78">
        <v>46175</v>
      </c>
      <c r="C2172" s="19" t="s">
        <v>684</v>
      </c>
      <c r="D2172" s="30">
        <v>4</v>
      </c>
      <c r="E2172" s="30">
        <v>9.5</v>
      </c>
      <c r="F2172" s="30">
        <f t="shared" si="67"/>
        <v>38</v>
      </c>
      <c r="G2172" s="30" t="s">
        <v>9</v>
      </c>
      <c r="J2172" s="30" t="s">
        <v>392</v>
      </c>
      <c r="K2172" s="30">
        <f>VLOOKUP(C2172, PA!A:M, 13, FALSE)</f>
        <v>4.7409040793825769E-2</v>
      </c>
    </row>
    <row r="2173" spans="1:11" x14ac:dyDescent="0.25">
      <c r="A2173" s="78">
        <v>46175</v>
      </c>
      <c r="C2173" s="19" t="s">
        <v>805</v>
      </c>
      <c r="D2173" s="30">
        <v>26</v>
      </c>
      <c r="E2173" s="30">
        <v>54</v>
      </c>
      <c r="F2173" s="30">
        <v>1400</v>
      </c>
      <c r="G2173" s="30" t="s">
        <v>9</v>
      </c>
      <c r="J2173" s="30" t="s">
        <v>392</v>
      </c>
      <c r="K2173" s="30">
        <f>VLOOKUP(C2173, PA!A:M, 13, FALSE)</f>
        <v>3.7924151696606831E-2</v>
      </c>
    </row>
    <row r="2174" spans="1:11" x14ac:dyDescent="0.25">
      <c r="A2174" s="78">
        <v>46175</v>
      </c>
      <c r="C2174" s="19" t="s">
        <v>825</v>
      </c>
      <c r="D2174" s="30">
        <v>1</v>
      </c>
      <c r="E2174" s="30">
        <v>70</v>
      </c>
      <c r="F2174" s="30">
        <f t="shared" ref="F2174:F2180" si="68">E2174*D2174</f>
        <v>70</v>
      </c>
      <c r="G2174" s="30" t="s">
        <v>9</v>
      </c>
      <c r="J2174" s="30" t="s">
        <v>392</v>
      </c>
      <c r="K2174" s="30">
        <f>VLOOKUP(C2174, PA!A:M, 13, FALSE)</f>
        <v>7.6923076923076927E-2</v>
      </c>
    </row>
    <row r="2175" spans="1:11" x14ac:dyDescent="0.25">
      <c r="A2175" s="78">
        <v>46175</v>
      </c>
      <c r="C2175" s="19" t="s">
        <v>704</v>
      </c>
      <c r="D2175" s="30">
        <v>2</v>
      </c>
      <c r="E2175" s="30">
        <v>39</v>
      </c>
      <c r="F2175" s="30">
        <f t="shared" si="68"/>
        <v>78</v>
      </c>
      <c r="G2175" s="30" t="s">
        <v>9</v>
      </c>
      <c r="J2175" s="30" t="s">
        <v>392</v>
      </c>
      <c r="K2175" s="30">
        <f>VLOOKUP(C2175, PA!A:M, 13, FALSE)</f>
        <v>3.8497237569060615E-2</v>
      </c>
    </row>
    <row r="2176" spans="1:11" ht="30" x14ac:dyDescent="0.25">
      <c r="A2176" s="78">
        <v>46175</v>
      </c>
      <c r="C2176" s="19" t="s">
        <v>766</v>
      </c>
      <c r="D2176" s="30">
        <v>1</v>
      </c>
      <c r="E2176" s="30">
        <v>73</v>
      </c>
      <c r="F2176" s="30">
        <f t="shared" si="68"/>
        <v>73</v>
      </c>
      <c r="G2176" s="30" t="s">
        <v>9</v>
      </c>
      <c r="J2176" s="30" t="s">
        <v>392</v>
      </c>
      <c r="K2176" s="30">
        <f>VLOOKUP(C2176, PA!A:M, 13, FALSE)</f>
        <v>7.9999999999999918E-2</v>
      </c>
    </row>
    <row r="2177" spans="1:12" x14ac:dyDescent="0.25">
      <c r="A2177" s="78">
        <v>46175</v>
      </c>
      <c r="C2177" s="19" t="s">
        <v>532</v>
      </c>
      <c r="D2177" s="30">
        <v>4</v>
      </c>
      <c r="E2177" s="30">
        <v>5</v>
      </c>
      <c r="F2177" s="30">
        <f t="shared" si="68"/>
        <v>20</v>
      </c>
      <c r="G2177" s="30" t="s">
        <v>9</v>
      </c>
      <c r="J2177" s="30" t="s">
        <v>392</v>
      </c>
      <c r="K2177" s="30">
        <f>VLOOKUP(C2177, PA!A:M, 13, FALSE)</f>
        <v>0.10294117647058826</v>
      </c>
    </row>
    <row r="2178" spans="1:12" x14ac:dyDescent="0.25">
      <c r="A2178" s="78">
        <v>46175</v>
      </c>
      <c r="C2178" s="19" t="s">
        <v>386</v>
      </c>
      <c r="D2178" s="30">
        <v>1</v>
      </c>
      <c r="E2178" s="30">
        <v>10</v>
      </c>
      <c r="F2178" s="30">
        <f t="shared" si="68"/>
        <v>10</v>
      </c>
      <c r="G2178" s="30" t="s">
        <v>9</v>
      </c>
      <c r="J2178" s="30" t="s">
        <v>392</v>
      </c>
      <c r="K2178" s="30">
        <f>VLOOKUP(C2178, PA!A:M, 13, FALSE)</f>
        <v>0.22448979591836743</v>
      </c>
    </row>
    <row r="2179" spans="1:12" x14ac:dyDescent="0.25">
      <c r="A2179" s="78">
        <v>46175</v>
      </c>
      <c r="C2179" s="19" t="s">
        <v>741</v>
      </c>
      <c r="D2179" s="30">
        <v>1</v>
      </c>
      <c r="E2179" s="30">
        <v>10</v>
      </c>
      <c r="F2179" s="30">
        <f t="shared" si="68"/>
        <v>10</v>
      </c>
      <c r="G2179" s="30" t="s">
        <v>9</v>
      </c>
      <c r="J2179" s="30" t="s">
        <v>392</v>
      </c>
      <c r="K2179" s="30">
        <f>VLOOKUP(C2179, PA!A:M, 13, FALSE)</f>
        <v>0.22448979591836743</v>
      </c>
    </row>
    <row r="2180" spans="1:12" x14ac:dyDescent="0.25">
      <c r="A2180" s="78">
        <v>46175</v>
      </c>
      <c r="C2180" s="19" t="s">
        <v>755</v>
      </c>
      <c r="D2180" s="30">
        <v>1</v>
      </c>
      <c r="E2180" s="30">
        <v>58</v>
      </c>
      <c r="F2180" s="30">
        <f t="shared" si="68"/>
        <v>58</v>
      </c>
      <c r="G2180" s="30" t="s">
        <v>9</v>
      </c>
      <c r="I2180" s="139">
        <f>SUM(F2142:F2180)</f>
        <v>5925.1</v>
      </c>
      <c r="J2180" s="30" t="s">
        <v>392</v>
      </c>
      <c r="K2180" s="30">
        <f>VLOOKUP(C2180, PA!A:M, 13, FALSE)</f>
        <v>7.2727272727272724E-2</v>
      </c>
      <c r="L2180" s="123">
        <f>AVERAGE(K2134:K2180)</f>
        <v>0.15462658206674021</v>
      </c>
    </row>
    <row r="2181" spans="1:12" s="69" customFormat="1" ht="18.75" x14ac:dyDescent="0.3">
      <c r="A2181" s="235" t="s">
        <v>437</v>
      </c>
      <c r="B2181" s="236"/>
      <c r="C2181" s="236"/>
      <c r="D2181" s="236"/>
      <c r="E2181" s="236"/>
      <c r="F2181" s="236"/>
      <c r="G2181" s="236"/>
      <c r="H2181" s="237"/>
      <c r="I2181" s="112">
        <f>SUM(I2180,I2141)</f>
        <v>6418.0560000000005</v>
      </c>
      <c r="J2181" s="112"/>
      <c r="K2181" s="112"/>
      <c r="L2181" s="112"/>
    </row>
    <row r="2182" spans="1:12" x14ac:dyDescent="0.25">
      <c r="A2182" s="78">
        <v>46176</v>
      </c>
      <c r="C2182" s="33" t="s">
        <v>838</v>
      </c>
      <c r="D2182" s="30">
        <v>4</v>
      </c>
      <c r="E2182" s="30">
        <v>9</v>
      </c>
      <c r="F2182" s="30">
        <f t="shared" ref="F2182:F2200" si="69">E2182*D2182</f>
        <v>36</v>
      </c>
      <c r="G2182" s="30" t="s">
        <v>9</v>
      </c>
      <c r="J2182" s="30" t="s">
        <v>391</v>
      </c>
      <c r="K2182" s="30">
        <f>VLOOKUP(C2182, PA!A:M, 13, FALSE)</f>
        <v>0.17391304347826084</v>
      </c>
    </row>
    <row r="2183" spans="1:12" x14ac:dyDescent="0.25">
      <c r="A2183" s="78">
        <v>46176</v>
      </c>
      <c r="C2183" s="33" t="s">
        <v>787</v>
      </c>
      <c r="D2183" s="30">
        <v>1</v>
      </c>
      <c r="E2183" s="30">
        <v>35</v>
      </c>
      <c r="F2183" s="30">
        <f t="shared" si="69"/>
        <v>35</v>
      </c>
      <c r="G2183" s="30" t="s">
        <v>9</v>
      </c>
      <c r="J2183" s="30" t="s">
        <v>391</v>
      </c>
      <c r="K2183" s="30">
        <f>VLOOKUP(C2183, PA!A:M, 13, FALSE)</f>
        <v>9.375E-2</v>
      </c>
    </row>
    <row r="2184" spans="1:12" ht="30" x14ac:dyDescent="0.25">
      <c r="A2184" s="78">
        <v>46176</v>
      </c>
      <c r="C2184" s="19" t="s">
        <v>434</v>
      </c>
      <c r="D2184" s="30">
        <v>1</v>
      </c>
      <c r="E2184" s="30">
        <v>20</v>
      </c>
      <c r="F2184" s="30">
        <f t="shared" si="69"/>
        <v>20</v>
      </c>
      <c r="G2184" s="30" t="s">
        <v>9</v>
      </c>
      <c r="J2184" s="30" t="s">
        <v>391</v>
      </c>
      <c r="K2184" s="30">
        <f>VLOOKUP(C2184, PA!A:M, 13, FALSE)</f>
        <v>0.19999999999999965</v>
      </c>
    </row>
    <row r="2185" spans="1:12" x14ac:dyDescent="0.25">
      <c r="A2185" s="78">
        <v>46176</v>
      </c>
      <c r="C2185" s="19" t="s">
        <v>610</v>
      </c>
      <c r="D2185" s="30">
        <v>2</v>
      </c>
      <c r="E2185" s="30">
        <v>5</v>
      </c>
      <c r="F2185" s="30">
        <f t="shared" si="69"/>
        <v>10</v>
      </c>
      <c r="G2185" s="30" t="s">
        <v>9</v>
      </c>
      <c r="I2185" s="139">
        <f>SUM(F2182:F2185)</f>
        <v>101</v>
      </c>
      <c r="J2185" s="30" t="s">
        <v>391</v>
      </c>
      <c r="K2185" s="30">
        <f>VLOOKUP(C2185, PA!A:M, 13, FALSE)</f>
        <v>8.6956521739130516E-2</v>
      </c>
    </row>
    <row r="2186" spans="1:12" x14ac:dyDescent="0.25">
      <c r="A2186" s="78">
        <v>46176</v>
      </c>
      <c r="C2186" s="19" t="s">
        <v>807</v>
      </c>
      <c r="D2186" s="30">
        <v>0.5</v>
      </c>
      <c r="E2186" s="30">
        <v>70</v>
      </c>
      <c r="F2186" s="30">
        <f t="shared" si="69"/>
        <v>35</v>
      </c>
      <c r="G2186" s="30" t="s">
        <v>9</v>
      </c>
      <c r="J2186" s="30" t="s">
        <v>392</v>
      </c>
      <c r="K2186" s="30">
        <f>VLOOKUP(C2186, PA!A:M, 13, FALSE)</f>
        <v>0.2068269230769231</v>
      </c>
    </row>
    <row r="2187" spans="1:12" x14ac:dyDescent="0.25">
      <c r="A2187" s="78">
        <v>46176</v>
      </c>
      <c r="C2187" s="19" t="s">
        <v>560</v>
      </c>
      <c r="D2187" s="30">
        <v>4</v>
      </c>
      <c r="E2187" s="30">
        <v>10</v>
      </c>
      <c r="F2187" s="30">
        <f t="shared" si="69"/>
        <v>40</v>
      </c>
      <c r="G2187" s="30" t="s">
        <v>9</v>
      </c>
      <c r="J2187" s="30" t="s">
        <v>392</v>
      </c>
      <c r="K2187" s="30">
        <f>VLOOKUP(C2187, PA!A:M, 13, FALSE)</f>
        <v>-0.63636363636363635</v>
      </c>
    </row>
    <row r="2188" spans="1:12" x14ac:dyDescent="0.25">
      <c r="A2188" s="78">
        <v>46176</v>
      </c>
      <c r="C2188" s="19" t="s">
        <v>531</v>
      </c>
      <c r="D2188" s="30">
        <v>2</v>
      </c>
      <c r="E2188" s="30">
        <v>5</v>
      </c>
      <c r="F2188" s="30">
        <f t="shared" si="69"/>
        <v>10</v>
      </c>
      <c r="G2188" s="30" t="s">
        <v>9</v>
      </c>
      <c r="J2188" s="30" t="s">
        <v>392</v>
      </c>
      <c r="K2188" s="30">
        <f>VLOOKUP(C2188, PA!A:M, 13, FALSE)</f>
        <v>6.6666666666666666E-2</v>
      </c>
    </row>
    <row r="2189" spans="1:12" x14ac:dyDescent="0.25">
      <c r="A2189" s="78">
        <v>46176</v>
      </c>
      <c r="C2189" s="19" t="s">
        <v>549</v>
      </c>
      <c r="D2189" s="30">
        <v>2</v>
      </c>
      <c r="E2189" s="30">
        <v>25</v>
      </c>
      <c r="F2189" s="30">
        <f t="shared" si="69"/>
        <v>50</v>
      </c>
      <c r="G2189" s="30" t="s">
        <v>9</v>
      </c>
      <c r="J2189" s="30" t="s">
        <v>392</v>
      </c>
      <c r="K2189" s="30">
        <f>VLOOKUP(C2189, PA!A:M, 13, FALSE)</f>
        <v>0.26984126984126983</v>
      </c>
    </row>
    <row r="2190" spans="1:12" x14ac:dyDescent="0.25">
      <c r="A2190" s="78">
        <v>46176</v>
      </c>
      <c r="C2190" s="19" t="s">
        <v>564</v>
      </c>
      <c r="D2190" s="30">
        <v>0.02</v>
      </c>
      <c r="E2190" s="30">
        <v>300</v>
      </c>
      <c r="F2190" s="30">
        <f t="shared" si="69"/>
        <v>6</v>
      </c>
      <c r="G2190" s="30" t="s">
        <v>9</v>
      </c>
      <c r="J2190" s="30" t="s">
        <v>392</v>
      </c>
      <c r="K2190" s="30">
        <f>VLOOKUP(C2190, PA!A:M, 13, FALSE)</f>
        <v>0.15384615384615385</v>
      </c>
    </row>
    <row r="2191" spans="1:12" x14ac:dyDescent="0.25">
      <c r="A2191" s="78">
        <v>46176</v>
      </c>
      <c r="C2191" s="19" t="s">
        <v>781</v>
      </c>
      <c r="D2191" s="30">
        <v>0.05</v>
      </c>
      <c r="E2191" s="30">
        <v>200</v>
      </c>
      <c r="F2191" s="30">
        <f t="shared" si="69"/>
        <v>10</v>
      </c>
      <c r="G2191" s="30" t="s">
        <v>9</v>
      </c>
      <c r="J2191" s="30" t="s">
        <v>392</v>
      </c>
      <c r="K2191" s="30">
        <f>VLOOKUP(C2191, PA!A:M, 13, FALSE)</f>
        <v>0.42857142857142855</v>
      </c>
    </row>
    <row r="2192" spans="1:12" x14ac:dyDescent="0.25">
      <c r="A2192" s="78">
        <v>46176</v>
      </c>
      <c r="C2192" s="19" t="s">
        <v>781</v>
      </c>
      <c r="D2192" s="30">
        <v>0.1</v>
      </c>
      <c r="E2192" s="30">
        <v>200</v>
      </c>
      <c r="F2192" s="30">
        <f t="shared" si="69"/>
        <v>20</v>
      </c>
      <c r="G2192" s="30" t="s">
        <v>9</v>
      </c>
      <c r="K2192" s="30">
        <f>VLOOKUP(C2192, PA!A:M, 13, FALSE)</f>
        <v>0.42857142857142855</v>
      </c>
    </row>
    <row r="2193" spans="1:11" x14ac:dyDescent="0.25">
      <c r="A2193" s="78">
        <v>46176</v>
      </c>
      <c r="C2193" s="19" t="s">
        <v>779</v>
      </c>
      <c r="D2193" s="30">
        <v>0.307</v>
      </c>
      <c r="E2193" s="30">
        <v>30</v>
      </c>
      <c r="F2193" s="30">
        <f t="shared" si="69"/>
        <v>9.2099999999999991</v>
      </c>
      <c r="G2193" s="30" t="s">
        <v>9</v>
      </c>
      <c r="J2193" s="30" t="s">
        <v>392</v>
      </c>
      <c r="K2193" s="30">
        <f>VLOOKUP(C2193, PA!A:M, 13, FALSE)</f>
        <v>0.14285714285714285</v>
      </c>
    </row>
    <row r="2194" spans="1:11" x14ac:dyDescent="0.25">
      <c r="A2194" s="78">
        <v>46176</v>
      </c>
      <c r="C2194" s="19" t="s">
        <v>805</v>
      </c>
      <c r="D2194" s="30">
        <v>3</v>
      </c>
      <c r="E2194" s="30">
        <v>55</v>
      </c>
      <c r="F2194" s="30">
        <f t="shared" si="69"/>
        <v>165</v>
      </c>
      <c r="G2194" s="30" t="s">
        <v>9</v>
      </c>
      <c r="J2194" s="30" t="s">
        <v>392</v>
      </c>
      <c r="K2194" s="30">
        <f>VLOOKUP(C2194, PA!A:M, 13, FALSE)</f>
        <v>3.7924151696606831E-2</v>
      </c>
    </row>
    <row r="2195" spans="1:11" x14ac:dyDescent="0.25">
      <c r="A2195" s="78">
        <v>46176</v>
      </c>
      <c r="C2195" s="19" t="s">
        <v>513</v>
      </c>
      <c r="D2195" s="30">
        <v>2</v>
      </c>
      <c r="E2195" s="30">
        <v>49</v>
      </c>
      <c r="F2195" s="30">
        <f t="shared" si="69"/>
        <v>98</v>
      </c>
      <c r="G2195" s="30" t="s">
        <v>9</v>
      </c>
      <c r="J2195" s="30" t="s">
        <v>392</v>
      </c>
      <c r="K2195" s="30">
        <f>VLOOKUP(C2195, PA!A:M, 13, FALSE)</f>
        <v>2.6785714285714284E-2</v>
      </c>
    </row>
    <row r="2196" spans="1:11" x14ac:dyDescent="0.25">
      <c r="A2196" s="78">
        <v>46176</v>
      </c>
      <c r="C2196" s="19" t="s">
        <v>772</v>
      </c>
      <c r="D2196" s="30">
        <v>1</v>
      </c>
      <c r="E2196" s="30">
        <v>20</v>
      </c>
      <c r="F2196" s="30">
        <f t="shared" si="69"/>
        <v>20</v>
      </c>
      <c r="G2196" s="30" t="s">
        <v>9</v>
      </c>
      <c r="J2196" s="30" t="s">
        <v>392</v>
      </c>
      <c r="K2196" s="30">
        <f>VLOOKUP(C2196, PA!A:M, 13, FALSE)</f>
        <v>0.1111111111111111</v>
      </c>
    </row>
    <row r="2197" spans="1:11" ht="30" x14ac:dyDescent="0.25">
      <c r="A2197" s="78">
        <v>46176</v>
      </c>
      <c r="C2197" s="19" t="s">
        <v>833</v>
      </c>
      <c r="D2197" s="30">
        <v>1</v>
      </c>
      <c r="E2197" s="30">
        <v>80</v>
      </c>
      <c r="F2197" s="30">
        <f t="shared" si="69"/>
        <v>80</v>
      </c>
      <c r="G2197" s="30" t="s">
        <v>9</v>
      </c>
      <c r="J2197" s="30" t="s">
        <v>392</v>
      </c>
      <c r="K2197" s="30">
        <f>VLOOKUP(C2197, PA!A:M, 13, FALSE)</f>
        <v>0.23076923076923078</v>
      </c>
    </row>
    <row r="2198" spans="1:11" x14ac:dyDescent="0.25">
      <c r="A2198" s="78">
        <v>46176</v>
      </c>
      <c r="C2198" s="19" t="s">
        <v>525</v>
      </c>
      <c r="D2198" s="30">
        <v>1</v>
      </c>
      <c r="E2198" s="30">
        <v>29</v>
      </c>
      <c r="F2198" s="30">
        <f t="shared" si="69"/>
        <v>29</v>
      </c>
      <c r="G2198" s="30" t="s">
        <v>9</v>
      </c>
      <c r="J2198" s="30" t="s">
        <v>392</v>
      </c>
      <c r="K2198" s="30">
        <f>VLOOKUP(C2198, PA!A:M, 13, FALSE)</f>
        <v>0.39423076923076916</v>
      </c>
    </row>
    <row r="2199" spans="1:11" x14ac:dyDescent="0.25">
      <c r="A2199" s="78">
        <v>46176</v>
      </c>
      <c r="C2199" s="19" t="s">
        <v>102</v>
      </c>
      <c r="D2199" s="30">
        <v>1</v>
      </c>
      <c r="E2199" s="30">
        <v>25</v>
      </c>
      <c r="F2199" s="30">
        <f t="shared" si="69"/>
        <v>25</v>
      </c>
      <c r="G2199" s="30" t="s">
        <v>9</v>
      </c>
      <c r="J2199" s="30" t="s">
        <v>392</v>
      </c>
      <c r="K2199" s="30">
        <f>VLOOKUP(C2199, PA!A:M, 13, FALSE)</f>
        <v>0.32978723404255317</v>
      </c>
    </row>
    <row r="2200" spans="1:11" x14ac:dyDescent="0.25">
      <c r="A2200" s="78">
        <v>46176</v>
      </c>
      <c r="C2200" s="19" t="s">
        <v>740</v>
      </c>
      <c r="D2200" s="30">
        <v>2</v>
      </c>
      <c r="E2200" s="30">
        <v>10</v>
      </c>
      <c r="F2200" s="30">
        <f t="shared" si="69"/>
        <v>20</v>
      </c>
      <c r="G2200" s="30" t="s">
        <v>9</v>
      </c>
      <c r="J2200" s="30" t="s">
        <v>392</v>
      </c>
      <c r="K2200" s="30">
        <f>VLOOKUP(C2200, PA!A:M, 13, FALSE)</f>
        <v>0.22448979591836743</v>
      </c>
    </row>
    <row r="2201" spans="1:11" x14ac:dyDescent="0.25">
      <c r="A2201" s="78">
        <v>46176</v>
      </c>
      <c r="C2201" s="33" t="s">
        <v>778</v>
      </c>
      <c r="D2201" s="30">
        <v>2.5</v>
      </c>
      <c r="E2201" s="30">
        <v>20</v>
      </c>
      <c r="F2201" s="30">
        <v>40</v>
      </c>
      <c r="G2201" s="30" t="s">
        <v>9</v>
      </c>
      <c r="J2201" s="30" t="s">
        <v>392</v>
      </c>
      <c r="K2201" s="30">
        <f>VLOOKUP(C2201, PA!A:M, 13, FALSE)</f>
        <v>0.25</v>
      </c>
    </row>
    <row r="2202" spans="1:11" x14ac:dyDescent="0.25">
      <c r="A2202" s="78">
        <v>46176</v>
      </c>
      <c r="C2202" s="33" t="s">
        <v>779</v>
      </c>
      <c r="D2202" s="30">
        <v>2</v>
      </c>
      <c r="E2202" s="30">
        <v>30</v>
      </c>
      <c r="F2202" s="30">
        <f t="shared" ref="F2202:F2217" si="70">E2202*D2202</f>
        <v>60</v>
      </c>
      <c r="G2202" s="30" t="s">
        <v>9</v>
      </c>
      <c r="J2202" s="30" t="s">
        <v>392</v>
      </c>
      <c r="K2202" s="30">
        <f>VLOOKUP(C2202, PA!A:M, 13, FALSE)</f>
        <v>0.14285714285714285</v>
      </c>
    </row>
    <row r="2203" spans="1:11" x14ac:dyDescent="0.25">
      <c r="A2203" s="78">
        <v>46176</v>
      </c>
      <c r="C2203" s="33" t="s">
        <v>779</v>
      </c>
      <c r="D2203" s="30">
        <v>1</v>
      </c>
      <c r="E2203" s="30">
        <v>30</v>
      </c>
      <c r="F2203" s="30">
        <f t="shared" si="70"/>
        <v>30</v>
      </c>
      <c r="G2203" s="30" t="s">
        <v>9</v>
      </c>
      <c r="K2203" s="30">
        <f>VLOOKUP(C2203, PA!A:M, 13, FALSE)</f>
        <v>0.14285714285714285</v>
      </c>
    </row>
    <row r="2204" spans="1:11" x14ac:dyDescent="0.25">
      <c r="A2204" s="78">
        <v>46176</v>
      </c>
      <c r="C2204" s="19" t="s">
        <v>834</v>
      </c>
      <c r="D2204" s="30">
        <v>1</v>
      </c>
      <c r="E2204" s="30">
        <v>20</v>
      </c>
      <c r="F2204" s="30">
        <f t="shared" si="70"/>
        <v>20</v>
      </c>
      <c r="G2204" s="30" t="s">
        <v>9</v>
      </c>
      <c r="J2204" s="30" t="s">
        <v>392</v>
      </c>
      <c r="K2204" s="30">
        <f>VLOOKUP(C2204, PA!A:M, 13, FALSE)</f>
        <v>0.38461538461538458</v>
      </c>
    </row>
    <row r="2205" spans="1:11" x14ac:dyDescent="0.25">
      <c r="A2205" s="78">
        <v>46176</v>
      </c>
      <c r="C2205" s="33" t="s">
        <v>565</v>
      </c>
      <c r="D2205" s="30">
        <v>1</v>
      </c>
      <c r="E2205" s="30">
        <v>10</v>
      </c>
      <c r="F2205" s="30">
        <f t="shared" si="70"/>
        <v>10</v>
      </c>
      <c r="G2205" s="30" t="s">
        <v>9</v>
      </c>
      <c r="J2205" s="30" t="s">
        <v>392</v>
      </c>
      <c r="K2205" s="30">
        <f>VLOOKUP(C2205, PA!A:M, 13, FALSE)</f>
        <v>0.10091743119266047</v>
      </c>
    </row>
    <row r="2206" spans="1:11" x14ac:dyDescent="0.25">
      <c r="A2206" s="78">
        <v>46176</v>
      </c>
      <c r="C2206" s="33" t="s">
        <v>345</v>
      </c>
      <c r="D2206" s="30">
        <v>10</v>
      </c>
      <c r="E2206" s="30">
        <v>1</v>
      </c>
      <c r="F2206" s="30">
        <f t="shared" si="70"/>
        <v>10</v>
      </c>
      <c r="G2206" s="30" t="s">
        <v>9</v>
      </c>
      <c r="J2206" s="30" t="s">
        <v>392</v>
      </c>
      <c r="K2206" s="30">
        <f>VLOOKUP(C2206, PA!A:M, 13, FALSE)</f>
        <v>0.14942528735632185</v>
      </c>
    </row>
    <row r="2207" spans="1:11" x14ac:dyDescent="0.25">
      <c r="A2207" s="78">
        <v>46176</v>
      </c>
      <c r="C2207" s="19" t="s">
        <v>74</v>
      </c>
      <c r="D2207" s="30">
        <v>1</v>
      </c>
      <c r="E2207" s="30">
        <v>20</v>
      </c>
      <c r="F2207" s="30">
        <f t="shared" si="70"/>
        <v>20</v>
      </c>
      <c r="G2207" s="30" t="s">
        <v>9</v>
      </c>
      <c r="J2207" s="30" t="s">
        <v>392</v>
      </c>
      <c r="K2207" s="30">
        <f>VLOOKUP(C2207, PA!A:M, 13, FALSE)</f>
        <v>0.33333333333333331</v>
      </c>
    </row>
    <row r="2208" spans="1:11" ht="30" x14ac:dyDescent="0.25">
      <c r="A2208" s="78">
        <v>46176</v>
      </c>
      <c r="C2208" s="19" t="s">
        <v>833</v>
      </c>
      <c r="D2208" s="30">
        <v>1</v>
      </c>
      <c r="E2208" s="30">
        <v>80</v>
      </c>
      <c r="F2208" s="30">
        <f t="shared" si="70"/>
        <v>80</v>
      </c>
      <c r="G2208" s="30" t="s">
        <v>9</v>
      </c>
      <c r="J2208" s="30" t="s">
        <v>392</v>
      </c>
      <c r="K2208" s="30">
        <f>VLOOKUP(C2208, PA!A:M, 13, FALSE)</f>
        <v>0.23076923076923078</v>
      </c>
    </row>
    <row r="2209" spans="1:12" x14ac:dyDescent="0.25">
      <c r="A2209" s="78">
        <v>46176</v>
      </c>
      <c r="C2209" s="33" t="s">
        <v>714</v>
      </c>
      <c r="D2209" s="30">
        <v>1</v>
      </c>
      <c r="E2209" s="30">
        <v>30</v>
      </c>
      <c r="F2209" s="30">
        <f t="shared" si="70"/>
        <v>30</v>
      </c>
      <c r="G2209" s="30" t="s">
        <v>9</v>
      </c>
      <c r="J2209" s="30" t="s">
        <v>392</v>
      </c>
      <c r="K2209" s="30">
        <f>VLOOKUP(C2209, PA!A:M, 13, FALSE)</f>
        <v>0.15384615384615385</v>
      </c>
    </row>
    <row r="2210" spans="1:12" x14ac:dyDescent="0.25">
      <c r="A2210" s="78">
        <v>46176</v>
      </c>
      <c r="C2210" s="19" t="s">
        <v>347</v>
      </c>
      <c r="D2210" s="30">
        <v>2</v>
      </c>
      <c r="E2210" s="30">
        <v>10</v>
      </c>
      <c r="F2210" s="30">
        <f t="shared" si="70"/>
        <v>20</v>
      </c>
      <c r="G2210" s="30" t="s">
        <v>9</v>
      </c>
      <c r="J2210" s="30" t="s">
        <v>392</v>
      </c>
      <c r="K2210" s="30">
        <f>VLOOKUP(C2210, PA!A:M, 13, FALSE)</f>
        <v>4.7619047619047672E-2</v>
      </c>
    </row>
    <row r="2211" spans="1:12" x14ac:dyDescent="0.25">
      <c r="A2211" s="78">
        <v>46176</v>
      </c>
      <c r="C2211" s="19" t="s">
        <v>549</v>
      </c>
      <c r="D2211" s="30">
        <v>1</v>
      </c>
      <c r="E2211" s="30">
        <v>24</v>
      </c>
      <c r="F2211" s="30">
        <f t="shared" si="70"/>
        <v>24</v>
      </c>
      <c r="G2211" s="30" t="s">
        <v>9</v>
      </c>
      <c r="J2211" s="30" t="s">
        <v>392</v>
      </c>
      <c r="K2211" s="30">
        <f>VLOOKUP(C2211, PA!A:M, 13, FALSE)</f>
        <v>0.26984126984126983</v>
      </c>
    </row>
    <row r="2212" spans="1:12" x14ac:dyDescent="0.25">
      <c r="A2212" s="78">
        <v>46176</v>
      </c>
      <c r="C2212" s="33" t="s">
        <v>778</v>
      </c>
      <c r="D2212" s="30">
        <v>1.5</v>
      </c>
      <c r="E2212" s="30">
        <v>20</v>
      </c>
      <c r="F2212" s="30">
        <f t="shared" si="70"/>
        <v>30</v>
      </c>
      <c r="G2212" s="30" t="s">
        <v>9</v>
      </c>
      <c r="J2212" s="30" t="s">
        <v>392</v>
      </c>
      <c r="K2212" s="30">
        <f>VLOOKUP(C2212, PA!A:M, 13, FALSE)</f>
        <v>0.25</v>
      </c>
    </row>
    <row r="2213" spans="1:12" x14ac:dyDescent="0.25">
      <c r="A2213" s="78">
        <v>46176</v>
      </c>
      <c r="C2213" s="33" t="s">
        <v>778</v>
      </c>
      <c r="D2213" s="30">
        <v>2</v>
      </c>
      <c r="E2213" s="30">
        <v>20</v>
      </c>
      <c r="F2213" s="30">
        <f t="shared" si="70"/>
        <v>40</v>
      </c>
      <c r="G2213" s="30" t="s">
        <v>9</v>
      </c>
      <c r="J2213" s="30" t="s">
        <v>392</v>
      </c>
      <c r="K2213" s="30">
        <f>VLOOKUP(C2213, PA!A:M, 13, FALSE)</f>
        <v>0.25</v>
      </c>
    </row>
    <row r="2214" spans="1:12" x14ac:dyDescent="0.25">
      <c r="A2214" s="78">
        <v>46176</v>
      </c>
      <c r="C2214" s="19" t="s">
        <v>819</v>
      </c>
      <c r="D2214" s="30">
        <v>1</v>
      </c>
      <c r="E2214" s="30">
        <v>40</v>
      </c>
      <c r="F2214" s="30">
        <f t="shared" si="70"/>
        <v>40</v>
      </c>
      <c r="G2214" s="30" t="s">
        <v>9</v>
      </c>
      <c r="J2214" s="30" t="s">
        <v>392</v>
      </c>
      <c r="K2214" s="30">
        <f>VLOOKUP(C2214, PA!A:M, 13, FALSE)</f>
        <v>5.2631578947368418E-2</v>
      </c>
    </row>
    <row r="2215" spans="1:12" ht="30" x14ac:dyDescent="0.25">
      <c r="A2215" s="78">
        <v>46176</v>
      </c>
      <c r="C2215" s="19" t="s">
        <v>416</v>
      </c>
      <c r="D2215" s="30">
        <v>2</v>
      </c>
      <c r="E2215" s="30">
        <v>5</v>
      </c>
      <c r="F2215" s="30">
        <f t="shared" si="70"/>
        <v>10</v>
      </c>
      <c r="G2215" s="30" t="s">
        <v>9</v>
      </c>
      <c r="J2215" s="30" t="s">
        <v>392</v>
      </c>
      <c r="K2215" s="30">
        <f>VLOOKUP(C2215, PA!A:M, 13, FALSE)</f>
        <v>7.1428571428571355E-2</v>
      </c>
    </row>
    <row r="2216" spans="1:12" x14ac:dyDescent="0.25">
      <c r="A2216" s="78">
        <v>46176</v>
      </c>
      <c r="C2216" s="19" t="s">
        <v>780</v>
      </c>
      <c r="D2216" s="30">
        <v>0.2</v>
      </c>
      <c r="E2216" s="30">
        <v>150</v>
      </c>
      <c r="F2216" s="30">
        <f t="shared" si="70"/>
        <v>30</v>
      </c>
      <c r="G2216" s="30" t="s">
        <v>9</v>
      </c>
      <c r="K2216" s="30">
        <f>VLOOKUP(C2216, PA!A:M, 13, FALSE)</f>
        <v>0.66666666666666663</v>
      </c>
    </row>
    <row r="2217" spans="1:12" x14ac:dyDescent="0.25">
      <c r="A2217" s="78">
        <v>46176</v>
      </c>
      <c r="C2217" s="19" t="s">
        <v>834</v>
      </c>
      <c r="D2217" s="30">
        <v>1</v>
      </c>
      <c r="E2217" s="30">
        <v>20</v>
      </c>
      <c r="F2217" s="30">
        <f t="shared" si="70"/>
        <v>20</v>
      </c>
      <c r="G2217" s="30" t="s">
        <v>9</v>
      </c>
      <c r="I2217" s="139">
        <f>SUM(F2186:F2217)</f>
        <v>1131.21</v>
      </c>
      <c r="J2217" s="30" t="s">
        <v>392</v>
      </c>
      <c r="K2217" s="30">
        <f>VLOOKUP(C2217, PA!A:M, 13, FALSE)</f>
        <v>0.38461538461538458</v>
      </c>
      <c r="L2217" s="123">
        <f>AVERAGE(K2182:K2217)</f>
        <v>0.19033218264679996</v>
      </c>
    </row>
    <row r="2218" spans="1:12" s="69" customFormat="1" ht="18.75" x14ac:dyDescent="0.3">
      <c r="A2218" s="235" t="s">
        <v>437</v>
      </c>
      <c r="B2218" s="236"/>
      <c r="C2218" s="236"/>
      <c r="D2218" s="236"/>
      <c r="E2218" s="236"/>
      <c r="F2218" s="236"/>
      <c r="G2218" s="236"/>
      <c r="H2218" s="237"/>
      <c r="I2218" s="238">
        <f>SUM(I2217,I2185)</f>
        <v>1232.21</v>
      </c>
      <c r="J2218" s="239"/>
      <c r="K2218" s="239"/>
      <c r="L2218" s="240"/>
    </row>
    <row r="2219" spans="1:12" x14ac:dyDescent="0.25">
      <c r="A2219" s="78">
        <v>46177</v>
      </c>
      <c r="C2219" s="33" t="s">
        <v>730</v>
      </c>
      <c r="D2219" s="30">
        <v>0.25</v>
      </c>
      <c r="E2219" s="30">
        <v>58</v>
      </c>
      <c r="F2219" s="30">
        <f t="shared" ref="F2219:F2225" si="71">E2219*D2219</f>
        <v>14.5</v>
      </c>
      <c r="G2219" s="30" t="s">
        <v>9</v>
      </c>
      <c r="J2219" s="30" t="s">
        <v>391</v>
      </c>
      <c r="K2219" s="30">
        <f>VLOOKUP(C2219, PA!A:M, 13, FALSE)</f>
        <v>0.16666666666666666</v>
      </c>
    </row>
    <row r="2220" spans="1:12" ht="30" x14ac:dyDescent="0.25">
      <c r="A2220" s="78">
        <v>46177</v>
      </c>
      <c r="C2220" s="19" t="s">
        <v>416</v>
      </c>
      <c r="D2220" s="30">
        <v>2</v>
      </c>
      <c r="E2220" s="30">
        <v>4.5</v>
      </c>
      <c r="F2220" s="30">
        <f t="shared" si="71"/>
        <v>9</v>
      </c>
      <c r="G2220" s="30" t="s">
        <v>9</v>
      </c>
      <c r="I2220" s="139">
        <f>SUM(F2219:F2220)</f>
        <v>23.5</v>
      </c>
      <c r="J2220" s="30" t="s">
        <v>391</v>
      </c>
      <c r="K2220" s="30">
        <f>VLOOKUP(C2220, PA!A:M, 13, FALSE)</f>
        <v>7.1428571428571355E-2</v>
      </c>
    </row>
    <row r="2221" spans="1:12" x14ac:dyDescent="0.25">
      <c r="A2221" s="78">
        <v>46177</v>
      </c>
      <c r="C2221" s="33" t="s">
        <v>565</v>
      </c>
      <c r="D2221" s="30">
        <v>1</v>
      </c>
      <c r="E2221" s="30">
        <v>10</v>
      </c>
      <c r="F2221" s="30">
        <f t="shared" si="71"/>
        <v>10</v>
      </c>
      <c r="G2221" s="30" t="s">
        <v>9</v>
      </c>
      <c r="J2221" s="30" t="s">
        <v>392</v>
      </c>
      <c r="K2221" s="30">
        <f>VLOOKUP(C2221, PA!A:M, 13, FALSE)</f>
        <v>0.10091743119266047</v>
      </c>
    </row>
    <row r="2222" spans="1:12" x14ac:dyDescent="0.25">
      <c r="A2222" s="78">
        <v>46177</v>
      </c>
      <c r="C2222" s="19" t="s">
        <v>856</v>
      </c>
      <c r="D2222" s="30">
        <v>1</v>
      </c>
      <c r="E2222" s="30">
        <v>10</v>
      </c>
      <c r="F2222" s="30">
        <f t="shared" si="71"/>
        <v>10</v>
      </c>
      <c r="G2222" s="30" t="s">
        <v>9</v>
      </c>
      <c r="J2222" s="30" t="s">
        <v>392</v>
      </c>
      <c r="K2222" s="30">
        <f>VLOOKUP(C2222, PA!A:M, 13, FALSE)</f>
        <v>9.0909090909090981E-2</v>
      </c>
    </row>
    <row r="2223" spans="1:12" x14ac:dyDescent="0.25">
      <c r="A2223" s="78">
        <v>46177</v>
      </c>
      <c r="C2223" s="19" t="s">
        <v>819</v>
      </c>
      <c r="D2223" s="30">
        <v>1</v>
      </c>
      <c r="E2223" s="30">
        <v>40</v>
      </c>
      <c r="F2223" s="30">
        <f t="shared" si="71"/>
        <v>40</v>
      </c>
      <c r="G2223" s="30" t="s">
        <v>9</v>
      </c>
      <c r="J2223" s="30" t="s">
        <v>392</v>
      </c>
      <c r="K2223" s="30">
        <f>VLOOKUP(C2223, PA!A:M, 13, FALSE)</f>
        <v>5.2631578947368418E-2</v>
      </c>
    </row>
    <row r="2224" spans="1:12" x14ac:dyDescent="0.25">
      <c r="A2224" s="78">
        <v>46177</v>
      </c>
      <c r="C2224" s="19" t="s">
        <v>729</v>
      </c>
      <c r="D2224" s="30">
        <v>2</v>
      </c>
      <c r="E2224" s="30">
        <v>10</v>
      </c>
      <c r="F2224" s="30">
        <f t="shared" si="71"/>
        <v>20</v>
      </c>
      <c r="G2224" s="30" t="s">
        <v>9</v>
      </c>
      <c r="J2224" s="30" t="s">
        <v>392</v>
      </c>
      <c r="K2224" s="30">
        <f>VLOOKUP(C2224, PA!A:M, 13, FALSE)</f>
        <v>0.14285714285714285</v>
      </c>
    </row>
    <row r="2225" spans="1:12" x14ac:dyDescent="0.25">
      <c r="A2225" s="78">
        <v>46177</v>
      </c>
      <c r="C2225" s="33" t="s">
        <v>568</v>
      </c>
      <c r="D2225" s="30">
        <v>2</v>
      </c>
      <c r="E2225" s="30">
        <v>1</v>
      </c>
      <c r="F2225" s="30">
        <f t="shared" si="71"/>
        <v>2</v>
      </c>
      <c r="G2225" s="30" t="s">
        <v>9</v>
      </c>
      <c r="I2225" s="139">
        <f>SUM(F2221:F2225)</f>
        <v>82</v>
      </c>
      <c r="J2225" s="30" t="s">
        <v>392</v>
      </c>
      <c r="K2225" s="30">
        <f>VLOOKUP(C2225, PA!A:M, 13, FALSE)</f>
        <v>0.23076923076923078</v>
      </c>
      <c r="L2225" s="123">
        <f>AVERAGE(K2219:K2225)</f>
        <v>0.12231138753867594</v>
      </c>
    </row>
    <row r="2226" spans="1:12" s="69" customFormat="1" ht="18.75" x14ac:dyDescent="0.3">
      <c r="A2226" s="235" t="s">
        <v>437</v>
      </c>
      <c r="B2226" s="236"/>
      <c r="C2226" s="236"/>
      <c r="D2226" s="236"/>
      <c r="E2226" s="236"/>
      <c r="F2226" s="236"/>
      <c r="G2226" s="236"/>
      <c r="H2226" s="237"/>
      <c r="I2226" s="238">
        <f>SUM(I2225,I2220)</f>
        <v>105.5</v>
      </c>
      <c r="J2226" s="239"/>
      <c r="K2226" s="239"/>
      <c r="L2226" s="240"/>
    </row>
    <row r="2227" spans="1:12" x14ac:dyDescent="0.25">
      <c r="A2227" s="78">
        <v>46178</v>
      </c>
      <c r="C2227" s="19" t="s">
        <v>730</v>
      </c>
      <c r="D2227" s="30">
        <v>0.34399999999999997</v>
      </c>
      <c r="E2227" s="30">
        <v>58</v>
      </c>
      <c r="F2227" s="30">
        <f t="shared" ref="F2227:F2274" si="72">E2227*D2227</f>
        <v>19.951999999999998</v>
      </c>
      <c r="G2227" s="30" t="s">
        <v>9</v>
      </c>
      <c r="J2227" s="30" t="s">
        <v>391</v>
      </c>
      <c r="K2227" s="30">
        <f>VLOOKUP(C2227, PA!A:M, 13, FALSE)</f>
        <v>0.16666666666666666</v>
      </c>
    </row>
    <row r="2228" spans="1:12" x14ac:dyDescent="0.25">
      <c r="A2228" s="78">
        <v>46178</v>
      </c>
      <c r="C2228" s="33" t="s">
        <v>807</v>
      </c>
      <c r="D2228" s="30">
        <v>0.14299999999999999</v>
      </c>
      <c r="E2228" s="30">
        <v>70</v>
      </c>
      <c r="F2228" s="30">
        <f t="shared" si="72"/>
        <v>10.01</v>
      </c>
      <c r="G2228" s="30" t="s">
        <v>9</v>
      </c>
      <c r="J2228" s="30" t="s">
        <v>391</v>
      </c>
      <c r="K2228" s="30">
        <f>VLOOKUP(C2228, PA!A:M, 13, FALSE)</f>
        <v>0.2068269230769231</v>
      </c>
    </row>
    <row r="2229" spans="1:12" x14ac:dyDescent="0.25">
      <c r="A2229" s="78">
        <v>46178</v>
      </c>
      <c r="C2229" s="33" t="s">
        <v>605</v>
      </c>
      <c r="D2229" s="30">
        <v>1</v>
      </c>
      <c r="E2229" s="30">
        <v>199</v>
      </c>
      <c r="F2229" s="30">
        <f t="shared" si="72"/>
        <v>199</v>
      </c>
      <c r="G2229" s="30" t="s">
        <v>9</v>
      </c>
      <c r="J2229" s="30" t="s">
        <v>391</v>
      </c>
      <c r="K2229" s="30">
        <f>VLOOKUP(C2229, PA!A:M, 13, FALSE)</f>
        <v>3.6458333333333336E-2</v>
      </c>
    </row>
    <row r="2230" spans="1:12" x14ac:dyDescent="0.25">
      <c r="A2230" s="78">
        <v>46178</v>
      </c>
      <c r="C2230" s="33" t="s">
        <v>154</v>
      </c>
      <c r="D2230" s="30">
        <v>1</v>
      </c>
      <c r="E2230" s="30">
        <v>1</v>
      </c>
      <c r="F2230" s="30">
        <f t="shared" si="72"/>
        <v>1</v>
      </c>
      <c r="G2230" s="30" t="s">
        <v>9</v>
      </c>
      <c r="J2230" s="30" t="s">
        <v>391</v>
      </c>
      <c r="K2230" s="30">
        <f>VLOOKUP(C2230, PA!A:M, 13, FALSE)</f>
        <v>0.23456790123456783</v>
      </c>
    </row>
    <row r="2231" spans="1:12" x14ac:dyDescent="0.25">
      <c r="A2231" s="78">
        <v>46178</v>
      </c>
      <c r="C2231" s="33" t="s">
        <v>807</v>
      </c>
      <c r="D2231" s="30">
        <v>0.5</v>
      </c>
      <c r="E2231" s="30">
        <v>70</v>
      </c>
      <c r="F2231" s="30">
        <f t="shared" si="72"/>
        <v>35</v>
      </c>
      <c r="G2231" s="30" t="s">
        <v>9</v>
      </c>
      <c r="J2231" s="30" t="s">
        <v>391</v>
      </c>
      <c r="K2231" s="30">
        <f>VLOOKUP(C2231, PA!A:M, 13, FALSE)</f>
        <v>0.2068269230769231</v>
      </c>
    </row>
    <row r="2232" spans="1:12" x14ac:dyDescent="0.25">
      <c r="A2232" s="78">
        <v>46178</v>
      </c>
      <c r="C2232" s="33" t="s">
        <v>605</v>
      </c>
      <c r="D2232" s="30">
        <v>1</v>
      </c>
      <c r="E2232" s="30">
        <v>199</v>
      </c>
      <c r="F2232" s="30">
        <f t="shared" si="72"/>
        <v>199</v>
      </c>
      <c r="G2232" s="30" t="s">
        <v>9</v>
      </c>
      <c r="J2232" s="30" t="s">
        <v>391</v>
      </c>
      <c r="K2232" s="30">
        <f>VLOOKUP(C2232, PA!A:M, 13, FALSE)</f>
        <v>3.6458333333333336E-2</v>
      </c>
    </row>
    <row r="2233" spans="1:12" x14ac:dyDescent="0.25">
      <c r="A2233" s="78">
        <v>46178</v>
      </c>
      <c r="C2233" s="33" t="s">
        <v>773</v>
      </c>
      <c r="D2233" s="30">
        <v>1</v>
      </c>
      <c r="E2233" s="30">
        <v>60</v>
      </c>
      <c r="F2233" s="30">
        <f t="shared" si="72"/>
        <v>60</v>
      </c>
      <c r="G2233" s="30" t="s">
        <v>9</v>
      </c>
      <c r="J2233" s="30" t="s">
        <v>391</v>
      </c>
      <c r="K2233" s="30">
        <f>VLOOKUP(C2233, PA!A:M, 13, FALSE)</f>
        <v>9.0909090909090912E-2</v>
      </c>
    </row>
    <row r="2234" spans="1:12" x14ac:dyDescent="0.25">
      <c r="A2234" s="78">
        <v>46178</v>
      </c>
      <c r="C2234" s="19" t="s">
        <v>850</v>
      </c>
      <c r="D2234" s="30">
        <v>1</v>
      </c>
      <c r="E2234" s="30">
        <v>35</v>
      </c>
      <c r="F2234" s="30">
        <f t="shared" si="72"/>
        <v>35</v>
      </c>
      <c r="G2234" s="30" t="s">
        <v>9</v>
      </c>
      <c r="J2234" s="30" t="s">
        <v>391</v>
      </c>
      <c r="K2234" s="30">
        <f>VLOOKUP(C2234, PA!A:M, 13, FALSE)</f>
        <v>9.375E-2</v>
      </c>
    </row>
    <row r="2235" spans="1:12" x14ac:dyDescent="0.25">
      <c r="A2235" s="78">
        <v>46178</v>
      </c>
      <c r="C2235" s="19" t="s">
        <v>670</v>
      </c>
      <c r="D2235" s="30">
        <v>1</v>
      </c>
      <c r="E2235" s="30">
        <v>10</v>
      </c>
      <c r="F2235" s="30">
        <f t="shared" si="72"/>
        <v>10</v>
      </c>
      <c r="K2235" s="30">
        <f>VLOOKUP(C2235, PA!A:M, 13, FALSE)</f>
        <v>0.1111111111111111</v>
      </c>
    </row>
    <row r="2236" spans="1:12" x14ac:dyDescent="0.25">
      <c r="A2236" s="78">
        <v>46178</v>
      </c>
      <c r="C2236" s="19" t="s">
        <v>510</v>
      </c>
      <c r="D2236" s="30">
        <v>1</v>
      </c>
      <c r="E2236" s="30">
        <v>205</v>
      </c>
      <c r="F2236" s="30">
        <f t="shared" si="72"/>
        <v>205</v>
      </c>
      <c r="G2236" s="30" t="s">
        <v>9</v>
      </c>
      <c r="I2236" s="139">
        <f>SUM(F2227:F2236)</f>
        <v>773.96199999999999</v>
      </c>
      <c r="J2236" s="30" t="s">
        <v>391</v>
      </c>
      <c r="K2236" s="30">
        <f>VLOOKUP(C2236, PA!A:M, 13, FALSE)</f>
        <v>0.10526315789473684</v>
      </c>
    </row>
    <row r="2237" spans="1:12" x14ac:dyDescent="0.25">
      <c r="A2237" s="78">
        <v>46178</v>
      </c>
      <c r="C2237" s="33" t="s">
        <v>822</v>
      </c>
      <c r="D2237" s="30">
        <v>1</v>
      </c>
      <c r="E2237" s="30">
        <v>30</v>
      </c>
      <c r="F2237" s="30">
        <f t="shared" si="72"/>
        <v>30</v>
      </c>
      <c r="G2237" s="30" t="s">
        <v>9</v>
      </c>
      <c r="J2237" s="30" t="s">
        <v>392</v>
      </c>
      <c r="K2237" s="30">
        <f>VLOOKUP(C2237, PA!A:M, 13, FALSE)</f>
        <v>7.1428571428571425E-2</v>
      </c>
    </row>
    <row r="2238" spans="1:12" x14ac:dyDescent="0.25">
      <c r="A2238" s="78">
        <v>46178</v>
      </c>
      <c r="C2238" s="19" t="s">
        <v>74</v>
      </c>
      <c r="D2238" s="30">
        <v>1</v>
      </c>
      <c r="E2238" s="30">
        <v>20</v>
      </c>
      <c r="F2238" s="30">
        <f t="shared" si="72"/>
        <v>20</v>
      </c>
      <c r="G2238" s="30" t="s">
        <v>9</v>
      </c>
      <c r="J2238" s="30" t="s">
        <v>392</v>
      </c>
      <c r="K2238" s="30">
        <f>VLOOKUP(C2238, PA!A:M, 13, FALSE)</f>
        <v>0.33333333333333331</v>
      </c>
    </row>
    <row r="2239" spans="1:12" x14ac:dyDescent="0.25">
      <c r="A2239" s="78">
        <v>46178</v>
      </c>
      <c r="C2239" s="19" t="s">
        <v>565</v>
      </c>
      <c r="D2239" s="30">
        <v>2</v>
      </c>
      <c r="E2239" s="30">
        <v>10</v>
      </c>
      <c r="F2239" s="30">
        <f t="shared" si="72"/>
        <v>20</v>
      </c>
      <c r="G2239" s="30" t="s">
        <v>9</v>
      </c>
      <c r="J2239" s="30" t="s">
        <v>392</v>
      </c>
      <c r="K2239" s="30">
        <f>VLOOKUP(C2239, PA!A:M, 13, FALSE)</f>
        <v>0.10091743119266047</v>
      </c>
    </row>
    <row r="2240" spans="1:12" x14ac:dyDescent="0.25">
      <c r="A2240" s="78">
        <v>46178</v>
      </c>
      <c r="C2240" s="19" t="s">
        <v>706</v>
      </c>
      <c r="D2240" s="30">
        <v>2</v>
      </c>
      <c r="E2240" s="30">
        <v>5</v>
      </c>
      <c r="F2240" s="30">
        <f t="shared" si="72"/>
        <v>10</v>
      </c>
      <c r="G2240" s="30" t="s">
        <v>9</v>
      </c>
      <c r="J2240" s="30" t="s">
        <v>392</v>
      </c>
      <c r="K2240" s="30">
        <f>VLOOKUP(C2240, PA!A:M, 13, FALSE)</f>
        <v>9.0909090909090981E-2</v>
      </c>
    </row>
    <row r="2241" spans="1:11" x14ac:dyDescent="0.25">
      <c r="A2241" s="78">
        <v>46178</v>
      </c>
      <c r="C2241" s="19" t="s">
        <v>564</v>
      </c>
      <c r="D2241" s="30">
        <v>0.1</v>
      </c>
      <c r="E2241" s="30">
        <v>300</v>
      </c>
      <c r="F2241" s="30">
        <f t="shared" si="72"/>
        <v>30</v>
      </c>
      <c r="G2241" s="30" t="s">
        <v>9</v>
      </c>
      <c r="J2241" s="30" t="s">
        <v>392</v>
      </c>
      <c r="K2241" s="30">
        <f>VLOOKUP(C2241, PA!A:M, 13, FALSE)</f>
        <v>0.15384615384615385</v>
      </c>
    </row>
    <row r="2242" spans="1:11" x14ac:dyDescent="0.25">
      <c r="A2242" s="78">
        <v>46178</v>
      </c>
      <c r="C2242" s="19" t="s">
        <v>395</v>
      </c>
      <c r="D2242" s="30">
        <v>2</v>
      </c>
      <c r="E2242" s="30">
        <v>10</v>
      </c>
      <c r="F2242" s="30">
        <f t="shared" si="72"/>
        <v>20</v>
      </c>
      <c r="G2242" s="30" t="s">
        <v>9</v>
      </c>
      <c r="J2242" s="30" t="s">
        <v>392</v>
      </c>
      <c r="K2242" s="30">
        <f>VLOOKUP(C2242, PA!A:M, 13, FALSE)</f>
        <v>0.13636363636363627</v>
      </c>
    </row>
    <row r="2243" spans="1:11" x14ac:dyDescent="0.25">
      <c r="A2243" s="78">
        <v>46178</v>
      </c>
      <c r="C2243" s="33" t="s">
        <v>822</v>
      </c>
      <c r="D2243" s="30">
        <v>0.65</v>
      </c>
      <c r="E2243" s="30">
        <v>30</v>
      </c>
      <c r="F2243" s="30">
        <f t="shared" si="72"/>
        <v>19.5</v>
      </c>
      <c r="G2243" s="30" t="s">
        <v>9</v>
      </c>
      <c r="J2243" s="30" t="s">
        <v>392</v>
      </c>
      <c r="K2243" s="30">
        <f>VLOOKUP(C2243, PA!A:M, 13, FALSE)</f>
        <v>7.1428571428571425E-2</v>
      </c>
    </row>
    <row r="2244" spans="1:11" x14ac:dyDescent="0.25">
      <c r="A2244" s="78">
        <v>46178</v>
      </c>
      <c r="C2244" s="19" t="s">
        <v>729</v>
      </c>
      <c r="D2244" s="30">
        <v>5</v>
      </c>
      <c r="E2244" s="30">
        <v>10</v>
      </c>
      <c r="F2244" s="30">
        <f t="shared" si="72"/>
        <v>50</v>
      </c>
      <c r="G2244" s="30" t="s">
        <v>9</v>
      </c>
      <c r="J2244" s="30" t="s">
        <v>392</v>
      </c>
      <c r="K2244" s="30">
        <f>VLOOKUP(C2244, PA!A:M, 13, FALSE)</f>
        <v>0.14285714285714285</v>
      </c>
    </row>
    <row r="2245" spans="1:11" x14ac:dyDescent="0.25">
      <c r="A2245" s="78">
        <v>46178</v>
      </c>
      <c r="C2245" s="19" t="s">
        <v>588</v>
      </c>
      <c r="D2245" s="30">
        <v>0.5</v>
      </c>
      <c r="E2245" s="30">
        <v>200</v>
      </c>
      <c r="F2245" s="30">
        <f t="shared" si="72"/>
        <v>100</v>
      </c>
      <c r="G2245" s="30" t="s">
        <v>9</v>
      </c>
      <c r="J2245" s="30" t="s">
        <v>392</v>
      </c>
      <c r="K2245" s="30">
        <f>VLOOKUP(C2245, PA!A:M, 13, FALSE)</f>
        <v>0.1875</v>
      </c>
    </row>
    <row r="2246" spans="1:11" x14ac:dyDescent="0.25">
      <c r="A2246" s="78">
        <v>46178</v>
      </c>
      <c r="C2246" s="19" t="s">
        <v>850</v>
      </c>
      <c r="D2246" s="30">
        <v>1</v>
      </c>
      <c r="E2246" s="30">
        <v>35</v>
      </c>
      <c r="F2246" s="30">
        <f t="shared" si="72"/>
        <v>35</v>
      </c>
      <c r="G2246" s="30" t="s">
        <v>9</v>
      </c>
      <c r="J2246" s="30" t="s">
        <v>392</v>
      </c>
      <c r="K2246" s="30">
        <f>VLOOKUP(C2246, PA!A:M, 13, FALSE)</f>
        <v>9.375E-2</v>
      </c>
    </row>
    <row r="2247" spans="1:11" x14ac:dyDescent="0.25">
      <c r="A2247" s="78">
        <v>46178</v>
      </c>
      <c r="C2247" s="19" t="s">
        <v>588</v>
      </c>
      <c r="D2247" s="30">
        <v>0.5</v>
      </c>
      <c r="E2247" s="30">
        <v>196</v>
      </c>
      <c r="F2247" s="30">
        <f t="shared" si="72"/>
        <v>98</v>
      </c>
      <c r="G2247" s="30" t="s">
        <v>9</v>
      </c>
      <c r="J2247" s="30" t="s">
        <v>392</v>
      </c>
      <c r="K2247" s="30">
        <f>VLOOKUP(C2247, PA!A:M, 13, FALSE)</f>
        <v>0.1875</v>
      </c>
    </row>
    <row r="2248" spans="1:11" x14ac:dyDescent="0.25">
      <c r="A2248" s="78">
        <v>46178</v>
      </c>
      <c r="C2248" s="19" t="s">
        <v>700</v>
      </c>
      <c r="D2248" s="30">
        <v>1</v>
      </c>
      <c r="E2248" s="30">
        <v>5</v>
      </c>
      <c r="F2248" s="30">
        <f t="shared" si="72"/>
        <v>5</v>
      </c>
      <c r="G2248" s="30" t="s">
        <v>9</v>
      </c>
      <c r="J2248" s="30" t="s">
        <v>392</v>
      </c>
      <c r="K2248" s="30">
        <f>VLOOKUP(C2248, PA!A:M, 13, FALSE)</f>
        <v>9.0909090909090981E-2</v>
      </c>
    </row>
    <row r="2249" spans="1:11" x14ac:dyDescent="0.25">
      <c r="A2249" s="78">
        <v>46178</v>
      </c>
      <c r="C2249" s="33" t="s">
        <v>565</v>
      </c>
      <c r="D2249" s="30">
        <v>2</v>
      </c>
      <c r="E2249" s="30">
        <v>10</v>
      </c>
      <c r="F2249" s="30">
        <f t="shared" si="72"/>
        <v>20</v>
      </c>
      <c r="G2249" s="30" t="s">
        <v>9</v>
      </c>
      <c r="J2249" s="30" t="s">
        <v>392</v>
      </c>
      <c r="K2249" s="30">
        <f>VLOOKUP(C2249, PA!A:M, 13, FALSE)</f>
        <v>0.10091743119266047</v>
      </c>
    </row>
    <row r="2250" spans="1:11" ht="30" x14ac:dyDescent="0.25">
      <c r="A2250" s="78">
        <v>46178</v>
      </c>
      <c r="C2250" s="19" t="s">
        <v>589</v>
      </c>
      <c r="D2250" s="30">
        <v>1</v>
      </c>
      <c r="E2250" s="30">
        <v>130</v>
      </c>
      <c r="F2250" s="30">
        <f t="shared" si="72"/>
        <v>130</v>
      </c>
      <c r="G2250" s="30" t="s">
        <v>9</v>
      </c>
      <c r="J2250" s="30" t="s">
        <v>392</v>
      </c>
      <c r="K2250" s="30">
        <f>VLOOKUP(C2250, PA!A:M, 13, FALSE)</f>
        <v>0.125</v>
      </c>
    </row>
    <row r="2251" spans="1:11" x14ac:dyDescent="0.25">
      <c r="A2251" s="78">
        <v>46178</v>
      </c>
      <c r="C2251" s="33" t="s">
        <v>435</v>
      </c>
      <c r="D2251" s="30">
        <v>25</v>
      </c>
      <c r="E2251" s="30">
        <v>1</v>
      </c>
      <c r="F2251" s="30">
        <f t="shared" si="72"/>
        <v>25</v>
      </c>
      <c r="G2251" s="30" t="s">
        <v>9</v>
      </c>
      <c r="J2251" s="30" t="s">
        <v>392</v>
      </c>
      <c r="K2251" s="30">
        <f>VLOOKUP(C2251, PA!A:M, 13, FALSE)</f>
        <v>0.17370892018779346</v>
      </c>
    </row>
    <row r="2252" spans="1:11" x14ac:dyDescent="0.25">
      <c r="A2252" s="78">
        <v>46178</v>
      </c>
      <c r="C2252" s="33" t="s">
        <v>55</v>
      </c>
      <c r="D2252" s="30">
        <v>25</v>
      </c>
      <c r="E2252" s="30">
        <v>1</v>
      </c>
      <c r="F2252" s="30">
        <f t="shared" si="72"/>
        <v>25</v>
      </c>
      <c r="G2252" s="30" t="s">
        <v>9</v>
      </c>
      <c r="J2252" s="30" t="s">
        <v>392</v>
      </c>
      <c r="K2252" s="30">
        <f>VLOOKUP(C2252, PA!A:M, 13, FALSE)</f>
        <v>0.17370892018779346</v>
      </c>
    </row>
    <row r="2253" spans="1:11" x14ac:dyDescent="0.25">
      <c r="A2253" s="78">
        <v>46178</v>
      </c>
      <c r="C2253" s="33" t="s">
        <v>565</v>
      </c>
      <c r="D2253" s="30">
        <v>1</v>
      </c>
      <c r="E2253" s="30">
        <v>10</v>
      </c>
      <c r="F2253" s="30">
        <f t="shared" si="72"/>
        <v>10</v>
      </c>
      <c r="G2253" s="30" t="s">
        <v>9</v>
      </c>
      <c r="J2253" s="30" t="s">
        <v>392</v>
      </c>
      <c r="K2253" s="30">
        <f>VLOOKUP(C2253, PA!A:M, 13, FALSE)</f>
        <v>0.10091743119266047</v>
      </c>
    </row>
    <row r="2254" spans="1:11" x14ac:dyDescent="0.25">
      <c r="A2254" s="78">
        <v>46178</v>
      </c>
      <c r="C2254" s="19" t="s">
        <v>749</v>
      </c>
      <c r="D2254" s="30">
        <v>1</v>
      </c>
      <c r="E2254" s="30">
        <v>100</v>
      </c>
      <c r="F2254" s="30">
        <f t="shared" si="72"/>
        <v>100</v>
      </c>
      <c r="G2254" s="30" t="s">
        <v>9</v>
      </c>
      <c r="J2254" s="30" t="s">
        <v>392</v>
      </c>
      <c r="K2254" s="30">
        <f>VLOOKUP(C2254, PA!A:M, 13, FALSE)</f>
        <v>0.1111111111111111</v>
      </c>
    </row>
    <row r="2255" spans="1:11" x14ac:dyDescent="0.25">
      <c r="A2255" s="78">
        <v>46178</v>
      </c>
      <c r="C2255" s="33" t="s">
        <v>730</v>
      </c>
      <c r="D2255" s="30">
        <v>0.25</v>
      </c>
      <c r="E2255" s="30">
        <v>60</v>
      </c>
      <c r="F2255" s="30">
        <f t="shared" si="72"/>
        <v>15</v>
      </c>
      <c r="G2255" s="30" t="s">
        <v>9</v>
      </c>
      <c r="J2255" s="30" t="s">
        <v>392</v>
      </c>
      <c r="K2255" s="30">
        <f>VLOOKUP(C2255, PA!A:M, 13, FALSE)</f>
        <v>0.16666666666666666</v>
      </c>
    </row>
    <row r="2256" spans="1:11" x14ac:dyDescent="0.25">
      <c r="A2256" s="78">
        <v>46178</v>
      </c>
      <c r="C2256" s="19" t="s">
        <v>670</v>
      </c>
      <c r="D2256" s="30">
        <v>1</v>
      </c>
      <c r="E2256" s="30">
        <v>10</v>
      </c>
      <c r="F2256" s="30">
        <f t="shared" si="72"/>
        <v>10</v>
      </c>
      <c r="G2256" s="30" t="s">
        <v>9</v>
      </c>
      <c r="J2256" s="30" t="s">
        <v>392</v>
      </c>
      <c r="K2256" s="30">
        <f>VLOOKUP(C2256, PA!A:M, 13, FALSE)</f>
        <v>0.1111111111111111</v>
      </c>
    </row>
    <row r="2257" spans="1:11" x14ac:dyDescent="0.25">
      <c r="A2257" s="78">
        <v>46178</v>
      </c>
      <c r="C2257" s="19" t="s">
        <v>705</v>
      </c>
      <c r="D2257" s="30">
        <v>1</v>
      </c>
      <c r="E2257" s="30">
        <v>10</v>
      </c>
      <c r="F2257" s="30">
        <f t="shared" si="72"/>
        <v>10</v>
      </c>
      <c r="G2257" s="30" t="s">
        <v>9</v>
      </c>
      <c r="J2257" s="30" t="s">
        <v>392</v>
      </c>
      <c r="K2257" s="30">
        <f>VLOOKUP(C2257, PA!A:M, 13, FALSE)</f>
        <v>9.0909090909090981E-2</v>
      </c>
    </row>
    <row r="2258" spans="1:11" x14ac:dyDescent="0.25">
      <c r="A2258" s="78">
        <v>46178</v>
      </c>
      <c r="C2258" s="19" t="s">
        <v>706</v>
      </c>
      <c r="D2258" s="30">
        <v>1</v>
      </c>
      <c r="E2258" s="30">
        <v>5</v>
      </c>
      <c r="F2258" s="30">
        <f t="shared" si="72"/>
        <v>5</v>
      </c>
      <c r="G2258" s="30" t="s">
        <v>9</v>
      </c>
      <c r="J2258" s="30" t="s">
        <v>392</v>
      </c>
      <c r="K2258" s="30">
        <f>VLOOKUP(C2258, PA!A:M, 13, FALSE)</f>
        <v>9.0909090909090981E-2</v>
      </c>
    </row>
    <row r="2259" spans="1:11" x14ac:dyDescent="0.25">
      <c r="A2259" s="78">
        <v>46178</v>
      </c>
      <c r="C2259" s="19" t="s">
        <v>695</v>
      </c>
      <c r="D2259" s="30">
        <v>1</v>
      </c>
      <c r="E2259" s="30">
        <v>30</v>
      </c>
      <c r="F2259" s="30">
        <f t="shared" si="72"/>
        <v>30</v>
      </c>
      <c r="G2259" s="30" t="s">
        <v>9</v>
      </c>
      <c r="J2259" s="30" t="s">
        <v>392</v>
      </c>
      <c r="K2259" s="30">
        <f>VLOOKUP(C2259, PA!A:M, 13, FALSE)</f>
        <v>0.1111111111111111</v>
      </c>
    </row>
    <row r="2260" spans="1:11" x14ac:dyDescent="0.25">
      <c r="A2260" s="78">
        <v>46178</v>
      </c>
      <c r="C2260" s="33" t="s">
        <v>565</v>
      </c>
      <c r="D2260" s="30">
        <v>4</v>
      </c>
      <c r="E2260" s="30">
        <v>10</v>
      </c>
      <c r="F2260" s="30">
        <f t="shared" si="72"/>
        <v>40</v>
      </c>
      <c r="G2260" s="30" t="s">
        <v>9</v>
      </c>
      <c r="J2260" s="30" t="s">
        <v>392</v>
      </c>
      <c r="K2260" s="30">
        <f>VLOOKUP(C2260, PA!A:M, 13, FALSE)</f>
        <v>0.10091743119266047</v>
      </c>
    </row>
    <row r="2261" spans="1:11" x14ac:dyDescent="0.25">
      <c r="A2261" s="78">
        <v>46178</v>
      </c>
      <c r="C2261" s="19" t="s">
        <v>160</v>
      </c>
      <c r="D2261" s="30">
        <v>1.5</v>
      </c>
      <c r="E2261" s="30">
        <v>100</v>
      </c>
      <c r="F2261" s="30">
        <f t="shared" si="72"/>
        <v>150</v>
      </c>
      <c r="G2261" s="30" t="s">
        <v>9</v>
      </c>
      <c r="J2261" s="30" t="s">
        <v>392</v>
      </c>
      <c r="K2261" s="30">
        <f>VLOOKUP(C2261, PA!A:M, 13, FALSE)</f>
        <v>0.22222222222222221</v>
      </c>
    </row>
    <row r="2262" spans="1:11" x14ac:dyDescent="0.25">
      <c r="A2262" s="78">
        <v>46178</v>
      </c>
      <c r="C2262" s="19" t="s">
        <v>858</v>
      </c>
      <c r="D2262" s="30">
        <v>2</v>
      </c>
      <c r="E2262" s="30">
        <v>10</v>
      </c>
      <c r="F2262" s="30">
        <f t="shared" si="72"/>
        <v>20</v>
      </c>
      <c r="G2262" s="30" t="s">
        <v>9</v>
      </c>
      <c r="J2262" s="30" t="s">
        <v>392</v>
      </c>
      <c r="K2262" s="30">
        <f>VLOOKUP(C2262, PA!A:M, 13, FALSE)</f>
        <v>9.0909090909090981E-2</v>
      </c>
    </row>
    <row r="2263" spans="1:11" x14ac:dyDescent="0.25">
      <c r="A2263" s="78">
        <v>46178</v>
      </c>
      <c r="C2263" s="33" t="s">
        <v>565</v>
      </c>
      <c r="D2263" s="30">
        <v>1</v>
      </c>
      <c r="E2263" s="30">
        <v>10</v>
      </c>
      <c r="F2263" s="30">
        <f t="shared" si="72"/>
        <v>10</v>
      </c>
      <c r="G2263" s="30" t="s">
        <v>9</v>
      </c>
      <c r="J2263" s="30" t="s">
        <v>392</v>
      </c>
      <c r="K2263" s="30">
        <f>VLOOKUP(C2263, PA!A:M, 13, FALSE)</f>
        <v>0.10091743119266047</v>
      </c>
    </row>
    <row r="2264" spans="1:11" x14ac:dyDescent="0.25">
      <c r="A2264" s="78">
        <v>46178</v>
      </c>
      <c r="C2264" s="33" t="s">
        <v>348</v>
      </c>
      <c r="D2264" s="30">
        <v>5</v>
      </c>
      <c r="E2264" s="30">
        <v>1</v>
      </c>
      <c r="F2264" s="30">
        <f t="shared" si="72"/>
        <v>5</v>
      </c>
      <c r="G2264" s="30" t="s">
        <v>9</v>
      </c>
      <c r="J2264" s="30" t="s">
        <v>392</v>
      </c>
      <c r="K2264" s="30">
        <f>VLOOKUP(C2264, PA!A:M, 13, FALSE)</f>
        <v>5.0000000000000058E-2</v>
      </c>
    </row>
    <row r="2265" spans="1:11" x14ac:dyDescent="0.25">
      <c r="A2265" s="78">
        <v>46178</v>
      </c>
      <c r="C2265" s="19" t="s">
        <v>838</v>
      </c>
      <c r="D2265" s="30">
        <v>4</v>
      </c>
      <c r="E2265" s="30">
        <v>9</v>
      </c>
      <c r="F2265" s="30">
        <f t="shared" si="72"/>
        <v>36</v>
      </c>
      <c r="G2265" s="30" t="s">
        <v>9</v>
      </c>
      <c r="J2265" s="30" t="s">
        <v>392</v>
      </c>
      <c r="K2265" s="30">
        <f>VLOOKUP(C2265, PA!A:M, 13, FALSE)</f>
        <v>0.17391304347826084</v>
      </c>
    </row>
    <row r="2266" spans="1:11" x14ac:dyDescent="0.25">
      <c r="A2266" s="78">
        <v>46178</v>
      </c>
      <c r="C2266" s="33" t="s">
        <v>375</v>
      </c>
      <c r="D2266" s="30">
        <v>4</v>
      </c>
      <c r="E2266" s="30">
        <v>1</v>
      </c>
      <c r="F2266" s="30">
        <f t="shared" si="72"/>
        <v>4</v>
      </c>
      <c r="G2266" s="30" t="s">
        <v>9</v>
      </c>
      <c r="J2266" s="30" t="s">
        <v>392</v>
      </c>
      <c r="K2266" s="30">
        <f>VLOOKUP(C2266, PA!A:M, 13, FALSE)</f>
        <v>0.14285714285714285</v>
      </c>
    </row>
    <row r="2267" spans="1:11" x14ac:dyDescent="0.25">
      <c r="A2267" s="78">
        <v>46178</v>
      </c>
      <c r="C2267" s="33" t="s">
        <v>683</v>
      </c>
      <c r="D2267" s="30">
        <v>1</v>
      </c>
      <c r="E2267" s="30">
        <v>10</v>
      </c>
      <c r="F2267" s="30">
        <f t="shared" si="72"/>
        <v>10</v>
      </c>
      <c r="G2267" s="30" t="s">
        <v>9</v>
      </c>
      <c r="J2267" s="30" t="s">
        <v>392</v>
      </c>
      <c r="K2267" s="30">
        <f>VLOOKUP(C2267, PA!A:M, 13, FALSE)</f>
        <v>0.42857142857142855</v>
      </c>
    </row>
    <row r="2268" spans="1:11" x14ac:dyDescent="0.25">
      <c r="A2268" s="78">
        <v>46178</v>
      </c>
      <c r="C2268" s="19" t="s">
        <v>850</v>
      </c>
      <c r="D2268" s="30">
        <v>3</v>
      </c>
      <c r="E2268" s="30">
        <v>40</v>
      </c>
      <c r="F2268" s="30">
        <f t="shared" si="72"/>
        <v>120</v>
      </c>
      <c r="G2268" s="30" t="s">
        <v>9</v>
      </c>
      <c r="J2268" s="30" t="s">
        <v>392</v>
      </c>
      <c r="K2268" s="30">
        <f>VLOOKUP(C2268, PA!A:M, 13, FALSE)</f>
        <v>9.375E-2</v>
      </c>
    </row>
    <row r="2269" spans="1:11" x14ac:dyDescent="0.25">
      <c r="A2269" s="78">
        <v>46178</v>
      </c>
      <c r="C2269" s="19" t="s">
        <v>516</v>
      </c>
      <c r="D2269" s="30">
        <v>2</v>
      </c>
      <c r="E2269" s="30">
        <v>35</v>
      </c>
      <c r="F2269" s="30">
        <f t="shared" si="72"/>
        <v>70</v>
      </c>
      <c r="G2269" s="30" t="s">
        <v>9</v>
      </c>
      <c r="J2269" s="30" t="s">
        <v>392</v>
      </c>
      <c r="K2269" s="30">
        <f>VLOOKUP(C2269, PA!A:M, 13, FALSE)</f>
        <v>6.0606060606060608E-2</v>
      </c>
    </row>
    <row r="2270" spans="1:11" x14ac:dyDescent="0.25">
      <c r="A2270" s="78">
        <v>46178</v>
      </c>
      <c r="C2270" s="19" t="s">
        <v>731</v>
      </c>
      <c r="D2270" s="30">
        <v>0.25</v>
      </c>
      <c r="E2270" s="30">
        <v>58</v>
      </c>
      <c r="F2270" s="30">
        <f t="shared" si="72"/>
        <v>14.5</v>
      </c>
      <c r="G2270" s="30" t="s">
        <v>9</v>
      </c>
      <c r="J2270" s="30" t="s">
        <v>392</v>
      </c>
      <c r="K2270" s="30">
        <f>VLOOKUP(C2270, PA!A:M, 13, FALSE)</f>
        <v>0.2</v>
      </c>
    </row>
    <row r="2271" spans="1:11" x14ac:dyDescent="0.25">
      <c r="A2271" s="78">
        <v>46178</v>
      </c>
      <c r="C2271" s="19" t="s">
        <v>675</v>
      </c>
      <c r="D2271" s="30">
        <v>1</v>
      </c>
      <c r="E2271" s="30">
        <v>40</v>
      </c>
      <c r="F2271" s="30">
        <f t="shared" si="72"/>
        <v>40</v>
      </c>
      <c r="G2271" s="30" t="s">
        <v>9</v>
      </c>
      <c r="J2271" s="30" t="s">
        <v>392</v>
      </c>
      <c r="K2271" s="30">
        <f>VLOOKUP(C2271, PA!A:M, 13, FALSE)</f>
        <v>6.6666666666666666E-2</v>
      </c>
    </row>
    <row r="2272" spans="1:11" x14ac:dyDescent="0.25">
      <c r="A2272" s="78">
        <v>46178</v>
      </c>
      <c r="C2272" s="19" t="s">
        <v>838</v>
      </c>
      <c r="D2272" s="30">
        <v>10</v>
      </c>
      <c r="E2272" s="30">
        <v>9</v>
      </c>
      <c r="F2272" s="30">
        <f t="shared" si="72"/>
        <v>90</v>
      </c>
      <c r="G2272" s="30" t="s">
        <v>9</v>
      </c>
      <c r="J2272" s="30" t="s">
        <v>392</v>
      </c>
      <c r="K2272" s="30">
        <f>VLOOKUP(C2272, PA!A:M, 13, FALSE)</f>
        <v>0.17391304347826084</v>
      </c>
    </row>
    <row r="2273" spans="1:12" x14ac:dyDescent="0.25">
      <c r="A2273" s="78">
        <v>46178</v>
      </c>
      <c r="C2273" s="19" t="s">
        <v>807</v>
      </c>
      <c r="D2273" s="30">
        <v>0.5</v>
      </c>
      <c r="E2273" s="30">
        <v>70</v>
      </c>
      <c r="F2273" s="30">
        <f t="shared" si="72"/>
        <v>35</v>
      </c>
      <c r="G2273" s="30" t="s">
        <v>9</v>
      </c>
      <c r="J2273" s="30" t="s">
        <v>392</v>
      </c>
      <c r="K2273" s="30">
        <f>VLOOKUP(C2273, PA!A:M, 13, FALSE)</f>
        <v>0.2068269230769231</v>
      </c>
    </row>
    <row r="2274" spans="1:12" x14ac:dyDescent="0.25">
      <c r="A2274" s="78">
        <v>46178</v>
      </c>
      <c r="C2274" s="19" t="s">
        <v>811</v>
      </c>
      <c r="D2274" s="30">
        <v>0.2</v>
      </c>
      <c r="E2274" s="30">
        <v>160</v>
      </c>
      <c r="F2274" s="30">
        <f t="shared" si="72"/>
        <v>32</v>
      </c>
      <c r="G2274" s="30" t="s">
        <v>9</v>
      </c>
      <c r="I2274" s="139">
        <f>SUM(F2237:F2274)</f>
        <v>1494</v>
      </c>
      <c r="J2274" s="30" t="s">
        <v>392</v>
      </c>
      <c r="K2274" s="30">
        <f>VLOOKUP(C2274, PA!A:M, 13, FALSE)</f>
        <v>0.14285714285714285</v>
      </c>
      <c r="L2274" s="123">
        <f>AVERAGE(K2227:K2274)</f>
        <v>0.13667874947067807</v>
      </c>
    </row>
    <row r="2275" spans="1:12" s="69" customFormat="1" ht="18.75" x14ac:dyDescent="0.3">
      <c r="A2275" s="235" t="s">
        <v>437</v>
      </c>
      <c r="B2275" s="236"/>
      <c r="C2275" s="236"/>
      <c r="D2275" s="236"/>
      <c r="E2275" s="236"/>
      <c r="F2275" s="236"/>
      <c r="G2275" s="236"/>
      <c r="H2275" s="237"/>
      <c r="I2275" s="238">
        <f>SUM(I2274,I2236)</f>
        <v>2267.962</v>
      </c>
      <c r="J2275" s="239"/>
      <c r="K2275" s="239"/>
      <c r="L2275" s="240"/>
    </row>
    <row r="2276" spans="1:12" x14ac:dyDescent="0.25">
      <c r="A2276" s="78">
        <v>46179</v>
      </c>
      <c r="C2276" s="33" t="s">
        <v>730</v>
      </c>
      <c r="D2276" s="30">
        <v>0.3</v>
      </c>
      <c r="E2276" s="30">
        <v>58</v>
      </c>
      <c r="F2276" s="30">
        <f>E2276*D2276</f>
        <v>17.399999999999999</v>
      </c>
      <c r="G2276" s="30" t="s">
        <v>9</v>
      </c>
      <c r="J2276" s="30" t="s">
        <v>391</v>
      </c>
      <c r="K2276" s="30">
        <f>VLOOKUP(C2276, PA!A:M, 13, FALSE)</f>
        <v>0.16666666666666666</v>
      </c>
    </row>
    <row r="2277" spans="1:12" x14ac:dyDescent="0.25">
      <c r="A2277" s="78">
        <v>46179</v>
      </c>
      <c r="C2277" s="33" t="s">
        <v>778</v>
      </c>
      <c r="D2277" s="30">
        <v>1</v>
      </c>
      <c r="E2277" s="30">
        <v>20</v>
      </c>
      <c r="F2277" s="30">
        <f>E2277*D2277</f>
        <v>20</v>
      </c>
      <c r="G2277" s="30" t="s">
        <v>9</v>
      </c>
      <c r="J2277" s="30" t="s">
        <v>391</v>
      </c>
      <c r="K2277" s="30">
        <f>VLOOKUP(C2277, PA!A:M, 13, FALSE)</f>
        <v>0.25</v>
      </c>
    </row>
    <row r="2278" spans="1:12" x14ac:dyDescent="0.25">
      <c r="A2278" s="78">
        <v>46179</v>
      </c>
      <c r="C2278" s="33" t="s">
        <v>693</v>
      </c>
      <c r="D2278" s="30">
        <v>0.5</v>
      </c>
      <c r="E2278" s="30">
        <v>30</v>
      </c>
      <c r="F2278" s="30">
        <f>E2278*D2278</f>
        <v>15</v>
      </c>
      <c r="G2278" s="30" t="s">
        <v>9</v>
      </c>
      <c r="J2278" s="30" t="s">
        <v>391</v>
      </c>
      <c r="K2278" s="30">
        <f>VLOOKUP(C2278, PA!A:M, 13, FALSE)</f>
        <v>7.6923076923076927E-2</v>
      </c>
    </row>
    <row r="2279" spans="1:12" x14ac:dyDescent="0.25">
      <c r="A2279" s="78">
        <v>46179</v>
      </c>
      <c r="C2279" s="33" t="s">
        <v>576</v>
      </c>
      <c r="D2279" s="30">
        <v>3</v>
      </c>
      <c r="E2279" s="30">
        <v>5</v>
      </c>
      <c r="F2279" s="30">
        <f t="shared" ref="F2279:F2329" si="73">E2279*D2279</f>
        <v>15</v>
      </c>
      <c r="G2279" s="30" t="s">
        <v>9</v>
      </c>
      <c r="J2279" s="30" t="s">
        <v>391</v>
      </c>
      <c r="K2279" s="30">
        <f>VLOOKUP(C2279, PA!A:M, 13, FALSE)</f>
        <v>0.25</v>
      </c>
    </row>
    <row r="2280" spans="1:12" x14ac:dyDescent="0.25">
      <c r="A2280" s="78">
        <v>46179</v>
      </c>
      <c r="C2280" s="33" t="s">
        <v>740</v>
      </c>
      <c r="D2280" s="30">
        <v>1</v>
      </c>
      <c r="E2280" s="30">
        <v>10</v>
      </c>
      <c r="F2280" s="30">
        <f t="shared" si="73"/>
        <v>10</v>
      </c>
      <c r="G2280" s="30" t="s">
        <v>9</v>
      </c>
      <c r="J2280" s="30" t="s">
        <v>391</v>
      </c>
      <c r="K2280" s="30">
        <f>VLOOKUP(C2280, PA!A:M, 13, FALSE)</f>
        <v>0.22448979591836743</v>
      </c>
    </row>
    <row r="2281" spans="1:12" x14ac:dyDescent="0.25">
      <c r="A2281" s="78">
        <v>46179</v>
      </c>
      <c r="C2281" s="33" t="s">
        <v>564</v>
      </c>
      <c r="D2281" s="30">
        <v>0.05</v>
      </c>
      <c r="E2281" s="30">
        <v>300</v>
      </c>
      <c r="F2281" s="30">
        <f t="shared" si="73"/>
        <v>15</v>
      </c>
      <c r="G2281" s="30" t="s">
        <v>9</v>
      </c>
      <c r="J2281" s="30" t="s">
        <v>391</v>
      </c>
      <c r="K2281" s="30">
        <f>VLOOKUP(C2281, PA!A:M, 13, FALSE)</f>
        <v>0.15384615384615385</v>
      </c>
    </row>
    <row r="2282" spans="1:12" x14ac:dyDescent="0.25">
      <c r="A2282" s="78">
        <v>46179</v>
      </c>
      <c r="C2282" s="33" t="s">
        <v>820</v>
      </c>
      <c r="D2282" s="30">
        <v>1</v>
      </c>
      <c r="E2282" s="30">
        <v>52</v>
      </c>
      <c r="F2282" s="30">
        <f t="shared" si="73"/>
        <v>52</v>
      </c>
      <c r="G2282" s="30" t="s">
        <v>9</v>
      </c>
      <c r="J2282" s="30" t="s">
        <v>391</v>
      </c>
      <c r="K2282" s="30">
        <f>VLOOKUP(C2282, PA!A:M, 13, FALSE)</f>
        <v>6.1224489795918366E-2</v>
      </c>
    </row>
    <row r="2283" spans="1:12" x14ac:dyDescent="0.25">
      <c r="A2283" s="78">
        <v>46179</v>
      </c>
      <c r="C2283" s="19" t="s">
        <v>591</v>
      </c>
      <c r="D2283" s="30">
        <v>0.5</v>
      </c>
      <c r="E2283" s="30">
        <v>196</v>
      </c>
      <c r="F2283" s="30">
        <f t="shared" si="73"/>
        <v>98</v>
      </c>
      <c r="G2283" s="30" t="s">
        <v>9</v>
      </c>
      <c r="J2283" s="30" t="s">
        <v>391</v>
      </c>
      <c r="K2283" s="30">
        <f>VLOOKUP(C2283, PA!A:M, 13, FALSE)</f>
        <v>0.125</v>
      </c>
    </row>
    <row r="2284" spans="1:12" x14ac:dyDescent="0.25">
      <c r="A2284" s="78">
        <v>46179</v>
      </c>
      <c r="C2284" s="19" t="str">
        <f>'Stock Register'!A219</f>
        <v>WHOLE MEETHI LOT 1</v>
      </c>
      <c r="D2284" s="30">
        <v>7.0000000000000001E-3</v>
      </c>
      <c r="E2284" s="30">
        <v>1450</v>
      </c>
      <c r="F2284" s="30">
        <f t="shared" si="73"/>
        <v>10.15</v>
      </c>
      <c r="G2284" s="30" t="s">
        <v>9</v>
      </c>
      <c r="J2284" s="30" t="s">
        <v>391</v>
      </c>
      <c r="K2284" s="30">
        <f>VLOOKUP(C2284, PA!A:M, 13, FALSE)</f>
        <v>13.5</v>
      </c>
    </row>
    <row r="2285" spans="1:12" x14ac:dyDescent="0.25">
      <c r="A2285" s="78">
        <v>46179</v>
      </c>
      <c r="C2285" s="19" t="s">
        <v>554</v>
      </c>
      <c r="D2285" s="30">
        <v>2</v>
      </c>
      <c r="E2285" s="30">
        <v>10</v>
      </c>
      <c r="F2285" s="30">
        <f t="shared" si="73"/>
        <v>20</v>
      </c>
      <c r="G2285" s="30" t="s">
        <v>9</v>
      </c>
      <c r="J2285" s="30" t="s">
        <v>391</v>
      </c>
      <c r="K2285" s="30">
        <f>VLOOKUP(C2285, PA!A:M, 13, FALSE)</f>
        <v>0.25</v>
      </c>
    </row>
    <row r="2286" spans="1:12" x14ac:dyDescent="0.25">
      <c r="A2286" s="78">
        <v>46179</v>
      </c>
      <c r="C2286" s="33" t="s">
        <v>714</v>
      </c>
      <c r="D2286" s="30">
        <v>2</v>
      </c>
      <c r="E2286" s="30">
        <v>30</v>
      </c>
      <c r="F2286" s="30">
        <f t="shared" si="73"/>
        <v>60</v>
      </c>
      <c r="G2286" s="30" t="s">
        <v>9</v>
      </c>
      <c r="J2286" s="30" t="s">
        <v>391</v>
      </c>
      <c r="K2286" s="30">
        <f>VLOOKUP(C2286, PA!A:M, 13, FALSE)</f>
        <v>0.15384615384615385</v>
      </c>
    </row>
    <row r="2287" spans="1:12" x14ac:dyDescent="0.25">
      <c r="A2287" s="78">
        <v>46179</v>
      </c>
      <c r="C2287" s="19" t="s">
        <v>346</v>
      </c>
      <c r="D2287" s="30">
        <v>2</v>
      </c>
      <c r="E2287" s="30">
        <v>5</v>
      </c>
      <c r="F2287" s="30">
        <f t="shared" si="73"/>
        <v>10</v>
      </c>
      <c r="G2287" s="30" t="s">
        <v>9</v>
      </c>
      <c r="J2287" s="30" t="s">
        <v>391</v>
      </c>
      <c r="K2287" s="30">
        <f>VLOOKUP(C2287, PA!A:M, 13, FALSE)</f>
        <v>6.6666666666666666E-2</v>
      </c>
    </row>
    <row r="2288" spans="1:12" x14ac:dyDescent="0.25">
      <c r="A2288" s="78">
        <v>46179</v>
      </c>
      <c r="C2288" s="33" t="s">
        <v>565</v>
      </c>
      <c r="D2288" s="30">
        <v>4</v>
      </c>
      <c r="E2288" s="30">
        <v>10</v>
      </c>
      <c r="F2288" s="30">
        <f t="shared" si="73"/>
        <v>40</v>
      </c>
      <c r="G2288" s="30" t="s">
        <v>9</v>
      </c>
      <c r="J2288" s="30" t="s">
        <v>391</v>
      </c>
      <c r="K2288" s="30">
        <f>VLOOKUP(C2288, PA!A:M, 13, FALSE)</f>
        <v>0.10091743119266047</v>
      </c>
    </row>
    <row r="2289" spans="1:11" x14ac:dyDescent="0.25">
      <c r="A2289" s="78">
        <v>46179</v>
      </c>
      <c r="C2289" s="33" t="s">
        <v>565</v>
      </c>
      <c r="D2289" s="30">
        <v>4</v>
      </c>
      <c r="E2289" s="30">
        <v>10</v>
      </c>
      <c r="F2289" s="30">
        <f t="shared" si="73"/>
        <v>40</v>
      </c>
      <c r="G2289" s="30" t="s">
        <v>9</v>
      </c>
      <c r="J2289" s="30" t="s">
        <v>391</v>
      </c>
      <c r="K2289" s="30">
        <f>VLOOKUP(C2289, PA!A:M, 13, FALSE)</f>
        <v>0.10091743119266047</v>
      </c>
    </row>
    <row r="2290" spans="1:11" x14ac:dyDescent="0.25">
      <c r="A2290" s="78">
        <v>46179</v>
      </c>
      <c r="C2290" s="33" t="s">
        <v>55</v>
      </c>
      <c r="D2290" s="30">
        <v>10</v>
      </c>
      <c r="E2290" s="30">
        <v>1</v>
      </c>
      <c r="F2290" s="30">
        <f t="shared" si="73"/>
        <v>10</v>
      </c>
      <c r="G2290" s="30" t="s">
        <v>9</v>
      </c>
      <c r="J2290" s="30" t="s">
        <v>391</v>
      </c>
      <c r="K2290" s="30">
        <f>VLOOKUP(C2290, PA!A:M, 13, FALSE)</f>
        <v>0.17370892018779346</v>
      </c>
    </row>
    <row r="2291" spans="1:11" x14ac:dyDescent="0.25">
      <c r="A2291" s="78">
        <v>46179</v>
      </c>
      <c r="C2291" s="19" t="s">
        <v>705</v>
      </c>
      <c r="D2291" s="30">
        <v>1</v>
      </c>
      <c r="E2291" s="30">
        <v>10</v>
      </c>
      <c r="F2291" s="30">
        <f t="shared" si="73"/>
        <v>10</v>
      </c>
      <c r="G2291" s="30" t="s">
        <v>9</v>
      </c>
      <c r="J2291" s="30" t="s">
        <v>391</v>
      </c>
      <c r="K2291" s="30">
        <f>VLOOKUP(C2291, PA!A:M, 13, FALSE)</f>
        <v>9.0909090909090981E-2</v>
      </c>
    </row>
    <row r="2292" spans="1:11" x14ac:dyDescent="0.25">
      <c r="A2292" s="78">
        <v>46179</v>
      </c>
      <c r="C2292" s="33" t="s">
        <v>565</v>
      </c>
      <c r="D2292" s="30">
        <v>1</v>
      </c>
      <c r="E2292" s="30">
        <v>10</v>
      </c>
      <c r="F2292" s="30">
        <f t="shared" si="73"/>
        <v>10</v>
      </c>
      <c r="G2292" s="30" t="s">
        <v>9</v>
      </c>
      <c r="J2292" s="30" t="s">
        <v>391</v>
      </c>
      <c r="K2292" s="30">
        <f>VLOOKUP(C2292, PA!A:M, 13, FALSE)</f>
        <v>0.10091743119266047</v>
      </c>
    </row>
    <row r="2293" spans="1:11" x14ac:dyDescent="0.25">
      <c r="A2293" s="78">
        <v>46179</v>
      </c>
      <c r="C2293" s="19" t="s">
        <v>819</v>
      </c>
      <c r="D2293" s="30">
        <v>2</v>
      </c>
      <c r="E2293" s="30">
        <v>40</v>
      </c>
      <c r="F2293" s="30">
        <f t="shared" si="73"/>
        <v>80</v>
      </c>
      <c r="G2293" s="30" t="s">
        <v>9</v>
      </c>
      <c r="J2293" s="30" t="s">
        <v>391</v>
      </c>
      <c r="K2293" s="30">
        <f>VLOOKUP(C2293, PA!A:M, 13, FALSE)</f>
        <v>5.2631578947368418E-2</v>
      </c>
    </row>
    <row r="2294" spans="1:11" ht="30" x14ac:dyDescent="0.25">
      <c r="A2294" s="78">
        <v>46179</v>
      </c>
      <c r="C2294" s="19" t="s">
        <v>416</v>
      </c>
      <c r="D2294" s="30">
        <v>4</v>
      </c>
      <c r="E2294" s="30">
        <v>5</v>
      </c>
      <c r="F2294" s="30">
        <f t="shared" si="73"/>
        <v>20</v>
      </c>
      <c r="G2294" s="30" t="s">
        <v>9</v>
      </c>
      <c r="J2294" s="30" t="s">
        <v>391</v>
      </c>
      <c r="K2294" s="30">
        <f>VLOOKUP(C2294, PA!A:M, 13, FALSE)</f>
        <v>7.1428571428571355E-2</v>
      </c>
    </row>
    <row r="2295" spans="1:11" x14ac:dyDescent="0.25">
      <c r="A2295" s="78">
        <v>46179</v>
      </c>
      <c r="C2295" s="19" t="s">
        <v>821</v>
      </c>
      <c r="D2295" s="30">
        <v>1</v>
      </c>
      <c r="E2295" s="30">
        <v>20</v>
      </c>
      <c r="F2295" s="30">
        <f t="shared" si="73"/>
        <v>20</v>
      </c>
      <c r="G2295" s="30" t="s">
        <v>9</v>
      </c>
      <c r="J2295" s="30" t="s">
        <v>391</v>
      </c>
      <c r="K2295" s="30">
        <f>VLOOKUP(C2295, PA!A:M, 13, FALSE)</f>
        <v>0.25</v>
      </c>
    </row>
    <row r="2296" spans="1:11" x14ac:dyDescent="0.25">
      <c r="A2296" s="78">
        <v>46179</v>
      </c>
      <c r="C2296" s="19" t="s">
        <v>379</v>
      </c>
      <c r="D2296" s="30">
        <v>5</v>
      </c>
      <c r="E2296" s="30">
        <v>5</v>
      </c>
      <c r="F2296" s="30">
        <f t="shared" si="73"/>
        <v>25</v>
      </c>
      <c r="G2296" s="30" t="s">
        <v>9</v>
      </c>
      <c r="J2296" s="30" t="s">
        <v>391</v>
      </c>
      <c r="K2296" s="30">
        <f>VLOOKUP(C2296, PA!A:M, 13, FALSE)</f>
        <v>5.8823529411764684E-2</v>
      </c>
    </row>
    <row r="2297" spans="1:11" x14ac:dyDescent="0.25">
      <c r="A2297" s="78">
        <v>46179</v>
      </c>
      <c r="C2297" s="33" t="s">
        <v>740</v>
      </c>
      <c r="D2297" s="30">
        <v>1</v>
      </c>
      <c r="E2297" s="30">
        <v>10</v>
      </c>
      <c r="F2297" s="30">
        <f t="shared" si="73"/>
        <v>10</v>
      </c>
      <c r="G2297" s="30" t="s">
        <v>9</v>
      </c>
      <c r="J2297" s="30" t="s">
        <v>391</v>
      </c>
      <c r="K2297" s="30">
        <f>VLOOKUP(C2297, PA!A:M, 13, FALSE)</f>
        <v>0.22448979591836743</v>
      </c>
    </row>
    <row r="2298" spans="1:11" x14ac:dyDescent="0.25">
      <c r="A2298" s="78">
        <v>46179</v>
      </c>
      <c r="C2298" s="33" t="s">
        <v>807</v>
      </c>
      <c r="D2298" s="30">
        <v>1</v>
      </c>
      <c r="E2298" s="30">
        <v>70</v>
      </c>
      <c r="F2298" s="30">
        <f t="shared" si="73"/>
        <v>70</v>
      </c>
      <c r="G2298" s="30" t="s">
        <v>9</v>
      </c>
      <c r="I2298" s="139">
        <f>SUM(F2276:F2299)</f>
        <v>697.55</v>
      </c>
      <c r="J2298" s="30" t="s">
        <v>391</v>
      </c>
      <c r="K2298" s="30">
        <f>VLOOKUP(C2298, PA!A:M, 13, FALSE)</f>
        <v>0.2068269230769231</v>
      </c>
    </row>
    <row r="2299" spans="1:11" x14ac:dyDescent="0.25">
      <c r="A2299" s="78">
        <v>46179</v>
      </c>
      <c r="C2299" s="19" t="s">
        <v>117</v>
      </c>
      <c r="D2299" s="30">
        <v>2</v>
      </c>
      <c r="E2299" s="30">
        <v>10</v>
      </c>
      <c r="F2299" s="30">
        <f t="shared" si="73"/>
        <v>20</v>
      </c>
      <c r="G2299" s="30" t="s">
        <v>9</v>
      </c>
      <c r="J2299" s="30" t="s">
        <v>392</v>
      </c>
      <c r="K2299" s="30">
        <f>VLOOKUP(C2299, PA!A:M, 13, FALSE)</f>
        <v>0.33333333333333331</v>
      </c>
    </row>
    <row r="2300" spans="1:11" x14ac:dyDescent="0.25">
      <c r="A2300" s="78">
        <v>46179</v>
      </c>
      <c r="C2300" s="19" t="s">
        <v>856</v>
      </c>
      <c r="D2300" s="30">
        <v>2</v>
      </c>
      <c r="E2300" s="30">
        <v>10</v>
      </c>
      <c r="F2300" s="30">
        <f t="shared" si="73"/>
        <v>20</v>
      </c>
      <c r="G2300" s="30" t="s">
        <v>9</v>
      </c>
      <c r="J2300" s="30" t="s">
        <v>392</v>
      </c>
      <c r="K2300" s="30">
        <f>VLOOKUP(C2300, PA!A:M, 13, FALSE)</f>
        <v>9.0909090909090981E-2</v>
      </c>
    </row>
    <row r="2301" spans="1:11" x14ac:dyDescent="0.25">
      <c r="A2301" s="78">
        <v>46179</v>
      </c>
      <c r="C2301" s="33" t="s">
        <v>565</v>
      </c>
      <c r="D2301" s="30">
        <v>1</v>
      </c>
      <c r="E2301" s="30">
        <v>10</v>
      </c>
      <c r="F2301" s="30">
        <f t="shared" si="73"/>
        <v>10</v>
      </c>
      <c r="G2301" s="30" t="s">
        <v>9</v>
      </c>
      <c r="J2301" s="30" t="s">
        <v>392</v>
      </c>
      <c r="K2301" s="30">
        <f>VLOOKUP(C2301, PA!A:M, 13, FALSE)</f>
        <v>0.10091743119266047</v>
      </c>
    </row>
    <row r="2302" spans="1:11" x14ac:dyDescent="0.25">
      <c r="A2302" s="78">
        <v>46179</v>
      </c>
      <c r="C2302" s="19" t="str">
        <f>'Stock Register'!A135</f>
        <v>LOOSE CHIWDA HARD LOT 1</v>
      </c>
      <c r="D2302" s="30">
        <v>1</v>
      </c>
      <c r="E2302" s="30">
        <v>10</v>
      </c>
      <c r="F2302" s="30">
        <f t="shared" si="73"/>
        <v>10</v>
      </c>
      <c r="G2302" s="30" t="s">
        <v>9</v>
      </c>
      <c r="J2302" s="30" t="s">
        <v>392</v>
      </c>
      <c r="K2302" s="30">
        <f>VLOOKUP(C2302, PA!A:M, 13, FALSE)</f>
        <v>0.16</v>
      </c>
    </row>
    <row r="2303" spans="1:11" x14ac:dyDescent="0.25">
      <c r="A2303" s="78">
        <v>46179</v>
      </c>
      <c r="C2303" s="19" t="s">
        <v>739</v>
      </c>
      <c r="D2303" s="30">
        <v>1</v>
      </c>
      <c r="E2303" s="30">
        <v>50</v>
      </c>
      <c r="F2303" s="30">
        <f t="shared" si="73"/>
        <v>50</v>
      </c>
      <c r="G2303" s="30" t="s">
        <v>9</v>
      </c>
      <c r="J2303" s="30" t="s">
        <v>392</v>
      </c>
      <c r="K2303" s="30">
        <f>VLOOKUP(C2303, PA!A:M, 13, FALSE)</f>
        <v>0.19047619047619047</v>
      </c>
    </row>
    <row r="2304" spans="1:11" x14ac:dyDescent="0.25">
      <c r="A2304" s="78">
        <v>46179</v>
      </c>
      <c r="C2304" s="33" t="s">
        <v>347</v>
      </c>
      <c r="D2304" s="30">
        <v>2</v>
      </c>
      <c r="E2304" s="30">
        <v>10</v>
      </c>
      <c r="F2304" s="30">
        <f t="shared" si="73"/>
        <v>20</v>
      </c>
      <c r="G2304" s="30" t="s">
        <v>9</v>
      </c>
      <c r="J2304" s="30" t="s">
        <v>392</v>
      </c>
      <c r="K2304" s="30">
        <f>VLOOKUP(C2304, PA!A:M, 13, FALSE)</f>
        <v>4.7619047619047672E-2</v>
      </c>
    </row>
    <row r="2305" spans="1:11" x14ac:dyDescent="0.25">
      <c r="A2305" s="78">
        <v>46179</v>
      </c>
      <c r="C2305" s="33" t="s">
        <v>345</v>
      </c>
      <c r="D2305" s="30">
        <v>1</v>
      </c>
      <c r="E2305" s="30">
        <v>1</v>
      </c>
      <c r="F2305" s="30">
        <f t="shared" si="73"/>
        <v>1</v>
      </c>
      <c r="G2305" s="30" t="s">
        <v>9</v>
      </c>
      <c r="J2305" s="30" t="s">
        <v>392</v>
      </c>
      <c r="K2305" s="30">
        <f>VLOOKUP(C2305, PA!A:M, 13, FALSE)</f>
        <v>0.14942528735632185</v>
      </c>
    </row>
    <row r="2306" spans="1:11" x14ac:dyDescent="0.25">
      <c r="A2306" s="78">
        <v>46179</v>
      </c>
      <c r="C2306" s="19" t="s">
        <v>843</v>
      </c>
      <c r="D2306" s="30">
        <v>1</v>
      </c>
      <c r="E2306" s="30">
        <v>10</v>
      </c>
      <c r="F2306" s="30">
        <f t="shared" si="73"/>
        <v>10</v>
      </c>
      <c r="G2306" s="30" t="s">
        <v>9</v>
      </c>
      <c r="J2306" s="30" t="s">
        <v>392</v>
      </c>
      <c r="K2306" s="30">
        <f>VLOOKUP(C2306, PA!A:M, 13, FALSE)</f>
        <v>0.8</v>
      </c>
    </row>
    <row r="2307" spans="1:11" x14ac:dyDescent="0.25">
      <c r="A2307" s="78">
        <v>46179</v>
      </c>
      <c r="C2307" s="33" t="s">
        <v>549</v>
      </c>
      <c r="D2307" s="30">
        <v>1</v>
      </c>
      <c r="E2307" s="30">
        <v>25</v>
      </c>
      <c r="F2307" s="30">
        <f t="shared" si="73"/>
        <v>25</v>
      </c>
      <c r="G2307" s="30" t="s">
        <v>9</v>
      </c>
      <c r="J2307" s="30" t="s">
        <v>392</v>
      </c>
      <c r="K2307" s="30">
        <f>VLOOKUP(C2307, PA!A:M, 13, FALSE)</f>
        <v>0.26984126984126983</v>
      </c>
    </row>
    <row r="2308" spans="1:11" x14ac:dyDescent="0.25">
      <c r="A2308" s="78">
        <v>46179</v>
      </c>
      <c r="C2308" s="33" t="s">
        <v>379</v>
      </c>
      <c r="D2308" s="30">
        <v>1</v>
      </c>
      <c r="E2308" s="30">
        <v>5</v>
      </c>
      <c r="F2308" s="30">
        <f t="shared" si="73"/>
        <v>5</v>
      </c>
      <c r="G2308" s="30" t="s">
        <v>9</v>
      </c>
      <c r="J2308" s="30" t="s">
        <v>392</v>
      </c>
      <c r="K2308" s="30">
        <f>VLOOKUP(C2308, PA!A:M, 13, FALSE)</f>
        <v>5.8823529411764684E-2</v>
      </c>
    </row>
    <row r="2309" spans="1:11" x14ac:dyDescent="0.25">
      <c r="A2309" s="78">
        <v>46179</v>
      </c>
      <c r="C2309" s="33" t="s">
        <v>669</v>
      </c>
      <c r="D2309" s="30">
        <v>1</v>
      </c>
      <c r="E2309" s="30">
        <v>5</v>
      </c>
      <c r="F2309" s="30">
        <f t="shared" si="73"/>
        <v>5</v>
      </c>
      <c r="G2309" s="30" t="s">
        <v>9</v>
      </c>
      <c r="J2309" s="30" t="s">
        <v>392</v>
      </c>
      <c r="K2309" s="30">
        <f>VLOOKUP(C2309, PA!A:M, 13, FALSE)</f>
        <v>4.1666666666666706E-2</v>
      </c>
    </row>
    <row r="2310" spans="1:11" x14ac:dyDescent="0.25">
      <c r="A2310" s="78">
        <v>46179</v>
      </c>
      <c r="C2310" s="19" t="s">
        <v>767</v>
      </c>
      <c r="D2310" s="30">
        <v>1</v>
      </c>
      <c r="E2310" s="30">
        <v>10</v>
      </c>
      <c r="F2310" s="30">
        <f t="shared" si="73"/>
        <v>10</v>
      </c>
      <c r="G2310" s="30" t="s">
        <v>9</v>
      </c>
      <c r="J2310" s="30" t="s">
        <v>392</v>
      </c>
      <c r="K2310" s="30">
        <f>VLOOKUP(C2310, PA!A:M, 13, FALSE)</f>
        <v>0.1111111111111111</v>
      </c>
    </row>
    <row r="2311" spans="1:11" x14ac:dyDescent="0.25">
      <c r="A2311" s="78">
        <v>46179</v>
      </c>
      <c r="C2311" s="19" t="s">
        <v>639</v>
      </c>
      <c r="D2311" s="30">
        <v>4</v>
      </c>
      <c r="E2311" s="30">
        <v>2</v>
      </c>
      <c r="F2311" s="30">
        <f t="shared" si="73"/>
        <v>8</v>
      </c>
      <c r="G2311" s="30" t="s">
        <v>9</v>
      </c>
      <c r="J2311" s="30" t="s">
        <v>392</v>
      </c>
      <c r="K2311" s="30">
        <f>VLOOKUP(C2311, PA!A:M, 13, FALSE)</f>
        <v>0.19999999999999996</v>
      </c>
    </row>
    <row r="2312" spans="1:11" x14ac:dyDescent="0.25">
      <c r="A2312" s="78">
        <v>46179</v>
      </c>
      <c r="C2312" s="19" t="s">
        <v>684</v>
      </c>
      <c r="D2312" s="30">
        <v>1</v>
      </c>
      <c r="E2312" s="30">
        <v>10</v>
      </c>
      <c r="F2312" s="30">
        <f t="shared" si="73"/>
        <v>10</v>
      </c>
      <c r="G2312" s="30" t="s">
        <v>9</v>
      </c>
      <c r="J2312" s="30" t="s">
        <v>392</v>
      </c>
      <c r="K2312" s="30">
        <f>VLOOKUP(C2312, PA!A:M, 13, FALSE)</f>
        <v>4.7409040793825769E-2</v>
      </c>
    </row>
    <row r="2313" spans="1:11" x14ac:dyDescent="0.25">
      <c r="A2313" s="78">
        <v>46179</v>
      </c>
      <c r="C2313" s="33" t="s">
        <v>531</v>
      </c>
      <c r="D2313" s="30">
        <v>2</v>
      </c>
      <c r="E2313" s="30">
        <v>5</v>
      </c>
      <c r="F2313" s="30">
        <f t="shared" si="73"/>
        <v>10</v>
      </c>
      <c r="G2313" s="30" t="s">
        <v>9</v>
      </c>
      <c r="J2313" s="30" t="s">
        <v>392</v>
      </c>
      <c r="K2313" s="30">
        <f>VLOOKUP(C2313, PA!A:M, 13, FALSE)</f>
        <v>6.6666666666666666E-2</v>
      </c>
    </row>
    <row r="2314" spans="1:11" x14ac:dyDescent="0.25">
      <c r="A2314" s="78">
        <v>46179</v>
      </c>
      <c r="C2314" s="19" t="s">
        <v>858</v>
      </c>
      <c r="D2314" s="30">
        <v>1</v>
      </c>
      <c r="E2314" s="30">
        <v>10</v>
      </c>
      <c r="F2314" s="30">
        <f t="shared" si="73"/>
        <v>10</v>
      </c>
      <c r="G2314" s="30" t="s">
        <v>9</v>
      </c>
      <c r="J2314" s="30" t="s">
        <v>392</v>
      </c>
      <c r="K2314" s="30">
        <f>VLOOKUP(C2314, PA!A:M, 13, FALSE)</f>
        <v>9.0909090909090981E-2</v>
      </c>
    </row>
    <row r="2315" spans="1:11" x14ac:dyDescent="0.25">
      <c r="A2315" s="78">
        <v>46179</v>
      </c>
      <c r="C2315" s="19" t="s">
        <v>856</v>
      </c>
      <c r="D2315" s="30">
        <v>1</v>
      </c>
      <c r="E2315" s="30">
        <v>10</v>
      </c>
      <c r="F2315" s="30">
        <f t="shared" si="73"/>
        <v>10</v>
      </c>
      <c r="G2315" s="30" t="s">
        <v>9</v>
      </c>
      <c r="J2315" s="30" t="s">
        <v>392</v>
      </c>
      <c r="K2315" s="30">
        <f>VLOOKUP(C2315, PA!A:M, 13, FALSE)</f>
        <v>9.0909090909090981E-2</v>
      </c>
    </row>
    <row r="2316" spans="1:11" x14ac:dyDescent="0.25">
      <c r="A2316" s="78">
        <v>46179</v>
      </c>
      <c r="C2316" s="33" t="s">
        <v>670</v>
      </c>
      <c r="D2316" s="30">
        <v>1</v>
      </c>
      <c r="E2316" s="30">
        <v>10</v>
      </c>
      <c r="F2316" s="30">
        <f t="shared" si="73"/>
        <v>10</v>
      </c>
      <c r="G2316" s="30" t="s">
        <v>9</v>
      </c>
      <c r="J2316" s="30" t="s">
        <v>392</v>
      </c>
      <c r="K2316" s="30">
        <f>VLOOKUP(C2316, PA!A:M, 13, FALSE)</f>
        <v>0.1111111111111111</v>
      </c>
    </row>
    <row r="2317" spans="1:11" x14ac:dyDescent="0.25">
      <c r="A2317" s="78">
        <v>46179</v>
      </c>
      <c r="C2317" s="19" t="s">
        <v>822</v>
      </c>
      <c r="D2317" s="30">
        <v>0.65</v>
      </c>
      <c r="E2317" s="30">
        <v>30</v>
      </c>
      <c r="F2317" s="30">
        <f t="shared" si="73"/>
        <v>19.5</v>
      </c>
      <c r="G2317" s="30" t="s">
        <v>9</v>
      </c>
      <c r="J2317" s="30" t="s">
        <v>392</v>
      </c>
      <c r="K2317" s="30">
        <f>VLOOKUP(C2317, PA!A:M, 13, FALSE)</f>
        <v>7.1428571428571425E-2</v>
      </c>
    </row>
    <row r="2318" spans="1:11" x14ac:dyDescent="0.25">
      <c r="A2318" s="78">
        <v>46179</v>
      </c>
      <c r="C2318" s="19" t="s">
        <v>532</v>
      </c>
      <c r="D2318" s="30">
        <v>2</v>
      </c>
      <c r="E2318" s="30">
        <v>5</v>
      </c>
      <c r="F2318" s="30">
        <f t="shared" si="73"/>
        <v>10</v>
      </c>
      <c r="G2318" s="30" t="s">
        <v>9</v>
      </c>
      <c r="J2318" s="30" t="s">
        <v>392</v>
      </c>
      <c r="K2318" s="30">
        <f>VLOOKUP(C2318, PA!A:M, 13, FALSE)</f>
        <v>0.10294117647058826</v>
      </c>
    </row>
    <row r="2319" spans="1:11" x14ac:dyDescent="0.25">
      <c r="A2319" s="78">
        <v>46179</v>
      </c>
      <c r="C2319" s="19" t="s">
        <v>102</v>
      </c>
      <c r="D2319" s="30">
        <v>1</v>
      </c>
      <c r="E2319" s="30">
        <v>25</v>
      </c>
      <c r="F2319" s="30">
        <f t="shared" si="73"/>
        <v>25</v>
      </c>
      <c r="G2319" s="30" t="s">
        <v>9</v>
      </c>
      <c r="J2319" s="30" t="s">
        <v>392</v>
      </c>
      <c r="K2319" s="30">
        <f>VLOOKUP(C2319, PA!A:M, 13, FALSE)</f>
        <v>0.32978723404255317</v>
      </c>
    </row>
    <row r="2320" spans="1:11" x14ac:dyDescent="0.25">
      <c r="A2320" s="78">
        <v>46179</v>
      </c>
      <c r="C2320" s="33" t="s">
        <v>565</v>
      </c>
      <c r="D2320" s="30">
        <v>3</v>
      </c>
      <c r="E2320" s="30">
        <v>10</v>
      </c>
      <c r="F2320" s="30">
        <f t="shared" si="73"/>
        <v>30</v>
      </c>
      <c r="G2320" s="30" t="s">
        <v>9</v>
      </c>
      <c r="J2320" s="30" t="s">
        <v>392</v>
      </c>
      <c r="K2320" s="30">
        <f>VLOOKUP(C2320, PA!A:M, 13, FALSE)</f>
        <v>0.10091743119266047</v>
      </c>
    </row>
    <row r="2321" spans="1:12" x14ac:dyDescent="0.25">
      <c r="A2321" s="78">
        <v>46179</v>
      </c>
      <c r="C2321" s="33" t="s">
        <v>861</v>
      </c>
      <c r="D2321" s="30">
        <v>2</v>
      </c>
      <c r="E2321" s="30">
        <v>20</v>
      </c>
      <c r="F2321" s="30">
        <f t="shared" si="73"/>
        <v>40</v>
      </c>
      <c r="G2321" s="30" t="s">
        <v>9</v>
      </c>
      <c r="J2321" s="30" t="s">
        <v>392</v>
      </c>
      <c r="K2321" s="30">
        <f>VLOOKUP(C2321, PA!A:M, 13, FALSE)</f>
        <v>0.53846153846153844</v>
      </c>
    </row>
    <row r="2322" spans="1:12" x14ac:dyDescent="0.25">
      <c r="A2322" s="78">
        <v>46179</v>
      </c>
      <c r="C2322" s="33" t="s">
        <v>379</v>
      </c>
      <c r="D2322" s="30">
        <v>1</v>
      </c>
      <c r="E2322" s="30">
        <v>5</v>
      </c>
      <c r="F2322" s="30">
        <f t="shared" si="73"/>
        <v>5</v>
      </c>
      <c r="G2322" s="30" t="s">
        <v>9</v>
      </c>
      <c r="J2322" s="30" t="s">
        <v>392</v>
      </c>
      <c r="K2322" s="30">
        <f>VLOOKUP(C2322, PA!A:M, 13, FALSE)</f>
        <v>5.8823529411764684E-2</v>
      </c>
    </row>
    <row r="2323" spans="1:12" x14ac:dyDescent="0.25">
      <c r="A2323" s="78">
        <v>46179</v>
      </c>
      <c r="C2323" s="19" t="str">
        <f>'Stock Register'!A4</f>
        <v>DURGABARI TEA 35 INR  LOT 1</v>
      </c>
      <c r="D2323" s="30">
        <v>1</v>
      </c>
      <c r="E2323" s="30">
        <v>35</v>
      </c>
      <c r="F2323" s="30">
        <f t="shared" si="73"/>
        <v>35</v>
      </c>
      <c r="G2323" s="30" t="s">
        <v>9</v>
      </c>
      <c r="J2323" s="30" t="s">
        <v>392</v>
      </c>
      <c r="K2323" s="30">
        <f>VLOOKUP(C2323, PA!A:M, 13, FALSE)</f>
        <v>0.4</v>
      </c>
    </row>
    <row r="2324" spans="1:12" x14ac:dyDescent="0.25">
      <c r="A2324" s="78">
        <v>46179</v>
      </c>
      <c r="C2324" s="19" t="s">
        <v>764</v>
      </c>
      <c r="D2324" s="30">
        <v>2</v>
      </c>
      <c r="E2324" s="30">
        <v>5</v>
      </c>
      <c r="F2324" s="30">
        <f t="shared" si="73"/>
        <v>10</v>
      </c>
      <c r="G2324" s="30" t="s">
        <v>9</v>
      </c>
      <c r="J2324" s="30" t="s">
        <v>392</v>
      </c>
      <c r="K2324" s="30" t="e">
        <f>VLOOKUP(C2324, PA!A:M, 13, FALSE)</f>
        <v>#N/A</v>
      </c>
    </row>
    <row r="2325" spans="1:12" x14ac:dyDescent="0.25">
      <c r="A2325" s="78">
        <v>46179</v>
      </c>
      <c r="C2325" s="33" t="s">
        <v>730</v>
      </c>
      <c r="D2325" s="30">
        <v>0.51700000000000002</v>
      </c>
      <c r="E2325" s="30">
        <v>58</v>
      </c>
      <c r="F2325" s="30">
        <f t="shared" si="73"/>
        <v>29.986000000000001</v>
      </c>
      <c r="G2325" s="30" t="s">
        <v>9</v>
      </c>
      <c r="J2325" s="30" t="s">
        <v>392</v>
      </c>
      <c r="K2325" s="30">
        <f>VLOOKUP(C2325, PA!A:M, 13, FALSE)</f>
        <v>0.16666666666666666</v>
      </c>
    </row>
    <row r="2326" spans="1:12" x14ac:dyDescent="0.25">
      <c r="A2326" s="78">
        <v>46179</v>
      </c>
      <c r="C2326" s="19" t="s">
        <v>752</v>
      </c>
      <c r="D2326" s="30">
        <v>1</v>
      </c>
      <c r="E2326" s="30">
        <v>50</v>
      </c>
      <c r="F2326" s="30">
        <f t="shared" si="73"/>
        <v>50</v>
      </c>
      <c r="G2326" s="30" t="s">
        <v>9</v>
      </c>
      <c r="J2326" s="30" t="s">
        <v>392</v>
      </c>
      <c r="K2326" s="30">
        <f>VLOOKUP(C2326, PA!A:M, 13, FALSE)</f>
        <v>9.8096632503660366E-2</v>
      </c>
    </row>
    <row r="2327" spans="1:12" x14ac:dyDescent="0.25">
      <c r="A2327" s="78">
        <v>46179</v>
      </c>
      <c r="C2327" s="19" t="s">
        <v>639</v>
      </c>
      <c r="D2327" s="30">
        <v>10</v>
      </c>
      <c r="E2327" s="30">
        <v>2</v>
      </c>
      <c r="F2327" s="30">
        <f t="shared" si="73"/>
        <v>20</v>
      </c>
      <c r="G2327" s="30" t="s">
        <v>9</v>
      </c>
      <c r="J2327" s="30" t="s">
        <v>392</v>
      </c>
      <c r="K2327" s="30">
        <f>VLOOKUP(C2327, PA!A:M, 13, FALSE)</f>
        <v>0.19999999999999996</v>
      </c>
    </row>
    <row r="2328" spans="1:12" x14ac:dyDescent="0.25">
      <c r="A2328" s="78">
        <v>46179</v>
      </c>
      <c r="C2328" s="33" t="s">
        <v>379</v>
      </c>
      <c r="D2328" s="30">
        <v>6</v>
      </c>
      <c r="E2328" s="30">
        <v>5</v>
      </c>
      <c r="F2328" s="30">
        <f t="shared" si="73"/>
        <v>30</v>
      </c>
      <c r="G2328" s="30" t="s">
        <v>9</v>
      </c>
      <c r="J2328" s="30" t="s">
        <v>392</v>
      </c>
      <c r="K2328" s="30">
        <f>VLOOKUP(C2328, PA!A:M, 13, FALSE)</f>
        <v>5.8823529411764684E-2</v>
      </c>
    </row>
    <row r="2329" spans="1:12" x14ac:dyDescent="0.25">
      <c r="A2329" s="78">
        <v>46179</v>
      </c>
      <c r="C2329" s="33" t="s">
        <v>386</v>
      </c>
      <c r="D2329" s="30">
        <v>1</v>
      </c>
      <c r="E2329" s="30">
        <v>10</v>
      </c>
      <c r="F2329" s="30">
        <f t="shared" si="73"/>
        <v>10</v>
      </c>
      <c r="G2329" s="30" t="s">
        <v>9</v>
      </c>
      <c r="I2329" s="139">
        <f>SUM(F2299:F2329)</f>
        <v>558.48599999999999</v>
      </c>
      <c r="J2329" s="30" t="s">
        <v>392</v>
      </c>
      <c r="K2329" s="30">
        <f>VLOOKUP(C2329, PA!A:M, 13, FALSE)</f>
        <v>0.22448979591836743</v>
      </c>
      <c r="L2329" s="123" t="e">
        <f>AVERAGE(K2276:K2329)</f>
        <v>#N/A</v>
      </c>
    </row>
    <row r="2330" spans="1:12" s="69" customFormat="1" ht="18.75" x14ac:dyDescent="0.3">
      <c r="A2330" s="235" t="s">
        <v>437</v>
      </c>
      <c r="B2330" s="236"/>
      <c r="C2330" s="236"/>
      <c r="D2330" s="236"/>
      <c r="E2330" s="236"/>
      <c r="F2330" s="236"/>
      <c r="G2330" s="236"/>
      <c r="H2330" s="237"/>
      <c r="I2330" s="238">
        <f>SUM(I2329,I2298)</f>
        <v>1256.0360000000001</v>
      </c>
      <c r="J2330" s="239"/>
      <c r="K2330" s="239"/>
      <c r="L2330" s="240"/>
    </row>
    <row r="2331" spans="1:12" x14ac:dyDescent="0.25">
      <c r="A2331" s="78">
        <v>46180</v>
      </c>
      <c r="C2331" s="19" t="s">
        <v>720</v>
      </c>
      <c r="D2331" s="30">
        <v>0.254</v>
      </c>
      <c r="E2331" s="30">
        <v>138</v>
      </c>
      <c r="F2331" s="30">
        <f t="shared" ref="F2331:F2360" si="74">E2331*D2331</f>
        <v>35.052</v>
      </c>
      <c r="G2331" s="30" t="s">
        <v>9</v>
      </c>
      <c r="J2331" s="30" t="s">
        <v>391</v>
      </c>
      <c r="K2331" s="30">
        <f>VLOOKUP(C2331, PA!A:M, 13, FALSE)</f>
        <v>0.17391304347826086</v>
      </c>
    </row>
    <row r="2332" spans="1:12" x14ac:dyDescent="0.25">
      <c r="A2332" s="78">
        <v>46180</v>
      </c>
      <c r="C2332" s="19" t="s">
        <v>737</v>
      </c>
      <c r="D2332" s="30">
        <v>1</v>
      </c>
      <c r="E2332" s="30">
        <v>20</v>
      </c>
      <c r="F2332" s="30">
        <f t="shared" si="74"/>
        <v>20</v>
      </c>
      <c r="G2332" s="30" t="s">
        <v>9</v>
      </c>
      <c r="J2332" s="30" t="s">
        <v>391</v>
      </c>
      <c r="K2332" s="30">
        <f>VLOOKUP(C2332, PA!A:M, 13, FALSE)</f>
        <v>0.33333333333333331</v>
      </c>
    </row>
    <row r="2333" spans="1:12" x14ac:dyDescent="0.25">
      <c r="A2333" s="78">
        <v>46180</v>
      </c>
      <c r="C2333" s="19" t="s">
        <v>767</v>
      </c>
      <c r="D2333" s="30">
        <v>1</v>
      </c>
      <c r="E2333" s="30">
        <v>10</v>
      </c>
      <c r="F2333" s="30">
        <f t="shared" si="74"/>
        <v>10</v>
      </c>
      <c r="G2333" s="30" t="s">
        <v>9</v>
      </c>
      <c r="J2333" s="30" t="s">
        <v>391</v>
      </c>
      <c r="K2333" s="30">
        <f>VLOOKUP(C2333, PA!A:M, 13, FALSE)</f>
        <v>0.1111111111111111</v>
      </c>
    </row>
    <row r="2334" spans="1:12" x14ac:dyDescent="0.25">
      <c r="A2334" s="78">
        <v>46180</v>
      </c>
      <c r="C2334" s="33" t="s">
        <v>714</v>
      </c>
      <c r="D2334" s="30">
        <v>1</v>
      </c>
      <c r="E2334" s="30">
        <v>30</v>
      </c>
      <c r="F2334" s="30">
        <f t="shared" si="74"/>
        <v>30</v>
      </c>
      <c r="G2334" s="30" t="s">
        <v>9</v>
      </c>
      <c r="J2334" s="30" t="s">
        <v>391</v>
      </c>
      <c r="K2334" s="30">
        <f>VLOOKUP(C2334, PA!A:M, 13, FALSE)</f>
        <v>0.15384615384615385</v>
      </c>
    </row>
    <row r="2335" spans="1:12" ht="30" x14ac:dyDescent="0.25">
      <c r="A2335" s="78">
        <v>46180</v>
      </c>
      <c r="C2335" s="19" t="s">
        <v>642</v>
      </c>
      <c r="D2335" s="30">
        <v>1</v>
      </c>
      <c r="E2335" s="30">
        <v>81</v>
      </c>
      <c r="F2335" s="30">
        <f t="shared" si="74"/>
        <v>81</v>
      </c>
      <c r="G2335" s="30" t="s">
        <v>9</v>
      </c>
      <c r="J2335" s="30" t="s">
        <v>391</v>
      </c>
      <c r="K2335" s="30">
        <f>VLOOKUP(C2335, PA!A:M, 13, FALSE)</f>
        <v>0.25925925925925924</v>
      </c>
    </row>
    <row r="2336" spans="1:12" x14ac:dyDescent="0.25">
      <c r="A2336" s="78">
        <v>46180</v>
      </c>
      <c r="C2336" s="19" t="s">
        <v>843</v>
      </c>
      <c r="D2336" s="30">
        <v>1</v>
      </c>
      <c r="E2336" s="30">
        <v>10</v>
      </c>
      <c r="F2336" s="30">
        <f t="shared" si="74"/>
        <v>10</v>
      </c>
      <c r="G2336" s="30" t="s">
        <v>9</v>
      </c>
      <c r="J2336" s="30" t="s">
        <v>391</v>
      </c>
      <c r="K2336" s="30">
        <f>VLOOKUP(C2336, PA!A:M, 13, FALSE)</f>
        <v>0.8</v>
      </c>
    </row>
    <row r="2337" spans="1:11" ht="30" x14ac:dyDescent="0.25">
      <c r="A2337" s="78">
        <v>46180</v>
      </c>
      <c r="C2337" s="19" t="str">
        <f>'Stock Register'!A88</f>
        <v>HEAD AND SHOULDERS SATCHET LOT 1</v>
      </c>
      <c r="D2337" s="30">
        <v>8</v>
      </c>
      <c r="E2337" s="30">
        <v>4</v>
      </c>
      <c r="F2337" s="30">
        <f t="shared" si="74"/>
        <v>32</v>
      </c>
      <c r="G2337" s="30" t="s">
        <v>9</v>
      </c>
      <c r="J2337" s="30" t="s">
        <v>391</v>
      </c>
      <c r="K2337" s="30">
        <f>VLOOKUP(C2337, PA!A:M, 13, FALSE)</f>
        <v>0.28000000000000003</v>
      </c>
    </row>
    <row r="2338" spans="1:11" x14ac:dyDescent="0.25">
      <c r="A2338" s="78">
        <v>46180</v>
      </c>
      <c r="C2338" s="33" t="s">
        <v>345</v>
      </c>
      <c r="D2338" s="30">
        <v>3</v>
      </c>
      <c r="E2338" s="30">
        <v>1</v>
      </c>
      <c r="F2338" s="30">
        <f t="shared" si="74"/>
        <v>3</v>
      </c>
      <c r="G2338" s="30" t="s">
        <v>9</v>
      </c>
      <c r="J2338" s="30" t="s">
        <v>391</v>
      </c>
      <c r="K2338" s="30">
        <f>VLOOKUP(C2338, PA!A:M, 13, FALSE)</f>
        <v>0.14942528735632185</v>
      </c>
    </row>
    <row r="2339" spans="1:11" x14ac:dyDescent="0.25">
      <c r="A2339" s="78">
        <v>46180</v>
      </c>
      <c r="C2339" s="61" t="s">
        <v>154</v>
      </c>
      <c r="D2339" s="30">
        <v>10</v>
      </c>
      <c r="E2339" s="30">
        <v>1</v>
      </c>
      <c r="F2339" s="30">
        <f t="shared" si="74"/>
        <v>10</v>
      </c>
      <c r="G2339" s="30" t="s">
        <v>9</v>
      </c>
      <c r="J2339" s="30" t="s">
        <v>391</v>
      </c>
      <c r="K2339" s="30">
        <f>VLOOKUP(C2339, PA!A:M, 13, FALSE)</f>
        <v>0.23456790123456783</v>
      </c>
    </row>
    <row r="2340" spans="1:11" x14ac:dyDescent="0.25">
      <c r="A2340" s="78">
        <v>46180</v>
      </c>
      <c r="C2340" s="33" t="s">
        <v>375</v>
      </c>
      <c r="D2340" s="30">
        <v>20</v>
      </c>
      <c r="E2340" s="30">
        <v>1</v>
      </c>
      <c r="F2340" s="30">
        <f t="shared" si="74"/>
        <v>20</v>
      </c>
      <c r="G2340" s="30" t="s">
        <v>9</v>
      </c>
      <c r="J2340" s="30" t="s">
        <v>391</v>
      </c>
      <c r="K2340" s="30">
        <f>VLOOKUP(C2340, PA!A:M, 13, FALSE)</f>
        <v>0.14285714285714285</v>
      </c>
    </row>
    <row r="2341" spans="1:11" x14ac:dyDescent="0.25">
      <c r="A2341" s="78">
        <v>46180</v>
      </c>
      <c r="C2341" s="19" t="s">
        <v>705</v>
      </c>
      <c r="D2341" s="30">
        <v>1</v>
      </c>
      <c r="E2341" s="30">
        <v>10</v>
      </c>
      <c r="F2341" s="30">
        <f t="shared" si="74"/>
        <v>10</v>
      </c>
      <c r="G2341" s="30" t="s">
        <v>9</v>
      </c>
      <c r="J2341" s="30" t="s">
        <v>391</v>
      </c>
      <c r="K2341" s="30">
        <f>VLOOKUP(C2341, PA!A:M, 13, FALSE)</f>
        <v>9.0909090909090981E-2</v>
      </c>
    </row>
    <row r="2342" spans="1:11" x14ac:dyDescent="0.25">
      <c r="A2342" s="78">
        <v>46180</v>
      </c>
      <c r="C2342" s="33" t="s">
        <v>730</v>
      </c>
      <c r="D2342" s="30">
        <v>1</v>
      </c>
      <c r="E2342" s="30">
        <v>58</v>
      </c>
      <c r="F2342" s="30">
        <f t="shared" si="74"/>
        <v>58</v>
      </c>
      <c r="G2342" s="30" t="s">
        <v>9</v>
      </c>
      <c r="J2342" s="30" t="s">
        <v>391</v>
      </c>
      <c r="K2342" s="30">
        <f>VLOOKUP(C2342, PA!A:M, 13, FALSE)</f>
        <v>0.16666666666666666</v>
      </c>
    </row>
    <row r="2343" spans="1:11" x14ac:dyDescent="0.25">
      <c r="A2343" s="78">
        <v>46180</v>
      </c>
      <c r="C2343" s="19" t="s">
        <v>850</v>
      </c>
      <c r="D2343" s="30">
        <v>1</v>
      </c>
      <c r="E2343" s="30">
        <v>35</v>
      </c>
      <c r="F2343" s="30">
        <f t="shared" si="74"/>
        <v>35</v>
      </c>
      <c r="G2343" s="30" t="s">
        <v>9</v>
      </c>
      <c r="J2343" s="30" t="s">
        <v>391</v>
      </c>
      <c r="K2343" s="30">
        <f>VLOOKUP(C2343, PA!A:M, 13, FALSE)</f>
        <v>9.375E-2</v>
      </c>
    </row>
    <row r="2344" spans="1:11" x14ac:dyDescent="0.25">
      <c r="A2344" s="78">
        <v>46180</v>
      </c>
      <c r="C2344" s="19" t="s">
        <v>677</v>
      </c>
      <c r="D2344" s="30">
        <v>1</v>
      </c>
      <c r="E2344" s="30">
        <v>5</v>
      </c>
      <c r="F2344" s="30">
        <f t="shared" si="74"/>
        <v>5</v>
      </c>
      <c r="G2344" s="30" t="s">
        <v>9</v>
      </c>
      <c r="J2344" s="30" t="s">
        <v>391</v>
      </c>
      <c r="K2344" s="30">
        <f>VLOOKUP(C2344, PA!A:M, 13, FALSE)</f>
        <v>0.42857142857142855</v>
      </c>
    </row>
    <row r="2345" spans="1:11" x14ac:dyDescent="0.25">
      <c r="A2345" s="78">
        <v>46180</v>
      </c>
      <c r="C2345" s="33" t="s">
        <v>670</v>
      </c>
      <c r="D2345" s="30">
        <v>1</v>
      </c>
      <c r="E2345" s="30">
        <v>10</v>
      </c>
      <c r="F2345" s="30">
        <f t="shared" si="74"/>
        <v>10</v>
      </c>
      <c r="G2345" s="30" t="s">
        <v>9</v>
      </c>
      <c r="J2345" s="30" t="s">
        <v>391</v>
      </c>
      <c r="K2345" s="30">
        <f>VLOOKUP(C2345, PA!A:M, 13, FALSE)</f>
        <v>0.1111111111111111</v>
      </c>
    </row>
    <row r="2346" spans="1:11" x14ac:dyDescent="0.25">
      <c r="A2346" s="78">
        <v>46180</v>
      </c>
      <c r="C2346" s="33" t="s">
        <v>730</v>
      </c>
      <c r="D2346" s="30">
        <v>0.25</v>
      </c>
      <c r="E2346" s="30">
        <v>58</v>
      </c>
      <c r="F2346" s="30">
        <f t="shared" si="74"/>
        <v>14.5</v>
      </c>
      <c r="G2346" s="30" t="s">
        <v>9</v>
      </c>
      <c r="J2346" s="30" t="s">
        <v>391</v>
      </c>
      <c r="K2346" s="30">
        <f>VLOOKUP(C2346, PA!A:M, 13, FALSE)</f>
        <v>0.16666666666666666</v>
      </c>
    </row>
    <row r="2347" spans="1:11" x14ac:dyDescent="0.25">
      <c r="A2347" s="78">
        <v>46180</v>
      </c>
      <c r="C2347" s="33" t="s">
        <v>838</v>
      </c>
      <c r="D2347" s="30">
        <v>4</v>
      </c>
      <c r="E2347" s="30">
        <v>9</v>
      </c>
      <c r="F2347" s="30">
        <f t="shared" si="74"/>
        <v>36</v>
      </c>
      <c r="G2347" s="30" t="s">
        <v>9</v>
      </c>
      <c r="J2347" s="30" t="s">
        <v>391</v>
      </c>
      <c r="K2347" s="30">
        <f>VLOOKUP(C2347, PA!A:M, 13, FALSE)</f>
        <v>0.17391304347826084</v>
      </c>
    </row>
    <row r="2348" spans="1:11" x14ac:dyDescent="0.25">
      <c r="A2348" s="78">
        <v>46180</v>
      </c>
      <c r="C2348" s="19" t="s">
        <v>639</v>
      </c>
      <c r="D2348" s="30">
        <v>2</v>
      </c>
      <c r="E2348" s="30">
        <v>2</v>
      </c>
      <c r="F2348" s="30">
        <f t="shared" si="74"/>
        <v>4</v>
      </c>
      <c r="G2348" s="30" t="s">
        <v>9</v>
      </c>
      <c r="J2348" s="30" t="s">
        <v>391</v>
      </c>
      <c r="K2348" s="30">
        <f>VLOOKUP(C2348, PA!A:M, 13, FALSE)</f>
        <v>0.19999999999999996</v>
      </c>
    </row>
    <row r="2349" spans="1:11" x14ac:dyDescent="0.25">
      <c r="A2349" s="78">
        <v>46180</v>
      </c>
      <c r="C2349" s="33" t="s">
        <v>476</v>
      </c>
      <c r="D2349" s="30">
        <v>1</v>
      </c>
      <c r="E2349" s="30">
        <v>20</v>
      </c>
      <c r="F2349" s="30">
        <f t="shared" si="74"/>
        <v>20</v>
      </c>
      <c r="G2349" s="30" t="s">
        <v>9</v>
      </c>
      <c r="J2349" s="30" t="s">
        <v>391</v>
      </c>
      <c r="K2349" s="30">
        <f>VLOOKUP(C2349, PA!A:M, 13, FALSE)</f>
        <v>0.13207547169811312</v>
      </c>
    </row>
    <row r="2350" spans="1:11" x14ac:dyDescent="0.25">
      <c r="A2350" s="78">
        <v>46180</v>
      </c>
      <c r="C2350" s="61" t="s">
        <v>154</v>
      </c>
      <c r="D2350" s="30">
        <v>5</v>
      </c>
      <c r="E2350" s="30">
        <v>1</v>
      </c>
      <c r="F2350" s="30">
        <f t="shared" si="74"/>
        <v>5</v>
      </c>
      <c r="G2350" s="30" t="s">
        <v>9</v>
      </c>
      <c r="J2350" s="30" t="s">
        <v>391</v>
      </c>
      <c r="K2350" s="30">
        <f>VLOOKUP(C2350, PA!A:M, 13, FALSE)</f>
        <v>0.23456790123456783</v>
      </c>
    </row>
    <row r="2351" spans="1:11" x14ac:dyDescent="0.25">
      <c r="A2351" s="78">
        <v>46180</v>
      </c>
      <c r="C2351" s="19" t="s">
        <v>15</v>
      </c>
      <c r="D2351" s="30">
        <v>1</v>
      </c>
      <c r="E2351" s="30">
        <v>10</v>
      </c>
      <c r="F2351" s="30">
        <f t="shared" si="74"/>
        <v>10</v>
      </c>
      <c r="G2351" s="30" t="s">
        <v>9</v>
      </c>
      <c r="J2351" s="30" t="s">
        <v>391</v>
      </c>
      <c r="K2351" s="30">
        <f>VLOOKUP(C2351, PA!A:M, 13, FALSE)</f>
        <v>5.2631578947368418E-2</v>
      </c>
    </row>
    <row r="2352" spans="1:11" x14ac:dyDescent="0.25">
      <c r="A2352" s="78">
        <v>46180</v>
      </c>
      <c r="C2352" s="33" t="s">
        <v>413</v>
      </c>
      <c r="D2352" s="30">
        <v>1</v>
      </c>
      <c r="E2352" s="30">
        <v>70</v>
      </c>
      <c r="F2352" s="30">
        <f t="shared" si="74"/>
        <v>70</v>
      </c>
      <c r="G2352" s="30" t="s">
        <v>9</v>
      </c>
      <c r="J2352" s="30" t="s">
        <v>391</v>
      </c>
      <c r="K2352" s="30">
        <f>VLOOKUP(C2352, PA!A:M, 13, FALSE)</f>
        <v>7.6923076923076927E-2</v>
      </c>
    </row>
    <row r="2353" spans="1:11" x14ac:dyDescent="0.25">
      <c r="A2353" s="78">
        <v>46180</v>
      </c>
      <c r="C2353" s="33" t="s">
        <v>834</v>
      </c>
      <c r="D2353" s="30">
        <v>1</v>
      </c>
      <c r="E2353" s="30">
        <v>20</v>
      </c>
      <c r="F2353" s="30">
        <f t="shared" si="74"/>
        <v>20</v>
      </c>
      <c r="G2353" s="30" t="s">
        <v>9</v>
      </c>
      <c r="J2353" s="30" t="s">
        <v>391</v>
      </c>
      <c r="K2353" s="30">
        <f>VLOOKUP(C2353, PA!A:M, 13, FALSE)</f>
        <v>0.38461538461538458</v>
      </c>
    </row>
    <row r="2354" spans="1:11" x14ac:dyDescent="0.25">
      <c r="A2354" s="78">
        <v>46180</v>
      </c>
      <c r="C2354" s="19" t="s">
        <v>640</v>
      </c>
      <c r="D2354" s="30">
        <v>1</v>
      </c>
      <c r="E2354" s="30">
        <v>5</v>
      </c>
      <c r="F2354" s="30">
        <f t="shared" si="74"/>
        <v>5</v>
      </c>
      <c r="G2354" s="30" t="s">
        <v>9</v>
      </c>
      <c r="J2354" s="30" t="s">
        <v>391</v>
      </c>
      <c r="K2354" s="30">
        <f>VLOOKUP(C2354, PA!A:M, 13, FALSE)</f>
        <v>7.1428571428571355E-2</v>
      </c>
    </row>
    <row r="2355" spans="1:11" x14ac:dyDescent="0.25">
      <c r="A2355" s="78">
        <v>46180</v>
      </c>
      <c r="C2355" s="19" t="s">
        <v>639</v>
      </c>
      <c r="D2355" s="30">
        <v>2</v>
      </c>
      <c r="E2355" s="30">
        <v>2</v>
      </c>
      <c r="F2355" s="30">
        <f t="shared" si="74"/>
        <v>4</v>
      </c>
      <c r="G2355" s="30" t="s">
        <v>9</v>
      </c>
      <c r="J2355" s="30" t="s">
        <v>391</v>
      </c>
      <c r="K2355" s="30">
        <f>VLOOKUP(C2355, PA!A:M, 13, FALSE)</f>
        <v>0.19999999999999996</v>
      </c>
    </row>
    <row r="2356" spans="1:11" ht="30" x14ac:dyDescent="0.25">
      <c r="A2356" s="78">
        <v>46180</v>
      </c>
      <c r="C2356" s="19" t="s">
        <v>562</v>
      </c>
      <c r="D2356" s="30">
        <v>1</v>
      </c>
      <c r="E2356" s="30">
        <v>1</v>
      </c>
      <c r="F2356" s="30">
        <f t="shared" si="74"/>
        <v>1</v>
      </c>
      <c r="G2356" s="30" t="s">
        <v>9</v>
      </c>
      <c r="J2356" s="30" t="s">
        <v>391</v>
      </c>
      <c r="K2356" s="30">
        <f>VLOOKUP(C2356, PA!A:M, 13, FALSE)</f>
        <v>0.14285714285714285</v>
      </c>
    </row>
    <row r="2357" spans="1:11" x14ac:dyDescent="0.25">
      <c r="A2357" s="78">
        <v>46180</v>
      </c>
      <c r="C2357" s="33" t="s">
        <v>682</v>
      </c>
      <c r="D2357" s="30">
        <v>1</v>
      </c>
      <c r="E2357" s="30">
        <v>10</v>
      </c>
      <c r="F2357" s="30">
        <f t="shared" si="74"/>
        <v>10</v>
      </c>
      <c r="G2357" s="30" t="s">
        <v>9</v>
      </c>
      <c r="J2357" s="30" t="s">
        <v>391</v>
      </c>
      <c r="K2357" s="30">
        <f>VLOOKUP(C2357, PA!A:M, 13, FALSE)</f>
        <v>0.33333333333333331</v>
      </c>
    </row>
    <row r="2358" spans="1:11" x14ac:dyDescent="0.25">
      <c r="A2358" s="78">
        <v>46180</v>
      </c>
      <c r="C2358" s="33" t="s">
        <v>767</v>
      </c>
      <c r="D2358" s="30">
        <v>1</v>
      </c>
      <c r="E2358" s="30">
        <v>10</v>
      </c>
      <c r="F2358" s="30">
        <f t="shared" si="74"/>
        <v>10</v>
      </c>
      <c r="G2358" s="30" t="s">
        <v>9</v>
      </c>
      <c r="J2358" s="30" t="s">
        <v>391</v>
      </c>
      <c r="K2358" s="30">
        <f>VLOOKUP(C2358, PA!A:M, 13, FALSE)</f>
        <v>0.1111111111111111</v>
      </c>
    </row>
    <row r="2359" spans="1:11" x14ac:dyDescent="0.25">
      <c r="A2359" s="78">
        <v>46180</v>
      </c>
      <c r="C2359" s="61" t="s">
        <v>154</v>
      </c>
      <c r="D2359" s="30">
        <v>8</v>
      </c>
      <c r="E2359" s="30">
        <v>1</v>
      </c>
      <c r="F2359" s="30">
        <f t="shared" si="74"/>
        <v>8</v>
      </c>
      <c r="G2359" s="30" t="s">
        <v>9</v>
      </c>
      <c r="J2359" s="30" t="s">
        <v>391</v>
      </c>
      <c r="K2359" s="30">
        <f>VLOOKUP(C2359, PA!A:M, 13, FALSE)</f>
        <v>0.23456790123456783</v>
      </c>
    </row>
    <row r="2360" spans="1:11" x14ac:dyDescent="0.25">
      <c r="A2360" s="78">
        <v>46180</v>
      </c>
      <c r="C2360" s="19" t="s">
        <v>807</v>
      </c>
      <c r="D2360" s="30">
        <v>0.28599999999999998</v>
      </c>
      <c r="E2360" s="30">
        <v>70</v>
      </c>
      <c r="F2360" s="30">
        <f t="shared" si="74"/>
        <v>20.02</v>
      </c>
      <c r="G2360" s="30" t="s">
        <v>9</v>
      </c>
      <c r="J2360" s="30" t="s">
        <v>391</v>
      </c>
      <c r="K2360" s="30">
        <f>VLOOKUP(C2360, PA!A:M, 13, FALSE)</f>
        <v>0.2068269230769231</v>
      </c>
    </row>
    <row r="2361" spans="1:11" x14ac:dyDescent="0.25">
      <c r="A2361" s="78">
        <v>46180</v>
      </c>
      <c r="C2361" s="19" t="s">
        <v>834</v>
      </c>
      <c r="D2361" s="30">
        <v>1</v>
      </c>
      <c r="E2361" s="30">
        <v>20</v>
      </c>
      <c r="F2361" s="30">
        <v>20</v>
      </c>
      <c r="G2361" s="30" t="s">
        <v>9</v>
      </c>
      <c r="J2361" s="30" t="s">
        <v>391</v>
      </c>
      <c r="K2361" s="30">
        <f>VLOOKUP(C2361, PA!A:M, 13, FALSE)</f>
        <v>0.38461538461538458</v>
      </c>
    </row>
    <row r="2362" spans="1:11" x14ac:dyDescent="0.25">
      <c r="A2362" s="78">
        <v>46180</v>
      </c>
      <c r="C2362" s="19" t="s">
        <v>819</v>
      </c>
      <c r="D2362" s="30">
        <v>2</v>
      </c>
      <c r="E2362" s="30">
        <v>40</v>
      </c>
      <c r="F2362" s="30">
        <v>80</v>
      </c>
      <c r="G2362" s="30" t="s">
        <v>9</v>
      </c>
      <c r="J2362" s="30" t="s">
        <v>391</v>
      </c>
      <c r="K2362" s="30">
        <f>VLOOKUP(C2362, PA!A:M, 13, FALSE)</f>
        <v>5.2631578947368418E-2</v>
      </c>
    </row>
    <row r="2363" spans="1:11" x14ac:dyDescent="0.25">
      <c r="A2363" s="78">
        <v>46180</v>
      </c>
      <c r="C2363" s="19" t="s">
        <v>684</v>
      </c>
      <c r="D2363" s="30">
        <v>1</v>
      </c>
      <c r="E2363" s="30">
        <v>10</v>
      </c>
      <c r="F2363" s="30">
        <f t="shared" ref="F2363:F2394" si="75">E2363*D2363</f>
        <v>10</v>
      </c>
      <c r="G2363" s="30" t="s">
        <v>9</v>
      </c>
      <c r="I2363" s="139">
        <f>SUM(F2331:F2363)</f>
        <v>716.572</v>
      </c>
      <c r="J2363" s="30" t="s">
        <v>391</v>
      </c>
      <c r="K2363" s="30">
        <f>VLOOKUP(C2363, PA!A:M, 13, FALSE)</f>
        <v>4.7409040793825769E-2</v>
      </c>
    </row>
    <row r="2364" spans="1:11" x14ac:dyDescent="0.25">
      <c r="A2364" s="78">
        <v>46180</v>
      </c>
      <c r="C2364" s="19" t="s">
        <v>545</v>
      </c>
      <c r="D2364" s="30">
        <v>1</v>
      </c>
      <c r="E2364" s="30">
        <v>30</v>
      </c>
      <c r="F2364" s="30">
        <f t="shared" si="75"/>
        <v>30</v>
      </c>
      <c r="G2364" s="30" t="s">
        <v>9</v>
      </c>
      <c r="J2364" s="30" t="s">
        <v>392</v>
      </c>
      <c r="K2364" s="30">
        <f>VLOOKUP(C2364, PA!A:M, 13, FALSE)</f>
        <v>0.2</v>
      </c>
    </row>
    <row r="2365" spans="1:11" x14ac:dyDescent="0.25">
      <c r="A2365" s="78">
        <v>46180</v>
      </c>
      <c r="C2365" s="33" t="s">
        <v>545</v>
      </c>
      <c r="D2365" s="30">
        <v>1</v>
      </c>
      <c r="E2365" s="30">
        <v>30</v>
      </c>
      <c r="F2365" s="30">
        <f t="shared" si="75"/>
        <v>30</v>
      </c>
      <c r="G2365" s="30" t="s">
        <v>9</v>
      </c>
      <c r="J2365" s="30" t="s">
        <v>392</v>
      </c>
      <c r="K2365" s="30">
        <f>VLOOKUP(C2365, PA!A:M, 13, FALSE)</f>
        <v>0.2</v>
      </c>
    </row>
    <row r="2366" spans="1:11" x14ac:dyDescent="0.25">
      <c r="A2366" s="78">
        <v>46180</v>
      </c>
      <c r="C2366" s="19" t="s">
        <v>864</v>
      </c>
      <c r="D2366" s="30">
        <v>1</v>
      </c>
      <c r="E2366" s="30">
        <v>20</v>
      </c>
      <c r="F2366" s="30">
        <f t="shared" si="75"/>
        <v>20</v>
      </c>
      <c r="G2366" s="30" t="s">
        <v>9</v>
      </c>
      <c r="J2366" s="30" t="s">
        <v>392</v>
      </c>
      <c r="K2366" s="30">
        <f>VLOOKUP(C2366, PA!A:M, 13, FALSE)</f>
        <v>0.1111111111111111</v>
      </c>
    </row>
    <row r="2367" spans="1:11" x14ac:dyDescent="0.25">
      <c r="A2367" s="78">
        <v>46180</v>
      </c>
      <c r="C2367" s="33" t="s">
        <v>558</v>
      </c>
      <c r="D2367" s="30">
        <v>1</v>
      </c>
      <c r="E2367" s="30">
        <v>10</v>
      </c>
      <c r="F2367" s="30">
        <f t="shared" si="75"/>
        <v>10</v>
      </c>
      <c r="G2367" s="30" t="s">
        <v>9</v>
      </c>
      <c r="J2367" s="30" t="s">
        <v>392</v>
      </c>
      <c r="K2367" s="30">
        <f>VLOOKUP(C2367, PA!A:M, 13, FALSE)</f>
        <v>0.1111111111111111</v>
      </c>
    </row>
    <row r="2368" spans="1:11" x14ac:dyDescent="0.25">
      <c r="A2368" s="78">
        <v>46180</v>
      </c>
      <c r="C2368" s="33" t="s">
        <v>670</v>
      </c>
      <c r="D2368" s="30">
        <v>1</v>
      </c>
      <c r="E2368" s="30">
        <v>10</v>
      </c>
      <c r="F2368" s="30">
        <f t="shared" si="75"/>
        <v>10</v>
      </c>
      <c r="G2368" s="30" t="s">
        <v>9</v>
      </c>
      <c r="J2368" s="30" t="s">
        <v>392</v>
      </c>
      <c r="K2368" s="30">
        <f>VLOOKUP(C2368, PA!A:M, 13, FALSE)</f>
        <v>0.1111111111111111</v>
      </c>
    </row>
    <row r="2369" spans="1:11" x14ac:dyDescent="0.25">
      <c r="A2369" s="78">
        <v>46180</v>
      </c>
      <c r="C2369" s="19" t="s">
        <v>99</v>
      </c>
      <c r="D2369" s="30">
        <v>1</v>
      </c>
      <c r="E2369" s="30">
        <v>9</v>
      </c>
      <c r="F2369" s="30">
        <f t="shared" si="75"/>
        <v>9</v>
      </c>
      <c r="G2369" s="30" t="s">
        <v>9</v>
      </c>
      <c r="J2369" s="30" t="s">
        <v>392</v>
      </c>
      <c r="K2369" s="30">
        <f>VLOOKUP(C2369, PA!A:M, 13, FALSE)</f>
        <v>0.67286245353159857</v>
      </c>
    </row>
    <row r="2370" spans="1:11" x14ac:dyDescent="0.25">
      <c r="A2370" s="78">
        <v>46180</v>
      </c>
      <c r="C2370" s="19" t="s">
        <v>655</v>
      </c>
      <c r="D2370" s="30">
        <v>1</v>
      </c>
      <c r="E2370" s="30">
        <v>15</v>
      </c>
      <c r="F2370" s="30">
        <f t="shared" si="75"/>
        <v>15</v>
      </c>
      <c r="G2370" s="30" t="s">
        <v>9</v>
      </c>
      <c r="J2370" s="30" t="s">
        <v>392</v>
      </c>
      <c r="K2370" s="30">
        <f>VLOOKUP(C2370, PA!A:M, 13, FALSE)</f>
        <v>0.82692307692307687</v>
      </c>
    </row>
    <row r="2371" spans="1:11" x14ac:dyDescent="0.25">
      <c r="A2371" s="78">
        <v>46180</v>
      </c>
      <c r="C2371" s="33" t="s">
        <v>705</v>
      </c>
      <c r="D2371" s="30">
        <v>1</v>
      </c>
      <c r="E2371" s="30">
        <v>10</v>
      </c>
      <c r="F2371" s="30">
        <f t="shared" si="75"/>
        <v>10</v>
      </c>
      <c r="G2371" s="30" t="s">
        <v>9</v>
      </c>
      <c r="J2371" s="30" t="s">
        <v>392</v>
      </c>
      <c r="K2371" s="30">
        <f>VLOOKUP(C2371, PA!A:M, 13, FALSE)</f>
        <v>9.0909090909090981E-2</v>
      </c>
    </row>
    <row r="2372" spans="1:11" x14ac:dyDescent="0.25">
      <c r="A2372" s="78">
        <v>46180</v>
      </c>
      <c r="C2372" s="19" t="s">
        <v>680</v>
      </c>
      <c r="D2372" s="30">
        <v>1</v>
      </c>
      <c r="E2372" s="30">
        <v>10</v>
      </c>
      <c r="F2372" s="30">
        <f t="shared" si="75"/>
        <v>10</v>
      </c>
      <c r="G2372" s="30" t="s">
        <v>9</v>
      </c>
      <c r="J2372" s="30" t="s">
        <v>392</v>
      </c>
      <c r="K2372" s="30">
        <f>VLOOKUP(C2372, PA!A:M, 13, FALSE)</f>
        <v>9.170305676855893E-2</v>
      </c>
    </row>
    <row r="2373" spans="1:11" x14ac:dyDescent="0.25">
      <c r="A2373" s="78">
        <v>46180</v>
      </c>
      <c r="C2373" s="33" t="s">
        <v>705</v>
      </c>
      <c r="D2373" s="30">
        <v>1</v>
      </c>
      <c r="E2373" s="30">
        <v>10</v>
      </c>
      <c r="F2373" s="30">
        <f t="shared" si="75"/>
        <v>10</v>
      </c>
      <c r="G2373" s="30" t="s">
        <v>9</v>
      </c>
      <c r="J2373" s="30" t="s">
        <v>392</v>
      </c>
      <c r="K2373" s="30">
        <f>VLOOKUP(C2373, PA!A:M, 13, FALSE)</f>
        <v>9.0909090909090981E-2</v>
      </c>
    </row>
    <row r="2374" spans="1:11" x14ac:dyDescent="0.25">
      <c r="A2374" s="78">
        <v>46180</v>
      </c>
      <c r="C2374" s="19" t="s">
        <v>667</v>
      </c>
      <c r="D2374" s="30">
        <v>2</v>
      </c>
      <c r="E2374" s="30">
        <v>5</v>
      </c>
      <c r="F2374" s="30">
        <f t="shared" si="75"/>
        <v>10</v>
      </c>
      <c r="G2374" s="30" t="s">
        <v>9</v>
      </c>
      <c r="J2374" s="30" t="s">
        <v>392</v>
      </c>
      <c r="K2374" s="30">
        <f>VLOOKUP(C2374, PA!A:M, 13, FALSE)</f>
        <v>0.1111111111111111</v>
      </c>
    </row>
    <row r="2375" spans="1:11" x14ac:dyDescent="0.25">
      <c r="A2375" s="78">
        <v>46180</v>
      </c>
      <c r="C2375" s="19" t="s">
        <v>519</v>
      </c>
      <c r="D2375" s="30">
        <v>1</v>
      </c>
      <c r="E2375" s="30">
        <v>10</v>
      </c>
      <c r="F2375" s="30">
        <f t="shared" si="75"/>
        <v>10</v>
      </c>
      <c r="G2375" s="30" t="s">
        <v>9</v>
      </c>
      <c r="J2375" s="30" t="s">
        <v>392</v>
      </c>
      <c r="K2375" s="30">
        <f>VLOOKUP(C2375, PA!A:M, 13, FALSE)</f>
        <v>0.14285714285714285</v>
      </c>
    </row>
    <row r="2376" spans="1:11" x14ac:dyDescent="0.25">
      <c r="A2376" s="78">
        <v>46180</v>
      </c>
      <c r="C2376" s="19" t="s">
        <v>790</v>
      </c>
      <c r="D2376" s="30">
        <v>1</v>
      </c>
      <c r="E2376" s="30">
        <v>27</v>
      </c>
      <c r="F2376" s="30">
        <f t="shared" si="75"/>
        <v>27</v>
      </c>
      <c r="G2376" s="30" t="s">
        <v>9</v>
      </c>
      <c r="J2376" s="30" t="s">
        <v>392</v>
      </c>
      <c r="K2376" s="30">
        <f>VLOOKUP(C2376, PA!A:M, 13, FALSE)</f>
        <v>0.08</v>
      </c>
    </row>
    <row r="2377" spans="1:11" x14ac:dyDescent="0.25">
      <c r="A2377" s="78">
        <v>46180</v>
      </c>
      <c r="C2377" s="33" t="s">
        <v>565</v>
      </c>
      <c r="D2377" s="30">
        <v>2</v>
      </c>
      <c r="E2377" s="30">
        <v>10</v>
      </c>
      <c r="F2377" s="30">
        <f t="shared" si="75"/>
        <v>20</v>
      </c>
      <c r="G2377" s="30" t="s">
        <v>9</v>
      </c>
      <c r="J2377" s="30" t="s">
        <v>392</v>
      </c>
      <c r="K2377" s="30">
        <f>VLOOKUP(C2377, PA!A:M, 13, FALSE)</f>
        <v>0.10091743119266047</v>
      </c>
    </row>
    <row r="2378" spans="1:11" x14ac:dyDescent="0.25">
      <c r="A2378" s="78">
        <v>46180</v>
      </c>
      <c r="C2378" s="33" t="s">
        <v>348</v>
      </c>
      <c r="D2378" s="30">
        <v>3</v>
      </c>
      <c r="E2378" s="30">
        <v>1</v>
      </c>
      <c r="F2378" s="30">
        <f t="shared" si="75"/>
        <v>3</v>
      </c>
      <c r="G2378" s="30" t="s">
        <v>9</v>
      </c>
      <c r="J2378" s="30" t="s">
        <v>392</v>
      </c>
      <c r="K2378" s="30">
        <f>VLOOKUP(C2378, PA!A:M, 13, FALSE)</f>
        <v>5.0000000000000058E-2</v>
      </c>
    </row>
    <row r="2379" spans="1:11" x14ac:dyDescent="0.25">
      <c r="A2379" s="78">
        <v>46180</v>
      </c>
      <c r="C2379" s="19" t="s">
        <v>873</v>
      </c>
      <c r="D2379" s="30">
        <v>1</v>
      </c>
      <c r="E2379" s="30">
        <v>20</v>
      </c>
      <c r="F2379" s="30">
        <f t="shared" si="75"/>
        <v>20</v>
      </c>
      <c r="G2379" s="30" t="s">
        <v>9</v>
      </c>
      <c r="J2379" s="30" t="s">
        <v>392</v>
      </c>
      <c r="K2379" s="30">
        <f>VLOOKUP(C2379, PA!A:M, 13, FALSE)</f>
        <v>5.2631578947368418E-2</v>
      </c>
    </row>
    <row r="2380" spans="1:11" x14ac:dyDescent="0.25">
      <c r="A2380" s="78">
        <v>46180</v>
      </c>
      <c r="C2380" s="19" t="s">
        <v>532</v>
      </c>
      <c r="D2380" s="30">
        <v>2</v>
      </c>
      <c r="E2380" s="30">
        <v>5</v>
      </c>
      <c r="F2380" s="30">
        <f t="shared" si="75"/>
        <v>10</v>
      </c>
      <c r="G2380" s="30" t="s">
        <v>9</v>
      </c>
      <c r="J2380" s="30" t="s">
        <v>392</v>
      </c>
      <c r="K2380" s="30">
        <f>VLOOKUP(C2380, PA!A:M, 13, FALSE)</f>
        <v>0.10294117647058826</v>
      </c>
    </row>
    <row r="2381" spans="1:11" x14ac:dyDescent="0.25">
      <c r="A2381" s="78">
        <v>46180</v>
      </c>
      <c r="C2381" s="19" t="s">
        <v>627</v>
      </c>
      <c r="D2381" s="30">
        <v>1</v>
      </c>
      <c r="E2381" s="30">
        <v>35</v>
      </c>
      <c r="F2381" s="30">
        <f t="shared" si="75"/>
        <v>35</v>
      </c>
      <c r="G2381" s="30" t="s">
        <v>9</v>
      </c>
      <c r="J2381" s="30" t="s">
        <v>392</v>
      </c>
      <c r="K2381" s="30">
        <f>VLOOKUP(C2381, PA!A:M, 13, FALSE)</f>
        <v>0.25</v>
      </c>
    </row>
    <row r="2382" spans="1:11" ht="30" x14ac:dyDescent="0.25">
      <c r="A2382" s="78">
        <v>46180</v>
      </c>
      <c r="C2382" s="19" t="s">
        <v>109</v>
      </c>
      <c r="D2382" s="30">
        <v>1</v>
      </c>
      <c r="E2382" s="30">
        <v>15</v>
      </c>
      <c r="F2382" s="30">
        <f t="shared" si="75"/>
        <v>15</v>
      </c>
      <c r="G2382" s="30" t="s">
        <v>9</v>
      </c>
      <c r="J2382" s="30" t="s">
        <v>392</v>
      </c>
      <c r="K2382" s="30">
        <f>VLOOKUP(C2382, PA!A:M, 13, FALSE)</f>
        <v>0.2</v>
      </c>
    </row>
    <row r="2383" spans="1:11" ht="30" x14ac:dyDescent="0.25">
      <c r="A2383" s="78">
        <v>46180</v>
      </c>
      <c r="C2383" s="19" t="s">
        <v>707</v>
      </c>
      <c r="D2383" s="30">
        <v>1</v>
      </c>
      <c r="E2383" s="30">
        <v>15</v>
      </c>
      <c r="F2383" s="30">
        <f t="shared" si="75"/>
        <v>15</v>
      </c>
      <c r="G2383" s="30" t="s">
        <v>9</v>
      </c>
      <c r="J2383" s="30" t="s">
        <v>392</v>
      </c>
      <c r="K2383" s="30">
        <f>VLOOKUP(C2383, PA!A:M, 13, FALSE)</f>
        <v>0.16129032258064521</v>
      </c>
    </row>
    <row r="2384" spans="1:11" x14ac:dyDescent="0.25">
      <c r="A2384" s="78">
        <v>46180</v>
      </c>
      <c r="C2384" s="19" t="s">
        <v>731</v>
      </c>
      <c r="D2384" s="30">
        <v>0.5</v>
      </c>
      <c r="E2384" s="30">
        <v>60</v>
      </c>
      <c r="F2384" s="30">
        <f t="shared" si="75"/>
        <v>30</v>
      </c>
      <c r="G2384" s="30" t="s">
        <v>9</v>
      </c>
      <c r="J2384" s="30" t="s">
        <v>392</v>
      </c>
      <c r="K2384" s="30">
        <f>VLOOKUP(C2384, PA!A:M, 13, FALSE)</f>
        <v>0.2</v>
      </c>
    </row>
    <row r="2385" spans="1:11" x14ac:dyDescent="0.25">
      <c r="A2385" s="78">
        <v>46180</v>
      </c>
      <c r="C2385" s="19" t="s">
        <v>764</v>
      </c>
      <c r="D2385" s="30">
        <v>2</v>
      </c>
      <c r="E2385" s="30">
        <v>5</v>
      </c>
      <c r="F2385" s="30">
        <f t="shared" si="75"/>
        <v>10</v>
      </c>
      <c r="G2385" s="30" t="s">
        <v>9</v>
      </c>
      <c r="J2385" s="30" t="s">
        <v>392</v>
      </c>
      <c r="K2385" s="30" t="e">
        <f>VLOOKUP(C2385, PA!A:M, 13, FALSE)</f>
        <v>#N/A</v>
      </c>
    </row>
    <row r="2386" spans="1:11" x14ac:dyDescent="0.25">
      <c r="A2386" s="78">
        <v>46180</v>
      </c>
      <c r="C2386" s="33" t="s">
        <v>838</v>
      </c>
      <c r="D2386" s="30">
        <v>4</v>
      </c>
      <c r="E2386" s="30">
        <v>9</v>
      </c>
      <c r="F2386" s="30">
        <f t="shared" si="75"/>
        <v>36</v>
      </c>
      <c r="G2386" s="30" t="s">
        <v>9</v>
      </c>
      <c r="J2386" s="30" t="s">
        <v>392</v>
      </c>
      <c r="K2386" s="30">
        <f>VLOOKUP(C2386, PA!A:M, 13, FALSE)</f>
        <v>0.17391304347826084</v>
      </c>
    </row>
    <row r="2387" spans="1:11" x14ac:dyDescent="0.25">
      <c r="A2387" s="78">
        <v>46180</v>
      </c>
      <c r="C2387" s="33" t="s">
        <v>807</v>
      </c>
      <c r="D2387" s="30">
        <v>0.28599999999999998</v>
      </c>
      <c r="E2387" s="30">
        <v>70</v>
      </c>
      <c r="F2387" s="30">
        <f t="shared" si="75"/>
        <v>20.02</v>
      </c>
      <c r="G2387" s="30" t="s">
        <v>9</v>
      </c>
      <c r="J2387" s="30" t="s">
        <v>392</v>
      </c>
      <c r="K2387" s="30">
        <f>VLOOKUP(C2387, PA!A:M, 13, FALSE)</f>
        <v>0.2068269230769231</v>
      </c>
    </row>
    <row r="2388" spans="1:11" ht="30" x14ac:dyDescent="0.25">
      <c r="A2388" s="78">
        <v>46180</v>
      </c>
      <c r="C2388" s="19" t="s">
        <v>735</v>
      </c>
      <c r="D2388" s="30">
        <v>5</v>
      </c>
      <c r="E2388" s="30">
        <v>69</v>
      </c>
      <c r="F2388" s="30">
        <f t="shared" si="75"/>
        <v>345</v>
      </c>
      <c r="G2388" s="30" t="s">
        <v>9</v>
      </c>
      <c r="J2388" s="30" t="s">
        <v>392</v>
      </c>
      <c r="K2388" s="30">
        <f>VLOOKUP(C2388, PA!A:M, 13, FALSE)</f>
        <v>2.1965317919075227E-2</v>
      </c>
    </row>
    <row r="2389" spans="1:11" x14ac:dyDescent="0.25">
      <c r="A2389" s="78">
        <v>46180</v>
      </c>
      <c r="C2389" s="19" t="s">
        <v>825</v>
      </c>
      <c r="D2389" s="30">
        <v>1</v>
      </c>
      <c r="E2389" s="30">
        <v>70</v>
      </c>
      <c r="F2389" s="30">
        <f t="shared" si="75"/>
        <v>70</v>
      </c>
      <c r="G2389" s="30" t="s">
        <v>9</v>
      </c>
      <c r="J2389" s="30" t="s">
        <v>392</v>
      </c>
      <c r="K2389" s="30">
        <f>VLOOKUP(C2389, PA!A:M, 13, FALSE)</f>
        <v>7.6923076923076927E-2</v>
      </c>
    </row>
    <row r="2390" spans="1:11" x14ac:dyDescent="0.25">
      <c r="A2390" s="78">
        <v>46180</v>
      </c>
      <c r="C2390" s="19" t="s">
        <v>669</v>
      </c>
      <c r="D2390" s="30">
        <v>2</v>
      </c>
      <c r="E2390" s="30">
        <v>5</v>
      </c>
      <c r="F2390" s="30">
        <f t="shared" si="75"/>
        <v>10</v>
      </c>
      <c r="G2390" s="30" t="s">
        <v>9</v>
      </c>
      <c r="J2390" s="30" t="s">
        <v>392</v>
      </c>
      <c r="K2390" s="30">
        <f>VLOOKUP(C2390, PA!A:M, 13, FALSE)</f>
        <v>4.1666666666666706E-2</v>
      </c>
    </row>
    <row r="2391" spans="1:11" x14ac:dyDescent="0.25">
      <c r="A2391" s="78">
        <v>46180</v>
      </c>
      <c r="C2391" s="19" t="s">
        <v>858</v>
      </c>
      <c r="D2391" s="30">
        <v>1</v>
      </c>
      <c r="E2391" s="30">
        <v>10</v>
      </c>
      <c r="F2391" s="30">
        <f t="shared" si="75"/>
        <v>10</v>
      </c>
      <c r="G2391" s="30" t="s">
        <v>9</v>
      </c>
      <c r="J2391" s="30" t="s">
        <v>392</v>
      </c>
      <c r="K2391" s="30">
        <f>VLOOKUP(C2391, PA!A:M, 13, FALSE)</f>
        <v>9.0909090909090981E-2</v>
      </c>
    </row>
    <row r="2392" spans="1:11" x14ac:dyDescent="0.25">
      <c r="A2392" s="78">
        <v>46180</v>
      </c>
      <c r="C2392" s="61" t="s">
        <v>23</v>
      </c>
      <c r="D2392" s="30">
        <v>1</v>
      </c>
      <c r="E2392" s="30">
        <v>60</v>
      </c>
      <c r="F2392" s="30">
        <f t="shared" si="75"/>
        <v>60</v>
      </c>
      <c r="G2392" s="30" t="s">
        <v>9</v>
      </c>
      <c r="J2392" s="30" t="s">
        <v>392</v>
      </c>
      <c r="K2392" s="30">
        <f>VLOOKUP(C2392, PA!A:M, 13, FALSE)</f>
        <v>0.2</v>
      </c>
    </row>
    <row r="2393" spans="1:11" x14ac:dyDescent="0.25">
      <c r="A2393" s="78">
        <v>46180</v>
      </c>
      <c r="C2393" s="19" t="s">
        <v>752</v>
      </c>
      <c r="D2393" s="30">
        <v>1</v>
      </c>
      <c r="E2393" s="30">
        <v>50</v>
      </c>
      <c r="F2393" s="30">
        <f t="shared" si="75"/>
        <v>50</v>
      </c>
      <c r="G2393" s="30" t="s">
        <v>9</v>
      </c>
      <c r="J2393" s="30" t="s">
        <v>392</v>
      </c>
      <c r="K2393" s="30">
        <f>VLOOKUP(C2393, PA!A:M, 13, FALSE)</f>
        <v>9.8096632503660366E-2</v>
      </c>
    </row>
    <row r="2394" spans="1:11" x14ac:dyDescent="0.25">
      <c r="A2394" s="78">
        <v>46180</v>
      </c>
      <c r="C2394" s="33" t="s">
        <v>680</v>
      </c>
      <c r="D2394" s="30">
        <v>1</v>
      </c>
      <c r="E2394" s="30">
        <v>10</v>
      </c>
      <c r="F2394" s="30">
        <f t="shared" si="75"/>
        <v>10</v>
      </c>
      <c r="G2394" s="30" t="s">
        <v>9</v>
      </c>
      <c r="J2394" s="30" t="s">
        <v>392</v>
      </c>
      <c r="K2394" s="30">
        <f>VLOOKUP(C2394, PA!A:M, 13, FALSE)</f>
        <v>9.170305676855893E-2</v>
      </c>
    </row>
    <row r="2395" spans="1:11" x14ac:dyDescent="0.25">
      <c r="A2395" s="78">
        <v>46180</v>
      </c>
      <c r="C2395" s="19" t="s">
        <v>684</v>
      </c>
      <c r="D2395" s="30">
        <v>4</v>
      </c>
      <c r="E2395" s="30">
        <v>9.5</v>
      </c>
      <c r="F2395" s="30">
        <f t="shared" ref="F2395:F2411" si="76">E2395*D2395</f>
        <v>38</v>
      </c>
      <c r="G2395" s="30" t="s">
        <v>9</v>
      </c>
      <c r="J2395" s="30" t="s">
        <v>392</v>
      </c>
      <c r="K2395" s="30">
        <f>VLOOKUP(C2395, PA!A:M, 13, FALSE)</f>
        <v>4.7409040793825769E-2</v>
      </c>
    </row>
    <row r="2396" spans="1:11" ht="30" x14ac:dyDescent="0.25">
      <c r="A2396" s="78">
        <v>46180</v>
      </c>
      <c r="C2396" s="19" t="s">
        <v>434</v>
      </c>
      <c r="D2396" s="30">
        <v>1</v>
      </c>
      <c r="E2396" s="30">
        <v>20</v>
      </c>
      <c r="F2396" s="30">
        <f t="shared" si="76"/>
        <v>20</v>
      </c>
      <c r="G2396" s="30" t="s">
        <v>9</v>
      </c>
      <c r="J2396" s="30" t="s">
        <v>392</v>
      </c>
      <c r="K2396" s="30">
        <f>VLOOKUP(C2396, PA!A:M, 13, FALSE)</f>
        <v>0.19999999999999965</v>
      </c>
    </row>
    <row r="2397" spans="1:11" x14ac:dyDescent="0.25">
      <c r="A2397" s="78">
        <v>46180</v>
      </c>
      <c r="C2397" s="33" t="s">
        <v>582</v>
      </c>
      <c r="D2397" s="30">
        <v>1</v>
      </c>
      <c r="E2397" s="30">
        <v>10</v>
      </c>
      <c r="F2397" s="30">
        <f t="shared" si="76"/>
        <v>10</v>
      </c>
      <c r="G2397" s="30" t="s">
        <v>9</v>
      </c>
      <c r="J2397" s="30" t="s">
        <v>392</v>
      </c>
      <c r="K2397" s="30">
        <f>VLOOKUP(C2397, PA!A:M, 13, FALSE)</f>
        <v>0.42857142857142855</v>
      </c>
    </row>
    <row r="2398" spans="1:11" ht="30" x14ac:dyDescent="0.25">
      <c r="A2398" s="78">
        <v>46180</v>
      </c>
      <c r="C2398" s="19" t="s">
        <v>760</v>
      </c>
      <c r="D2398" s="30">
        <v>20</v>
      </c>
      <c r="E2398" s="30">
        <v>1</v>
      </c>
      <c r="F2398" s="30">
        <f t="shared" si="76"/>
        <v>20</v>
      </c>
      <c r="G2398" s="30" t="s">
        <v>9</v>
      </c>
      <c r="J2398" s="30" t="s">
        <v>392</v>
      </c>
      <c r="K2398" s="30">
        <f>VLOOKUP(C2398, PA!A:M, 13, FALSE)</f>
        <v>0.14285714285714285</v>
      </c>
    </row>
    <row r="2399" spans="1:11" x14ac:dyDescent="0.25">
      <c r="A2399" s="78">
        <v>46180</v>
      </c>
      <c r="C2399" s="33" t="s">
        <v>670</v>
      </c>
      <c r="D2399" s="30">
        <v>1</v>
      </c>
      <c r="E2399" s="30">
        <v>10</v>
      </c>
      <c r="F2399" s="30">
        <f t="shared" si="76"/>
        <v>10</v>
      </c>
      <c r="G2399" s="30" t="s">
        <v>9</v>
      </c>
      <c r="J2399" s="30" t="s">
        <v>392</v>
      </c>
      <c r="K2399" s="30">
        <f>VLOOKUP(C2399, PA!A:M, 13, FALSE)</f>
        <v>0.1111111111111111</v>
      </c>
    </row>
    <row r="2400" spans="1:11" x14ac:dyDescent="0.25">
      <c r="A2400" s="78">
        <v>46180</v>
      </c>
      <c r="C2400" s="33" t="s">
        <v>565</v>
      </c>
      <c r="D2400" s="30">
        <v>2</v>
      </c>
      <c r="E2400" s="30">
        <v>10</v>
      </c>
      <c r="F2400" s="30">
        <f t="shared" si="76"/>
        <v>20</v>
      </c>
      <c r="G2400" s="30" t="s">
        <v>9</v>
      </c>
      <c r="J2400" s="30" t="s">
        <v>392</v>
      </c>
      <c r="K2400" s="30">
        <f>VLOOKUP(C2400, PA!A:M, 13, FALSE)</f>
        <v>0.10091743119266047</v>
      </c>
    </row>
    <row r="2401" spans="1:12" x14ac:dyDescent="0.25">
      <c r="A2401" s="78">
        <v>46180</v>
      </c>
      <c r="C2401" s="19" t="s">
        <v>649</v>
      </c>
      <c r="D2401" s="30">
        <v>2</v>
      </c>
      <c r="E2401" s="30">
        <v>5</v>
      </c>
      <c r="F2401" s="30">
        <f t="shared" si="76"/>
        <v>10</v>
      </c>
      <c r="G2401" s="30" t="s">
        <v>9</v>
      </c>
      <c r="J2401" s="30" t="s">
        <v>392</v>
      </c>
      <c r="K2401" s="30">
        <f>VLOOKUP(C2401, PA!A:M, 13, FALSE)</f>
        <v>0.1111111111111111</v>
      </c>
    </row>
    <row r="2402" spans="1:12" x14ac:dyDescent="0.25">
      <c r="A2402" s="78">
        <v>46180</v>
      </c>
      <c r="C2402" s="33" t="s">
        <v>375</v>
      </c>
      <c r="D2402" s="30">
        <v>2</v>
      </c>
      <c r="E2402" s="30">
        <v>1</v>
      </c>
      <c r="F2402" s="30">
        <f t="shared" si="76"/>
        <v>2</v>
      </c>
      <c r="G2402" s="30" t="s">
        <v>9</v>
      </c>
      <c r="J2402" s="30" t="s">
        <v>392</v>
      </c>
      <c r="K2402" s="30">
        <f>VLOOKUP(C2402, PA!A:M, 13, FALSE)</f>
        <v>0.14285714285714285</v>
      </c>
    </row>
    <row r="2403" spans="1:12" x14ac:dyDescent="0.25">
      <c r="A2403" s="78">
        <v>46180</v>
      </c>
      <c r="C2403" s="33" t="s">
        <v>834</v>
      </c>
      <c r="D2403" s="30">
        <v>1</v>
      </c>
      <c r="E2403" s="30">
        <v>20</v>
      </c>
      <c r="F2403" s="30">
        <f t="shared" si="76"/>
        <v>20</v>
      </c>
      <c r="G2403" s="30" t="s">
        <v>9</v>
      </c>
      <c r="J2403" s="30" t="s">
        <v>392</v>
      </c>
      <c r="K2403" s="30">
        <f>VLOOKUP(C2403, PA!A:M, 13, FALSE)</f>
        <v>0.38461538461538458</v>
      </c>
    </row>
    <row r="2404" spans="1:12" x14ac:dyDescent="0.25">
      <c r="A2404" s="78">
        <v>46180</v>
      </c>
      <c r="C2404" s="19" t="s">
        <v>366</v>
      </c>
      <c r="D2404" s="30">
        <v>1</v>
      </c>
      <c r="E2404" s="30">
        <v>50</v>
      </c>
      <c r="F2404" s="30">
        <f t="shared" si="76"/>
        <v>50</v>
      </c>
      <c r="G2404" s="30" t="s">
        <v>9</v>
      </c>
      <c r="J2404" s="30" t="s">
        <v>392</v>
      </c>
      <c r="K2404" s="30">
        <f>VLOOKUP(C2404, PA!A:M, 13, FALSE)</f>
        <v>0.25</v>
      </c>
    </row>
    <row r="2405" spans="1:12" ht="30" x14ac:dyDescent="0.25">
      <c r="A2405" s="78">
        <v>46180</v>
      </c>
      <c r="C2405" s="19" t="s">
        <v>416</v>
      </c>
      <c r="D2405" s="30">
        <v>2</v>
      </c>
      <c r="E2405" s="30">
        <v>5</v>
      </c>
      <c r="F2405" s="30">
        <f t="shared" si="76"/>
        <v>10</v>
      </c>
      <c r="G2405" s="30" t="s">
        <v>9</v>
      </c>
      <c r="J2405" s="30" t="s">
        <v>392</v>
      </c>
      <c r="K2405" s="30">
        <f>VLOOKUP(C2405, PA!A:M, 13, FALSE)</f>
        <v>7.1428571428571355E-2</v>
      </c>
    </row>
    <row r="2406" spans="1:12" x14ac:dyDescent="0.25">
      <c r="A2406" s="78">
        <v>46180</v>
      </c>
      <c r="C2406" s="33" t="s">
        <v>714</v>
      </c>
      <c r="D2406" s="30">
        <v>1</v>
      </c>
      <c r="E2406" s="30">
        <v>30</v>
      </c>
      <c r="F2406" s="30">
        <f t="shared" si="76"/>
        <v>30</v>
      </c>
      <c r="G2406" s="30" t="s">
        <v>9</v>
      </c>
      <c r="J2406" s="30" t="s">
        <v>392</v>
      </c>
      <c r="K2406" s="30">
        <f>VLOOKUP(C2406, PA!A:M, 13, FALSE)</f>
        <v>0.15384615384615385</v>
      </c>
    </row>
    <row r="2407" spans="1:12" x14ac:dyDescent="0.25">
      <c r="A2407" s="78">
        <v>46180</v>
      </c>
      <c r="C2407" s="33" t="s">
        <v>819</v>
      </c>
      <c r="D2407" s="30">
        <v>2</v>
      </c>
      <c r="E2407" s="30">
        <v>40</v>
      </c>
      <c r="F2407" s="30">
        <f t="shared" si="76"/>
        <v>80</v>
      </c>
      <c r="G2407" s="30" t="s">
        <v>9</v>
      </c>
      <c r="J2407" s="30" t="s">
        <v>392</v>
      </c>
      <c r="K2407" s="30">
        <f>VLOOKUP(C2407, PA!A:M, 13, FALSE)</f>
        <v>5.2631578947368418E-2</v>
      </c>
    </row>
    <row r="2408" spans="1:12" x14ac:dyDescent="0.25">
      <c r="A2408" s="78">
        <v>46180</v>
      </c>
      <c r="C2408" s="33" t="s">
        <v>737</v>
      </c>
      <c r="D2408" s="30">
        <v>1</v>
      </c>
      <c r="E2408" s="30">
        <v>14</v>
      </c>
      <c r="F2408" s="30">
        <f t="shared" si="76"/>
        <v>14</v>
      </c>
      <c r="G2408" s="30" t="s">
        <v>9</v>
      </c>
      <c r="K2408" s="30">
        <f>VLOOKUP(C2408, PA!A:M, 13, FALSE)</f>
        <v>0.33333333333333331</v>
      </c>
    </row>
    <row r="2409" spans="1:12" x14ac:dyDescent="0.25">
      <c r="A2409" s="78">
        <v>46180</v>
      </c>
      <c r="C2409" s="19" t="s">
        <v>825</v>
      </c>
      <c r="D2409" s="30">
        <v>1</v>
      </c>
      <c r="E2409" s="30">
        <v>69</v>
      </c>
      <c r="F2409" s="30">
        <f t="shared" si="76"/>
        <v>69</v>
      </c>
      <c r="G2409" s="30" t="s">
        <v>9</v>
      </c>
      <c r="J2409" s="30" t="s">
        <v>392</v>
      </c>
      <c r="K2409" s="30">
        <f>VLOOKUP(C2409, PA!A:M, 13, FALSE)</f>
        <v>7.6923076923076927E-2</v>
      </c>
    </row>
    <row r="2410" spans="1:12" x14ac:dyDescent="0.25">
      <c r="A2410" s="78">
        <v>46180</v>
      </c>
      <c r="C2410" s="19" t="s">
        <v>820</v>
      </c>
      <c r="D2410" s="30">
        <v>1</v>
      </c>
      <c r="E2410" s="30">
        <v>51</v>
      </c>
      <c r="F2410" s="30">
        <f t="shared" si="76"/>
        <v>51</v>
      </c>
      <c r="G2410" s="30" t="s">
        <v>9</v>
      </c>
      <c r="J2410" s="30" t="s">
        <v>392</v>
      </c>
      <c r="K2410" s="30">
        <f>VLOOKUP(C2410, PA!A:M, 13, FALSE)</f>
        <v>6.1224489795918366E-2</v>
      </c>
    </row>
    <row r="2411" spans="1:12" x14ac:dyDescent="0.25">
      <c r="A2411" s="78">
        <v>46180</v>
      </c>
      <c r="C2411" s="33" t="s">
        <v>346</v>
      </c>
      <c r="D2411" s="30">
        <v>8</v>
      </c>
      <c r="E2411" s="30">
        <v>5</v>
      </c>
      <c r="F2411" s="30">
        <f t="shared" si="76"/>
        <v>40</v>
      </c>
      <c r="G2411" s="30" t="s">
        <v>9</v>
      </c>
      <c r="I2411" s="139">
        <f>SUM(F2364:F2411)</f>
        <v>1464.02</v>
      </c>
      <c r="J2411" s="30" t="s">
        <v>392</v>
      </c>
      <c r="K2411" s="30">
        <f>VLOOKUP(C2411, PA!A:M, 13, FALSE)</f>
        <v>6.6666666666666666E-2</v>
      </c>
      <c r="L2411" s="123" t="e">
        <f>AVERAGE(K2331:K2411)</f>
        <v>#N/A</v>
      </c>
    </row>
    <row r="2412" spans="1:12" s="69" customFormat="1" ht="18.75" x14ac:dyDescent="0.3">
      <c r="A2412" s="235" t="s">
        <v>437</v>
      </c>
      <c r="B2412" s="236"/>
      <c r="C2412" s="236"/>
      <c r="D2412" s="236"/>
      <c r="E2412" s="236"/>
      <c r="F2412" s="236"/>
      <c r="G2412" s="236"/>
      <c r="H2412" s="237"/>
      <c r="I2412" s="238">
        <f>SUM(I2411,I2363)</f>
        <v>2180.5920000000001</v>
      </c>
      <c r="J2412" s="239"/>
      <c r="K2412" s="239"/>
      <c r="L2412" s="240"/>
    </row>
    <row r="2413" spans="1:12" x14ac:dyDescent="0.25">
      <c r="A2413" s="78">
        <v>46181</v>
      </c>
      <c r="C2413" s="19" t="s">
        <v>591</v>
      </c>
      <c r="D2413" s="30">
        <v>0.2</v>
      </c>
      <c r="E2413" s="30">
        <v>200</v>
      </c>
      <c r="F2413" s="30">
        <f t="shared" ref="F2413:F2419" si="77">E2413*D2413</f>
        <v>40</v>
      </c>
      <c r="G2413" s="30" t="s">
        <v>9</v>
      </c>
      <c r="J2413" s="30" t="s">
        <v>392</v>
      </c>
      <c r="K2413" s="30">
        <f>VLOOKUP(C2413, PA!A:M, 13, FALSE)</f>
        <v>0.125</v>
      </c>
    </row>
    <row r="2414" spans="1:12" x14ac:dyDescent="0.25">
      <c r="A2414" s="78">
        <v>46181</v>
      </c>
      <c r="C2414" s="19" t="str">
        <f>'Stock Register'!A216</f>
        <v>WHOLE MOURI LOT 1</v>
      </c>
      <c r="D2414" s="30">
        <v>0.1</v>
      </c>
      <c r="E2414" s="30">
        <v>900</v>
      </c>
      <c r="F2414" s="30">
        <f t="shared" si="77"/>
        <v>90</v>
      </c>
      <c r="G2414" s="30" t="s">
        <v>9</v>
      </c>
      <c r="J2414" s="30" t="s">
        <v>392</v>
      </c>
      <c r="K2414" s="30">
        <f>VLOOKUP(C2414, PA!A:M, 13, FALSE)</f>
        <v>5</v>
      </c>
    </row>
    <row r="2415" spans="1:12" x14ac:dyDescent="0.25">
      <c r="A2415" s="78">
        <v>46181</v>
      </c>
      <c r="C2415" s="19" t="s">
        <v>716</v>
      </c>
      <c r="D2415" s="30">
        <v>0.5</v>
      </c>
      <c r="E2415" s="30">
        <v>58</v>
      </c>
      <c r="F2415" s="30">
        <f t="shared" si="77"/>
        <v>29</v>
      </c>
      <c r="G2415" s="30" t="s">
        <v>9</v>
      </c>
      <c r="J2415" s="30" t="s">
        <v>392</v>
      </c>
      <c r="K2415" s="30">
        <f>VLOOKUP(C2415, PA!A:M, 13, FALSE)</f>
        <v>0.16</v>
      </c>
    </row>
    <row r="2416" spans="1:12" x14ac:dyDescent="0.25">
      <c r="A2416" s="78">
        <v>46181</v>
      </c>
      <c r="C2416" s="19" t="str">
        <f>'Stock Register'!A215</f>
        <v>WHOLE DHANIA LOT 1</v>
      </c>
      <c r="D2416" s="30">
        <v>0.1</v>
      </c>
      <c r="E2416" s="30">
        <v>3200</v>
      </c>
      <c r="F2416" s="30">
        <f t="shared" si="77"/>
        <v>320</v>
      </c>
      <c r="G2416" s="30" t="s">
        <v>9</v>
      </c>
      <c r="J2416" s="30" t="s">
        <v>392</v>
      </c>
      <c r="K2416" s="30">
        <f>VLOOKUP(C2416, PA!A:M, 13, FALSE)</f>
        <v>19</v>
      </c>
    </row>
    <row r="2417" spans="1:11" x14ac:dyDescent="0.25">
      <c r="A2417" s="78">
        <v>46181</v>
      </c>
      <c r="C2417" s="33" t="str">
        <f>'Stock Register'!A213</f>
        <v>WHOLE DARCHINI LOT 1</v>
      </c>
      <c r="D2417" s="30">
        <v>0.05</v>
      </c>
      <c r="E2417" s="30">
        <v>480</v>
      </c>
      <c r="F2417" s="30">
        <f t="shared" si="77"/>
        <v>24</v>
      </c>
      <c r="G2417" s="30" t="s">
        <v>9</v>
      </c>
      <c r="J2417" s="30" t="s">
        <v>392</v>
      </c>
      <c r="K2417" s="30">
        <f>VLOOKUP(C2417, PA!A:M, 13, FALSE)</f>
        <v>0.2</v>
      </c>
    </row>
    <row r="2418" spans="1:11" x14ac:dyDescent="0.25">
      <c r="A2418" s="78">
        <v>46181</v>
      </c>
      <c r="C2418" s="33" t="s">
        <v>811</v>
      </c>
      <c r="D2418" s="30">
        <v>0.25</v>
      </c>
      <c r="E2418" s="30">
        <v>160</v>
      </c>
      <c r="F2418" s="30">
        <f t="shared" si="77"/>
        <v>40</v>
      </c>
      <c r="G2418" s="30" t="s">
        <v>9</v>
      </c>
      <c r="J2418" s="30" t="s">
        <v>392</v>
      </c>
      <c r="K2418" s="30">
        <f>VLOOKUP(C2418, PA!A:M, 13, FALSE)</f>
        <v>0.14285714285714285</v>
      </c>
    </row>
    <row r="2419" spans="1:11" x14ac:dyDescent="0.25">
      <c r="A2419" s="78">
        <v>46181</v>
      </c>
      <c r="C2419" s="19" t="s">
        <v>523</v>
      </c>
      <c r="D2419" s="30">
        <v>0.1</v>
      </c>
      <c r="E2419" s="30">
        <v>280</v>
      </c>
      <c r="F2419" s="30">
        <f t="shared" si="77"/>
        <v>28</v>
      </c>
      <c r="G2419" s="30" t="s">
        <v>9</v>
      </c>
      <c r="J2419" s="30" t="s">
        <v>392</v>
      </c>
      <c r="K2419" s="30">
        <f>VLOOKUP(C2419, PA!A:M, 13, FALSE)</f>
        <v>0.16666666666666666</v>
      </c>
    </row>
    <row r="2420" spans="1:11" x14ac:dyDescent="0.25">
      <c r="A2420" s="78">
        <v>46181</v>
      </c>
      <c r="C2420" s="19" t="s">
        <v>729</v>
      </c>
      <c r="D2420" s="30">
        <v>4</v>
      </c>
      <c r="E2420" s="30">
        <v>10</v>
      </c>
      <c r="F2420" s="30">
        <v>40</v>
      </c>
      <c r="G2420" s="30" t="s">
        <v>9</v>
      </c>
      <c r="J2420" s="30" t="s">
        <v>392</v>
      </c>
      <c r="K2420" s="30">
        <f>VLOOKUP(C2420, PA!A:M, 13, FALSE)</f>
        <v>0.14285714285714285</v>
      </c>
    </row>
    <row r="2421" spans="1:11" x14ac:dyDescent="0.25">
      <c r="A2421" s="78">
        <v>46181</v>
      </c>
      <c r="C2421" s="19" t="s">
        <v>366</v>
      </c>
      <c r="D2421" s="30">
        <v>1</v>
      </c>
      <c r="E2421" s="30">
        <v>50</v>
      </c>
      <c r="F2421" s="30">
        <v>50</v>
      </c>
      <c r="G2421" s="30" t="s">
        <v>9</v>
      </c>
      <c r="J2421" s="30" t="s">
        <v>392</v>
      </c>
      <c r="K2421" s="30">
        <f>VLOOKUP(C2421, PA!A:M, 13, FALSE)</f>
        <v>0.25</v>
      </c>
    </row>
    <row r="2422" spans="1:11" x14ac:dyDescent="0.25">
      <c r="A2422" s="78">
        <v>46181</v>
      </c>
      <c r="C2422" s="33" t="s">
        <v>582</v>
      </c>
      <c r="D2422" s="30">
        <v>1</v>
      </c>
      <c r="E2422" s="30">
        <v>10</v>
      </c>
      <c r="F2422" s="30">
        <v>10</v>
      </c>
      <c r="G2422" s="30" t="s">
        <v>9</v>
      </c>
      <c r="J2422" s="30" t="s">
        <v>392</v>
      </c>
      <c r="K2422" s="30">
        <f>VLOOKUP(C2422, PA!A:M, 13, FALSE)</f>
        <v>0.42857142857142855</v>
      </c>
    </row>
    <row r="2423" spans="1:11" x14ac:dyDescent="0.25">
      <c r="A2423" s="78">
        <v>46181</v>
      </c>
      <c r="C2423" s="33" t="s">
        <v>556</v>
      </c>
      <c r="D2423" s="30">
        <v>1</v>
      </c>
      <c r="E2423" s="30">
        <v>20</v>
      </c>
      <c r="F2423" s="30">
        <v>20</v>
      </c>
      <c r="G2423" s="30" t="s">
        <v>9</v>
      </c>
      <c r="J2423" s="30" t="s">
        <v>392</v>
      </c>
      <c r="K2423" s="30">
        <f>VLOOKUP(C2423, PA!A:M, 13, FALSE)</f>
        <v>9.0909090909090981E-2</v>
      </c>
    </row>
    <row r="2424" spans="1:11" x14ac:dyDescent="0.25">
      <c r="A2424" s="78">
        <v>46181</v>
      </c>
      <c r="C2424" s="19" t="s">
        <v>822</v>
      </c>
      <c r="D2424" s="30">
        <v>1</v>
      </c>
      <c r="E2424" s="30">
        <v>30</v>
      </c>
      <c r="F2424" s="30">
        <v>30</v>
      </c>
      <c r="G2424" s="30" t="s">
        <v>9</v>
      </c>
      <c r="J2424" s="30" t="s">
        <v>392</v>
      </c>
      <c r="K2424" s="30">
        <f>VLOOKUP(C2424, PA!A:M, 13, FALSE)</f>
        <v>7.1428571428571425E-2</v>
      </c>
    </row>
    <row r="2425" spans="1:11" x14ac:dyDescent="0.25">
      <c r="A2425" s="78">
        <v>46181</v>
      </c>
      <c r="C2425" s="33" t="s">
        <v>781</v>
      </c>
      <c r="D2425" s="30">
        <v>0.1</v>
      </c>
      <c r="E2425" s="30">
        <v>200</v>
      </c>
      <c r="F2425" s="30">
        <v>20</v>
      </c>
      <c r="G2425" s="30" t="s">
        <v>9</v>
      </c>
      <c r="J2425" s="30" t="s">
        <v>392</v>
      </c>
      <c r="K2425" s="30">
        <f>VLOOKUP(C2425, PA!A:M, 13, FALSE)</f>
        <v>0.42857142857142855</v>
      </c>
    </row>
    <row r="2426" spans="1:11" x14ac:dyDescent="0.25">
      <c r="A2426" s="78">
        <v>46181</v>
      </c>
      <c r="C2426" s="19" t="s">
        <v>79</v>
      </c>
      <c r="D2426" s="30">
        <v>1</v>
      </c>
      <c r="E2426" s="30">
        <v>50</v>
      </c>
      <c r="F2426" s="30">
        <f>E2426*D2426</f>
        <v>50</v>
      </c>
      <c r="G2426" s="30" t="s">
        <v>9</v>
      </c>
      <c r="J2426" s="30" t="s">
        <v>392</v>
      </c>
      <c r="K2426" s="30">
        <f>VLOOKUP(C2426, PA!A:M, 13, FALSE)</f>
        <v>0.25</v>
      </c>
    </row>
    <row r="2427" spans="1:11" x14ac:dyDescent="0.25">
      <c r="A2427" s="78">
        <v>46181</v>
      </c>
      <c r="C2427" s="19" t="s">
        <v>365</v>
      </c>
      <c r="D2427" s="30">
        <v>2</v>
      </c>
      <c r="E2427" s="30">
        <v>5</v>
      </c>
      <c r="F2427" s="30">
        <f t="shared" ref="F2427:F2447" si="78">E2427*D2427</f>
        <v>10</v>
      </c>
      <c r="G2427" s="30" t="s">
        <v>9</v>
      </c>
      <c r="J2427" s="30" t="s">
        <v>392</v>
      </c>
      <c r="K2427" s="30">
        <f>VLOOKUP(C2427, PA!A:M, 13, FALSE)</f>
        <v>0.66666666666666663</v>
      </c>
    </row>
    <row r="2428" spans="1:11" x14ac:dyDescent="0.25">
      <c r="A2428" s="78">
        <v>46181</v>
      </c>
      <c r="C2428" s="19" t="s">
        <v>763</v>
      </c>
      <c r="D2428" s="30">
        <v>2</v>
      </c>
      <c r="E2428" s="30">
        <v>5</v>
      </c>
      <c r="F2428" s="30">
        <f t="shared" si="78"/>
        <v>10</v>
      </c>
      <c r="G2428" s="30" t="s">
        <v>9</v>
      </c>
      <c r="J2428" s="30" t="s">
        <v>392</v>
      </c>
      <c r="K2428" s="30">
        <f>VLOOKUP(C2428, PA!A:M, 13, FALSE)</f>
        <v>9.0909090909090981E-2</v>
      </c>
    </row>
    <row r="2429" spans="1:11" x14ac:dyDescent="0.25">
      <c r="A2429" s="78">
        <v>46181</v>
      </c>
      <c r="C2429" s="19" t="s">
        <v>639</v>
      </c>
      <c r="D2429" s="30">
        <v>5</v>
      </c>
      <c r="E2429" s="30">
        <v>2</v>
      </c>
      <c r="F2429" s="30">
        <f t="shared" si="78"/>
        <v>10</v>
      </c>
      <c r="G2429" s="30" t="s">
        <v>9</v>
      </c>
      <c r="J2429" s="30" t="s">
        <v>392</v>
      </c>
      <c r="K2429" s="30">
        <f>VLOOKUP(C2429, PA!A:M, 13, FALSE)</f>
        <v>0.19999999999999996</v>
      </c>
    </row>
    <row r="2430" spans="1:11" x14ac:dyDescent="0.25">
      <c r="A2430" s="78">
        <v>46181</v>
      </c>
      <c r="C2430" s="33" t="s">
        <v>807</v>
      </c>
      <c r="D2430" s="30">
        <v>0.28599999999999998</v>
      </c>
      <c r="E2430" s="30">
        <v>70</v>
      </c>
      <c r="F2430" s="30">
        <f t="shared" si="78"/>
        <v>20.02</v>
      </c>
      <c r="G2430" s="30" t="s">
        <v>9</v>
      </c>
      <c r="J2430" s="30" t="s">
        <v>392</v>
      </c>
      <c r="K2430" s="30">
        <f>VLOOKUP(C2430, PA!A:M, 13, FALSE)</f>
        <v>0.2068269230769231</v>
      </c>
    </row>
    <row r="2431" spans="1:11" x14ac:dyDescent="0.25">
      <c r="A2431" s="78">
        <v>46181</v>
      </c>
      <c r="C2431" s="33" t="s">
        <v>565</v>
      </c>
      <c r="D2431" s="30">
        <v>2</v>
      </c>
      <c r="E2431" s="30">
        <v>10</v>
      </c>
      <c r="F2431" s="30">
        <f t="shared" si="78"/>
        <v>20</v>
      </c>
      <c r="G2431" s="30" t="s">
        <v>9</v>
      </c>
      <c r="J2431" s="30" t="s">
        <v>392</v>
      </c>
      <c r="K2431" s="30">
        <f>VLOOKUP(C2431, PA!A:M, 13, FALSE)</f>
        <v>0.10091743119266047</v>
      </c>
    </row>
    <row r="2432" spans="1:11" x14ac:dyDescent="0.25">
      <c r="A2432" s="78">
        <v>46181</v>
      </c>
      <c r="C2432" s="33" t="s">
        <v>476</v>
      </c>
      <c r="D2432" s="30">
        <v>1</v>
      </c>
      <c r="E2432" s="30">
        <v>20</v>
      </c>
      <c r="F2432" s="30">
        <f t="shared" si="78"/>
        <v>20</v>
      </c>
      <c r="G2432" s="30" t="s">
        <v>9</v>
      </c>
      <c r="J2432" s="30" t="s">
        <v>392</v>
      </c>
      <c r="K2432" s="30">
        <f>VLOOKUP(C2432, PA!A:M, 13, FALSE)</f>
        <v>0.13207547169811312</v>
      </c>
    </row>
    <row r="2433" spans="1:12" x14ac:dyDescent="0.25">
      <c r="A2433" s="78">
        <v>46181</v>
      </c>
      <c r="C2433" s="33" t="s">
        <v>838</v>
      </c>
      <c r="D2433" s="30">
        <v>8</v>
      </c>
      <c r="E2433" s="30">
        <v>9</v>
      </c>
      <c r="F2433" s="30">
        <f t="shared" si="78"/>
        <v>72</v>
      </c>
      <c r="G2433" s="30" t="s">
        <v>9</v>
      </c>
      <c r="J2433" s="30" t="s">
        <v>392</v>
      </c>
      <c r="K2433" s="30">
        <f>VLOOKUP(C2433, PA!A:M, 13, FALSE)</f>
        <v>0.17391304347826084</v>
      </c>
    </row>
    <row r="2434" spans="1:12" ht="30" x14ac:dyDescent="0.25">
      <c r="A2434" s="78">
        <v>46181</v>
      </c>
      <c r="C2434" s="19" t="s">
        <v>426</v>
      </c>
      <c r="D2434" s="30">
        <v>2</v>
      </c>
      <c r="E2434" s="30">
        <v>10</v>
      </c>
      <c r="F2434" s="30">
        <f t="shared" si="78"/>
        <v>20</v>
      </c>
      <c r="G2434" s="30" t="s">
        <v>9</v>
      </c>
      <c r="J2434" s="30" t="s">
        <v>392</v>
      </c>
      <c r="K2434" s="30">
        <f>VLOOKUP(C2434, PA!A:M, 13, FALSE)</f>
        <v>0.41242937853107342</v>
      </c>
    </row>
    <row r="2435" spans="1:12" x14ac:dyDescent="0.25">
      <c r="A2435" s="78">
        <v>46181</v>
      </c>
      <c r="C2435" s="61" t="s">
        <v>154</v>
      </c>
      <c r="D2435" s="30">
        <v>1</v>
      </c>
      <c r="E2435" s="30">
        <v>1</v>
      </c>
      <c r="F2435" s="30">
        <f t="shared" si="78"/>
        <v>1</v>
      </c>
      <c r="G2435" s="30" t="s">
        <v>9</v>
      </c>
      <c r="J2435" s="30" t="s">
        <v>392</v>
      </c>
      <c r="K2435" s="30">
        <f>VLOOKUP(C2435, PA!A:M, 13, FALSE)</f>
        <v>0.23456790123456783</v>
      </c>
    </row>
    <row r="2436" spans="1:12" x14ac:dyDescent="0.25">
      <c r="A2436" s="78">
        <v>46181</v>
      </c>
      <c r="C2436" s="33" t="s">
        <v>670</v>
      </c>
      <c r="D2436" s="30">
        <v>1</v>
      </c>
      <c r="E2436" s="30">
        <v>10</v>
      </c>
      <c r="F2436" s="30">
        <f t="shared" si="78"/>
        <v>10</v>
      </c>
      <c r="G2436" s="30" t="s">
        <v>9</v>
      </c>
      <c r="J2436" s="30" t="s">
        <v>392</v>
      </c>
      <c r="K2436" s="30">
        <f>VLOOKUP(C2436, PA!A:M, 13, FALSE)</f>
        <v>0.1111111111111111</v>
      </c>
    </row>
    <row r="2437" spans="1:12" x14ac:dyDescent="0.25">
      <c r="A2437" s="78">
        <v>46181</v>
      </c>
      <c r="C2437" s="19" t="s">
        <v>729</v>
      </c>
      <c r="D2437" s="30">
        <v>1</v>
      </c>
      <c r="E2437" s="30">
        <v>10</v>
      </c>
      <c r="F2437" s="30">
        <f t="shared" si="78"/>
        <v>10</v>
      </c>
      <c r="G2437" s="30" t="s">
        <v>9</v>
      </c>
      <c r="J2437" s="30" t="s">
        <v>392</v>
      </c>
      <c r="K2437" s="30">
        <f>VLOOKUP(C2437, PA!A:M, 13, FALSE)</f>
        <v>0.14285714285714285</v>
      </c>
    </row>
    <row r="2438" spans="1:12" x14ac:dyDescent="0.25">
      <c r="A2438" s="78">
        <v>46181</v>
      </c>
      <c r="C2438" s="19" t="s">
        <v>690</v>
      </c>
      <c r="D2438" s="30">
        <v>1</v>
      </c>
      <c r="E2438" s="30">
        <v>70</v>
      </c>
      <c r="F2438" s="30">
        <f t="shared" si="78"/>
        <v>70</v>
      </c>
      <c r="G2438" s="30" t="s">
        <v>9</v>
      </c>
      <c r="J2438" s="30" t="s">
        <v>392</v>
      </c>
      <c r="K2438" s="30">
        <f>VLOOKUP(C2438, PA!A:M, 13, FALSE)</f>
        <v>0.27272727272727271</v>
      </c>
    </row>
    <row r="2439" spans="1:12" x14ac:dyDescent="0.25">
      <c r="A2439" s="78">
        <v>46181</v>
      </c>
      <c r="C2439" s="19" t="s">
        <v>861</v>
      </c>
      <c r="D2439" s="30">
        <v>0.5</v>
      </c>
      <c r="E2439" s="30">
        <v>20</v>
      </c>
      <c r="F2439" s="30">
        <f t="shared" si="78"/>
        <v>10</v>
      </c>
      <c r="G2439" s="30" t="s">
        <v>9</v>
      </c>
      <c r="J2439" s="30" t="s">
        <v>392</v>
      </c>
      <c r="K2439" s="30">
        <f>VLOOKUP(C2439, PA!A:M, 13, FALSE)</f>
        <v>0.53846153846153844</v>
      </c>
    </row>
    <row r="2440" spans="1:12" x14ac:dyDescent="0.25">
      <c r="A2440" s="78">
        <v>46181</v>
      </c>
      <c r="C2440" s="19" t="s">
        <v>868</v>
      </c>
      <c r="D2440" s="30">
        <v>1</v>
      </c>
      <c r="E2440" s="30">
        <v>15</v>
      </c>
      <c r="F2440" s="30">
        <f t="shared" si="78"/>
        <v>15</v>
      </c>
      <c r="G2440" s="30" t="s">
        <v>9</v>
      </c>
      <c r="J2440" s="30" t="s">
        <v>392</v>
      </c>
      <c r="K2440" s="30">
        <f>VLOOKUP(C2440, PA!A:M, 13, FALSE)</f>
        <v>7.1428571428571425E-2</v>
      </c>
    </row>
    <row r="2441" spans="1:12" x14ac:dyDescent="0.25">
      <c r="A2441" s="78">
        <v>46181</v>
      </c>
      <c r="C2441" s="19" t="s">
        <v>805</v>
      </c>
      <c r="D2441" s="30">
        <v>2</v>
      </c>
      <c r="E2441" s="30">
        <v>55</v>
      </c>
      <c r="F2441" s="30">
        <f t="shared" si="78"/>
        <v>110</v>
      </c>
      <c r="G2441" s="30" t="s">
        <v>9</v>
      </c>
      <c r="J2441" s="30" t="s">
        <v>392</v>
      </c>
      <c r="K2441" s="30">
        <f>VLOOKUP(C2441, PA!A:M, 13, FALSE)</f>
        <v>3.7924151696606831E-2</v>
      </c>
    </row>
    <row r="2442" spans="1:12" x14ac:dyDescent="0.25">
      <c r="A2442" s="78">
        <v>46181</v>
      </c>
      <c r="C2442" s="33" t="s">
        <v>838</v>
      </c>
      <c r="D2442" s="30">
        <v>6</v>
      </c>
      <c r="E2442" s="30">
        <v>9</v>
      </c>
      <c r="F2442" s="30">
        <f t="shared" si="78"/>
        <v>54</v>
      </c>
      <c r="G2442" s="30" t="s">
        <v>9</v>
      </c>
      <c r="J2442" s="30" t="s">
        <v>392</v>
      </c>
      <c r="K2442" s="30">
        <f>VLOOKUP(C2442, PA!A:M, 13, FALSE)</f>
        <v>0.17391304347826084</v>
      </c>
    </row>
    <row r="2443" spans="1:12" x14ac:dyDescent="0.25">
      <c r="A2443" s="78">
        <v>46181</v>
      </c>
      <c r="C2443" s="33" t="s">
        <v>714</v>
      </c>
      <c r="D2443" s="30">
        <v>1</v>
      </c>
      <c r="E2443" s="30">
        <v>30</v>
      </c>
      <c r="F2443" s="30">
        <f t="shared" si="78"/>
        <v>30</v>
      </c>
      <c r="G2443" s="30" t="s">
        <v>9</v>
      </c>
      <c r="J2443" s="30" t="s">
        <v>392</v>
      </c>
      <c r="K2443" s="30">
        <f>VLOOKUP(C2443, PA!A:M, 13, FALSE)</f>
        <v>0.15384615384615385</v>
      </c>
    </row>
    <row r="2444" spans="1:12" x14ac:dyDescent="0.25">
      <c r="A2444" s="78">
        <v>46181</v>
      </c>
      <c r="C2444" s="19" t="s">
        <v>366</v>
      </c>
      <c r="D2444" s="30">
        <v>1</v>
      </c>
      <c r="E2444" s="30">
        <v>45</v>
      </c>
      <c r="F2444" s="30">
        <f t="shared" si="78"/>
        <v>45</v>
      </c>
      <c r="G2444" s="30" t="s">
        <v>9</v>
      </c>
      <c r="J2444" s="30" t="s">
        <v>392</v>
      </c>
      <c r="K2444" s="30">
        <f>VLOOKUP(C2444, PA!A:M, 13, FALSE)</f>
        <v>0.25</v>
      </c>
    </row>
    <row r="2445" spans="1:12" x14ac:dyDescent="0.25">
      <c r="A2445" s="78">
        <v>46181</v>
      </c>
      <c r="C2445" s="19" t="s">
        <v>375</v>
      </c>
      <c r="D2445" s="30">
        <v>3</v>
      </c>
      <c r="E2445" s="30">
        <v>1</v>
      </c>
      <c r="F2445" s="30">
        <f t="shared" si="78"/>
        <v>3</v>
      </c>
      <c r="G2445" s="30" t="s">
        <v>9</v>
      </c>
      <c r="J2445" s="30" t="s">
        <v>392</v>
      </c>
      <c r="K2445" s="30">
        <f>VLOOKUP(C2445, PA!A:M, 13, FALSE)</f>
        <v>0.14285714285714285</v>
      </c>
    </row>
    <row r="2446" spans="1:12" x14ac:dyDescent="0.25">
      <c r="A2446" s="78">
        <v>46181</v>
      </c>
      <c r="C2446" s="33" t="s">
        <v>386</v>
      </c>
      <c r="D2446" s="30">
        <v>1</v>
      </c>
      <c r="E2446" s="30">
        <v>10</v>
      </c>
      <c r="F2446" s="30">
        <f t="shared" si="78"/>
        <v>10</v>
      </c>
      <c r="G2446" s="30" t="s">
        <v>9</v>
      </c>
      <c r="J2446" s="30" t="s">
        <v>392</v>
      </c>
      <c r="K2446" s="30">
        <f>VLOOKUP(C2446, PA!A:M, 13, FALSE)</f>
        <v>0.22448979591836743</v>
      </c>
    </row>
    <row r="2447" spans="1:12" x14ac:dyDescent="0.25">
      <c r="A2447" s="78">
        <v>46181</v>
      </c>
      <c r="C2447" s="33" t="s">
        <v>740</v>
      </c>
      <c r="D2447" s="30">
        <v>1</v>
      </c>
      <c r="E2447" s="30">
        <v>9</v>
      </c>
      <c r="F2447" s="30">
        <f t="shared" si="78"/>
        <v>9</v>
      </c>
      <c r="G2447" s="30" t="s">
        <v>9</v>
      </c>
      <c r="I2447" s="139">
        <f>SUM(F2413:F2447)</f>
        <v>1350.02</v>
      </c>
      <c r="J2447" s="30" t="s">
        <v>392</v>
      </c>
      <c r="K2447" s="30">
        <f>VLOOKUP(C2447, PA!A:M, 13, FALSE)</f>
        <v>0.22448979591836743</v>
      </c>
      <c r="L2447" s="123">
        <f>AVERAGE(K2413:K2447)</f>
        <v>0.88626494568426739</v>
      </c>
    </row>
    <row r="2448" spans="1:12" s="69" customFormat="1" ht="18.75" x14ac:dyDescent="0.3">
      <c r="A2448" s="235" t="s">
        <v>437</v>
      </c>
      <c r="B2448" s="236"/>
      <c r="C2448" s="236"/>
      <c r="D2448" s="236"/>
      <c r="E2448" s="236"/>
      <c r="F2448" s="236"/>
      <c r="G2448" s="236"/>
      <c r="H2448" s="237"/>
      <c r="I2448" s="238">
        <v>1350</v>
      </c>
      <c r="J2448" s="239"/>
      <c r="K2448" s="239"/>
      <c r="L2448" s="240"/>
    </row>
    <row r="2449" spans="1:11" ht="30" x14ac:dyDescent="0.25">
      <c r="A2449" s="78">
        <v>46182</v>
      </c>
      <c r="C2449" s="19" t="s">
        <v>840</v>
      </c>
      <c r="D2449" s="30">
        <v>1</v>
      </c>
      <c r="E2449" s="30">
        <v>50</v>
      </c>
      <c r="F2449" s="30">
        <f t="shared" ref="F2449:F2482" si="79">E2449*D2449</f>
        <v>50</v>
      </c>
      <c r="G2449" s="30" t="s">
        <v>9</v>
      </c>
      <c r="J2449" s="30" t="s">
        <v>391</v>
      </c>
      <c r="K2449" s="30">
        <f>VLOOKUP(C2449, PA!A:M, 13, FALSE)</f>
        <v>0.25</v>
      </c>
    </row>
    <row r="2450" spans="1:11" x14ac:dyDescent="0.25">
      <c r="A2450" s="78">
        <v>46182</v>
      </c>
      <c r="C2450" s="19" t="s">
        <v>135</v>
      </c>
      <c r="D2450" s="30">
        <v>1</v>
      </c>
      <c r="E2450" s="30">
        <v>14</v>
      </c>
      <c r="F2450" s="30">
        <f t="shared" si="79"/>
        <v>14</v>
      </c>
      <c r="G2450" s="30" t="s">
        <v>9</v>
      </c>
      <c r="J2450" s="30" t="s">
        <v>391</v>
      </c>
      <c r="K2450" s="30">
        <f>VLOOKUP(C2450, PA!A:M, 13, FALSE)</f>
        <v>0.4</v>
      </c>
    </row>
    <row r="2451" spans="1:11" x14ac:dyDescent="0.25">
      <c r="A2451" s="78">
        <v>46182</v>
      </c>
      <c r="C2451" s="19" t="s">
        <v>372</v>
      </c>
      <c r="D2451" s="30">
        <v>1</v>
      </c>
      <c r="E2451" s="30">
        <v>45</v>
      </c>
      <c r="F2451" s="30">
        <f t="shared" si="79"/>
        <v>45</v>
      </c>
      <c r="G2451" s="30" t="s">
        <v>9</v>
      </c>
      <c r="I2451" s="139">
        <f>SUM(F2449:F2451)</f>
        <v>109</v>
      </c>
      <c r="J2451" s="30" t="s">
        <v>391</v>
      </c>
      <c r="K2451" s="30">
        <f>VLOOKUP(C2451, PA!A:M, 13, FALSE)</f>
        <v>7.1428571428571425E-2</v>
      </c>
    </row>
    <row r="2452" spans="1:11" x14ac:dyDescent="0.25">
      <c r="A2452" s="78">
        <v>46182</v>
      </c>
      <c r="C2452" s="19" t="s">
        <v>569</v>
      </c>
      <c r="D2452" s="30">
        <v>2</v>
      </c>
      <c r="E2452" s="30">
        <v>10</v>
      </c>
      <c r="F2452" s="30">
        <f t="shared" si="79"/>
        <v>20</v>
      </c>
      <c r="G2452" s="30" t="s">
        <v>9</v>
      </c>
      <c r="J2452" s="30" t="s">
        <v>392</v>
      </c>
      <c r="K2452" s="30">
        <f>VLOOKUP(C2452, PA!A:M, 13, FALSE)</f>
        <v>0.49999999999999994</v>
      </c>
    </row>
    <row r="2453" spans="1:11" x14ac:dyDescent="0.25">
      <c r="A2453" s="78">
        <v>46182</v>
      </c>
      <c r="C2453" s="19" t="s">
        <v>25</v>
      </c>
      <c r="D2453" s="30">
        <v>1</v>
      </c>
      <c r="E2453" s="30">
        <v>10</v>
      </c>
      <c r="F2453" s="30">
        <f t="shared" si="79"/>
        <v>10</v>
      </c>
      <c r="G2453" s="30" t="s">
        <v>9</v>
      </c>
      <c r="J2453" s="30" t="s">
        <v>392</v>
      </c>
      <c r="K2453" s="30">
        <f>VLOOKUP(C2453, PA!A:M, 13, FALSE)</f>
        <v>0.30434782608695649</v>
      </c>
    </row>
    <row r="2454" spans="1:11" x14ac:dyDescent="0.25">
      <c r="A2454" s="78">
        <v>46182</v>
      </c>
      <c r="C2454" s="33" t="s">
        <v>729</v>
      </c>
      <c r="D2454" s="30">
        <v>2</v>
      </c>
      <c r="E2454" s="30">
        <v>10</v>
      </c>
      <c r="F2454" s="30">
        <f t="shared" si="79"/>
        <v>20</v>
      </c>
      <c r="G2454" s="30" t="s">
        <v>9</v>
      </c>
      <c r="J2454" s="30" t="s">
        <v>392</v>
      </c>
      <c r="K2454" s="30">
        <f>VLOOKUP(C2454, PA!A:M, 13, FALSE)</f>
        <v>0.14285714285714285</v>
      </c>
    </row>
    <row r="2455" spans="1:11" x14ac:dyDescent="0.25">
      <c r="A2455" s="78">
        <v>46182</v>
      </c>
      <c r="C2455" s="33" t="s">
        <v>670</v>
      </c>
      <c r="D2455" s="30">
        <v>1</v>
      </c>
      <c r="E2455" s="30">
        <v>10</v>
      </c>
      <c r="F2455" s="30">
        <f t="shared" si="79"/>
        <v>10</v>
      </c>
      <c r="G2455" s="30" t="s">
        <v>9</v>
      </c>
      <c r="J2455" s="30" t="s">
        <v>392</v>
      </c>
      <c r="K2455" s="30">
        <f>VLOOKUP(C2455, PA!A:M, 13, FALSE)</f>
        <v>0.1111111111111111</v>
      </c>
    </row>
    <row r="2456" spans="1:11" x14ac:dyDescent="0.25">
      <c r="A2456" s="78">
        <v>46182</v>
      </c>
      <c r="C2456" s="33" t="s">
        <v>705</v>
      </c>
      <c r="D2456" s="30">
        <v>1</v>
      </c>
      <c r="E2456" s="30">
        <v>10</v>
      </c>
      <c r="F2456" s="30">
        <f t="shared" si="79"/>
        <v>10</v>
      </c>
      <c r="G2456" s="30" t="s">
        <v>9</v>
      </c>
      <c r="J2456" s="30" t="s">
        <v>392</v>
      </c>
      <c r="K2456" s="30">
        <f>VLOOKUP(C2456, PA!A:M, 13, FALSE)</f>
        <v>9.0909090909090981E-2</v>
      </c>
    </row>
    <row r="2457" spans="1:11" x14ac:dyDescent="0.25">
      <c r="A2457" s="78">
        <v>46182</v>
      </c>
      <c r="C2457" s="19" t="s">
        <v>696</v>
      </c>
      <c r="D2457" s="30">
        <v>1</v>
      </c>
      <c r="E2457" s="30">
        <v>40</v>
      </c>
      <c r="F2457" s="30">
        <f t="shared" si="79"/>
        <v>40</v>
      </c>
      <c r="G2457" s="30" t="s">
        <v>9</v>
      </c>
      <c r="J2457" s="30" t="s">
        <v>392</v>
      </c>
      <c r="K2457" s="30">
        <f>VLOOKUP(C2457, PA!A:M, 13, FALSE)</f>
        <v>8.1081081081081086E-2</v>
      </c>
    </row>
    <row r="2458" spans="1:11" x14ac:dyDescent="0.25">
      <c r="A2458" s="78">
        <v>46182</v>
      </c>
      <c r="C2458" s="33" t="s">
        <v>807</v>
      </c>
      <c r="D2458" s="30">
        <v>0.28599999999999998</v>
      </c>
      <c r="E2458" s="30">
        <v>70</v>
      </c>
      <c r="F2458" s="30">
        <f t="shared" si="79"/>
        <v>20.02</v>
      </c>
      <c r="G2458" s="30" t="s">
        <v>9</v>
      </c>
      <c r="J2458" s="30" t="s">
        <v>392</v>
      </c>
      <c r="K2458" s="30">
        <f>VLOOKUP(C2458, PA!A:M, 13, FALSE)</f>
        <v>0.2068269230769231</v>
      </c>
    </row>
    <row r="2459" spans="1:11" x14ac:dyDescent="0.25">
      <c r="A2459" s="78">
        <v>46182</v>
      </c>
      <c r="C2459" s="19" t="s">
        <v>889</v>
      </c>
      <c r="D2459" s="30">
        <v>1</v>
      </c>
      <c r="E2459" s="30">
        <v>30</v>
      </c>
      <c r="F2459" s="30">
        <f t="shared" si="79"/>
        <v>30</v>
      </c>
      <c r="G2459" s="30" t="s">
        <v>9</v>
      </c>
      <c r="J2459" s="30" t="s">
        <v>392</v>
      </c>
      <c r="K2459" s="30">
        <f>VLOOKUP(C2459, PA!A:M, 13, FALSE)</f>
        <v>7.1428571428571425E-2</v>
      </c>
    </row>
    <row r="2460" spans="1:11" x14ac:dyDescent="0.25">
      <c r="A2460" s="78">
        <v>46182</v>
      </c>
      <c r="C2460" s="33" t="s">
        <v>345</v>
      </c>
      <c r="D2460" s="30">
        <v>10</v>
      </c>
      <c r="E2460" s="30">
        <v>1</v>
      </c>
      <c r="F2460" s="30">
        <f t="shared" si="79"/>
        <v>10</v>
      </c>
      <c r="G2460" s="30" t="s">
        <v>9</v>
      </c>
      <c r="J2460" s="30" t="s">
        <v>392</v>
      </c>
      <c r="K2460" s="30">
        <f>VLOOKUP(C2460, PA!A:M, 13, FALSE)</f>
        <v>0.14942528735632185</v>
      </c>
    </row>
    <row r="2461" spans="1:11" x14ac:dyDescent="0.25">
      <c r="A2461" s="78">
        <v>46182</v>
      </c>
      <c r="C2461" s="33" t="s">
        <v>558</v>
      </c>
      <c r="D2461" s="30">
        <v>1</v>
      </c>
      <c r="E2461" s="30">
        <v>10</v>
      </c>
      <c r="F2461" s="30">
        <f t="shared" si="79"/>
        <v>10</v>
      </c>
      <c r="G2461" s="30" t="s">
        <v>9</v>
      </c>
      <c r="J2461" s="30" t="s">
        <v>392</v>
      </c>
      <c r="K2461" s="30">
        <f>VLOOKUP(C2461, PA!A:M, 13, FALSE)</f>
        <v>0.1111111111111111</v>
      </c>
    </row>
    <row r="2462" spans="1:11" x14ac:dyDescent="0.25">
      <c r="A2462" s="78">
        <v>46182</v>
      </c>
      <c r="C2462" s="19" t="s">
        <v>700</v>
      </c>
      <c r="D2462" s="30">
        <v>1</v>
      </c>
      <c r="E2462" s="30">
        <v>5</v>
      </c>
      <c r="F2462" s="30">
        <f t="shared" si="79"/>
        <v>5</v>
      </c>
      <c r="G2462" s="30" t="s">
        <v>9</v>
      </c>
      <c r="J2462" s="30" t="s">
        <v>392</v>
      </c>
      <c r="K2462" s="30">
        <f>VLOOKUP(C2462, PA!A:M, 13, FALSE)</f>
        <v>9.0909090909090981E-2</v>
      </c>
    </row>
    <row r="2463" spans="1:11" x14ac:dyDescent="0.25">
      <c r="A2463" s="78">
        <v>46182</v>
      </c>
      <c r="C2463" s="19" t="s">
        <v>614</v>
      </c>
      <c r="D2463" s="30">
        <v>2</v>
      </c>
      <c r="E2463" s="30">
        <v>23</v>
      </c>
      <c r="F2463" s="30">
        <f t="shared" si="79"/>
        <v>46</v>
      </c>
      <c r="G2463" s="30" t="s">
        <v>9</v>
      </c>
      <c r="J2463" s="30" t="s">
        <v>392</v>
      </c>
      <c r="K2463" s="30">
        <f>VLOOKUP(C2463, PA!A:M, 13, FALSE)</f>
        <v>0.33333333333333331</v>
      </c>
    </row>
    <row r="2464" spans="1:11" x14ac:dyDescent="0.25">
      <c r="A2464" s="78">
        <v>46182</v>
      </c>
      <c r="C2464" s="33" t="s">
        <v>375</v>
      </c>
      <c r="D2464" s="30">
        <v>4</v>
      </c>
      <c r="E2464" s="30">
        <v>1</v>
      </c>
      <c r="F2464" s="30">
        <f t="shared" si="79"/>
        <v>4</v>
      </c>
      <c r="G2464" s="30" t="s">
        <v>9</v>
      </c>
      <c r="J2464" s="30" t="s">
        <v>392</v>
      </c>
      <c r="K2464" s="30">
        <f>VLOOKUP(C2464, PA!A:M, 13, FALSE)</f>
        <v>0.14285714285714285</v>
      </c>
    </row>
    <row r="2465" spans="1:11" x14ac:dyDescent="0.25">
      <c r="A2465" s="78">
        <v>46182</v>
      </c>
      <c r="C2465" s="33" t="s">
        <v>345</v>
      </c>
      <c r="D2465" s="30">
        <v>5</v>
      </c>
      <c r="E2465" s="30">
        <v>1</v>
      </c>
      <c r="F2465" s="30">
        <f t="shared" si="79"/>
        <v>5</v>
      </c>
      <c r="G2465" s="30" t="s">
        <v>9</v>
      </c>
      <c r="J2465" s="30" t="s">
        <v>392</v>
      </c>
      <c r="K2465" s="30">
        <f>VLOOKUP(C2465, PA!A:M, 13, FALSE)</f>
        <v>0.14942528735632185</v>
      </c>
    </row>
    <row r="2466" spans="1:11" x14ac:dyDescent="0.25">
      <c r="A2466" s="78">
        <v>46182</v>
      </c>
      <c r="C2466" s="33" t="s">
        <v>565</v>
      </c>
      <c r="D2466" s="30">
        <v>1</v>
      </c>
      <c r="E2466" s="30">
        <v>10</v>
      </c>
      <c r="F2466" s="30">
        <f t="shared" si="79"/>
        <v>10</v>
      </c>
      <c r="G2466" s="30" t="s">
        <v>9</v>
      </c>
      <c r="J2466" s="30" t="s">
        <v>392</v>
      </c>
      <c r="K2466" s="30">
        <f>VLOOKUP(C2466, PA!A:M, 13, FALSE)</f>
        <v>0.10091743119266047</v>
      </c>
    </row>
    <row r="2467" spans="1:11" ht="30" x14ac:dyDescent="0.25">
      <c r="A2467" s="78">
        <v>46182</v>
      </c>
      <c r="C2467" s="19" t="s">
        <v>577</v>
      </c>
      <c r="D2467" s="30">
        <v>1</v>
      </c>
      <c r="E2467" s="30">
        <v>5</v>
      </c>
      <c r="F2467" s="30">
        <f t="shared" si="79"/>
        <v>5</v>
      </c>
      <c r="G2467" s="30" t="s">
        <v>9</v>
      </c>
      <c r="J2467" s="30" t="s">
        <v>392</v>
      </c>
      <c r="K2467" s="30">
        <f>VLOOKUP(C2467, PA!A:M, 13, FALSE)</f>
        <v>0.25</v>
      </c>
    </row>
    <row r="2468" spans="1:11" x14ac:dyDescent="0.25">
      <c r="A2468" s="78">
        <v>46182</v>
      </c>
      <c r="C2468" s="33" t="s">
        <v>531</v>
      </c>
      <c r="D2468" s="30">
        <v>1</v>
      </c>
      <c r="E2468" s="30">
        <v>5</v>
      </c>
      <c r="F2468" s="30">
        <f t="shared" si="79"/>
        <v>5</v>
      </c>
      <c r="G2468" s="30" t="s">
        <v>9</v>
      </c>
      <c r="J2468" s="30" t="s">
        <v>392</v>
      </c>
      <c r="K2468" s="30">
        <f>VLOOKUP(C2468, PA!A:M, 13, FALSE)</f>
        <v>6.6666666666666666E-2</v>
      </c>
    </row>
    <row r="2469" spans="1:11" x14ac:dyDescent="0.25">
      <c r="A2469" s="78">
        <v>46182</v>
      </c>
      <c r="C2469" s="33" t="s">
        <v>740</v>
      </c>
      <c r="D2469" s="30">
        <v>2</v>
      </c>
      <c r="E2469" s="30">
        <v>10</v>
      </c>
      <c r="F2469" s="30">
        <f t="shared" si="79"/>
        <v>20</v>
      </c>
      <c r="G2469" s="30" t="s">
        <v>9</v>
      </c>
      <c r="J2469" s="30" t="s">
        <v>392</v>
      </c>
      <c r="K2469" s="30">
        <f>VLOOKUP(C2469, PA!A:M, 13, FALSE)</f>
        <v>0.22448979591836743</v>
      </c>
    </row>
    <row r="2470" spans="1:11" x14ac:dyDescent="0.25">
      <c r="A2470" s="78">
        <v>46182</v>
      </c>
      <c r="C2470" s="19" t="s">
        <v>719</v>
      </c>
      <c r="D2470" s="30">
        <v>1</v>
      </c>
      <c r="E2470" s="30">
        <v>45</v>
      </c>
      <c r="F2470" s="30">
        <f t="shared" si="79"/>
        <v>45</v>
      </c>
      <c r="G2470" s="30" t="s">
        <v>9</v>
      </c>
      <c r="J2470" s="30" t="s">
        <v>392</v>
      </c>
      <c r="K2470" s="30">
        <f>VLOOKUP(C2470, PA!A:M, 13, FALSE)</f>
        <v>0.18421052631578946</v>
      </c>
    </row>
    <row r="2471" spans="1:11" x14ac:dyDescent="0.25">
      <c r="A2471" s="78">
        <v>46182</v>
      </c>
      <c r="C2471" s="19" t="s">
        <v>588</v>
      </c>
      <c r="D2471" s="30">
        <v>0.25</v>
      </c>
      <c r="E2471" s="30">
        <v>190</v>
      </c>
      <c r="F2471" s="30">
        <f t="shared" si="79"/>
        <v>47.5</v>
      </c>
      <c r="G2471" s="30" t="s">
        <v>9</v>
      </c>
      <c r="J2471" s="30" t="s">
        <v>392</v>
      </c>
      <c r="K2471" s="30">
        <f>VLOOKUP(C2471, PA!A:M, 13, FALSE)</f>
        <v>0.1875</v>
      </c>
    </row>
    <row r="2472" spans="1:11" x14ac:dyDescent="0.25">
      <c r="A2472" s="78">
        <v>46182</v>
      </c>
      <c r="C2472" s="33" t="s">
        <v>838</v>
      </c>
      <c r="D2472" s="30">
        <v>3</v>
      </c>
      <c r="E2472" s="30">
        <v>9</v>
      </c>
      <c r="F2472" s="30">
        <f t="shared" si="79"/>
        <v>27</v>
      </c>
      <c r="G2472" s="30" t="s">
        <v>9</v>
      </c>
      <c r="J2472" s="30" t="s">
        <v>392</v>
      </c>
      <c r="K2472" s="30">
        <f>VLOOKUP(C2472, PA!A:M, 13, FALSE)</f>
        <v>0.17391304347826084</v>
      </c>
    </row>
    <row r="2473" spans="1:11" ht="30" x14ac:dyDescent="0.25">
      <c r="A2473" s="78">
        <v>46182</v>
      </c>
      <c r="C2473" s="19" t="s">
        <v>826</v>
      </c>
      <c r="D2473" s="30">
        <v>3</v>
      </c>
      <c r="E2473" s="30">
        <v>1</v>
      </c>
      <c r="F2473" s="30">
        <f t="shared" si="79"/>
        <v>3</v>
      </c>
      <c r="G2473" s="30" t="s">
        <v>9</v>
      </c>
      <c r="J2473" s="30" t="s">
        <v>392</v>
      </c>
      <c r="K2473" s="30">
        <f>VLOOKUP(C2473, PA!A:M, 13, FALSE)</f>
        <v>0.14285714285714285</v>
      </c>
    </row>
    <row r="2474" spans="1:11" x14ac:dyDescent="0.25">
      <c r="A2474" s="78">
        <v>46182</v>
      </c>
      <c r="C2474" s="19" t="s">
        <v>641</v>
      </c>
      <c r="D2474" s="30">
        <v>1</v>
      </c>
      <c r="E2474" s="30">
        <v>205</v>
      </c>
      <c r="F2474" s="30">
        <f t="shared" si="79"/>
        <v>205</v>
      </c>
      <c r="G2474" s="30" t="s">
        <v>9</v>
      </c>
      <c r="J2474" s="30" t="s">
        <v>392</v>
      </c>
      <c r="K2474" s="30">
        <f>VLOOKUP(C2474, PA!A:M, 13, FALSE)</f>
        <v>7.8947368421052627E-2</v>
      </c>
    </row>
    <row r="2475" spans="1:11" x14ac:dyDescent="0.25">
      <c r="A2475" s="78">
        <v>46182</v>
      </c>
      <c r="C2475" s="19" t="s">
        <v>755</v>
      </c>
      <c r="D2475" s="30">
        <v>1</v>
      </c>
      <c r="E2475" s="30">
        <v>59</v>
      </c>
      <c r="F2475" s="30">
        <f t="shared" si="79"/>
        <v>59</v>
      </c>
      <c r="G2475" s="30" t="s">
        <v>9</v>
      </c>
      <c r="J2475" s="30" t="s">
        <v>392</v>
      </c>
      <c r="K2475" s="30">
        <f>VLOOKUP(C2475, PA!A:M, 13, FALSE)</f>
        <v>7.2727272727272724E-2</v>
      </c>
    </row>
    <row r="2476" spans="1:11" ht="30" x14ac:dyDescent="0.25">
      <c r="A2476" s="78">
        <v>46182</v>
      </c>
      <c r="C2476" s="70" t="s">
        <v>789</v>
      </c>
      <c r="D2476" s="30">
        <v>2</v>
      </c>
      <c r="E2476" s="30">
        <v>5</v>
      </c>
      <c r="F2476" s="30">
        <f t="shared" si="79"/>
        <v>10</v>
      </c>
      <c r="G2476" s="30" t="s">
        <v>9</v>
      </c>
      <c r="J2476" s="30" t="s">
        <v>392</v>
      </c>
      <c r="K2476" s="30">
        <f>VLOOKUP(C2476, PA!A:M, 13, FALSE)</f>
        <v>9.0909090909090981E-2</v>
      </c>
    </row>
    <row r="2477" spans="1:11" x14ac:dyDescent="0.25">
      <c r="A2477" s="78">
        <v>46182</v>
      </c>
      <c r="C2477" s="33" t="s">
        <v>807</v>
      </c>
      <c r="D2477" s="30">
        <v>0.5</v>
      </c>
      <c r="E2477" s="30">
        <v>70</v>
      </c>
      <c r="F2477" s="30">
        <f t="shared" si="79"/>
        <v>35</v>
      </c>
      <c r="G2477" s="30" t="s">
        <v>9</v>
      </c>
      <c r="J2477" s="30" t="s">
        <v>392</v>
      </c>
      <c r="K2477" s="30">
        <f>VLOOKUP(C2477, PA!A:M, 13, FALSE)</f>
        <v>0.2068269230769231</v>
      </c>
    </row>
    <row r="2478" spans="1:11" x14ac:dyDescent="0.25">
      <c r="A2478" s="78">
        <v>46182</v>
      </c>
      <c r="C2478" s="19" t="s">
        <v>635</v>
      </c>
      <c r="D2478" s="30">
        <v>1</v>
      </c>
      <c r="E2478" s="30">
        <v>10</v>
      </c>
      <c r="F2478" s="30">
        <f t="shared" si="79"/>
        <v>10</v>
      </c>
      <c r="G2478" s="30" t="s">
        <v>9</v>
      </c>
      <c r="J2478" s="30" t="s">
        <v>392</v>
      </c>
      <c r="K2478" s="30">
        <f>VLOOKUP(C2478, PA!A:M, 13, FALSE)</f>
        <v>9.0909090909090981E-2</v>
      </c>
    </row>
    <row r="2479" spans="1:11" ht="30" x14ac:dyDescent="0.25">
      <c r="A2479" s="78">
        <v>46182</v>
      </c>
      <c r="C2479" s="19" t="s">
        <v>840</v>
      </c>
      <c r="D2479" s="30">
        <v>1</v>
      </c>
      <c r="E2479" s="30">
        <v>50</v>
      </c>
      <c r="F2479" s="30">
        <f t="shared" si="79"/>
        <v>50</v>
      </c>
      <c r="G2479" s="30" t="s">
        <v>9</v>
      </c>
      <c r="J2479" s="30" t="s">
        <v>392</v>
      </c>
      <c r="K2479" s="30">
        <f>VLOOKUP(C2479, PA!A:M, 13, FALSE)</f>
        <v>0.25</v>
      </c>
    </row>
    <row r="2480" spans="1:11" x14ac:dyDescent="0.25">
      <c r="A2480" s="78">
        <v>46182</v>
      </c>
      <c r="C2480" s="19" t="s">
        <v>889</v>
      </c>
      <c r="D2480" s="30">
        <v>1</v>
      </c>
      <c r="E2480" s="30">
        <v>30</v>
      </c>
      <c r="F2480" s="30">
        <f t="shared" si="79"/>
        <v>30</v>
      </c>
      <c r="G2480" s="30" t="s">
        <v>9</v>
      </c>
      <c r="J2480" s="30" t="s">
        <v>392</v>
      </c>
      <c r="K2480" s="30">
        <f>VLOOKUP(C2480, PA!A:M, 13, FALSE)</f>
        <v>7.1428571428571425E-2</v>
      </c>
    </row>
    <row r="2481" spans="1:12" x14ac:dyDescent="0.25">
      <c r="A2481" s="78">
        <v>46182</v>
      </c>
      <c r="C2481" s="33" t="s">
        <v>652</v>
      </c>
      <c r="D2481" s="30">
        <v>1</v>
      </c>
      <c r="E2481" s="30">
        <v>20</v>
      </c>
      <c r="F2481" s="30">
        <f t="shared" si="79"/>
        <v>20</v>
      </c>
      <c r="G2481" s="30" t="s">
        <v>9</v>
      </c>
      <c r="J2481" s="30" t="s">
        <v>392</v>
      </c>
      <c r="K2481" s="30">
        <f>VLOOKUP(C2481, PA!A:M, 13, FALSE)</f>
        <v>0.1111111111111111</v>
      </c>
    </row>
    <row r="2482" spans="1:12" x14ac:dyDescent="0.25">
      <c r="A2482" s="78">
        <v>46182</v>
      </c>
      <c r="C2482" s="33" t="s">
        <v>900</v>
      </c>
      <c r="D2482" s="30">
        <v>1</v>
      </c>
      <c r="E2482" s="30">
        <v>9.5</v>
      </c>
      <c r="F2482" s="30">
        <f t="shared" si="79"/>
        <v>9.5</v>
      </c>
      <c r="G2482" s="30" t="s">
        <v>9</v>
      </c>
      <c r="I2482" s="139">
        <f>SUM(F2452:F2482)</f>
        <v>831.02</v>
      </c>
      <c r="J2482" s="30" t="s">
        <v>392</v>
      </c>
      <c r="L2482" s="123">
        <f>AVERAGE(K2449:K2481)</f>
        <v>0.16698380623984152</v>
      </c>
    </row>
    <row r="2483" spans="1:12" s="69" customFormat="1" ht="18.75" x14ac:dyDescent="0.3">
      <c r="A2483" s="235" t="s">
        <v>437</v>
      </c>
      <c r="B2483" s="236"/>
      <c r="C2483" s="236"/>
      <c r="D2483" s="236"/>
      <c r="E2483" s="236"/>
      <c r="F2483" s="236"/>
      <c r="G2483" s="236"/>
      <c r="H2483" s="237"/>
      <c r="I2483" s="238">
        <f>SUM(I2482,I2451)</f>
        <v>940.02</v>
      </c>
      <c r="J2483" s="239"/>
      <c r="K2483" s="239"/>
      <c r="L2483" s="240"/>
    </row>
    <row r="2484" spans="1:12" x14ac:dyDescent="0.25">
      <c r="A2484" s="78">
        <v>46183</v>
      </c>
      <c r="C2484" s="19" t="s">
        <v>605</v>
      </c>
      <c r="D2484" s="30">
        <v>1</v>
      </c>
      <c r="E2484" s="30">
        <v>200</v>
      </c>
      <c r="F2484" s="30">
        <f>E2484*D2484</f>
        <v>200</v>
      </c>
      <c r="G2484" s="30" t="s">
        <v>9</v>
      </c>
      <c r="J2484" s="30" t="s">
        <v>391</v>
      </c>
      <c r="K2484" s="30">
        <f>VLOOKUP(C2484, PA!A:M, 13, FALSE)</f>
        <v>3.6458333333333336E-2</v>
      </c>
    </row>
    <row r="2485" spans="1:12" x14ac:dyDescent="0.25">
      <c r="A2485" s="78">
        <v>46183</v>
      </c>
      <c r="C2485" s="19" t="s">
        <v>822</v>
      </c>
      <c r="D2485" s="30">
        <v>2.5</v>
      </c>
      <c r="E2485" s="30">
        <v>30</v>
      </c>
      <c r="F2485" s="30">
        <f t="shared" ref="F2485:F2532" si="80">E2485*D2485</f>
        <v>75</v>
      </c>
      <c r="G2485" s="30" t="s">
        <v>9</v>
      </c>
      <c r="J2485" s="30" t="s">
        <v>391</v>
      </c>
      <c r="K2485" s="30">
        <f>VLOOKUP(C2485, PA!A:M, 13, FALSE)</f>
        <v>7.1428571428571425E-2</v>
      </c>
    </row>
    <row r="2486" spans="1:12" x14ac:dyDescent="0.25">
      <c r="A2486" s="78">
        <v>46183</v>
      </c>
      <c r="C2486" s="19" t="s">
        <v>861</v>
      </c>
      <c r="D2486" s="30">
        <v>1</v>
      </c>
      <c r="E2486" s="30">
        <v>20</v>
      </c>
      <c r="F2486" s="30">
        <f t="shared" si="80"/>
        <v>20</v>
      </c>
      <c r="G2486" s="30" t="s">
        <v>9</v>
      </c>
      <c r="J2486" s="30" t="s">
        <v>391</v>
      </c>
      <c r="K2486" s="30">
        <f>VLOOKUP(C2486, PA!A:M, 13, FALSE)</f>
        <v>0.53846153846153844</v>
      </c>
    </row>
    <row r="2487" spans="1:12" x14ac:dyDescent="0.25">
      <c r="A2487" s="78">
        <v>46183</v>
      </c>
      <c r="C2487" s="19" t="s">
        <v>781</v>
      </c>
      <c r="D2487" s="30">
        <v>0.5</v>
      </c>
      <c r="E2487" s="30">
        <v>200</v>
      </c>
      <c r="F2487" s="30">
        <f t="shared" si="80"/>
        <v>100</v>
      </c>
      <c r="G2487" s="30" t="s">
        <v>9</v>
      </c>
      <c r="J2487" s="30" t="s">
        <v>391</v>
      </c>
      <c r="K2487" s="30">
        <f>VLOOKUP(C2487, PA!A:M, 13, FALSE)</f>
        <v>0.42857142857142855</v>
      </c>
    </row>
    <row r="2488" spans="1:12" x14ac:dyDescent="0.25">
      <c r="A2488" s="78">
        <v>46183</v>
      </c>
      <c r="C2488" s="19" t="s">
        <v>780</v>
      </c>
      <c r="D2488" s="30">
        <v>0.5</v>
      </c>
      <c r="E2488" s="30">
        <v>150</v>
      </c>
      <c r="F2488" s="30">
        <f t="shared" si="80"/>
        <v>75</v>
      </c>
      <c r="G2488" s="30" t="s">
        <v>9</v>
      </c>
      <c r="J2488" s="30" t="s">
        <v>391</v>
      </c>
      <c r="K2488" s="30">
        <f>VLOOKUP(C2488, PA!A:M, 13, FALSE)</f>
        <v>0.66666666666666663</v>
      </c>
    </row>
    <row r="2489" spans="1:12" x14ac:dyDescent="0.25">
      <c r="A2489" s="78">
        <v>46183</v>
      </c>
      <c r="C2489" s="19" t="s">
        <v>564</v>
      </c>
      <c r="D2489" s="30">
        <v>0.25</v>
      </c>
      <c r="E2489" s="30">
        <v>300</v>
      </c>
      <c r="F2489" s="30">
        <f t="shared" si="80"/>
        <v>75</v>
      </c>
      <c r="G2489" s="30" t="s">
        <v>9</v>
      </c>
      <c r="J2489" s="30" t="s">
        <v>391</v>
      </c>
      <c r="K2489" s="30">
        <f>VLOOKUP(C2489, PA!A:M, 13, FALSE)</f>
        <v>0.15384615384615385</v>
      </c>
    </row>
    <row r="2490" spans="1:12" x14ac:dyDescent="0.25">
      <c r="A2490" s="78">
        <v>46183</v>
      </c>
      <c r="C2490" s="19" t="s">
        <v>395</v>
      </c>
      <c r="D2490" s="30">
        <v>1</v>
      </c>
      <c r="E2490" s="30">
        <v>10</v>
      </c>
      <c r="F2490" s="30">
        <f t="shared" si="80"/>
        <v>10</v>
      </c>
      <c r="G2490" s="30" t="s">
        <v>9</v>
      </c>
      <c r="J2490" s="30" t="s">
        <v>391</v>
      </c>
      <c r="K2490" s="30">
        <f>VLOOKUP(C2490, PA!A:M, 13, FALSE)</f>
        <v>0.13636363636363627</v>
      </c>
    </row>
    <row r="2491" spans="1:12" x14ac:dyDescent="0.25">
      <c r="A2491" s="78">
        <v>46183</v>
      </c>
      <c r="C2491" s="19" t="s">
        <v>142</v>
      </c>
      <c r="D2491" s="30">
        <v>1</v>
      </c>
      <c r="E2491" s="30">
        <v>160</v>
      </c>
      <c r="F2491" s="30">
        <f t="shared" si="80"/>
        <v>160</v>
      </c>
      <c r="G2491" s="30" t="s">
        <v>9</v>
      </c>
      <c r="J2491" s="30" t="s">
        <v>391</v>
      </c>
      <c r="K2491" s="30">
        <f>VLOOKUP(C2491, PA!A:M, 13, FALSE)</f>
        <v>0.23076923076923078</v>
      </c>
    </row>
    <row r="2492" spans="1:12" ht="30" x14ac:dyDescent="0.25">
      <c r="A2492" s="78">
        <v>46183</v>
      </c>
      <c r="C2492" s="19" t="s">
        <v>96</v>
      </c>
      <c r="D2492" s="30">
        <v>1</v>
      </c>
      <c r="E2492" s="30">
        <v>90</v>
      </c>
      <c r="F2492" s="30">
        <f t="shared" si="80"/>
        <v>90</v>
      </c>
      <c r="G2492" s="30" t="s">
        <v>9</v>
      </c>
      <c r="J2492" s="30" t="s">
        <v>391</v>
      </c>
      <c r="K2492" s="30">
        <f>VLOOKUP(C2492, PA!A:M, 13, FALSE)</f>
        <v>0.25714285714285712</v>
      </c>
    </row>
    <row r="2493" spans="1:12" x14ac:dyDescent="0.25">
      <c r="A2493" s="78">
        <v>46183</v>
      </c>
      <c r="C2493" s="19" t="s">
        <v>93</v>
      </c>
      <c r="D2493" s="30">
        <v>1</v>
      </c>
      <c r="E2493" s="30">
        <v>35</v>
      </c>
      <c r="F2493" s="30">
        <f t="shared" si="80"/>
        <v>35</v>
      </c>
      <c r="G2493" s="30" t="s">
        <v>9</v>
      </c>
      <c r="J2493" s="30" t="s">
        <v>391</v>
      </c>
      <c r="K2493" s="30">
        <f>VLOOKUP(C2493, PA!A:M, 13, FALSE)</f>
        <v>0.29629629629629628</v>
      </c>
    </row>
    <row r="2494" spans="1:12" x14ac:dyDescent="0.25">
      <c r="A2494" s="78">
        <v>46183</v>
      </c>
      <c r="C2494" s="19" t="s">
        <v>503</v>
      </c>
      <c r="D2494" s="30">
        <v>4</v>
      </c>
      <c r="E2494" s="30">
        <v>5</v>
      </c>
      <c r="F2494" s="30">
        <f t="shared" si="80"/>
        <v>20</v>
      </c>
      <c r="G2494" s="30" t="s">
        <v>9</v>
      </c>
      <c r="J2494" s="30" t="s">
        <v>391</v>
      </c>
      <c r="K2494" s="30">
        <f>VLOOKUP(C2494, PA!A:M, 13, FALSE)</f>
        <v>0.53846153846153844</v>
      </c>
    </row>
    <row r="2495" spans="1:12" x14ac:dyDescent="0.25">
      <c r="A2495" s="78">
        <v>46183</v>
      </c>
      <c r="C2495" s="19" t="str">
        <f>'Stock Register'!A218</f>
        <v>WHOLE JEERA LOT 1</v>
      </c>
      <c r="D2495" s="30">
        <v>2.5000000000000001E-2</v>
      </c>
      <c r="E2495" s="30">
        <v>480</v>
      </c>
      <c r="F2495" s="30">
        <f t="shared" si="80"/>
        <v>12</v>
      </c>
      <c r="G2495" s="30" t="s">
        <v>9</v>
      </c>
      <c r="J2495" s="30" t="s">
        <v>391</v>
      </c>
      <c r="K2495" s="30">
        <f>VLOOKUP(C2495, PA!A:M, 13, FALSE)</f>
        <v>0.05</v>
      </c>
    </row>
    <row r="2496" spans="1:12" x14ac:dyDescent="0.25">
      <c r="A2496" s="78">
        <v>46183</v>
      </c>
      <c r="C2496" s="19" t="s">
        <v>683</v>
      </c>
      <c r="D2496" s="30">
        <v>32</v>
      </c>
      <c r="E2496" s="30">
        <v>10</v>
      </c>
      <c r="F2496" s="30">
        <f t="shared" si="80"/>
        <v>320</v>
      </c>
      <c r="G2496" s="30" t="s">
        <v>9</v>
      </c>
      <c r="J2496" s="30" t="s">
        <v>391</v>
      </c>
      <c r="K2496" s="30">
        <f>VLOOKUP(C2496, PA!A:M, 13, FALSE)</f>
        <v>0.42857142857142855</v>
      </c>
    </row>
    <row r="2497" spans="1:11" x14ac:dyDescent="0.25">
      <c r="A2497" s="78">
        <v>46183</v>
      </c>
      <c r="C2497" s="19" t="s">
        <v>905</v>
      </c>
      <c r="D2497" s="30">
        <v>30</v>
      </c>
      <c r="E2497" s="30">
        <v>8</v>
      </c>
      <c r="F2497" s="30">
        <f t="shared" si="80"/>
        <v>240</v>
      </c>
      <c r="G2497" s="30" t="s">
        <v>9</v>
      </c>
      <c r="I2497" s="139">
        <f>SUM(F2484:F2497)</f>
        <v>1432</v>
      </c>
      <c r="J2497" s="30" t="s">
        <v>391</v>
      </c>
      <c r="K2497" s="30">
        <f>VLOOKUP(C2497, PA!A:M, 13, FALSE)</f>
        <v>0.17391304347826084</v>
      </c>
    </row>
    <row r="2498" spans="1:11" x14ac:dyDescent="0.25">
      <c r="A2498" s="78">
        <v>46183</v>
      </c>
      <c r="C2498" s="19" t="s">
        <v>590</v>
      </c>
      <c r="D2498" s="30">
        <v>0.3</v>
      </c>
      <c r="E2498" s="30">
        <v>44</v>
      </c>
      <c r="F2498" s="30">
        <f t="shared" si="80"/>
        <v>13.2</v>
      </c>
      <c r="G2498" s="30" t="s">
        <v>9</v>
      </c>
      <c r="J2498" s="30" t="s">
        <v>392</v>
      </c>
      <c r="K2498" s="30">
        <f>VLOOKUP(C2498, PA!A:M, 13, FALSE)</f>
        <v>0.1891891891891892</v>
      </c>
    </row>
    <row r="2499" spans="1:11" x14ac:dyDescent="0.25">
      <c r="A2499" s="78">
        <v>46183</v>
      </c>
      <c r="C2499" s="33" t="s">
        <v>838</v>
      </c>
      <c r="D2499" s="30">
        <v>8</v>
      </c>
      <c r="E2499" s="30">
        <v>9</v>
      </c>
      <c r="F2499" s="30">
        <f t="shared" si="80"/>
        <v>72</v>
      </c>
      <c r="G2499" s="30" t="s">
        <v>9</v>
      </c>
      <c r="J2499" s="30" t="s">
        <v>392</v>
      </c>
      <c r="K2499" s="30">
        <f>VLOOKUP(C2499, PA!A:M, 13, FALSE)</f>
        <v>0.17391304347826084</v>
      </c>
    </row>
    <row r="2500" spans="1:11" x14ac:dyDescent="0.25">
      <c r="A2500" s="78">
        <v>46183</v>
      </c>
      <c r="C2500" s="33" t="s">
        <v>345</v>
      </c>
      <c r="D2500" s="30">
        <v>3</v>
      </c>
      <c r="E2500" s="30">
        <v>1</v>
      </c>
      <c r="F2500" s="30">
        <f t="shared" si="80"/>
        <v>3</v>
      </c>
      <c r="G2500" s="30" t="s">
        <v>9</v>
      </c>
      <c r="J2500" s="30" t="s">
        <v>392</v>
      </c>
      <c r="K2500" s="30">
        <f>VLOOKUP(C2500, PA!A:M, 13, FALSE)</f>
        <v>0.14942528735632185</v>
      </c>
    </row>
    <row r="2501" spans="1:11" x14ac:dyDescent="0.25">
      <c r="A2501" s="78">
        <v>46183</v>
      </c>
      <c r="C2501" s="33" t="s">
        <v>348</v>
      </c>
      <c r="D2501" s="30">
        <v>5</v>
      </c>
      <c r="E2501" s="30">
        <v>1</v>
      </c>
      <c r="F2501" s="30">
        <f t="shared" si="80"/>
        <v>5</v>
      </c>
      <c r="G2501" s="30" t="s">
        <v>9</v>
      </c>
      <c r="J2501" s="30" t="s">
        <v>392</v>
      </c>
      <c r="K2501" s="30">
        <f>VLOOKUP(C2501, PA!A:M, 13, FALSE)</f>
        <v>5.0000000000000058E-2</v>
      </c>
    </row>
    <row r="2502" spans="1:11" x14ac:dyDescent="0.25">
      <c r="A2502" s="78">
        <v>46183</v>
      </c>
      <c r="C2502" s="33" t="s">
        <v>531</v>
      </c>
      <c r="D2502" s="30">
        <v>1</v>
      </c>
      <c r="E2502" s="30">
        <v>5</v>
      </c>
      <c r="F2502" s="30">
        <f t="shared" si="80"/>
        <v>5</v>
      </c>
      <c r="G2502" s="30" t="s">
        <v>9</v>
      </c>
      <c r="J2502" s="30" t="s">
        <v>392</v>
      </c>
      <c r="K2502" s="30">
        <f>VLOOKUP(C2502, PA!A:M, 13, FALSE)</f>
        <v>6.6666666666666666E-2</v>
      </c>
    </row>
    <row r="2503" spans="1:11" x14ac:dyDescent="0.25">
      <c r="A2503" s="78">
        <v>46183</v>
      </c>
      <c r="C2503" s="19" t="s">
        <v>785</v>
      </c>
      <c r="D2503" s="30">
        <v>5</v>
      </c>
      <c r="E2503" s="30">
        <v>1</v>
      </c>
      <c r="F2503" s="30">
        <f t="shared" si="80"/>
        <v>5</v>
      </c>
      <c r="G2503" s="30" t="s">
        <v>9</v>
      </c>
      <c r="J2503" s="30" t="s">
        <v>392</v>
      </c>
      <c r="K2503" s="30">
        <f>VLOOKUP(C2503, PA!A:M, 13, FALSE)</f>
        <v>0.13333333333333336</v>
      </c>
    </row>
    <row r="2504" spans="1:11" x14ac:dyDescent="0.25">
      <c r="A2504" s="78">
        <v>46183</v>
      </c>
      <c r="C2504" s="19" t="s">
        <v>868</v>
      </c>
      <c r="D2504" s="30">
        <v>1</v>
      </c>
      <c r="E2504" s="30">
        <v>15</v>
      </c>
      <c r="F2504" s="30">
        <f t="shared" si="80"/>
        <v>15</v>
      </c>
      <c r="G2504" s="30" t="s">
        <v>9</v>
      </c>
      <c r="J2504" s="30" t="s">
        <v>392</v>
      </c>
      <c r="K2504" s="30">
        <f>VLOOKUP(C2504, PA!A:M, 13, FALSE)</f>
        <v>7.1428571428571425E-2</v>
      </c>
    </row>
    <row r="2505" spans="1:11" x14ac:dyDescent="0.25">
      <c r="A2505" s="78">
        <v>46183</v>
      </c>
      <c r="C2505" s="19" t="s">
        <v>684</v>
      </c>
      <c r="D2505" s="30">
        <v>3</v>
      </c>
      <c r="E2505" s="30">
        <v>10</v>
      </c>
      <c r="F2505" s="30">
        <f t="shared" si="80"/>
        <v>30</v>
      </c>
      <c r="G2505" s="30" t="s">
        <v>9</v>
      </c>
      <c r="J2505" s="30" t="s">
        <v>392</v>
      </c>
      <c r="K2505" s="30">
        <f>VLOOKUP(C2505, PA!A:M, 13, FALSE)</f>
        <v>4.7409040793825769E-2</v>
      </c>
    </row>
    <row r="2506" spans="1:11" x14ac:dyDescent="0.25">
      <c r="A2506" s="78">
        <v>46183</v>
      </c>
      <c r="C2506" s="19" t="s">
        <v>864</v>
      </c>
      <c r="D2506" s="30">
        <v>2</v>
      </c>
      <c r="E2506" s="30">
        <v>20</v>
      </c>
      <c r="F2506" s="30">
        <f t="shared" si="80"/>
        <v>40</v>
      </c>
      <c r="G2506" s="30" t="s">
        <v>9</v>
      </c>
      <c r="J2506" s="30" t="s">
        <v>392</v>
      </c>
      <c r="K2506" s="30">
        <f>VLOOKUP(C2506, PA!A:M, 13, FALSE)</f>
        <v>0.1111111111111111</v>
      </c>
    </row>
    <row r="2507" spans="1:11" x14ac:dyDescent="0.25">
      <c r="A2507" s="78">
        <v>46183</v>
      </c>
      <c r="C2507" s="19" t="s">
        <v>614</v>
      </c>
      <c r="D2507" s="30">
        <v>2</v>
      </c>
      <c r="E2507" s="30">
        <v>23</v>
      </c>
      <c r="F2507" s="30">
        <f t="shared" si="80"/>
        <v>46</v>
      </c>
      <c r="G2507" s="30" t="s">
        <v>9</v>
      </c>
      <c r="J2507" s="30" t="s">
        <v>392</v>
      </c>
      <c r="K2507" s="30">
        <f>VLOOKUP(C2507, PA!A:M, 13, FALSE)</f>
        <v>0.33333333333333331</v>
      </c>
    </row>
    <row r="2508" spans="1:11" x14ac:dyDescent="0.25">
      <c r="A2508" s="78">
        <v>46183</v>
      </c>
      <c r="C2508" s="19" t="s">
        <v>852</v>
      </c>
      <c r="D2508" s="30">
        <v>1</v>
      </c>
      <c r="E2508" s="30">
        <v>105</v>
      </c>
      <c r="F2508" s="30">
        <f t="shared" si="80"/>
        <v>105</v>
      </c>
      <c r="G2508" s="30" t="s">
        <v>9</v>
      </c>
      <c r="J2508" s="30" t="s">
        <v>392</v>
      </c>
      <c r="K2508" s="30">
        <f>VLOOKUP(C2508, PA!A:M, 13, FALSE)</f>
        <v>7.6923076923076927E-2</v>
      </c>
    </row>
    <row r="2509" spans="1:11" x14ac:dyDescent="0.25">
      <c r="A2509" s="78">
        <v>46183</v>
      </c>
      <c r="C2509" s="19" t="s">
        <v>886</v>
      </c>
      <c r="D2509" s="30">
        <v>1</v>
      </c>
      <c r="E2509" s="30">
        <v>10</v>
      </c>
      <c r="F2509" s="30">
        <f t="shared" si="80"/>
        <v>10</v>
      </c>
      <c r="G2509" s="30" t="s">
        <v>9</v>
      </c>
      <c r="J2509" s="30" t="s">
        <v>392</v>
      </c>
      <c r="K2509" s="30">
        <f>VLOOKUP(C2509, PA!A:M, 13, FALSE)</f>
        <v>0.1111111111111111</v>
      </c>
    </row>
    <row r="2510" spans="1:11" x14ac:dyDescent="0.25">
      <c r="A2510" s="78">
        <v>46183</v>
      </c>
      <c r="C2510" s="19" t="s">
        <v>755</v>
      </c>
      <c r="D2510" s="30">
        <v>1</v>
      </c>
      <c r="E2510" s="30">
        <v>59</v>
      </c>
      <c r="F2510" s="30">
        <f t="shared" si="80"/>
        <v>59</v>
      </c>
      <c r="G2510" s="30" t="s">
        <v>9</v>
      </c>
      <c r="J2510" s="30" t="s">
        <v>392</v>
      </c>
      <c r="K2510" s="30">
        <f>VLOOKUP(C2510, PA!A:M, 13, FALSE)</f>
        <v>7.2727272727272724E-2</v>
      </c>
    </row>
    <row r="2511" spans="1:11" x14ac:dyDescent="0.25">
      <c r="A2511" s="78">
        <v>46183</v>
      </c>
      <c r="C2511" s="33" t="s">
        <v>565</v>
      </c>
      <c r="D2511" s="30">
        <v>2</v>
      </c>
      <c r="E2511" s="30">
        <v>10</v>
      </c>
      <c r="F2511" s="30">
        <f t="shared" si="80"/>
        <v>20</v>
      </c>
      <c r="G2511" s="30" t="s">
        <v>9</v>
      </c>
      <c r="J2511" s="30" t="s">
        <v>392</v>
      </c>
      <c r="K2511" s="30">
        <f>VLOOKUP(C2511, PA!A:M, 13, FALSE)</f>
        <v>0.10091743119266047</v>
      </c>
    </row>
    <row r="2512" spans="1:11" x14ac:dyDescent="0.25">
      <c r="A2512" s="78">
        <v>46183</v>
      </c>
      <c r="C2512" s="33" t="s">
        <v>834</v>
      </c>
      <c r="D2512" s="30">
        <v>1</v>
      </c>
      <c r="E2512" s="30">
        <v>20</v>
      </c>
      <c r="F2512" s="30">
        <f t="shared" si="80"/>
        <v>20</v>
      </c>
      <c r="G2512" s="30" t="s">
        <v>9</v>
      </c>
      <c r="J2512" s="30" t="s">
        <v>392</v>
      </c>
      <c r="K2512" s="30">
        <f>VLOOKUP(C2512, PA!A:M, 13, FALSE)</f>
        <v>0.38461538461538458</v>
      </c>
    </row>
    <row r="2513" spans="1:11" x14ac:dyDescent="0.25">
      <c r="A2513" s="78">
        <v>46183</v>
      </c>
      <c r="C2513" s="19" t="s">
        <v>379</v>
      </c>
      <c r="D2513" s="30">
        <v>1</v>
      </c>
      <c r="E2513" s="30">
        <v>5</v>
      </c>
      <c r="F2513" s="30">
        <f t="shared" si="80"/>
        <v>5</v>
      </c>
      <c r="G2513" s="30" t="s">
        <v>9</v>
      </c>
      <c r="J2513" s="30" t="s">
        <v>392</v>
      </c>
      <c r="K2513" s="30">
        <f>VLOOKUP(C2513, PA!A:M, 13, FALSE)</f>
        <v>5.8823529411764684E-2</v>
      </c>
    </row>
    <row r="2514" spans="1:11" x14ac:dyDescent="0.25">
      <c r="A2514" s="78">
        <v>46183</v>
      </c>
      <c r="C2514" s="33" t="s">
        <v>682</v>
      </c>
      <c r="D2514" s="30">
        <v>2</v>
      </c>
      <c r="E2514" s="30">
        <v>10</v>
      </c>
      <c r="F2514" s="30">
        <f t="shared" si="80"/>
        <v>20</v>
      </c>
      <c r="G2514" s="30" t="s">
        <v>9</v>
      </c>
      <c r="J2514" s="30" t="s">
        <v>392</v>
      </c>
      <c r="K2514" s="30">
        <f>VLOOKUP(C2514, PA!A:M, 13, FALSE)</f>
        <v>0.33333333333333331</v>
      </c>
    </row>
    <row r="2515" spans="1:11" x14ac:dyDescent="0.25">
      <c r="A2515" s="78">
        <v>46183</v>
      </c>
      <c r="C2515" s="33" t="s">
        <v>375</v>
      </c>
      <c r="D2515" s="30">
        <v>2</v>
      </c>
      <c r="E2515" s="30">
        <v>1</v>
      </c>
      <c r="F2515" s="30">
        <f t="shared" si="80"/>
        <v>2</v>
      </c>
      <c r="G2515" s="30" t="s">
        <v>9</v>
      </c>
      <c r="J2515" s="30" t="s">
        <v>392</v>
      </c>
      <c r="K2515" s="30">
        <f>VLOOKUP(C2515, PA!A:M, 13, FALSE)</f>
        <v>0.14285714285714285</v>
      </c>
    </row>
    <row r="2516" spans="1:11" x14ac:dyDescent="0.25">
      <c r="A2516" s="78">
        <v>46183</v>
      </c>
      <c r="C2516" s="33" t="str">
        <f>'Stock Register'!A164</f>
        <v>SARTAJ SOOJI 500 GM LOT 1</v>
      </c>
      <c r="D2516" s="30">
        <v>1</v>
      </c>
      <c r="E2516" s="30">
        <v>55</v>
      </c>
      <c r="F2516" s="30">
        <f t="shared" si="80"/>
        <v>55</v>
      </c>
      <c r="G2516" s="30" t="s">
        <v>9</v>
      </c>
      <c r="J2516" s="30" t="s">
        <v>392</v>
      </c>
      <c r="K2516" s="30">
        <f>VLOOKUP(C2516, PA!A:M, 13, FALSE)</f>
        <v>0.2857142857142857</v>
      </c>
    </row>
    <row r="2517" spans="1:11" x14ac:dyDescent="0.25">
      <c r="A2517" s="78">
        <v>46183</v>
      </c>
      <c r="C2517" s="19" t="s">
        <v>102</v>
      </c>
      <c r="D2517" s="30">
        <v>1</v>
      </c>
      <c r="E2517" s="30">
        <v>25</v>
      </c>
      <c r="F2517" s="30">
        <f t="shared" si="80"/>
        <v>25</v>
      </c>
      <c r="G2517" s="30" t="s">
        <v>9</v>
      </c>
      <c r="J2517" s="30" t="s">
        <v>392</v>
      </c>
      <c r="K2517" s="30">
        <f>VLOOKUP(C2517, PA!A:M, 13, FALSE)</f>
        <v>0.32978723404255317</v>
      </c>
    </row>
    <row r="2518" spans="1:11" x14ac:dyDescent="0.25">
      <c r="A2518" s="78">
        <v>46183</v>
      </c>
      <c r="C2518" s="19" t="s">
        <v>95</v>
      </c>
      <c r="D2518" s="30">
        <v>1</v>
      </c>
      <c r="E2518" s="30">
        <v>9</v>
      </c>
      <c r="F2518" s="30">
        <f t="shared" si="80"/>
        <v>9</v>
      </c>
      <c r="G2518" s="30" t="s">
        <v>9</v>
      </c>
      <c r="J2518" s="30" t="s">
        <v>392</v>
      </c>
      <c r="K2518" s="30">
        <f>VLOOKUP(C2518, PA!A:M, 13, FALSE)</f>
        <v>0.73410404624277448</v>
      </c>
    </row>
    <row r="2519" spans="1:11" x14ac:dyDescent="0.25">
      <c r="A2519" s="78">
        <v>46183</v>
      </c>
      <c r="C2519" s="33" t="s">
        <v>861</v>
      </c>
      <c r="D2519" s="30">
        <v>0.5</v>
      </c>
      <c r="E2519" s="30">
        <v>20</v>
      </c>
      <c r="F2519" s="30">
        <f t="shared" si="80"/>
        <v>10</v>
      </c>
      <c r="G2519" s="30" t="s">
        <v>9</v>
      </c>
      <c r="J2519" s="30" t="s">
        <v>392</v>
      </c>
      <c r="K2519" s="30">
        <f>VLOOKUP(C2519, PA!A:M, 13, FALSE)</f>
        <v>0.53846153846153844</v>
      </c>
    </row>
    <row r="2520" spans="1:11" ht="30" x14ac:dyDescent="0.25">
      <c r="A2520" s="78">
        <v>46183</v>
      </c>
      <c r="C2520" s="33" t="s">
        <v>697</v>
      </c>
      <c r="D2520" s="30">
        <v>1</v>
      </c>
      <c r="E2520" s="30">
        <v>15</v>
      </c>
      <c r="F2520" s="30">
        <f t="shared" si="80"/>
        <v>15</v>
      </c>
      <c r="G2520" s="30" t="s">
        <v>9</v>
      </c>
      <c r="J2520" s="30" t="s">
        <v>392</v>
      </c>
      <c r="K2520" s="30">
        <f>VLOOKUP(C2520, PA!A:M, 13, FALSE)</f>
        <v>0.25</v>
      </c>
    </row>
    <row r="2521" spans="1:11" x14ac:dyDescent="0.25">
      <c r="A2521" s="78">
        <v>46183</v>
      </c>
      <c r="C2521" s="19" t="s">
        <v>764</v>
      </c>
      <c r="D2521" s="30">
        <v>2</v>
      </c>
      <c r="E2521" s="30">
        <v>5</v>
      </c>
      <c r="F2521" s="30">
        <f t="shared" si="80"/>
        <v>10</v>
      </c>
      <c r="G2521" s="30" t="s">
        <v>9</v>
      </c>
      <c r="J2521" s="30" t="s">
        <v>392</v>
      </c>
      <c r="K2521" s="30" t="e">
        <f>VLOOKUP(C2521, PA!A:M, 13, FALSE)</f>
        <v>#N/A</v>
      </c>
    </row>
    <row r="2522" spans="1:11" x14ac:dyDescent="0.25">
      <c r="A2522" s="78">
        <v>46183</v>
      </c>
      <c r="C2522" s="33" t="s">
        <v>714</v>
      </c>
      <c r="D2522" s="30">
        <v>1</v>
      </c>
      <c r="E2522" s="30">
        <v>30</v>
      </c>
      <c r="F2522" s="30">
        <f t="shared" si="80"/>
        <v>30</v>
      </c>
      <c r="G2522" s="30" t="s">
        <v>9</v>
      </c>
      <c r="J2522" s="30" t="s">
        <v>392</v>
      </c>
      <c r="K2522" s="30">
        <f>VLOOKUP(C2522, PA!A:M, 13, FALSE)</f>
        <v>0.15384615384615385</v>
      </c>
    </row>
    <row r="2523" spans="1:11" x14ac:dyDescent="0.25">
      <c r="A2523" s="78">
        <v>46183</v>
      </c>
      <c r="C2523" s="19" t="s">
        <v>805</v>
      </c>
      <c r="D2523" s="30">
        <v>1</v>
      </c>
      <c r="E2523" s="30">
        <v>55</v>
      </c>
      <c r="F2523" s="30">
        <f t="shared" si="80"/>
        <v>55</v>
      </c>
      <c r="G2523" s="30" t="s">
        <v>9</v>
      </c>
      <c r="J2523" s="30" t="s">
        <v>392</v>
      </c>
      <c r="K2523" s="30">
        <f>VLOOKUP(C2523, PA!A:M, 13, FALSE)</f>
        <v>3.7924151696606831E-2</v>
      </c>
    </row>
    <row r="2524" spans="1:11" x14ac:dyDescent="0.25">
      <c r="A2524" s="78">
        <v>46183</v>
      </c>
      <c r="C2524" s="19" t="s">
        <v>805</v>
      </c>
      <c r="D2524" s="30">
        <v>1</v>
      </c>
      <c r="E2524" s="30">
        <v>55</v>
      </c>
      <c r="F2524" s="30">
        <f t="shared" si="80"/>
        <v>55</v>
      </c>
      <c r="G2524" s="30" t="s">
        <v>9</v>
      </c>
      <c r="J2524" s="30" t="s">
        <v>392</v>
      </c>
      <c r="K2524" s="30">
        <f>VLOOKUP(C2524, PA!A:M, 13, FALSE)</f>
        <v>3.7924151696606831E-2</v>
      </c>
    </row>
    <row r="2525" spans="1:11" x14ac:dyDescent="0.25">
      <c r="A2525" s="78">
        <v>46183</v>
      </c>
      <c r="C2525" s="33" t="s">
        <v>838</v>
      </c>
      <c r="D2525" s="30">
        <v>5</v>
      </c>
      <c r="E2525" s="30">
        <v>9</v>
      </c>
      <c r="F2525" s="30">
        <f t="shared" si="80"/>
        <v>45</v>
      </c>
      <c r="G2525" s="30" t="s">
        <v>9</v>
      </c>
      <c r="J2525" s="30" t="s">
        <v>392</v>
      </c>
      <c r="K2525" s="30">
        <f>VLOOKUP(C2525, PA!A:M, 13, FALSE)</f>
        <v>0.17391304347826084</v>
      </c>
    </row>
    <row r="2526" spans="1:11" x14ac:dyDescent="0.25">
      <c r="A2526" s="78">
        <v>46183</v>
      </c>
      <c r="C2526" s="19" t="s">
        <v>565</v>
      </c>
      <c r="D2526" s="30">
        <v>4</v>
      </c>
      <c r="E2526" s="30">
        <v>10</v>
      </c>
      <c r="F2526" s="30">
        <f t="shared" si="80"/>
        <v>40</v>
      </c>
      <c r="G2526" s="30" t="s">
        <v>9</v>
      </c>
      <c r="J2526" s="30" t="s">
        <v>392</v>
      </c>
      <c r="K2526" s="30">
        <f>VLOOKUP(C2526, PA!A:M, 13, FALSE)</f>
        <v>0.10091743119266047</v>
      </c>
    </row>
    <row r="2527" spans="1:11" x14ac:dyDescent="0.25">
      <c r="A2527" s="78">
        <v>46183</v>
      </c>
      <c r="C2527" s="19" t="s">
        <v>578</v>
      </c>
      <c r="D2527" s="30">
        <v>1</v>
      </c>
      <c r="E2527" s="30">
        <v>5</v>
      </c>
      <c r="F2527" s="30">
        <f t="shared" si="80"/>
        <v>5</v>
      </c>
      <c r="G2527" s="30" t="s">
        <v>9</v>
      </c>
      <c r="J2527" s="30" t="s">
        <v>392</v>
      </c>
      <c r="K2527" s="30">
        <f>VLOOKUP(C2527, PA!A:M, 13, FALSE)</f>
        <v>0.25</v>
      </c>
    </row>
    <row r="2528" spans="1:11" x14ac:dyDescent="0.25">
      <c r="A2528" s="78">
        <v>46183</v>
      </c>
      <c r="C2528" s="19" t="s">
        <v>850</v>
      </c>
      <c r="D2528" s="30">
        <v>1</v>
      </c>
      <c r="E2528" s="30">
        <v>35</v>
      </c>
      <c r="F2528" s="30">
        <f t="shared" si="80"/>
        <v>35</v>
      </c>
      <c r="G2528" s="30" t="s">
        <v>9</v>
      </c>
      <c r="J2528" s="30" t="s">
        <v>392</v>
      </c>
      <c r="K2528" s="30">
        <f>VLOOKUP(C2528, PA!A:M, 13, FALSE)</f>
        <v>9.375E-2</v>
      </c>
    </row>
    <row r="2529" spans="1:12" x14ac:dyDescent="0.25">
      <c r="A2529" s="78">
        <v>46183</v>
      </c>
      <c r="C2529" s="19" t="s">
        <v>729</v>
      </c>
      <c r="D2529" s="30">
        <v>2</v>
      </c>
      <c r="E2529" s="30">
        <v>10</v>
      </c>
      <c r="F2529" s="30">
        <f t="shared" si="80"/>
        <v>20</v>
      </c>
      <c r="G2529" s="30" t="s">
        <v>9</v>
      </c>
      <c r="J2529" s="30" t="s">
        <v>392</v>
      </c>
      <c r="K2529" s="30">
        <f>VLOOKUP(C2529, PA!A:M, 13, FALSE)</f>
        <v>0.14285714285714285</v>
      </c>
    </row>
    <row r="2530" spans="1:12" x14ac:dyDescent="0.25">
      <c r="A2530" s="78">
        <v>46183</v>
      </c>
      <c r="C2530" s="19" t="s">
        <v>720</v>
      </c>
      <c r="D2530" s="30">
        <v>0.33</v>
      </c>
      <c r="E2530" s="30">
        <v>138</v>
      </c>
      <c r="F2530" s="30">
        <f t="shared" si="80"/>
        <v>45.54</v>
      </c>
      <c r="G2530" s="30" t="s">
        <v>9</v>
      </c>
      <c r="J2530" s="30" t="s">
        <v>392</v>
      </c>
      <c r="K2530" s="30">
        <f>VLOOKUP(C2530, PA!A:M, 13, FALSE)</f>
        <v>0.17391304347826086</v>
      </c>
    </row>
    <row r="2531" spans="1:12" x14ac:dyDescent="0.25">
      <c r="A2531" s="78">
        <v>46183</v>
      </c>
      <c r="C2531" s="19" t="s">
        <v>848</v>
      </c>
      <c r="D2531" s="30">
        <v>1</v>
      </c>
      <c r="E2531" s="30">
        <v>5</v>
      </c>
      <c r="F2531" s="30">
        <f t="shared" si="80"/>
        <v>5</v>
      </c>
      <c r="G2531" s="30" t="s">
        <v>9</v>
      </c>
      <c r="J2531" s="30" t="s">
        <v>392</v>
      </c>
      <c r="K2531" s="30">
        <f>VLOOKUP(C2531, PA!A:M, 13, FALSE)</f>
        <v>9.0909090909090981E-2</v>
      </c>
    </row>
    <row r="2532" spans="1:12" x14ac:dyDescent="0.25">
      <c r="A2532" s="78">
        <v>46183</v>
      </c>
      <c r="C2532" s="33" t="s">
        <v>440</v>
      </c>
      <c r="D2532" s="30">
        <v>1</v>
      </c>
      <c r="E2532" s="30">
        <v>5</v>
      </c>
      <c r="F2532" s="30">
        <f t="shared" si="80"/>
        <v>5</v>
      </c>
      <c r="G2532" s="30" t="s">
        <v>9</v>
      </c>
      <c r="I2532" s="139">
        <f>SUM(F2498:F2532)</f>
        <v>939.74</v>
      </c>
      <c r="J2532" s="30" t="s">
        <v>392</v>
      </c>
      <c r="K2532" s="30">
        <f>VLOOKUP(C2532, PA!A:M, 13, FALSE)</f>
        <v>0.42857142857142855</v>
      </c>
      <c r="L2532" s="123" t="e">
        <f>AVERAGE(K2484:K2532)</f>
        <v>#N/A</v>
      </c>
    </row>
    <row r="2533" spans="1:12" s="69" customFormat="1" ht="18.75" x14ac:dyDescent="0.3">
      <c r="A2533" s="235" t="s">
        <v>437</v>
      </c>
      <c r="B2533" s="236"/>
      <c r="C2533" s="236"/>
      <c r="D2533" s="236"/>
      <c r="E2533" s="236"/>
      <c r="F2533" s="236"/>
      <c r="G2533" s="236"/>
      <c r="H2533" s="237"/>
      <c r="I2533" s="238">
        <f>SUM(I2532,I2497)</f>
        <v>2371.7399999999998</v>
      </c>
      <c r="J2533" s="239"/>
      <c r="K2533" s="239"/>
      <c r="L2533" s="240"/>
    </row>
    <row r="2534" spans="1:12" x14ac:dyDescent="0.25">
      <c r="A2534" s="78">
        <v>46184</v>
      </c>
      <c r="C2534" s="19" t="s">
        <v>822</v>
      </c>
      <c r="D2534" s="30">
        <v>1</v>
      </c>
      <c r="E2534" s="30">
        <v>28</v>
      </c>
      <c r="F2534" s="30">
        <f t="shared" ref="F2534:F2565" si="81">E2534*D2534</f>
        <v>28</v>
      </c>
      <c r="G2534" s="30" t="s">
        <v>9</v>
      </c>
      <c r="J2534" s="30" t="s">
        <v>391</v>
      </c>
      <c r="K2534" s="30">
        <f>VLOOKUP(C2534, PA!A:M, 13, FALSE)</f>
        <v>7.1428571428571425E-2</v>
      </c>
    </row>
    <row r="2535" spans="1:12" x14ac:dyDescent="0.25">
      <c r="A2535" s="78">
        <v>46184</v>
      </c>
      <c r="C2535" s="33" t="s">
        <v>755</v>
      </c>
      <c r="D2535" s="30">
        <v>1</v>
      </c>
      <c r="E2535" s="30">
        <v>58</v>
      </c>
      <c r="F2535" s="30">
        <f t="shared" si="81"/>
        <v>58</v>
      </c>
      <c r="G2535" s="30" t="s">
        <v>9</v>
      </c>
      <c r="J2535" s="30" t="s">
        <v>391</v>
      </c>
      <c r="K2535" s="30">
        <f>VLOOKUP(C2535, PA!A:M, 13, FALSE)</f>
        <v>7.2727272727272724E-2</v>
      </c>
    </row>
    <row r="2536" spans="1:12" x14ac:dyDescent="0.25">
      <c r="A2536" s="78">
        <v>46184</v>
      </c>
      <c r="C2536" s="19" t="s">
        <v>539</v>
      </c>
      <c r="D2536" s="30">
        <v>1</v>
      </c>
      <c r="E2536" s="30">
        <v>24</v>
      </c>
      <c r="F2536" s="30">
        <f t="shared" si="81"/>
        <v>24</v>
      </c>
      <c r="G2536" s="30" t="s">
        <v>9</v>
      </c>
      <c r="J2536" s="30" t="s">
        <v>391</v>
      </c>
      <c r="K2536" s="30">
        <f>VLOOKUP(C2536, PA!A:M, 13, FALSE)</f>
        <v>0.19999999999999993</v>
      </c>
    </row>
    <row r="2537" spans="1:12" x14ac:dyDescent="0.25">
      <c r="A2537" s="78">
        <v>46184</v>
      </c>
      <c r="C2537" s="33" t="s">
        <v>730</v>
      </c>
      <c r="D2537" s="30">
        <v>1</v>
      </c>
      <c r="E2537" s="30">
        <v>55</v>
      </c>
      <c r="F2537" s="30">
        <f t="shared" si="81"/>
        <v>55</v>
      </c>
      <c r="G2537" s="30" t="s">
        <v>9</v>
      </c>
      <c r="J2537" s="30" t="s">
        <v>391</v>
      </c>
      <c r="K2537" s="30">
        <f>VLOOKUP(C2537, PA!A:M, 13, FALSE)</f>
        <v>0.16666666666666666</v>
      </c>
    </row>
    <row r="2538" spans="1:12" x14ac:dyDescent="0.25">
      <c r="A2538" s="78">
        <v>46184</v>
      </c>
      <c r="C2538" s="19" t="s">
        <v>471</v>
      </c>
      <c r="D2538" s="30">
        <v>0.05</v>
      </c>
      <c r="E2538" s="30">
        <v>900</v>
      </c>
      <c r="F2538" s="30">
        <f t="shared" si="81"/>
        <v>45</v>
      </c>
      <c r="G2538" s="30" t="s">
        <v>9</v>
      </c>
      <c r="J2538" s="30" t="s">
        <v>391</v>
      </c>
      <c r="K2538" s="30">
        <f>VLOOKUP(C2538, PA!A:M, 13, FALSE)</f>
        <v>5</v>
      </c>
    </row>
    <row r="2539" spans="1:12" x14ac:dyDescent="0.25">
      <c r="A2539" s="78">
        <v>46184</v>
      </c>
      <c r="C2539" s="19" t="s">
        <v>467</v>
      </c>
      <c r="D2539" s="30">
        <v>0.05</v>
      </c>
      <c r="E2539" s="30">
        <v>480</v>
      </c>
      <c r="F2539" s="30">
        <f t="shared" si="81"/>
        <v>24</v>
      </c>
      <c r="G2539" s="30" t="s">
        <v>9</v>
      </c>
      <c r="J2539" s="30" t="s">
        <v>391</v>
      </c>
      <c r="K2539" s="30">
        <f>VLOOKUP(C2539, PA!A:M, 13, FALSE)</f>
        <v>0.05</v>
      </c>
    </row>
    <row r="2540" spans="1:12" x14ac:dyDescent="0.25">
      <c r="A2540" s="78">
        <v>46184</v>
      </c>
      <c r="C2540" s="19" t="s">
        <v>470</v>
      </c>
      <c r="D2540" s="30">
        <v>0.05</v>
      </c>
      <c r="E2540" s="30">
        <v>120</v>
      </c>
      <c r="F2540" s="30">
        <f t="shared" si="81"/>
        <v>6</v>
      </c>
      <c r="G2540" s="30" t="s">
        <v>9</v>
      </c>
      <c r="J2540" s="30" t="s">
        <v>391</v>
      </c>
      <c r="K2540" s="30">
        <f>VLOOKUP(C2540, PA!A:M, 13, FALSE)</f>
        <v>13.5</v>
      </c>
    </row>
    <row r="2541" spans="1:12" x14ac:dyDescent="0.25">
      <c r="A2541" s="78">
        <v>46184</v>
      </c>
      <c r="C2541" s="19" t="s">
        <v>469</v>
      </c>
      <c r="D2541" s="30">
        <v>0.05</v>
      </c>
      <c r="E2541" s="30">
        <v>420</v>
      </c>
      <c r="F2541" s="30">
        <f t="shared" si="81"/>
        <v>21</v>
      </c>
      <c r="G2541" s="30" t="s">
        <v>9</v>
      </c>
      <c r="J2541" s="30" t="s">
        <v>391</v>
      </c>
      <c r="K2541" s="30">
        <f>VLOOKUP(C2541, PA!A:M, 13, FALSE)</f>
        <v>-0.65714285714285714</v>
      </c>
    </row>
    <row r="2542" spans="1:12" x14ac:dyDescent="0.25">
      <c r="A2542" s="78">
        <v>46184</v>
      </c>
      <c r="C2542" s="19" t="s">
        <v>564</v>
      </c>
      <c r="D2542" s="30">
        <v>0.05</v>
      </c>
      <c r="E2542" s="30">
        <v>300</v>
      </c>
      <c r="F2542" s="30">
        <f t="shared" si="81"/>
        <v>15</v>
      </c>
      <c r="G2542" s="30" t="s">
        <v>9</v>
      </c>
      <c r="J2542" s="30" t="s">
        <v>391</v>
      </c>
      <c r="K2542" s="30">
        <f>VLOOKUP(C2542, PA!A:M, 13, FALSE)</f>
        <v>0.15384615384615385</v>
      </c>
    </row>
    <row r="2543" spans="1:12" x14ac:dyDescent="0.25">
      <c r="A2543" s="78">
        <v>46184</v>
      </c>
      <c r="C2543" s="33" t="s">
        <v>728</v>
      </c>
      <c r="D2543" s="30">
        <v>0.1</v>
      </c>
      <c r="E2543" s="30">
        <v>170</v>
      </c>
      <c r="F2543" s="30">
        <f t="shared" si="81"/>
        <v>17</v>
      </c>
      <c r="G2543" s="30" t="s">
        <v>9</v>
      </c>
      <c r="J2543" s="30" t="s">
        <v>391</v>
      </c>
      <c r="K2543" s="30">
        <f>VLOOKUP(C2543, PA!A:M, 13, FALSE)</f>
        <v>0.41666666666666669</v>
      </c>
    </row>
    <row r="2544" spans="1:12" x14ac:dyDescent="0.25">
      <c r="A2544" s="78">
        <v>46184</v>
      </c>
      <c r="C2544" s="33" t="s">
        <v>730</v>
      </c>
      <c r="D2544" s="30">
        <v>0.158</v>
      </c>
      <c r="E2544" s="30">
        <v>58</v>
      </c>
      <c r="F2544" s="30">
        <f t="shared" si="81"/>
        <v>9.1639999999999997</v>
      </c>
      <c r="G2544" s="30" t="s">
        <v>9</v>
      </c>
      <c r="J2544" s="30" t="s">
        <v>391</v>
      </c>
      <c r="K2544" s="30">
        <f>VLOOKUP(C2544, PA!A:M, 13, FALSE)</f>
        <v>0.16666666666666666</v>
      </c>
    </row>
    <row r="2545" spans="1:11" ht="30" x14ac:dyDescent="0.25">
      <c r="A2545" s="78">
        <v>46184</v>
      </c>
      <c r="C2545" s="19" t="s">
        <v>625</v>
      </c>
      <c r="D2545" s="30">
        <v>1</v>
      </c>
      <c r="E2545" s="30">
        <v>158</v>
      </c>
      <c r="F2545" s="30">
        <f t="shared" si="81"/>
        <v>158</v>
      </c>
      <c r="G2545" s="30" t="s">
        <v>9</v>
      </c>
      <c r="J2545" s="30" t="s">
        <v>391</v>
      </c>
      <c r="K2545" s="30">
        <f>VLOOKUP(C2545, PA!A:M, 13, FALSE)</f>
        <v>4.72972972972973E-2</v>
      </c>
    </row>
    <row r="2546" spans="1:11" x14ac:dyDescent="0.25">
      <c r="A2546" s="78">
        <v>46184</v>
      </c>
      <c r="C2546" s="19" t="s">
        <v>94</v>
      </c>
      <c r="D2546" s="30">
        <v>1</v>
      </c>
      <c r="E2546" s="30">
        <v>18</v>
      </c>
      <c r="F2546" s="30">
        <f t="shared" si="81"/>
        <v>18</v>
      </c>
      <c r="G2546" s="30" t="s">
        <v>9</v>
      </c>
      <c r="J2546" s="30" t="s">
        <v>391</v>
      </c>
      <c r="K2546" s="30">
        <f>VLOOKUP(C2546, PA!A:M, 13, FALSE)</f>
        <v>0.75925925925925919</v>
      </c>
    </row>
    <row r="2547" spans="1:11" x14ac:dyDescent="0.25">
      <c r="A2547" s="78">
        <v>46184</v>
      </c>
      <c r="C2547" s="19" t="s">
        <v>715</v>
      </c>
      <c r="D2547" s="30">
        <v>1</v>
      </c>
      <c r="E2547" s="30">
        <v>120</v>
      </c>
      <c r="F2547" s="30">
        <f t="shared" si="81"/>
        <v>120</v>
      </c>
      <c r="G2547" s="30" t="s">
        <v>9</v>
      </c>
      <c r="J2547" s="30" t="s">
        <v>391</v>
      </c>
      <c r="K2547" s="30">
        <f>VLOOKUP(C2547, PA!A:M, 13, FALSE)</f>
        <v>0.14285714285714285</v>
      </c>
    </row>
    <row r="2548" spans="1:11" x14ac:dyDescent="0.25">
      <c r="A2548" s="78">
        <v>46184</v>
      </c>
      <c r="C2548" s="33" t="s">
        <v>861</v>
      </c>
      <c r="D2548" s="30">
        <v>1.5</v>
      </c>
      <c r="E2548" s="30">
        <v>20</v>
      </c>
      <c r="F2548" s="30">
        <f t="shared" si="81"/>
        <v>30</v>
      </c>
      <c r="G2548" s="30" t="s">
        <v>9</v>
      </c>
      <c r="J2548" s="30" t="s">
        <v>391</v>
      </c>
      <c r="K2548" s="30">
        <f>VLOOKUP(C2548, PA!A:M, 13, FALSE)</f>
        <v>0.53846153846153844</v>
      </c>
    </row>
    <row r="2549" spans="1:11" x14ac:dyDescent="0.25">
      <c r="A2549" s="78">
        <v>46184</v>
      </c>
      <c r="C2549" s="19" t="s">
        <v>669</v>
      </c>
      <c r="D2549" s="30">
        <v>2</v>
      </c>
      <c r="E2549" s="30">
        <v>5</v>
      </c>
      <c r="F2549" s="30">
        <f t="shared" si="81"/>
        <v>10</v>
      </c>
      <c r="G2549" s="30" t="s">
        <v>9</v>
      </c>
      <c r="J2549" s="30" t="s">
        <v>391</v>
      </c>
      <c r="K2549" s="30">
        <f>VLOOKUP(C2549, PA!A:M, 13, FALSE)</f>
        <v>4.1666666666666706E-2</v>
      </c>
    </row>
    <row r="2550" spans="1:11" x14ac:dyDescent="0.25">
      <c r="A2550" s="78">
        <v>46184</v>
      </c>
      <c r="C2550" s="19" t="s">
        <v>864</v>
      </c>
      <c r="D2550" s="30">
        <v>2</v>
      </c>
      <c r="E2550" s="30">
        <v>20</v>
      </c>
      <c r="F2550" s="30">
        <f t="shared" si="81"/>
        <v>40</v>
      </c>
      <c r="G2550" s="30" t="s">
        <v>9</v>
      </c>
      <c r="J2550" s="30" t="s">
        <v>391</v>
      </c>
      <c r="K2550" s="30">
        <f>VLOOKUP(C2550, PA!A:M, 13, FALSE)</f>
        <v>0.1111111111111111</v>
      </c>
    </row>
    <row r="2551" spans="1:11" x14ac:dyDescent="0.25">
      <c r="A2551" s="78">
        <v>46184</v>
      </c>
      <c r="C2551" s="19" t="s">
        <v>680</v>
      </c>
      <c r="D2551" s="30">
        <v>1</v>
      </c>
      <c r="E2551" s="30">
        <v>10</v>
      </c>
      <c r="F2551" s="30">
        <f t="shared" si="81"/>
        <v>10</v>
      </c>
      <c r="G2551" s="30" t="s">
        <v>9</v>
      </c>
      <c r="J2551" s="30" t="s">
        <v>391</v>
      </c>
      <c r="K2551" s="30">
        <f>VLOOKUP(C2551, PA!A:M, 13, FALSE)</f>
        <v>9.170305676855893E-2</v>
      </c>
    </row>
    <row r="2552" spans="1:11" x14ac:dyDescent="0.25">
      <c r="A2552" s="78">
        <v>46184</v>
      </c>
      <c r="C2552" s="19" t="s">
        <v>705</v>
      </c>
      <c r="D2552" s="30">
        <v>1</v>
      </c>
      <c r="E2552" s="30">
        <v>10</v>
      </c>
      <c r="F2552" s="30">
        <f t="shared" si="81"/>
        <v>10</v>
      </c>
      <c r="G2552" s="30" t="s">
        <v>9</v>
      </c>
      <c r="I2552" s="139">
        <f>SUM(F2534:F2552)</f>
        <v>698.16399999999999</v>
      </c>
      <c r="J2552" s="30" t="s">
        <v>391</v>
      </c>
      <c r="K2552" s="30">
        <f>VLOOKUP(C2552, PA!A:M, 13, FALSE)</f>
        <v>9.0909090909090981E-2</v>
      </c>
    </row>
    <row r="2553" spans="1:11" x14ac:dyDescent="0.25">
      <c r="A2553" s="78">
        <v>46184</v>
      </c>
      <c r="C2553" s="33" t="s">
        <v>565</v>
      </c>
      <c r="D2553" s="30">
        <v>1</v>
      </c>
      <c r="E2553" s="30">
        <v>10</v>
      </c>
      <c r="F2553" s="30">
        <f t="shared" si="81"/>
        <v>10</v>
      </c>
      <c r="G2553" s="30" t="s">
        <v>9</v>
      </c>
      <c r="J2553" s="30" t="s">
        <v>392</v>
      </c>
      <c r="K2553" s="30">
        <f>VLOOKUP(C2553, PA!A:M, 13, FALSE)</f>
        <v>0.10091743119266047</v>
      </c>
    </row>
    <row r="2554" spans="1:11" x14ac:dyDescent="0.25">
      <c r="A2554" s="78">
        <v>46184</v>
      </c>
      <c r="C2554" s="33" t="s">
        <v>683</v>
      </c>
      <c r="D2554" s="30">
        <v>1</v>
      </c>
      <c r="E2554" s="30">
        <v>10</v>
      </c>
      <c r="F2554" s="30">
        <f t="shared" si="81"/>
        <v>10</v>
      </c>
      <c r="G2554" s="30" t="s">
        <v>9</v>
      </c>
      <c r="J2554" s="30" t="s">
        <v>392</v>
      </c>
      <c r="K2554" s="30">
        <f>VLOOKUP(C2554, PA!A:M, 13, FALSE)</f>
        <v>0.42857142857142855</v>
      </c>
    </row>
    <row r="2555" spans="1:11" x14ac:dyDescent="0.25">
      <c r="A2555" s="78">
        <v>46184</v>
      </c>
      <c r="C2555" s="19" t="s">
        <v>151</v>
      </c>
      <c r="D2555" s="30">
        <v>1</v>
      </c>
      <c r="E2555" s="30">
        <v>15</v>
      </c>
      <c r="F2555" s="30">
        <f t="shared" si="81"/>
        <v>15</v>
      </c>
      <c r="G2555" s="30" t="s">
        <v>9</v>
      </c>
      <c r="J2555" s="30" t="s">
        <v>392</v>
      </c>
      <c r="K2555" s="30">
        <f>VLOOKUP(C2555, PA!A:M, 13, FALSE)</f>
        <v>0.41242937853107342</v>
      </c>
    </row>
    <row r="2556" spans="1:11" x14ac:dyDescent="0.25">
      <c r="A2556" s="78">
        <v>46184</v>
      </c>
      <c r="C2556" s="33" t="s">
        <v>578</v>
      </c>
      <c r="D2556" s="30">
        <v>3</v>
      </c>
      <c r="E2556" s="30">
        <v>5</v>
      </c>
      <c r="F2556" s="30">
        <f t="shared" si="81"/>
        <v>15</v>
      </c>
      <c r="G2556" s="30" t="s">
        <v>9</v>
      </c>
      <c r="J2556" s="30" t="s">
        <v>392</v>
      </c>
      <c r="K2556" s="30">
        <f>VLOOKUP(C2556, PA!A:M, 13, FALSE)</f>
        <v>0.25</v>
      </c>
    </row>
    <row r="2557" spans="1:11" x14ac:dyDescent="0.25">
      <c r="A2557" s="78">
        <v>46184</v>
      </c>
      <c r="C2557" s="33" t="s">
        <v>565</v>
      </c>
      <c r="D2557" s="30">
        <v>1</v>
      </c>
      <c r="E2557" s="30">
        <v>10</v>
      </c>
      <c r="F2557" s="30">
        <f t="shared" si="81"/>
        <v>10</v>
      </c>
      <c r="G2557" s="30" t="s">
        <v>9</v>
      </c>
      <c r="J2557" s="30" t="s">
        <v>392</v>
      </c>
      <c r="K2557" s="30">
        <f>VLOOKUP(C2557, PA!A:M, 13, FALSE)</f>
        <v>0.10091743119266047</v>
      </c>
    </row>
    <row r="2558" spans="1:11" x14ac:dyDescent="0.25">
      <c r="A2558" s="78">
        <v>46184</v>
      </c>
      <c r="C2558" s="33" t="s">
        <v>639</v>
      </c>
      <c r="D2558" s="30">
        <v>7</v>
      </c>
      <c r="E2558" s="30">
        <v>2</v>
      </c>
      <c r="F2558" s="30">
        <f t="shared" si="81"/>
        <v>14</v>
      </c>
      <c r="G2558" s="30" t="s">
        <v>9</v>
      </c>
      <c r="J2558" s="30" t="s">
        <v>392</v>
      </c>
      <c r="K2558" s="30">
        <f>VLOOKUP(C2558, PA!A:M, 13, FALSE)</f>
        <v>0.19999999999999996</v>
      </c>
    </row>
    <row r="2559" spans="1:11" x14ac:dyDescent="0.25">
      <c r="A2559" s="78">
        <v>46184</v>
      </c>
      <c r="C2559" s="33" t="s">
        <v>684</v>
      </c>
      <c r="D2559" s="30">
        <v>8</v>
      </c>
      <c r="E2559" s="30">
        <v>9.5</v>
      </c>
      <c r="F2559" s="30">
        <f t="shared" si="81"/>
        <v>76</v>
      </c>
      <c r="G2559" s="30" t="s">
        <v>9</v>
      </c>
      <c r="J2559" s="30" t="s">
        <v>392</v>
      </c>
      <c r="K2559" s="30">
        <f>VLOOKUP(C2559, PA!A:M, 13, FALSE)</f>
        <v>4.7409040793825769E-2</v>
      </c>
    </row>
    <row r="2560" spans="1:11" x14ac:dyDescent="0.25">
      <c r="A2560" s="78">
        <v>46184</v>
      </c>
      <c r="C2560" s="33" t="s">
        <v>565</v>
      </c>
      <c r="D2560" s="30">
        <v>1</v>
      </c>
      <c r="E2560" s="30">
        <v>10</v>
      </c>
      <c r="F2560" s="30">
        <f t="shared" si="81"/>
        <v>10</v>
      </c>
      <c r="G2560" s="30" t="s">
        <v>9</v>
      </c>
      <c r="J2560" s="30" t="s">
        <v>392</v>
      </c>
      <c r="K2560" s="30">
        <f>VLOOKUP(C2560, PA!A:M, 13, FALSE)</f>
        <v>0.10091743119266047</v>
      </c>
    </row>
    <row r="2561" spans="1:11" x14ac:dyDescent="0.25">
      <c r="A2561" s="78">
        <v>46184</v>
      </c>
      <c r="C2561" s="33" t="s">
        <v>386</v>
      </c>
      <c r="D2561" s="30">
        <v>1</v>
      </c>
      <c r="E2561" s="30">
        <v>10</v>
      </c>
      <c r="F2561" s="30">
        <f t="shared" si="81"/>
        <v>10</v>
      </c>
      <c r="G2561" s="30" t="s">
        <v>9</v>
      </c>
      <c r="J2561" s="30" t="s">
        <v>392</v>
      </c>
      <c r="K2561" s="30">
        <f>VLOOKUP(C2561, PA!A:M, 13, FALSE)</f>
        <v>0.22448979591836743</v>
      </c>
    </row>
    <row r="2562" spans="1:11" x14ac:dyDescent="0.25">
      <c r="A2562" s="78">
        <v>46184</v>
      </c>
      <c r="C2562" s="33" t="s">
        <v>834</v>
      </c>
      <c r="D2562" s="30">
        <v>2</v>
      </c>
      <c r="E2562" s="30">
        <v>20</v>
      </c>
      <c r="F2562" s="30">
        <f t="shared" si="81"/>
        <v>40</v>
      </c>
      <c r="G2562" s="30" t="s">
        <v>9</v>
      </c>
      <c r="J2562" s="30" t="s">
        <v>392</v>
      </c>
      <c r="K2562" s="30">
        <f>VLOOKUP(C2562, PA!A:M, 13, FALSE)</f>
        <v>0.38461538461538458</v>
      </c>
    </row>
    <row r="2563" spans="1:11" ht="30" x14ac:dyDescent="0.25">
      <c r="A2563" s="78">
        <v>46184</v>
      </c>
      <c r="C2563" s="33" t="s">
        <v>589</v>
      </c>
      <c r="D2563" s="30">
        <v>0.36199999999999999</v>
      </c>
      <c r="E2563" s="30">
        <v>138</v>
      </c>
      <c r="F2563" s="30">
        <f t="shared" si="81"/>
        <v>49.955999999999996</v>
      </c>
      <c r="G2563" s="30" t="s">
        <v>9</v>
      </c>
      <c r="J2563" s="30" t="s">
        <v>392</v>
      </c>
      <c r="K2563" s="30">
        <f>VLOOKUP(C2563, PA!A:M, 13, FALSE)</f>
        <v>0.125</v>
      </c>
    </row>
    <row r="2564" spans="1:11" x14ac:dyDescent="0.25">
      <c r="A2564" s="78">
        <v>46184</v>
      </c>
      <c r="C2564" s="33" t="s">
        <v>905</v>
      </c>
      <c r="D2564" s="30">
        <v>6</v>
      </c>
      <c r="E2564" s="30">
        <v>9</v>
      </c>
      <c r="F2564" s="30">
        <f t="shared" si="81"/>
        <v>54</v>
      </c>
      <c r="G2564" s="30" t="s">
        <v>9</v>
      </c>
      <c r="J2564" s="30" t="s">
        <v>392</v>
      </c>
      <c r="K2564" s="30">
        <f>VLOOKUP(C2564, PA!A:M, 13, FALSE)</f>
        <v>0.17391304347826084</v>
      </c>
    </row>
    <row r="2565" spans="1:11" x14ac:dyDescent="0.25">
      <c r="A2565" s="78">
        <v>46184</v>
      </c>
      <c r="C2565" s="19" t="s">
        <v>885</v>
      </c>
      <c r="D2565" s="30">
        <v>1</v>
      </c>
      <c r="E2565" s="30">
        <v>30</v>
      </c>
      <c r="F2565" s="30">
        <f t="shared" si="81"/>
        <v>30</v>
      </c>
      <c r="G2565" s="30" t="s">
        <v>9</v>
      </c>
      <c r="J2565" s="30" t="s">
        <v>392</v>
      </c>
      <c r="K2565" s="30">
        <f>VLOOKUP(C2565, PA!A:M, 13, FALSE)</f>
        <v>0.1111111111111111</v>
      </c>
    </row>
    <row r="2566" spans="1:11" x14ac:dyDescent="0.25">
      <c r="A2566" s="78">
        <v>46184</v>
      </c>
      <c r="C2566" s="33" t="s">
        <v>700</v>
      </c>
      <c r="D2566" s="30">
        <v>1</v>
      </c>
      <c r="E2566" s="30">
        <v>5</v>
      </c>
      <c r="F2566" s="30">
        <f t="shared" ref="F2566:F2584" si="82">E2566*D2566</f>
        <v>5</v>
      </c>
      <c r="G2566" s="30" t="s">
        <v>9</v>
      </c>
      <c r="J2566" s="30" t="s">
        <v>392</v>
      </c>
      <c r="K2566" s="30">
        <f>VLOOKUP(C2566, PA!A:M, 13, FALSE)</f>
        <v>9.0909090909090981E-2</v>
      </c>
    </row>
    <row r="2567" spans="1:11" x14ac:dyDescent="0.25">
      <c r="A2567" s="78">
        <v>46184</v>
      </c>
      <c r="C2567" s="33" t="s">
        <v>345</v>
      </c>
      <c r="D2567" s="30">
        <v>1</v>
      </c>
      <c r="E2567" s="30">
        <v>1</v>
      </c>
      <c r="F2567" s="30">
        <f t="shared" si="82"/>
        <v>1</v>
      </c>
      <c r="G2567" s="30" t="s">
        <v>9</v>
      </c>
      <c r="J2567" s="30" t="s">
        <v>392</v>
      </c>
      <c r="K2567" s="30">
        <f>VLOOKUP(C2567, PA!A:M, 13, FALSE)</f>
        <v>0.14942528735632185</v>
      </c>
    </row>
    <row r="2568" spans="1:11" x14ac:dyDescent="0.25">
      <c r="A2568" s="78">
        <v>46184</v>
      </c>
      <c r="C2568" s="33" t="s">
        <v>905</v>
      </c>
      <c r="D2568" s="30">
        <v>2</v>
      </c>
      <c r="E2568" s="30">
        <v>9</v>
      </c>
      <c r="F2568" s="30">
        <f t="shared" si="82"/>
        <v>18</v>
      </c>
      <c r="G2568" s="30" t="s">
        <v>9</v>
      </c>
      <c r="J2568" s="30" t="s">
        <v>392</v>
      </c>
      <c r="K2568" s="30">
        <f>VLOOKUP(C2568, PA!A:M, 13, FALSE)</f>
        <v>0.17391304347826084</v>
      </c>
    </row>
    <row r="2569" spans="1:11" x14ac:dyDescent="0.25">
      <c r="A2569" s="78">
        <v>46184</v>
      </c>
      <c r="C2569" s="33" t="s">
        <v>375</v>
      </c>
      <c r="D2569" s="30">
        <v>2</v>
      </c>
      <c r="E2569" s="30">
        <v>1</v>
      </c>
      <c r="F2569" s="30">
        <f t="shared" si="82"/>
        <v>2</v>
      </c>
      <c r="G2569" s="30" t="s">
        <v>9</v>
      </c>
      <c r="J2569" s="30" t="s">
        <v>392</v>
      </c>
      <c r="K2569" s="30">
        <f>VLOOKUP(C2569, PA!A:M, 13, FALSE)</f>
        <v>0.14285714285714285</v>
      </c>
    </row>
    <row r="2570" spans="1:11" x14ac:dyDescent="0.25">
      <c r="A2570" s="78">
        <v>46184</v>
      </c>
      <c r="C2570" s="33" t="s">
        <v>558</v>
      </c>
      <c r="D2570" s="30">
        <v>1</v>
      </c>
      <c r="E2570" s="30">
        <v>10</v>
      </c>
      <c r="F2570" s="30">
        <f t="shared" si="82"/>
        <v>10</v>
      </c>
      <c r="G2570" s="30" t="s">
        <v>9</v>
      </c>
      <c r="J2570" s="30" t="s">
        <v>392</v>
      </c>
      <c r="K2570" s="30">
        <f>VLOOKUP(C2570, PA!A:M, 13, FALSE)</f>
        <v>0.1111111111111111</v>
      </c>
    </row>
    <row r="2571" spans="1:11" x14ac:dyDescent="0.25">
      <c r="A2571" s="78">
        <v>46184</v>
      </c>
      <c r="C2571" s="33" t="s">
        <v>905</v>
      </c>
      <c r="D2571" s="30">
        <v>5</v>
      </c>
      <c r="E2571" s="30">
        <v>9</v>
      </c>
      <c r="F2571" s="30">
        <f t="shared" si="82"/>
        <v>45</v>
      </c>
      <c r="G2571" s="30" t="s">
        <v>9</v>
      </c>
      <c r="J2571" s="30" t="s">
        <v>392</v>
      </c>
      <c r="K2571" s="30">
        <f>VLOOKUP(C2571, PA!A:M, 13, FALSE)</f>
        <v>0.17391304347826084</v>
      </c>
    </row>
    <row r="2572" spans="1:11" ht="30" x14ac:dyDescent="0.25">
      <c r="A2572" s="78">
        <v>46184</v>
      </c>
      <c r="C2572" s="19" t="s">
        <v>416</v>
      </c>
      <c r="D2572" s="30">
        <v>1</v>
      </c>
      <c r="E2572" s="30">
        <v>5</v>
      </c>
      <c r="F2572" s="30">
        <f t="shared" si="82"/>
        <v>5</v>
      </c>
      <c r="G2572" s="30" t="s">
        <v>9</v>
      </c>
      <c r="J2572" s="30" t="s">
        <v>392</v>
      </c>
      <c r="K2572" s="30">
        <f>VLOOKUP(C2572, PA!A:M, 13, FALSE)</f>
        <v>7.1428571428571355E-2</v>
      </c>
    </row>
    <row r="2573" spans="1:11" x14ac:dyDescent="0.25">
      <c r="A2573" s="78">
        <v>46184</v>
      </c>
      <c r="C2573" s="19" t="s">
        <v>812</v>
      </c>
      <c r="D2573" s="30">
        <v>1</v>
      </c>
      <c r="E2573" s="30">
        <v>62</v>
      </c>
      <c r="F2573" s="30">
        <f t="shared" si="82"/>
        <v>62</v>
      </c>
      <c r="G2573" s="30" t="s">
        <v>9</v>
      </c>
      <c r="J2573" s="30" t="s">
        <v>392</v>
      </c>
      <c r="K2573" s="30">
        <f>VLOOKUP(C2573, PA!A:M, 13, FALSE)</f>
        <v>0.24</v>
      </c>
    </row>
    <row r="2574" spans="1:11" x14ac:dyDescent="0.25">
      <c r="A2574" s="78">
        <v>46184</v>
      </c>
      <c r="C2574" s="33" t="s">
        <v>565</v>
      </c>
      <c r="D2574" s="30">
        <v>2</v>
      </c>
      <c r="E2574" s="30">
        <v>10</v>
      </c>
      <c r="F2574" s="30">
        <f t="shared" si="82"/>
        <v>20</v>
      </c>
      <c r="G2574" s="30" t="s">
        <v>9</v>
      </c>
      <c r="J2574" s="30" t="s">
        <v>392</v>
      </c>
      <c r="K2574" s="30">
        <f>VLOOKUP(C2574, PA!A:M, 13, FALSE)</f>
        <v>0.10091743119266047</v>
      </c>
    </row>
    <row r="2575" spans="1:11" x14ac:dyDescent="0.25">
      <c r="A2575" s="78">
        <v>46184</v>
      </c>
      <c r="C2575" s="19" t="s">
        <v>731</v>
      </c>
      <c r="D2575" s="30">
        <v>0.5</v>
      </c>
      <c r="E2575" s="30">
        <v>60</v>
      </c>
      <c r="F2575" s="30">
        <f t="shared" si="82"/>
        <v>30</v>
      </c>
      <c r="G2575" s="30" t="s">
        <v>9</v>
      </c>
      <c r="J2575" s="30" t="s">
        <v>392</v>
      </c>
      <c r="K2575" s="30">
        <f>VLOOKUP(C2575, PA!A:M, 13, FALSE)</f>
        <v>0.2</v>
      </c>
    </row>
    <row r="2576" spans="1:11" x14ac:dyDescent="0.25">
      <c r="A2576" s="78">
        <v>46184</v>
      </c>
      <c r="C2576" s="33" t="s">
        <v>834</v>
      </c>
      <c r="D2576" s="30">
        <v>1</v>
      </c>
      <c r="E2576" s="30">
        <v>20</v>
      </c>
      <c r="F2576" s="30">
        <f t="shared" si="82"/>
        <v>20</v>
      </c>
      <c r="G2576" s="30" t="s">
        <v>9</v>
      </c>
      <c r="J2576" s="30" t="s">
        <v>392</v>
      </c>
      <c r="K2576" s="30">
        <f>VLOOKUP(C2576, PA!A:M, 13, FALSE)</f>
        <v>0.38461538461538458</v>
      </c>
    </row>
    <row r="2577" spans="1:12" x14ac:dyDescent="0.25">
      <c r="A2577" s="78">
        <v>46184</v>
      </c>
      <c r="C2577" s="33" t="s">
        <v>822</v>
      </c>
      <c r="D2577" s="30">
        <v>1</v>
      </c>
      <c r="E2577" s="30">
        <v>30</v>
      </c>
      <c r="F2577" s="30">
        <f t="shared" si="82"/>
        <v>30</v>
      </c>
      <c r="G2577" s="30" t="s">
        <v>9</v>
      </c>
      <c r="J2577" s="30" t="s">
        <v>392</v>
      </c>
      <c r="K2577" s="30">
        <f>VLOOKUP(C2577, PA!A:M, 13, FALSE)</f>
        <v>7.1428571428571425E-2</v>
      </c>
    </row>
    <row r="2578" spans="1:12" x14ac:dyDescent="0.25">
      <c r="A2578" s="78">
        <v>46184</v>
      </c>
      <c r="C2578" s="19" t="s">
        <v>690</v>
      </c>
      <c r="D2578" s="30">
        <v>1</v>
      </c>
      <c r="E2578" s="30">
        <v>70</v>
      </c>
      <c r="F2578" s="30">
        <f t="shared" si="82"/>
        <v>70</v>
      </c>
      <c r="G2578" s="30" t="s">
        <v>9</v>
      </c>
      <c r="J2578" s="30" t="s">
        <v>392</v>
      </c>
      <c r="K2578" s="30">
        <f>VLOOKUP(C2578, PA!A:M, 13, FALSE)</f>
        <v>0.27272727272727271</v>
      </c>
    </row>
    <row r="2579" spans="1:12" ht="30" x14ac:dyDescent="0.25">
      <c r="A2579" s="78">
        <v>46184</v>
      </c>
      <c r="C2579" s="19" t="s">
        <v>621</v>
      </c>
      <c r="D2579" s="30">
        <v>1</v>
      </c>
      <c r="E2579" s="30">
        <v>75</v>
      </c>
      <c r="F2579" s="30">
        <f t="shared" si="82"/>
        <v>75</v>
      </c>
      <c r="G2579" s="30" t="s">
        <v>9</v>
      </c>
      <c r="J2579" s="30" t="s">
        <v>392</v>
      </c>
      <c r="K2579" s="30">
        <f>VLOOKUP(C2579, PA!A:M, 13, FALSE)</f>
        <v>7.1428571428571425E-2</v>
      </c>
    </row>
    <row r="2580" spans="1:12" x14ac:dyDescent="0.25">
      <c r="A2580" s="78">
        <v>46184</v>
      </c>
      <c r="C2580" s="19" t="s">
        <v>889</v>
      </c>
      <c r="D2580" s="30">
        <v>1</v>
      </c>
      <c r="E2580" s="30">
        <v>30</v>
      </c>
      <c r="F2580" s="30">
        <f t="shared" si="82"/>
        <v>30</v>
      </c>
      <c r="G2580" s="30" t="s">
        <v>9</v>
      </c>
      <c r="J2580" s="30" t="s">
        <v>392</v>
      </c>
      <c r="K2580" s="30">
        <f>VLOOKUP(C2580, PA!A:M, 13, FALSE)</f>
        <v>7.1428571428571425E-2</v>
      </c>
    </row>
    <row r="2581" spans="1:12" x14ac:dyDescent="0.25">
      <c r="A2581" s="78">
        <v>46184</v>
      </c>
      <c r="C2581" s="19" t="s">
        <v>590</v>
      </c>
      <c r="D2581" s="30">
        <v>0.35</v>
      </c>
      <c r="E2581" s="30">
        <v>58</v>
      </c>
      <c r="F2581" s="30">
        <f t="shared" si="82"/>
        <v>20.299999999999997</v>
      </c>
      <c r="G2581" s="30" t="s">
        <v>9</v>
      </c>
      <c r="J2581" s="30" t="s">
        <v>392</v>
      </c>
      <c r="K2581" s="30">
        <f>VLOOKUP(C2581, PA!A:M, 13, FALSE)</f>
        <v>0.1891891891891892</v>
      </c>
    </row>
    <row r="2582" spans="1:12" x14ac:dyDescent="0.25">
      <c r="A2582" s="78">
        <v>46184</v>
      </c>
      <c r="C2582" s="19" t="s">
        <v>618</v>
      </c>
      <c r="D2582" s="30">
        <v>1</v>
      </c>
      <c r="E2582" s="30">
        <v>50</v>
      </c>
      <c r="F2582" s="30">
        <f t="shared" si="82"/>
        <v>50</v>
      </c>
      <c r="G2582" s="30" t="s">
        <v>9</v>
      </c>
      <c r="J2582" s="30" t="s">
        <v>392</v>
      </c>
      <c r="K2582" s="30">
        <f>VLOOKUP(C2582, PA!A:M, 13, FALSE)</f>
        <v>8.6956521739130432E-2</v>
      </c>
    </row>
    <row r="2583" spans="1:12" x14ac:dyDescent="0.25">
      <c r="A2583" s="78">
        <v>46184</v>
      </c>
      <c r="C2583" s="33" t="s">
        <v>905</v>
      </c>
      <c r="D2583" s="30">
        <v>6</v>
      </c>
      <c r="E2583" s="30">
        <v>9</v>
      </c>
      <c r="F2583" s="30">
        <f t="shared" si="82"/>
        <v>54</v>
      </c>
      <c r="G2583" s="30" t="s">
        <v>9</v>
      </c>
      <c r="J2583" s="30" t="s">
        <v>392</v>
      </c>
      <c r="K2583" s="30">
        <f>VLOOKUP(C2583, PA!A:M, 13, FALSE)</f>
        <v>0.17391304347826084</v>
      </c>
    </row>
    <row r="2584" spans="1:12" x14ac:dyDescent="0.25">
      <c r="A2584" s="78">
        <v>46184</v>
      </c>
      <c r="C2584" s="19" t="s">
        <v>767</v>
      </c>
      <c r="D2584" s="30">
        <v>1</v>
      </c>
      <c r="E2584" s="30">
        <v>10</v>
      </c>
      <c r="F2584" s="30">
        <f t="shared" si="82"/>
        <v>10</v>
      </c>
      <c r="G2584" s="30" t="s">
        <v>9</v>
      </c>
      <c r="I2584" s="139">
        <f>SUM(F2553:F2584)</f>
        <v>901.25599999999997</v>
      </c>
      <c r="J2584" s="30" t="s">
        <v>392</v>
      </c>
      <c r="K2584" s="30">
        <f>VLOOKUP(C2584, PA!A:M, 13, FALSE)</f>
        <v>0.1111111111111111</v>
      </c>
      <c r="L2584" s="123">
        <f>AVERAGE(K2534:K2584)</f>
        <v>0.51983703411264159</v>
      </c>
    </row>
    <row r="2585" spans="1:12" s="69" customFormat="1" ht="18.75" x14ac:dyDescent="0.3">
      <c r="A2585" s="235" t="s">
        <v>437</v>
      </c>
      <c r="B2585" s="236"/>
      <c r="C2585" s="236"/>
      <c r="D2585" s="236"/>
      <c r="E2585" s="236"/>
      <c r="F2585" s="236"/>
      <c r="G2585" s="236"/>
      <c r="H2585" s="237"/>
      <c r="I2585" s="238">
        <f>SUM(I2584,I2552)</f>
        <v>1599.42</v>
      </c>
      <c r="J2585" s="239"/>
      <c r="K2585" s="239"/>
      <c r="L2585" s="240"/>
    </row>
    <row r="2586" spans="1:12" x14ac:dyDescent="0.25">
      <c r="A2586" s="78">
        <v>46185</v>
      </c>
      <c r="C2586" s="33" t="s">
        <v>861</v>
      </c>
      <c r="D2586" s="30">
        <v>2</v>
      </c>
      <c r="E2586" s="30">
        <v>20</v>
      </c>
      <c r="F2586" s="30">
        <f t="shared" ref="F2586:F2632" si="83">E2586*D2586</f>
        <v>40</v>
      </c>
      <c r="G2586" s="30" t="s">
        <v>9</v>
      </c>
      <c r="J2586" s="30" t="s">
        <v>392</v>
      </c>
      <c r="K2586" s="30">
        <f>VLOOKUP(C2586, PA!A:M, 13, FALSE)</f>
        <v>0.53846153846153844</v>
      </c>
    </row>
    <row r="2587" spans="1:12" x14ac:dyDescent="0.25">
      <c r="A2587" s="78">
        <v>46185</v>
      </c>
      <c r="C2587" s="33" t="s">
        <v>822</v>
      </c>
      <c r="D2587" s="30">
        <v>1</v>
      </c>
      <c r="E2587" s="30">
        <v>30</v>
      </c>
      <c r="F2587" s="30">
        <f t="shared" si="83"/>
        <v>30</v>
      </c>
      <c r="G2587" s="30" t="s">
        <v>9</v>
      </c>
      <c r="J2587" s="30" t="s">
        <v>392</v>
      </c>
      <c r="K2587" s="30">
        <f>VLOOKUP(C2587, PA!A:M, 13, FALSE)</f>
        <v>7.1428571428571425E-2</v>
      </c>
    </row>
    <row r="2588" spans="1:12" x14ac:dyDescent="0.25">
      <c r="A2588" s="78">
        <v>46185</v>
      </c>
      <c r="C2588" s="33" t="s">
        <v>781</v>
      </c>
      <c r="D2588" s="30">
        <v>0.1</v>
      </c>
      <c r="E2588" s="30">
        <v>200</v>
      </c>
      <c r="F2588" s="30">
        <f t="shared" si="83"/>
        <v>20</v>
      </c>
      <c r="G2588" s="30" t="s">
        <v>9</v>
      </c>
      <c r="J2588" s="30" t="s">
        <v>392</v>
      </c>
      <c r="K2588" s="30">
        <f>VLOOKUP(C2588, PA!A:M, 13, FALSE)</f>
        <v>0.42857142857142855</v>
      </c>
    </row>
    <row r="2589" spans="1:12" x14ac:dyDescent="0.25">
      <c r="A2589" s="78">
        <v>46185</v>
      </c>
      <c r="C2589" s="33" t="s">
        <v>780</v>
      </c>
      <c r="D2589" s="30">
        <v>0.1</v>
      </c>
      <c r="E2589" s="30">
        <v>150</v>
      </c>
      <c r="F2589" s="30">
        <f t="shared" si="83"/>
        <v>15</v>
      </c>
      <c r="G2589" s="30" t="s">
        <v>9</v>
      </c>
      <c r="J2589" s="30" t="s">
        <v>392</v>
      </c>
      <c r="K2589" s="30">
        <f>VLOOKUP(C2589, PA!A:M, 13, FALSE)</f>
        <v>0.66666666666666663</v>
      </c>
    </row>
    <row r="2590" spans="1:12" x14ac:dyDescent="0.25">
      <c r="A2590" s="78">
        <v>46185</v>
      </c>
      <c r="C2590" s="33" t="s">
        <v>819</v>
      </c>
      <c r="D2590" s="30">
        <v>1</v>
      </c>
      <c r="E2590" s="30">
        <v>40</v>
      </c>
      <c r="F2590" s="30">
        <f t="shared" si="83"/>
        <v>40</v>
      </c>
      <c r="G2590" s="30" t="s">
        <v>9</v>
      </c>
      <c r="J2590" s="30" t="s">
        <v>392</v>
      </c>
      <c r="K2590" s="30">
        <f>VLOOKUP(C2590, PA!A:M, 13, FALSE)</f>
        <v>5.2631578947368418E-2</v>
      </c>
    </row>
    <row r="2591" spans="1:12" x14ac:dyDescent="0.25">
      <c r="A2591" s="78">
        <v>46185</v>
      </c>
      <c r="C2591" s="33" t="s">
        <v>714</v>
      </c>
      <c r="D2591" s="30">
        <v>1</v>
      </c>
      <c r="E2591" s="30">
        <v>30</v>
      </c>
      <c r="F2591" s="30">
        <f t="shared" si="83"/>
        <v>30</v>
      </c>
      <c r="G2591" s="30" t="s">
        <v>9</v>
      </c>
      <c r="J2591" s="30" t="s">
        <v>392</v>
      </c>
      <c r="K2591" s="30">
        <f>VLOOKUP(C2591, PA!A:M, 13, FALSE)</f>
        <v>0.15384615384615385</v>
      </c>
    </row>
    <row r="2592" spans="1:12" x14ac:dyDescent="0.25">
      <c r="A2592" s="78">
        <v>46185</v>
      </c>
      <c r="C2592" s="19" t="s">
        <v>94</v>
      </c>
      <c r="D2592" s="30">
        <v>1</v>
      </c>
      <c r="E2592" s="30">
        <v>19</v>
      </c>
      <c r="F2592" s="30">
        <f t="shared" si="83"/>
        <v>19</v>
      </c>
      <c r="G2592" s="30" t="s">
        <v>9</v>
      </c>
      <c r="J2592" s="30" t="s">
        <v>392</v>
      </c>
      <c r="K2592" s="30">
        <f>VLOOKUP(C2592, PA!A:M, 13, FALSE)</f>
        <v>0.75925925925925919</v>
      </c>
    </row>
    <row r="2593" spans="1:11" x14ac:dyDescent="0.25">
      <c r="A2593" s="78">
        <v>46185</v>
      </c>
      <c r="C2593" s="19" t="s">
        <v>102</v>
      </c>
      <c r="D2593" s="30">
        <v>1</v>
      </c>
      <c r="E2593" s="30">
        <v>25</v>
      </c>
      <c r="F2593" s="30">
        <f t="shared" si="83"/>
        <v>25</v>
      </c>
      <c r="G2593" s="30" t="s">
        <v>9</v>
      </c>
      <c r="J2593" s="30" t="s">
        <v>392</v>
      </c>
      <c r="K2593" s="30">
        <f>VLOOKUP(C2593, PA!A:M, 13, FALSE)</f>
        <v>0.32978723404255317</v>
      </c>
    </row>
    <row r="2594" spans="1:11" x14ac:dyDescent="0.25">
      <c r="A2594" s="78">
        <v>46185</v>
      </c>
      <c r="C2594" s="19" t="s">
        <v>677</v>
      </c>
      <c r="D2594" s="30">
        <v>1</v>
      </c>
      <c r="E2594" s="30">
        <v>5</v>
      </c>
      <c r="F2594" s="30">
        <f t="shared" si="83"/>
        <v>5</v>
      </c>
      <c r="G2594" s="30" t="s">
        <v>9</v>
      </c>
      <c r="J2594" s="30" t="s">
        <v>392</v>
      </c>
      <c r="K2594" s="30">
        <f>VLOOKUP(C2594, PA!A:M, 13, FALSE)</f>
        <v>0.42857142857142855</v>
      </c>
    </row>
    <row r="2595" spans="1:11" x14ac:dyDescent="0.25">
      <c r="A2595" s="78">
        <v>46185</v>
      </c>
      <c r="C2595" s="33" t="s">
        <v>565</v>
      </c>
      <c r="D2595" s="30">
        <v>2</v>
      </c>
      <c r="E2595" s="30">
        <v>10</v>
      </c>
      <c r="F2595" s="30">
        <f t="shared" si="83"/>
        <v>20</v>
      </c>
      <c r="G2595" s="30" t="s">
        <v>9</v>
      </c>
      <c r="J2595" s="30" t="s">
        <v>392</v>
      </c>
      <c r="K2595" s="30">
        <f>VLOOKUP(C2595, PA!A:M, 13, FALSE)</f>
        <v>0.10091743119266047</v>
      </c>
    </row>
    <row r="2596" spans="1:11" x14ac:dyDescent="0.25">
      <c r="A2596" s="78">
        <v>46185</v>
      </c>
      <c r="C2596" s="33" t="s">
        <v>682</v>
      </c>
      <c r="D2596" s="30">
        <v>2</v>
      </c>
      <c r="E2596" s="30">
        <v>10</v>
      </c>
      <c r="F2596" s="30">
        <f t="shared" si="83"/>
        <v>20</v>
      </c>
      <c r="G2596" s="30" t="s">
        <v>9</v>
      </c>
      <c r="J2596" s="30" t="s">
        <v>392</v>
      </c>
      <c r="K2596" s="30">
        <f>VLOOKUP(C2596, PA!A:M, 13, FALSE)</f>
        <v>0.33333333333333331</v>
      </c>
    </row>
    <row r="2597" spans="1:11" x14ac:dyDescent="0.25">
      <c r="A2597" s="78">
        <v>46185</v>
      </c>
      <c r="C2597" s="19" t="s">
        <v>772</v>
      </c>
      <c r="D2597" s="30">
        <v>1</v>
      </c>
      <c r="E2597" s="30">
        <v>20</v>
      </c>
      <c r="F2597" s="30">
        <f t="shared" si="83"/>
        <v>20</v>
      </c>
      <c r="G2597" s="30" t="s">
        <v>9</v>
      </c>
      <c r="J2597" s="30" t="s">
        <v>392</v>
      </c>
      <c r="K2597" s="30">
        <f>VLOOKUP(C2597, PA!A:M, 13, FALSE)</f>
        <v>0.1111111111111111</v>
      </c>
    </row>
    <row r="2598" spans="1:11" x14ac:dyDescent="0.25">
      <c r="A2598" s="78">
        <v>46185</v>
      </c>
      <c r="C2598" s="19" t="s">
        <v>869</v>
      </c>
      <c r="D2598" s="30">
        <v>1</v>
      </c>
      <c r="E2598" s="30">
        <v>25</v>
      </c>
      <c r="F2598" s="30">
        <f t="shared" si="83"/>
        <v>25</v>
      </c>
      <c r="G2598" s="30" t="s">
        <v>9</v>
      </c>
      <c r="J2598" s="30" t="s">
        <v>392</v>
      </c>
      <c r="K2598" s="30">
        <f>VLOOKUP(C2598, PA!A:M, 13, FALSE)</f>
        <v>0.19047619047619047</v>
      </c>
    </row>
    <row r="2599" spans="1:11" x14ac:dyDescent="0.25">
      <c r="A2599" s="78">
        <v>46185</v>
      </c>
      <c r="C2599" s="19" t="s">
        <v>891</v>
      </c>
      <c r="D2599" s="30">
        <v>10</v>
      </c>
      <c r="E2599" s="30">
        <v>1</v>
      </c>
      <c r="F2599" s="30">
        <f t="shared" si="83"/>
        <v>10</v>
      </c>
      <c r="G2599" s="30" t="s">
        <v>9</v>
      </c>
      <c r="J2599" s="30" t="s">
        <v>392</v>
      </c>
      <c r="K2599" s="30">
        <f>VLOOKUP(C2599, PA!A:M, 13, FALSE)</f>
        <v>0.1304347826086957</v>
      </c>
    </row>
    <row r="2600" spans="1:11" x14ac:dyDescent="0.25">
      <c r="A2600" s="78">
        <v>46185</v>
      </c>
      <c r="C2600" s="19" t="s">
        <v>530</v>
      </c>
      <c r="D2600" s="30">
        <v>1</v>
      </c>
      <c r="E2600" s="30">
        <v>10</v>
      </c>
      <c r="F2600" s="30">
        <f t="shared" si="83"/>
        <v>10</v>
      </c>
      <c r="G2600" s="30" t="s">
        <v>9</v>
      </c>
      <c r="J2600" s="30" t="s">
        <v>392</v>
      </c>
      <c r="K2600" s="30">
        <f>VLOOKUP(C2600, PA!A:M, 13, FALSE)</f>
        <v>0.19999999999999993</v>
      </c>
    </row>
    <row r="2601" spans="1:11" x14ac:dyDescent="0.25">
      <c r="A2601" s="78">
        <v>46185</v>
      </c>
      <c r="C2601" s="19" t="s">
        <v>752</v>
      </c>
      <c r="D2601" s="30">
        <v>1</v>
      </c>
      <c r="E2601" s="30">
        <v>50</v>
      </c>
      <c r="F2601" s="30">
        <f t="shared" si="83"/>
        <v>50</v>
      </c>
      <c r="G2601" s="30" t="s">
        <v>9</v>
      </c>
      <c r="J2601" s="30" t="s">
        <v>392</v>
      </c>
      <c r="K2601" s="30">
        <f>VLOOKUP(C2601, PA!A:M, 13, FALSE)</f>
        <v>9.8096632503660366E-2</v>
      </c>
    </row>
    <row r="2602" spans="1:11" ht="30" x14ac:dyDescent="0.25">
      <c r="A2602" s="78">
        <v>46185</v>
      </c>
      <c r="C2602" s="33" t="s">
        <v>377</v>
      </c>
      <c r="D2602" s="30">
        <v>2</v>
      </c>
      <c r="E2602" s="30">
        <v>10</v>
      </c>
      <c r="F2602" s="30">
        <f t="shared" si="83"/>
        <v>20</v>
      </c>
      <c r="G2602" s="30" t="s">
        <v>9</v>
      </c>
      <c r="J2602" s="30" t="s">
        <v>392</v>
      </c>
      <c r="K2602" s="30">
        <f>VLOOKUP(C2602, PA!A:M, 13, FALSE)</f>
        <v>0.20048019207683071</v>
      </c>
    </row>
    <row r="2603" spans="1:11" ht="30" x14ac:dyDescent="0.25">
      <c r="A2603" s="78">
        <v>46185</v>
      </c>
      <c r="C2603" s="33" t="s">
        <v>377</v>
      </c>
      <c r="D2603" s="30">
        <v>1</v>
      </c>
      <c r="E2603" s="30">
        <v>10</v>
      </c>
      <c r="F2603" s="30">
        <f t="shared" si="83"/>
        <v>10</v>
      </c>
      <c r="G2603" s="30" t="s">
        <v>9</v>
      </c>
      <c r="J2603" s="30" t="s">
        <v>392</v>
      </c>
      <c r="K2603" s="30">
        <f>VLOOKUP(C2603, PA!A:M, 13, FALSE)</f>
        <v>0.20048019207683071</v>
      </c>
    </row>
    <row r="2604" spans="1:11" x14ac:dyDescent="0.25">
      <c r="A2604" s="78">
        <v>46185</v>
      </c>
      <c r="C2604" s="19" t="s">
        <v>811</v>
      </c>
      <c r="D2604" s="30">
        <v>0.25</v>
      </c>
      <c r="E2604" s="30">
        <v>160</v>
      </c>
      <c r="F2604" s="30">
        <f t="shared" si="83"/>
        <v>40</v>
      </c>
      <c r="G2604" s="30" t="s">
        <v>9</v>
      </c>
      <c r="J2604" s="30" t="s">
        <v>392</v>
      </c>
      <c r="K2604" s="30">
        <f>VLOOKUP(C2604, PA!A:M, 13, FALSE)</f>
        <v>0.14285714285714285</v>
      </c>
    </row>
    <row r="2605" spans="1:11" x14ac:dyDescent="0.25">
      <c r="A2605" s="78">
        <v>46185</v>
      </c>
      <c r="C2605" s="33" t="s">
        <v>476</v>
      </c>
      <c r="D2605" s="30">
        <v>1</v>
      </c>
      <c r="E2605" s="30">
        <v>20</v>
      </c>
      <c r="F2605" s="30">
        <f t="shared" si="83"/>
        <v>20</v>
      </c>
      <c r="G2605" s="30" t="s">
        <v>9</v>
      </c>
      <c r="J2605" s="30" t="s">
        <v>392</v>
      </c>
      <c r="K2605" s="30">
        <f>VLOOKUP(C2605, PA!A:M, 13, FALSE)</f>
        <v>0.13207547169811312</v>
      </c>
    </row>
    <row r="2606" spans="1:11" x14ac:dyDescent="0.25">
      <c r="A2606" s="78">
        <v>46185</v>
      </c>
      <c r="C2606" s="19" t="s">
        <v>532</v>
      </c>
      <c r="D2606" s="30">
        <v>2</v>
      </c>
      <c r="E2606" s="30">
        <v>5</v>
      </c>
      <c r="F2606" s="30">
        <f t="shared" si="83"/>
        <v>10</v>
      </c>
      <c r="G2606" s="30" t="s">
        <v>9</v>
      </c>
      <c r="J2606" s="30" t="s">
        <v>392</v>
      </c>
      <c r="K2606" s="30">
        <f>VLOOKUP(C2606, PA!A:M, 13, FALSE)</f>
        <v>0.10294117647058826</v>
      </c>
    </row>
    <row r="2607" spans="1:11" x14ac:dyDescent="0.25">
      <c r="A2607" s="78">
        <v>46185</v>
      </c>
      <c r="C2607" s="19" t="s">
        <v>519</v>
      </c>
      <c r="D2607" s="30">
        <v>1</v>
      </c>
      <c r="E2607" s="30">
        <v>10</v>
      </c>
      <c r="F2607" s="30">
        <f t="shared" si="83"/>
        <v>10</v>
      </c>
      <c r="G2607" s="30" t="s">
        <v>9</v>
      </c>
      <c r="J2607" s="30" t="s">
        <v>392</v>
      </c>
      <c r="K2607" s="30">
        <f>VLOOKUP(C2607, PA!A:M, 13, FALSE)</f>
        <v>0.14285714285714285</v>
      </c>
    </row>
    <row r="2608" spans="1:11" x14ac:dyDescent="0.25">
      <c r="A2608" s="78">
        <v>46185</v>
      </c>
      <c r="C2608" s="33" t="s">
        <v>565</v>
      </c>
      <c r="D2608" s="30">
        <v>1</v>
      </c>
      <c r="E2608" s="30">
        <v>10</v>
      </c>
      <c r="F2608" s="30">
        <f t="shared" si="83"/>
        <v>10</v>
      </c>
      <c r="G2608" s="30" t="s">
        <v>9</v>
      </c>
      <c r="J2608" s="30" t="s">
        <v>392</v>
      </c>
      <c r="K2608" s="30">
        <f>VLOOKUP(C2608, PA!A:M, 13, FALSE)</f>
        <v>0.10091743119266047</v>
      </c>
    </row>
    <row r="2609" spans="1:11" x14ac:dyDescent="0.25">
      <c r="A2609" s="78">
        <v>46185</v>
      </c>
      <c r="C2609" s="33" t="s">
        <v>834</v>
      </c>
      <c r="D2609" s="30">
        <v>1</v>
      </c>
      <c r="E2609" s="30">
        <v>20</v>
      </c>
      <c r="F2609" s="30">
        <f t="shared" si="83"/>
        <v>20</v>
      </c>
      <c r="G2609" s="30" t="s">
        <v>9</v>
      </c>
      <c r="J2609" s="30" t="s">
        <v>392</v>
      </c>
      <c r="K2609" s="30">
        <f>VLOOKUP(C2609, PA!A:M, 13, FALSE)</f>
        <v>0.38461538461538458</v>
      </c>
    </row>
    <row r="2610" spans="1:11" x14ac:dyDescent="0.25">
      <c r="A2610" s="78">
        <v>46185</v>
      </c>
      <c r="C2610" s="33" t="s">
        <v>905</v>
      </c>
      <c r="D2610" s="30">
        <v>5</v>
      </c>
      <c r="E2610" s="30">
        <v>9</v>
      </c>
      <c r="F2610" s="30">
        <f t="shared" si="83"/>
        <v>45</v>
      </c>
      <c r="G2610" s="30" t="s">
        <v>9</v>
      </c>
      <c r="J2610" s="30" t="s">
        <v>392</v>
      </c>
      <c r="K2610" s="30">
        <f>VLOOKUP(C2610, PA!A:M, 13, FALSE)</f>
        <v>0.17391304347826084</v>
      </c>
    </row>
    <row r="2611" spans="1:11" x14ac:dyDescent="0.25">
      <c r="A2611" s="78">
        <v>46185</v>
      </c>
      <c r="C2611" s="33" t="s">
        <v>819</v>
      </c>
      <c r="D2611" s="30">
        <v>1</v>
      </c>
      <c r="E2611" s="30">
        <v>40</v>
      </c>
      <c r="F2611" s="30">
        <f t="shared" si="83"/>
        <v>40</v>
      </c>
      <c r="G2611" s="30" t="s">
        <v>9</v>
      </c>
      <c r="J2611" s="30" t="s">
        <v>392</v>
      </c>
      <c r="K2611" s="30">
        <f>VLOOKUP(C2611, PA!A:M, 13, FALSE)</f>
        <v>5.2631578947368418E-2</v>
      </c>
    </row>
    <row r="2612" spans="1:11" x14ac:dyDescent="0.25">
      <c r="A2612" s="78">
        <v>46185</v>
      </c>
      <c r="C2612" s="19" t="s">
        <v>553</v>
      </c>
      <c r="D2612" s="30">
        <v>1</v>
      </c>
      <c r="E2612" s="30">
        <v>5</v>
      </c>
      <c r="F2612" s="30">
        <f t="shared" si="83"/>
        <v>5</v>
      </c>
      <c r="G2612" s="30" t="s">
        <v>9</v>
      </c>
      <c r="J2612" s="30" t="s">
        <v>392</v>
      </c>
      <c r="K2612" s="30">
        <f>VLOOKUP(C2612, PA!A:M, 13, FALSE)</f>
        <v>0.1111111111111111</v>
      </c>
    </row>
    <row r="2613" spans="1:11" x14ac:dyDescent="0.25">
      <c r="A2613" s="78">
        <v>46185</v>
      </c>
      <c r="C2613" s="33" t="s">
        <v>807</v>
      </c>
      <c r="D2613" s="30">
        <v>0.5</v>
      </c>
      <c r="E2613" s="30">
        <v>70</v>
      </c>
      <c r="F2613" s="30">
        <f t="shared" si="83"/>
        <v>35</v>
      </c>
      <c r="G2613" s="30" t="s">
        <v>9</v>
      </c>
      <c r="J2613" s="30" t="s">
        <v>392</v>
      </c>
      <c r="K2613" s="30">
        <f>VLOOKUP(C2613, PA!A:M, 13, FALSE)</f>
        <v>0.2068269230769231</v>
      </c>
    </row>
    <row r="2614" spans="1:11" x14ac:dyDescent="0.25">
      <c r="A2614" s="78">
        <v>46185</v>
      </c>
      <c r="C2614" s="19" t="s">
        <v>825</v>
      </c>
      <c r="D2614" s="30">
        <v>1</v>
      </c>
      <c r="E2614" s="30">
        <v>70</v>
      </c>
      <c r="F2614" s="30">
        <f t="shared" si="83"/>
        <v>70</v>
      </c>
      <c r="G2614" s="30" t="s">
        <v>9</v>
      </c>
      <c r="J2614" s="30" t="s">
        <v>392</v>
      </c>
      <c r="K2614" s="30">
        <f>VLOOKUP(C2614, PA!A:M, 13, FALSE)</f>
        <v>7.6923076923076927E-2</v>
      </c>
    </row>
    <row r="2615" spans="1:11" x14ac:dyDescent="0.25">
      <c r="A2615" s="78">
        <v>46185</v>
      </c>
      <c r="C2615" s="33" t="s">
        <v>375</v>
      </c>
      <c r="D2615" s="30">
        <v>5</v>
      </c>
      <c r="E2615" s="30">
        <v>1</v>
      </c>
      <c r="F2615" s="30">
        <f t="shared" si="83"/>
        <v>5</v>
      </c>
      <c r="G2615" s="30" t="s">
        <v>9</v>
      </c>
      <c r="J2615" s="30" t="s">
        <v>392</v>
      </c>
      <c r="K2615" s="30">
        <f>VLOOKUP(C2615, PA!A:M, 13, FALSE)</f>
        <v>0.14285714285714285</v>
      </c>
    </row>
    <row r="2616" spans="1:11" x14ac:dyDescent="0.25">
      <c r="A2616" s="78">
        <v>46185</v>
      </c>
      <c r="C2616" s="19" t="s">
        <v>532</v>
      </c>
      <c r="D2616" s="30">
        <v>2</v>
      </c>
      <c r="E2616" s="30">
        <v>5</v>
      </c>
      <c r="F2616" s="30">
        <f t="shared" si="83"/>
        <v>10</v>
      </c>
      <c r="G2616" s="30" t="s">
        <v>9</v>
      </c>
      <c r="J2616" s="30" t="s">
        <v>392</v>
      </c>
      <c r="K2616" s="30">
        <f>VLOOKUP(C2616, PA!A:M, 13, FALSE)</f>
        <v>0.10294117647058826</v>
      </c>
    </row>
    <row r="2617" spans="1:11" x14ac:dyDescent="0.25">
      <c r="A2617" s="78">
        <v>46185</v>
      </c>
      <c r="C2617" s="19" t="str">
        <f>'Stock Register'!A6</f>
        <v>LOOSE TEA LOT 2</v>
      </c>
      <c r="D2617" s="30">
        <v>7.0999999999999994E-2</v>
      </c>
      <c r="E2617" s="30">
        <v>280</v>
      </c>
      <c r="F2617" s="30">
        <f t="shared" si="83"/>
        <v>19.88</v>
      </c>
      <c r="G2617" s="30" t="s">
        <v>9</v>
      </c>
      <c r="J2617" s="30" t="s">
        <v>392</v>
      </c>
      <c r="K2617" s="30">
        <f>VLOOKUP(C2617, PA!A:M, 13, FALSE)</f>
        <v>0.16666666666666666</v>
      </c>
    </row>
    <row r="2618" spans="1:11" x14ac:dyDescent="0.25">
      <c r="A2618" s="78">
        <v>46185</v>
      </c>
      <c r="C2618" s="33" t="s">
        <v>834</v>
      </c>
      <c r="D2618" s="30">
        <v>2</v>
      </c>
      <c r="E2618" s="30">
        <v>20</v>
      </c>
      <c r="F2618" s="30">
        <f t="shared" si="83"/>
        <v>40</v>
      </c>
      <c r="G2618" s="30" t="s">
        <v>9</v>
      </c>
      <c r="J2618" s="30" t="s">
        <v>392</v>
      </c>
      <c r="K2618" s="30">
        <f>VLOOKUP(C2618, PA!A:M, 13, FALSE)</f>
        <v>0.38461538461538458</v>
      </c>
    </row>
    <row r="2619" spans="1:11" x14ac:dyDescent="0.25">
      <c r="A2619" s="78">
        <v>46185</v>
      </c>
      <c r="C2619" s="33" t="s">
        <v>476</v>
      </c>
      <c r="D2619" s="30">
        <v>1</v>
      </c>
      <c r="E2619" s="30">
        <v>20</v>
      </c>
      <c r="F2619" s="30">
        <f t="shared" si="83"/>
        <v>20</v>
      </c>
      <c r="G2619" s="30" t="s">
        <v>9</v>
      </c>
      <c r="J2619" s="30" t="s">
        <v>392</v>
      </c>
      <c r="K2619" s="30">
        <f>VLOOKUP(C2619, PA!A:M, 13, FALSE)</f>
        <v>0.13207547169811312</v>
      </c>
    </row>
    <row r="2620" spans="1:11" x14ac:dyDescent="0.25">
      <c r="A2620" s="78">
        <v>46185</v>
      </c>
      <c r="C2620" s="19" t="s">
        <v>757</v>
      </c>
      <c r="D2620" s="30">
        <v>0.25</v>
      </c>
      <c r="E2620" s="30">
        <v>140</v>
      </c>
      <c r="F2620" s="30">
        <f t="shared" si="83"/>
        <v>35</v>
      </c>
      <c r="G2620" s="30" t="s">
        <v>9</v>
      </c>
      <c r="J2620" s="30" t="s">
        <v>392</v>
      </c>
      <c r="K2620" s="30">
        <f>VLOOKUP(C2620, PA!A:M, 13, FALSE)</f>
        <v>0.12</v>
      </c>
    </row>
    <row r="2621" spans="1:11" x14ac:dyDescent="0.25">
      <c r="A2621" s="78">
        <v>46185</v>
      </c>
      <c r="C2621" s="19" t="s">
        <v>912</v>
      </c>
      <c r="D2621" s="30">
        <v>3</v>
      </c>
      <c r="E2621" s="30">
        <v>10</v>
      </c>
      <c r="F2621" s="30">
        <f t="shared" si="83"/>
        <v>30</v>
      </c>
      <c r="G2621" s="30" t="s">
        <v>9</v>
      </c>
      <c r="J2621" s="30" t="s">
        <v>392</v>
      </c>
      <c r="K2621" s="30">
        <f>VLOOKUP(C2621, PA!A:M, 13, FALSE)</f>
        <v>9.0909090909090981E-2</v>
      </c>
    </row>
    <row r="2622" spans="1:11" x14ac:dyDescent="0.25">
      <c r="A2622" s="78">
        <v>46185</v>
      </c>
      <c r="C2622" s="19" t="s">
        <v>762</v>
      </c>
      <c r="D2622" s="30">
        <v>2</v>
      </c>
      <c r="E2622" s="30">
        <v>10</v>
      </c>
      <c r="F2622" s="30">
        <f t="shared" si="83"/>
        <v>20</v>
      </c>
      <c r="G2622" s="30" t="s">
        <v>9</v>
      </c>
      <c r="J2622" s="30" t="s">
        <v>392</v>
      </c>
      <c r="K2622" s="30">
        <f>VLOOKUP(C2622, PA!A:M, 13, FALSE)</f>
        <v>-0.45454545454545453</v>
      </c>
    </row>
    <row r="2623" spans="1:11" x14ac:dyDescent="0.25">
      <c r="A2623" s="78">
        <v>46185</v>
      </c>
      <c r="C2623" s="19" t="s">
        <v>667</v>
      </c>
      <c r="D2623" s="30">
        <v>4</v>
      </c>
      <c r="E2623" s="30">
        <v>5</v>
      </c>
      <c r="F2623" s="30">
        <f t="shared" si="83"/>
        <v>20</v>
      </c>
      <c r="G2623" s="30" t="s">
        <v>9</v>
      </c>
      <c r="J2623" s="30" t="s">
        <v>392</v>
      </c>
      <c r="K2623" s="30">
        <f>VLOOKUP(C2623, PA!A:M, 13, FALSE)</f>
        <v>0.1111111111111111</v>
      </c>
    </row>
    <row r="2624" spans="1:11" x14ac:dyDescent="0.25">
      <c r="A2624" s="78">
        <v>46185</v>
      </c>
      <c r="C2624" s="19" t="s">
        <v>891</v>
      </c>
      <c r="D2624" s="30">
        <v>10</v>
      </c>
      <c r="E2624" s="30">
        <v>1</v>
      </c>
      <c r="F2624" s="30">
        <f t="shared" si="83"/>
        <v>10</v>
      </c>
      <c r="G2624" s="30" t="s">
        <v>9</v>
      </c>
      <c r="J2624" s="30" t="s">
        <v>392</v>
      </c>
      <c r="K2624" s="30">
        <f>VLOOKUP(C2624, PA!A:M, 13, FALSE)</f>
        <v>0.1304347826086957</v>
      </c>
    </row>
    <row r="2625" spans="1:12" x14ac:dyDescent="0.25">
      <c r="A2625" s="78">
        <v>46185</v>
      </c>
      <c r="C2625" s="19" t="s">
        <v>581</v>
      </c>
      <c r="D2625" s="30">
        <v>5</v>
      </c>
      <c r="E2625" s="30">
        <v>2</v>
      </c>
      <c r="F2625" s="30">
        <f t="shared" si="83"/>
        <v>10</v>
      </c>
      <c r="G2625" s="30" t="s">
        <v>9</v>
      </c>
      <c r="J2625" s="30" t="s">
        <v>392</v>
      </c>
      <c r="K2625" s="30">
        <f>VLOOKUP(C2625, PA!A:M, 13, FALSE)</f>
        <v>0.33333333333333331</v>
      </c>
    </row>
    <row r="2626" spans="1:12" x14ac:dyDescent="0.25">
      <c r="A2626" s="78">
        <v>46185</v>
      </c>
      <c r="C2626" s="33" t="s">
        <v>807</v>
      </c>
      <c r="D2626" s="30">
        <v>0.5</v>
      </c>
      <c r="E2626" s="30">
        <v>70</v>
      </c>
      <c r="F2626" s="30">
        <f t="shared" si="83"/>
        <v>35</v>
      </c>
      <c r="G2626" s="30" t="s">
        <v>9</v>
      </c>
      <c r="J2626" s="30" t="s">
        <v>392</v>
      </c>
      <c r="K2626" s="30">
        <f>VLOOKUP(C2626, PA!A:M, 13, FALSE)</f>
        <v>0.2068269230769231</v>
      </c>
    </row>
    <row r="2627" spans="1:12" x14ac:dyDescent="0.25">
      <c r="A2627" s="78">
        <v>46185</v>
      </c>
      <c r="C2627" s="19" t="s">
        <v>668</v>
      </c>
      <c r="D2627" s="30">
        <v>1</v>
      </c>
      <c r="E2627" s="30">
        <v>5</v>
      </c>
      <c r="F2627" s="30">
        <f t="shared" si="83"/>
        <v>5</v>
      </c>
      <c r="G2627" s="30" t="s">
        <v>9</v>
      </c>
      <c r="J2627" s="30" t="s">
        <v>392</v>
      </c>
      <c r="K2627" s="30">
        <f>VLOOKUP(C2627, PA!A:M, 13, FALSE)</f>
        <v>0.1111111111111111</v>
      </c>
    </row>
    <row r="2628" spans="1:12" x14ac:dyDescent="0.25">
      <c r="A2628" s="78">
        <v>46185</v>
      </c>
      <c r="C2628" s="33" t="s">
        <v>905</v>
      </c>
      <c r="D2628" s="30">
        <v>4</v>
      </c>
      <c r="E2628" s="30">
        <v>9</v>
      </c>
      <c r="F2628" s="30">
        <f t="shared" si="83"/>
        <v>36</v>
      </c>
      <c r="G2628" s="30" t="s">
        <v>9</v>
      </c>
      <c r="J2628" s="30" t="s">
        <v>392</v>
      </c>
      <c r="K2628" s="30">
        <f>VLOOKUP(C2628, PA!A:M, 13, FALSE)</f>
        <v>0.17391304347826084</v>
      </c>
    </row>
    <row r="2629" spans="1:12" x14ac:dyDescent="0.25">
      <c r="A2629" s="78">
        <v>46185</v>
      </c>
      <c r="C2629" s="33" t="str">
        <f>'Stock Register'!A164</f>
        <v>SARTAJ SOOJI 500 GM LOT 1</v>
      </c>
      <c r="D2629" s="30">
        <v>1</v>
      </c>
      <c r="E2629" s="30">
        <v>60</v>
      </c>
      <c r="F2629" s="30">
        <f t="shared" si="83"/>
        <v>60</v>
      </c>
      <c r="G2629" s="30" t="s">
        <v>9</v>
      </c>
      <c r="J2629" s="30" t="s">
        <v>392</v>
      </c>
      <c r="K2629" s="30">
        <f>VLOOKUP(C2629, PA!A:M, 13, FALSE)</f>
        <v>0.2857142857142857</v>
      </c>
    </row>
    <row r="2630" spans="1:12" x14ac:dyDescent="0.25">
      <c r="A2630" s="78">
        <v>46185</v>
      </c>
      <c r="C2630" s="19" t="s">
        <v>365</v>
      </c>
      <c r="D2630" s="30">
        <v>2</v>
      </c>
      <c r="E2630" s="30">
        <v>5</v>
      </c>
      <c r="F2630" s="30">
        <f t="shared" si="83"/>
        <v>10</v>
      </c>
      <c r="G2630" s="30" t="s">
        <v>9</v>
      </c>
      <c r="J2630" s="30" t="s">
        <v>392</v>
      </c>
      <c r="K2630" s="30">
        <f>VLOOKUP(C2630, PA!A:M, 13, FALSE)</f>
        <v>0.66666666666666663</v>
      </c>
    </row>
    <row r="2631" spans="1:12" x14ac:dyDescent="0.25">
      <c r="A2631" s="78">
        <v>46185</v>
      </c>
      <c r="C2631" s="33" t="s">
        <v>834</v>
      </c>
      <c r="D2631" s="30">
        <v>1</v>
      </c>
      <c r="E2631" s="30">
        <v>20</v>
      </c>
      <c r="F2631" s="30">
        <f t="shared" si="83"/>
        <v>20</v>
      </c>
      <c r="G2631" s="30" t="s">
        <v>9</v>
      </c>
      <c r="J2631" s="30" t="s">
        <v>392</v>
      </c>
      <c r="K2631" s="30">
        <f>VLOOKUP(C2631, PA!A:M, 13, FALSE)</f>
        <v>0.38461538461538458</v>
      </c>
    </row>
    <row r="2632" spans="1:12" x14ac:dyDescent="0.25">
      <c r="A2632" s="78">
        <v>46185</v>
      </c>
      <c r="C2632" s="19" t="s">
        <v>858</v>
      </c>
      <c r="D2632" s="30">
        <v>1</v>
      </c>
      <c r="E2632" s="30">
        <v>10</v>
      </c>
      <c r="F2632" s="30">
        <f t="shared" si="83"/>
        <v>10</v>
      </c>
      <c r="G2632" s="30" t="s">
        <v>9</v>
      </c>
      <c r="I2632" s="139">
        <f>SUM(F2586:F2632)</f>
        <v>1109.8800000000001</v>
      </c>
      <c r="J2632" s="30" t="s">
        <v>392</v>
      </c>
      <c r="K2632" s="30">
        <f>VLOOKUP(C2632, PA!A:M, 13, FALSE)</f>
        <v>9.0909090909090981E-2</v>
      </c>
      <c r="L2632" s="123">
        <f>AVERAGE(K2586:K2632)</f>
        <v>0.20856124297230744</v>
      </c>
    </row>
    <row r="2633" spans="1:12" s="69" customFormat="1" ht="18.75" x14ac:dyDescent="0.3">
      <c r="A2633" s="235" t="s">
        <v>437</v>
      </c>
      <c r="B2633" s="236"/>
      <c r="C2633" s="236"/>
      <c r="D2633" s="236"/>
      <c r="E2633" s="236"/>
      <c r="F2633" s="236"/>
      <c r="G2633" s="236"/>
      <c r="H2633" s="237"/>
      <c r="I2633" s="238">
        <v>1109</v>
      </c>
      <c r="J2633" s="239"/>
      <c r="K2633" s="239"/>
      <c r="L2633" s="240"/>
    </row>
    <row r="2634" spans="1:12" x14ac:dyDescent="0.25">
      <c r="A2634" s="78">
        <v>46186</v>
      </c>
      <c r="C2634" s="19" t="s">
        <v>911</v>
      </c>
      <c r="D2634" s="30">
        <v>4</v>
      </c>
      <c r="E2634" s="30">
        <v>9</v>
      </c>
      <c r="F2634" s="30">
        <f t="shared" ref="F2634:F2665" si="84">E2634*D2634</f>
        <v>36</v>
      </c>
      <c r="G2634" s="30" t="s">
        <v>9</v>
      </c>
      <c r="J2634" s="30" t="s">
        <v>392</v>
      </c>
      <c r="K2634" s="30">
        <f>VLOOKUP(C2634, PA!A:M, 13, FALSE)</f>
        <v>0.17391304347826084</v>
      </c>
    </row>
    <row r="2635" spans="1:12" x14ac:dyDescent="0.25">
      <c r="A2635" s="78">
        <v>46186</v>
      </c>
      <c r="C2635" s="19" t="s">
        <v>901</v>
      </c>
      <c r="D2635" s="30">
        <v>1</v>
      </c>
      <c r="E2635" s="30">
        <v>20</v>
      </c>
      <c r="F2635" s="30">
        <f t="shared" si="84"/>
        <v>20</v>
      </c>
      <c r="G2635" s="30" t="s">
        <v>9</v>
      </c>
      <c r="J2635" s="30" t="s">
        <v>392</v>
      </c>
      <c r="K2635" s="30">
        <f>VLOOKUP(C2635, PA!A:M, 13, FALSE)</f>
        <v>0.33333333333333331</v>
      </c>
    </row>
    <row r="2636" spans="1:12" x14ac:dyDescent="0.25">
      <c r="A2636" s="78">
        <v>46186</v>
      </c>
      <c r="C2636" s="19" t="s">
        <v>691</v>
      </c>
      <c r="D2636" s="30">
        <v>0.5</v>
      </c>
      <c r="E2636" s="30">
        <v>60</v>
      </c>
      <c r="F2636" s="30">
        <f t="shared" si="84"/>
        <v>30</v>
      </c>
      <c r="G2636" s="30" t="s">
        <v>9</v>
      </c>
      <c r="J2636" s="30" t="s">
        <v>392</v>
      </c>
      <c r="K2636" s="30">
        <f>VLOOKUP(C2636, PA!A:M, 13, FALSE)</f>
        <v>9.0909090909090912E-2</v>
      </c>
    </row>
    <row r="2637" spans="1:12" x14ac:dyDescent="0.25">
      <c r="A2637" s="78">
        <v>46186</v>
      </c>
      <c r="C2637" s="33" t="s">
        <v>682</v>
      </c>
      <c r="D2637" s="30">
        <v>2</v>
      </c>
      <c r="E2637" s="30">
        <v>10</v>
      </c>
      <c r="F2637" s="30">
        <f t="shared" si="84"/>
        <v>20</v>
      </c>
      <c r="G2637" s="30" t="s">
        <v>9</v>
      </c>
      <c r="J2637" s="30" t="s">
        <v>392</v>
      </c>
      <c r="K2637" s="30">
        <f>VLOOKUP(C2637, PA!A:M, 13, FALSE)</f>
        <v>0.33333333333333331</v>
      </c>
    </row>
    <row r="2638" spans="1:12" x14ac:dyDescent="0.25">
      <c r="A2638" s="78">
        <v>46186</v>
      </c>
      <c r="C2638" s="19" t="s">
        <v>886</v>
      </c>
      <c r="D2638" s="30">
        <v>1</v>
      </c>
      <c r="E2638" s="30">
        <v>10</v>
      </c>
      <c r="F2638" s="30">
        <f t="shared" si="84"/>
        <v>10</v>
      </c>
      <c r="G2638" s="30" t="s">
        <v>9</v>
      </c>
      <c r="J2638" s="30" t="s">
        <v>392</v>
      </c>
      <c r="K2638" s="30">
        <f>VLOOKUP(C2638, PA!A:M, 13, FALSE)</f>
        <v>0.1111111111111111</v>
      </c>
    </row>
    <row r="2639" spans="1:12" x14ac:dyDescent="0.25">
      <c r="A2639" s="78">
        <v>46186</v>
      </c>
      <c r="C2639" s="33" t="s">
        <v>558</v>
      </c>
      <c r="D2639" s="30">
        <v>1</v>
      </c>
      <c r="E2639" s="30">
        <v>10</v>
      </c>
      <c r="F2639" s="30">
        <f t="shared" si="84"/>
        <v>10</v>
      </c>
      <c r="G2639" s="30" t="s">
        <v>9</v>
      </c>
      <c r="J2639" s="30" t="s">
        <v>392</v>
      </c>
      <c r="K2639" s="30">
        <f>VLOOKUP(C2639, PA!A:M, 13, FALSE)</f>
        <v>0.1111111111111111</v>
      </c>
    </row>
    <row r="2640" spans="1:12" x14ac:dyDescent="0.25">
      <c r="A2640" s="78">
        <v>46186</v>
      </c>
      <c r="C2640" s="19" t="s">
        <v>635</v>
      </c>
      <c r="D2640" s="30">
        <v>1</v>
      </c>
      <c r="E2640" s="30">
        <v>10</v>
      </c>
      <c r="F2640" s="30">
        <f t="shared" si="84"/>
        <v>10</v>
      </c>
      <c r="G2640" s="30" t="s">
        <v>9</v>
      </c>
      <c r="J2640" s="30" t="s">
        <v>392</v>
      </c>
      <c r="K2640" s="30">
        <f>VLOOKUP(C2640, PA!A:M, 13, FALSE)</f>
        <v>9.0909090909090981E-2</v>
      </c>
    </row>
    <row r="2641" spans="1:11" x14ac:dyDescent="0.25">
      <c r="A2641" s="78">
        <v>46186</v>
      </c>
      <c r="C2641" s="19" t="s">
        <v>667</v>
      </c>
      <c r="D2641" s="30">
        <v>1</v>
      </c>
      <c r="E2641" s="30">
        <v>5</v>
      </c>
      <c r="F2641" s="30">
        <f t="shared" si="84"/>
        <v>5</v>
      </c>
      <c r="G2641" s="30" t="s">
        <v>9</v>
      </c>
      <c r="J2641" s="30" t="s">
        <v>392</v>
      </c>
      <c r="K2641" s="30">
        <f>VLOOKUP(C2641, PA!A:M, 13, FALSE)</f>
        <v>0.1111111111111111</v>
      </c>
    </row>
    <row r="2642" spans="1:11" x14ac:dyDescent="0.25">
      <c r="A2642" s="78">
        <v>46186</v>
      </c>
      <c r="C2642" s="19" t="s">
        <v>807</v>
      </c>
      <c r="D2642" s="30">
        <v>0.28599999999999998</v>
      </c>
      <c r="E2642" s="30">
        <v>70</v>
      </c>
      <c r="F2642" s="30">
        <f t="shared" si="84"/>
        <v>20.02</v>
      </c>
      <c r="G2642" s="30" t="s">
        <v>9</v>
      </c>
      <c r="J2642" s="30" t="s">
        <v>392</v>
      </c>
      <c r="K2642" s="30">
        <f>VLOOKUP(C2642, PA!A:M, 13, FALSE)</f>
        <v>0.2068269230769231</v>
      </c>
    </row>
    <row r="2643" spans="1:11" x14ac:dyDescent="0.25">
      <c r="A2643" s="78">
        <v>46186</v>
      </c>
      <c r="C2643" s="19" t="s">
        <v>670</v>
      </c>
      <c r="D2643" s="30">
        <v>1</v>
      </c>
      <c r="E2643" s="30">
        <v>10</v>
      </c>
      <c r="F2643" s="30">
        <f t="shared" si="84"/>
        <v>10</v>
      </c>
      <c r="G2643" s="30" t="s">
        <v>9</v>
      </c>
      <c r="J2643" s="30" t="s">
        <v>392</v>
      </c>
      <c r="K2643" s="30">
        <f>VLOOKUP(C2643, PA!A:M, 13, FALSE)</f>
        <v>0.1111111111111111</v>
      </c>
    </row>
    <row r="2644" spans="1:11" x14ac:dyDescent="0.25">
      <c r="A2644" s="78">
        <v>46186</v>
      </c>
      <c r="C2644" s="19" t="s">
        <v>912</v>
      </c>
      <c r="D2644" s="30">
        <v>1</v>
      </c>
      <c r="E2644" s="30">
        <v>10</v>
      </c>
      <c r="F2644" s="30">
        <f t="shared" si="84"/>
        <v>10</v>
      </c>
      <c r="G2644" s="30" t="s">
        <v>9</v>
      </c>
      <c r="J2644" s="30" t="s">
        <v>392</v>
      </c>
      <c r="K2644" s="30">
        <f>VLOOKUP(C2644, PA!A:M, 13, FALSE)</f>
        <v>9.0909090909090981E-2</v>
      </c>
    </row>
    <row r="2645" spans="1:11" x14ac:dyDescent="0.25">
      <c r="A2645" s="78">
        <v>46186</v>
      </c>
      <c r="C2645" s="19" t="s">
        <v>864</v>
      </c>
      <c r="D2645" s="30">
        <v>1</v>
      </c>
      <c r="E2645" s="30">
        <v>20</v>
      </c>
      <c r="F2645" s="30">
        <f t="shared" si="84"/>
        <v>20</v>
      </c>
      <c r="G2645" s="30" t="s">
        <v>9</v>
      </c>
      <c r="J2645" s="30" t="s">
        <v>392</v>
      </c>
      <c r="K2645" s="30">
        <f>VLOOKUP(C2645, PA!A:M, 13, FALSE)</f>
        <v>0.1111111111111111</v>
      </c>
    </row>
    <row r="2646" spans="1:11" x14ac:dyDescent="0.25">
      <c r="A2646" s="78">
        <v>46186</v>
      </c>
      <c r="C2646" s="19" t="s">
        <v>794</v>
      </c>
      <c r="D2646" s="30">
        <v>0.17799999999999999</v>
      </c>
      <c r="E2646" s="30">
        <v>58</v>
      </c>
      <c r="F2646" s="30">
        <f t="shared" si="84"/>
        <v>10.324</v>
      </c>
      <c r="G2646" s="30" t="s">
        <v>9</v>
      </c>
      <c r="J2646" s="30" t="s">
        <v>392</v>
      </c>
      <c r="K2646" s="30">
        <f>VLOOKUP(C2646, PA!A:M, 13, FALSE)</f>
        <v>0.16</v>
      </c>
    </row>
    <row r="2647" spans="1:11" x14ac:dyDescent="0.25">
      <c r="A2647" s="78">
        <v>46186</v>
      </c>
      <c r="C2647" s="19" t="s">
        <v>893</v>
      </c>
      <c r="D2647" s="30">
        <v>1</v>
      </c>
      <c r="E2647" s="30">
        <v>40</v>
      </c>
      <c r="F2647" s="30">
        <f t="shared" si="84"/>
        <v>40</v>
      </c>
      <c r="G2647" s="30" t="s">
        <v>9</v>
      </c>
      <c r="J2647" s="30" t="s">
        <v>392</v>
      </c>
      <c r="K2647" s="30">
        <f>VLOOKUP(C2647, PA!A:M, 13, FALSE)</f>
        <v>5.2631578947368418E-2</v>
      </c>
    </row>
    <row r="2648" spans="1:11" x14ac:dyDescent="0.25">
      <c r="A2648" s="78">
        <v>46186</v>
      </c>
      <c r="C2648" s="19" t="s">
        <v>747</v>
      </c>
      <c r="D2648" s="30">
        <v>1</v>
      </c>
      <c r="E2648" s="30">
        <v>10</v>
      </c>
      <c r="F2648" s="30">
        <f t="shared" si="84"/>
        <v>10</v>
      </c>
      <c r="G2648" s="30" t="s">
        <v>9</v>
      </c>
      <c r="J2648" s="30" t="s">
        <v>392</v>
      </c>
      <c r="K2648" s="30">
        <f>VLOOKUP(C2648, PA!A:M, 13, FALSE)</f>
        <v>9.0909090909090981E-2</v>
      </c>
    </row>
    <row r="2649" spans="1:11" ht="30" x14ac:dyDescent="0.25">
      <c r="A2649" s="78">
        <v>46186</v>
      </c>
      <c r="C2649" s="19" t="s">
        <v>826</v>
      </c>
      <c r="D2649" s="30">
        <v>5</v>
      </c>
      <c r="E2649" s="30">
        <v>1</v>
      </c>
      <c r="F2649" s="30">
        <f t="shared" si="84"/>
        <v>5</v>
      </c>
      <c r="G2649" s="30" t="s">
        <v>9</v>
      </c>
      <c r="J2649" s="30" t="s">
        <v>392</v>
      </c>
      <c r="K2649" s="30">
        <f>VLOOKUP(C2649, PA!A:M, 13, FALSE)</f>
        <v>0.14285714285714285</v>
      </c>
    </row>
    <row r="2650" spans="1:11" x14ac:dyDescent="0.25">
      <c r="A2650" s="78">
        <v>46186</v>
      </c>
      <c r="C2650" s="19" t="s">
        <v>134</v>
      </c>
      <c r="D2650" s="30">
        <v>1</v>
      </c>
      <c r="E2650" s="30">
        <v>28</v>
      </c>
      <c r="F2650" s="30">
        <f t="shared" si="84"/>
        <v>28</v>
      </c>
      <c r="G2650" s="30" t="s">
        <v>9</v>
      </c>
      <c r="J2650" s="30" t="s">
        <v>392</v>
      </c>
      <c r="K2650" s="30">
        <f>VLOOKUP(C2650, PA!A:M, 13, FALSE)</f>
        <v>0.16666666666666666</v>
      </c>
    </row>
    <row r="2651" spans="1:11" x14ac:dyDescent="0.25">
      <c r="A2651" s="78">
        <v>46186</v>
      </c>
      <c r="C2651" s="61" t="s">
        <v>27</v>
      </c>
      <c r="D2651" s="30">
        <v>1</v>
      </c>
      <c r="E2651" s="30">
        <v>92</v>
      </c>
      <c r="F2651" s="30">
        <f t="shared" si="84"/>
        <v>92</v>
      </c>
      <c r="G2651" s="30" t="s">
        <v>9</v>
      </c>
      <c r="J2651" s="30" t="s">
        <v>392</v>
      </c>
      <c r="K2651" s="30">
        <f>VLOOKUP(C2651, PA!A:M, 13, FALSE)</f>
        <v>0.17499999999999999</v>
      </c>
    </row>
    <row r="2652" spans="1:11" x14ac:dyDescent="0.25">
      <c r="A2652" s="78">
        <v>46186</v>
      </c>
      <c r="C2652" s="33" t="s">
        <v>785</v>
      </c>
      <c r="D2652" s="30">
        <v>2</v>
      </c>
      <c r="E2652" s="30">
        <v>1</v>
      </c>
      <c r="F2652" s="30">
        <f t="shared" si="84"/>
        <v>2</v>
      </c>
      <c r="G2652" s="30" t="s">
        <v>9</v>
      </c>
      <c r="J2652" s="30" t="s">
        <v>392</v>
      </c>
      <c r="K2652" s="30">
        <f>VLOOKUP(C2652, PA!A:M, 13, FALSE)</f>
        <v>0.13333333333333336</v>
      </c>
    </row>
    <row r="2653" spans="1:11" x14ac:dyDescent="0.25">
      <c r="A2653" s="78">
        <v>46186</v>
      </c>
      <c r="C2653" s="33" t="s">
        <v>435</v>
      </c>
      <c r="D2653" s="30">
        <v>6</v>
      </c>
      <c r="E2653" s="30">
        <v>1</v>
      </c>
      <c r="F2653" s="30">
        <f t="shared" si="84"/>
        <v>6</v>
      </c>
      <c r="G2653" s="30" t="s">
        <v>9</v>
      </c>
      <c r="J2653" s="30" t="s">
        <v>392</v>
      </c>
      <c r="K2653" s="30">
        <f>VLOOKUP(C2653, PA!A:M, 13, FALSE)</f>
        <v>0.17370892018779346</v>
      </c>
    </row>
    <row r="2654" spans="1:11" x14ac:dyDescent="0.25">
      <c r="A2654" s="78">
        <v>46186</v>
      </c>
      <c r="C2654" s="19" t="s">
        <v>927</v>
      </c>
      <c r="D2654" s="30">
        <v>2</v>
      </c>
      <c r="E2654" s="30">
        <v>20</v>
      </c>
      <c r="F2654" s="30">
        <f t="shared" si="84"/>
        <v>40</v>
      </c>
      <c r="G2654" s="30" t="s">
        <v>9</v>
      </c>
      <c r="J2654" s="30" t="s">
        <v>392</v>
      </c>
      <c r="K2654" s="30">
        <f>VLOOKUP(C2654, PA!A:M, 13, FALSE)</f>
        <v>0.1111111111111111</v>
      </c>
    </row>
    <row r="2655" spans="1:11" x14ac:dyDescent="0.25">
      <c r="A2655" s="78">
        <v>46186</v>
      </c>
      <c r="C2655" s="19" t="s">
        <v>909</v>
      </c>
      <c r="D2655" s="30">
        <v>2</v>
      </c>
      <c r="E2655" s="30">
        <v>30</v>
      </c>
      <c r="F2655" s="30">
        <f t="shared" si="84"/>
        <v>60</v>
      </c>
      <c r="G2655" s="30" t="s">
        <v>9</v>
      </c>
      <c r="J2655" s="30" t="s">
        <v>392</v>
      </c>
      <c r="K2655" s="30">
        <f>VLOOKUP(C2655, PA!A:M, 13, FALSE)</f>
        <v>7.1428571428571425E-2</v>
      </c>
    </row>
    <row r="2656" spans="1:11" x14ac:dyDescent="0.25">
      <c r="A2656" s="78">
        <v>46186</v>
      </c>
      <c r="C2656" s="19" t="s">
        <v>927</v>
      </c>
      <c r="D2656" s="30">
        <v>1</v>
      </c>
      <c r="E2656" s="30">
        <v>20</v>
      </c>
      <c r="F2656" s="30">
        <f t="shared" si="84"/>
        <v>20</v>
      </c>
      <c r="G2656" s="30" t="s">
        <v>9</v>
      </c>
      <c r="J2656" s="30" t="s">
        <v>392</v>
      </c>
      <c r="K2656" s="30">
        <f>VLOOKUP(C2656, PA!A:M, 13, FALSE)</f>
        <v>0.1111111111111111</v>
      </c>
    </row>
    <row r="2657" spans="1:11" x14ac:dyDescent="0.25">
      <c r="A2657" s="78">
        <v>46186</v>
      </c>
      <c r="C2657" s="33" t="s">
        <v>348</v>
      </c>
      <c r="D2657" s="30">
        <v>5</v>
      </c>
      <c r="E2657" s="30">
        <v>1</v>
      </c>
      <c r="F2657" s="30">
        <f t="shared" si="84"/>
        <v>5</v>
      </c>
      <c r="G2657" s="30" t="s">
        <v>9</v>
      </c>
      <c r="J2657" s="30" t="s">
        <v>392</v>
      </c>
      <c r="K2657" s="30">
        <f>VLOOKUP(C2657, PA!A:M, 13, FALSE)</f>
        <v>5.0000000000000058E-2</v>
      </c>
    </row>
    <row r="2658" spans="1:11" x14ac:dyDescent="0.25">
      <c r="A2658" s="78">
        <v>46186</v>
      </c>
      <c r="C2658" s="19" t="s">
        <v>669</v>
      </c>
      <c r="D2658" s="30">
        <v>1</v>
      </c>
      <c r="E2658" s="30">
        <v>5</v>
      </c>
      <c r="F2658" s="30">
        <f t="shared" si="84"/>
        <v>5</v>
      </c>
      <c r="G2658" s="30" t="s">
        <v>9</v>
      </c>
      <c r="J2658" s="30" t="s">
        <v>392</v>
      </c>
      <c r="K2658" s="30">
        <f>VLOOKUP(C2658, PA!A:M, 13, FALSE)</f>
        <v>4.1666666666666706E-2</v>
      </c>
    </row>
    <row r="2659" spans="1:11" x14ac:dyDescent="0.25">
      <c r="A2659" s="78">
        <v>46186</v>
      </c>
      <c r="C2659" s="19" t="s">
        <v>794</v>
      </c>
      <c r="D2659" s="30">
        <v>1</v>
      </c>
      <c r="E2659" s="30">
        <v>58</v>
      </c>
      <c r="F2659" s="30">
        <f t="shared" si="84"/>
        <v>58</v>
      </c>
      <c r="G2659" s="30" t="s">
        <v>9</v>
      </c>
      <c r="J2659" s="30" t="s">
        <v>392</v>
      </c>
      <c r="K2659" s="30">
        <f>VLOOKUP(C2659, PA!A:M, 13, FALSE)</f>
        <v>0.16</v>
      </c>
    </row>
    <row r="2660" spans="1:11" x14ac:dyDescent="0.25">
      <c r="A2660" s="78">
        <v>46186</v>
      </c>
      <c r="C2660" s="33" t="s">
        <v>345</v>
      </c>
      <c r="D2660" s="30">
        <v>2</v>
      </c>
      <c r="E2660" s="30">
        <v>1</v>
      </c>
      <c r="F2660" s="30">
        <f t="shared" si="84"/>
        <v>2</v>
      </c>
      <c r="G2660" s="30" t="s">
        <v>9</v>
      </c>
      <c r="J2660" s="30" t="s">
        <v>392</v>
      </c>
      <c r="K2660" s="30">
        <f>VLOOKUP(C2660, PA!A:M, 13, FALSE)</f>
        <v>0.14942528735632185</v>
      </c>
    </row>
    <row r="2661" spans="1:11" x14ac:dyDescent="0.25">
      <c r="A2661" s="78">
        <v>46186</v>
      </c>
      <c r="C2661" s="33" t="s">
        <v>519</v>
      </c>
      <c r="D2661" s="30">
        <v>1</v>
      </c>
      <c r="E2661" s="30">
        <v>10</v>
      </c>
      <c r="F2661" s="30">
        <f t="shared" si="84"/>
        <v>10</v>
      </c>
      <c r="G2661" s="30" t="s">
        <v>9</v>
      </c>
      <c r="J2661" s="30" t="s">
        <v>392</v>
      </c>
      <c r="K2661" s="30">
        <f>VLOOKUP(C2661, PA!A:M, 13, FALSE)</f>
        <v>0.14285714285714285</v>
      </c>
    </row>
    <row r="2662" spans="1:11" x14ac:dyDescent="0.25">
      <c r="A2662" s="78">
        <v>46186</v>
      </c>
      <c r="C2662" s="33" t="s">
        <v>565</v>
      </c>
      <c r="D2662" s="30">
        <v>2</v>
      </c>
      <c r="E2662" s="30">
        <v>10</v>
      </c>
      <c r="F2662" s="30">
        <f t="shared" si="84"/>
        <v>20</v>
      </c>
      <c r="G2662" s="30" t="s">
        <v>9</v>
      </c>
      <c r="J2662" s="30" t="s">
        <v>392</v>
      </c>
      <c r="K2662" s="30">
        <f>VLOOKUP(C2662, PA!A:M, 13, FALSE)</f>
        <v>0.10091743119266047</v>
      </c>
    </row>
    <row r="2663" spans="1:11" x14ac:dyDescent="0.25">
      <c r="A2663" s="78">
        <v>46186</v>
      </c>
      <c r="C2663" s="33" t="s">
        <v>578</v>
      </c>
      <c r="D2663" s="30">
        <v>2</v>
      </c>
      <c r="E2663" s="30">
        <v>5</v>
      </c>
      <c r="F2663" s="30">
        <f t="shared" si="84"/>
        <v>10</v>
      </c>
      <c r="G2663" s="30" t="s">
        <v>9</v>
      </c>
      <c r="J2663" s="30" t="s">
        <v>392</v>
      </c>
      <c r="K2663" s="30">
        <f>VLOOKUP(C2663, PA!A:M, 13, FALSE)</f>
        <v>0.25</v>
      </c>
    </row>
    <row r="2664" spans="1:11" x14ac:dyDescent="0.25">
      <c r="A2664" s="78">
        <v>46186</v>
      </c>
      <c r="C2664" s="19" t="s">
        <v>885</v>
      </c>
      <c r="D2664" s="30">
        <v>3</v>
      </c>
      <c r="E2664" s="30">
        <v>30</v>
      </c>
      <c r="F2664" s="30">
        <f t="shared" si="84"/>
        <v>90</v>
      </c>
      <c r="G2664" s="30" t="s">
        <v>9</v>
      </c>
      <c r="J2664" s="30" t="s">
        <v>392</v>
      </c>
      <c r="K2664" s="30">
        <f>VLOOKUP(C2664, PA!A:M, 13, FALSE)</f>
        <v>0.1111111111111111</v>
      </c>
    </row>
    <row r="2665" spans="1:11" x14ac:dyDescent="0.25">
      <c r="A2665" s="78">
        <v>46186</v>
      </c>
      <c r="C2665" s="19" t="s">
        <v>705</v>
      </c>
      <c r="D2665" s="30">
        <v>2</v>
      </c>
      <c r="E2665" s="30">
        <v>10</v>
      </c>
      <c r="F2665" s="30">
        <f t="shared" si="84"/>
        <v>20</v>
      </c>
      <c r="G2665" s="30" t="s">
        <v>9</v>
      </c>
      <c r="J2665" s="30" t="s">
        <v>392</v>
      </c>
      <c r="K2665" s="30">
        <f>VLOOKUP(C2665, PA!A:M, 13, FALSE)</f>
        <v>9.0909090909090981E-2</v>
      </c>
    </row>
    <row r="2666" spans="1:11" x14ac:dyDescent="0.25">
      <c r="A2666" s="78">
        <v>46186</v>
      </c>
      <c r="C2666" s="33" t="s">
        <v>911</v>
      </c>
      <c r="D2666" s="30">
        <v>2</v>
      </c>
      <c r="E2666" s="30">
        <v>9</v>
      </c>
      <c r="F2666" s="30">
        <f t="shared" ref="F2666:F2692" si="85">E2666*D2666</f>
        <v>18</v>
      </c>
      <c r="G2666" s="30" t="s">
        <v>9</v>
      </c>
      <c r="J2666" s="30" t="s">
        <v>392</v>
      </c>
      <c r="K2666" s="30">
        <f>VLOOKUP(C2666, PA!A:M, 13, FALSE)</f>
        <v>0.17391304347826084</v>
      </c>
    </row>
    <row r="2667" spans="1:11" x14ac:dyDescent="0.25">
      <c r="A2667" s="78">
        <v>46186</v>
      </c>
      <c r="C2667" s="19" t="s">
        <v>605</v>
      </c>
      <c r="D2667" s="30">
        <v>1</v>
      </c>
      <c r="E2667" s="30">
        <v>199</v>
      </c>
      <c r="F2667" s="30">
        <f t="shared" si="85"/>
        <v>199</v>
      </c>
      <c r="G2667" s="30" t="s">
        <v>9</v>
      </c>
      <c r="J2667" s="30" t="s">
        <v>392</v>
      </c>
      <c r="K2667" s="30">
        <f>VLOOKUP(C2667, PA!A:M, 13, FALSE)</f>
        <v>3.6458333333333336E-2</v>
      </c>
    </row>
    <row r="2668" spans="1:11" x14ac:dyDescent="0.25">
      <c r="A2668" s="78">
        <v>46186</v>
      </c>
      <c r="C2668" s="19" t="s">
        <v>825</v>
      </c>
      <c r="D2668" s="30">
        <v>1</v>
      </c>
      <c r="E2668" s="30">
        <v>70</v>
      </c>
      <c r="F2668" s="30">
        <f t="shared" si="85"/>
        <v>70</v>
      </c>
      <c r="G2668" s="30" t="s">
        <v>9</v>
      </c>
      <c r="J2668" s="30" t="s">
        <v>392</v>
      </c>
      <c r="K2668" s="30">
        <f>VLOOKUP(C2668, PA!A:M, 13, FALSE)</f>
        <v>7.6923076923076927E-2</v>
      </c>
    </row>
    <row r="2669" spans="1:11" x14ac:dyDescent="0.25">
      <c r="A2669" s="78">
        <v>46186</v>
      </c>
      <c r="C2669" s="19" t="s">
        <v>705</v>
      </c>
      <c r="D2669" s="30">
        <v>2</v>
      </c>
      <c r="E2669" s="30">
        <v>10</v>
      </c>
      <c r="F2669" s="30">
        <f t="shared" si="85"/>
        <v>20</v>
      </c>
      <c r="G2669" s="30" t="s">
        <v>9</v>
      </c>
      <c r="J2669" s="30" t="s">
        <v>392</v>
      </c>
      <c r="K2669" s="30">
        <f>VLOOKUP(C2669, PA!A:M, 13, FALSE)</f>
        <v>9.0909090909090981E-2</v>
      </c>
    </row>
    <row r="2670" spans="1:11" x14ac:dyDescent="0.25">
      <c r="A2670" s="78">
        <v>46186</v>
      </c>
      <c r="C2670" s="19" t="s">
        <v>891</v>
      </c>
      <c r="D2670" s="30">
        <v>1</v>
      </c>
      <c r="E2670" s="30">
        <v>1</v>
      </c>
      <c r="F2670" s="30">
        <f t="shared" si="85"/>
        <v>1</v>
      </c>
      <c r="G2670" s="30" t="s">
        <v>9</v>
      </c>
      <c r="J2670" s="30" t="s">
        <v>392</v>
      </c>
      <c r="K2670" s="30">
        <f>VLOOKUP(C2670, PA!A:M, 13, FALSE)</f>
        <v>0.1304347826086957</v>
      </c>
    </row>
    <row r="2671" spans="1:11" x14ac:dyDescent="0.25">
      <c r="A2671" s="78">
        <v>46186</v>
      </c>
      <c r="C2671" s="19" t="s">
        <v>875</v>
      </c>
      <c r="D2671" s="30">
        <v>1</v>
      </c>
      <c r="E2671" s="30">
        <v>20</v>
      </c>
      <c r="F2671" s="30">
        <f t="shared" si="85"/>
        <v>20</v>
      </c>
      <c r="G2671" s="30" t="s">
        <v>9</v>
      </c>
      <c r="J2671" s="30" t="s">
        <v>392</v>
      </c>
      <c r="K2671" s="30">
        <f>VLOOKUP(C2671, PA!A:M, 13, FALSE)</f>
        <v>0.17647058823529413</v>
      </c>
    </row>
    <row r="2672" spans="1:11" x14ac:dyDescent="0.25">
      <c r="A2672" s="78">
        <v>46186</v>
      </c>
      <c r="C2672" s="33" t="s">
        <v>519</v>
      </c>
      <c r="D2672" s="30">
        <v>1</v>
      </c>
      <c r="E2672" s="30">
        <v>10</v>
      </c>
      <c r="F2672" s="30">
        <f t="shared" si="85"/>
        <v>10</v>
      </c>
      <c r="G2672" s="30" t="s">
        <v>9</v>
      </c>
      <c r="J2672" s="30" t="s">
        <v>392</v>
      </c>
      <c r="K2672" s="30">
        <f>VLOOKUP(C2672, PA!A:M, 13, FALSE)</f>
        <v>0.14285714285714285</v>
      </c>
    </row>
    <row r="2673" spans="1:11" ht="30" x14ac:dyDescent="0.25">
      <c r="A2673" s="78">
        <v>46186</v>
      </c>
      <c r="C2673" s="19" t="s">
        <v>577</v>
      </c>
      <c r="D2673" s="30">
        <v>2</v>
      </c>
      <c r="E2673" s="30">
        <v>5</v>
      </c>
      <c r="F2673" s="30">
        <f t="shared" si="85"/>
        <v>10</v>
      </c>
      <c r="G2673" s="30" t="s">
        <v>9</v>
      </c>
      <c r="J2673" s="30" t="s">
        <v>392</v>
      </c>
      <c r="K2673" s="30">
        <f>VLOOKUP(C2673, PA!A:M, 13, FALSE)</f>
        <v>0.25</v>
      </c>
    </row>
    <row r="2674" spans="1:11" x14ac:dyDescent="0.25">
      <c r="A2674" s="78">
        <v>46186</v>
      </c>
      <c r="C2674" s="33" t="s">
        <v>911</v>
      </c>
      <c r="D2674" s="30">
        <v>4</v>
      </c>
      <c r="E2674" s="30">
        <v>9</v>
      </c>
      <c r="F2674" s="30">
        <f t="shared" si="85"/>
        <v>36</v>
      </c>
      <c r="G2674" s="30" t="s">
        <v>9</v>
      </c>
      <c r="J2674" s="30" t="s">
        <v>392</v>
      </c>
      <c r="K2674" s="30">
        <f>VLOOKUP(C2674, PA!A:M, 13, FALSE)</f>
        <v>0.17391304347826084</v>
      </c>
    </row>
    <row r="2675" spans="1:11" x14ac:dyDescent="0.25">
      <c r="A2675" s="78">
        <v>46186</v>
      </c>
      <c r="C2675" s="33" t="s">
        <v>386</v>
      </c>
      <c r="D2675" s="30">
        <v>1</v>
      </c>
      <c r="E2675" s="30">
        <v>10</v>
      </c>
      <c r="F2675" s="30">
        <f t="shared" si="85"/>
        <v>10</v>
      </c>
      <c r="G2675" s="30" t="s">
        <v>9</v>
      </c>
      <c r="J2675" s="30" t="s">
        <v>392</v>
      </c>
      <c r="K2675" s="30">
        <f>VLOOKUP(C2675, PA!A:M, 13, FALSE)</f>
        <v>0.22448979591836743</v>
      </c>
    </row>
    <row r="2676" spans="1:11" x14ac:dyDescent="0.25">
      <c r="A2676" s="78">
        <v>46186</v>
      </c>
      <c r="C2676" s="19" t="s">
        <v>929</v>
      </c>
      <c r="D2676" s="30">
        <v>1</v>
      </c>
      <c r="E2676" s="30">
        <v>20</v>
      </c>
      <c r="F2676" s="30">
        <f t="shared" si="85"/>
        <v>20</v>
      </c>
      <c r="G2676" s="30" t="s">
        <v>9</v>
      </c>
      <c r="J2676" s="30" t="s">
        <v>392</v>
      </c>
      <c r="K2676" s="30">
        <f>VLOOKUP(C2676, PA!A:M, 13, FALSE)</f>
        <v>0.1111111111111111</v>
      </c>
    </row>
    <row r="2677" spans="1:11" x14ac:dyDescent="0.25">
      <c r="A2677" s="78">
        <v>46186</v>
      </c>
      <c r="C2677" s="33" t="s">
        <v>565</v>
      </c>
      <c r="D2677" s="30">
        <v>1</v>
      </c>
      <c r="E2677" s="30">
        <v>10</v>
      </c>
      <c r="F2677" s="30">
        <f t="shared" si="85"/>
        <v>10</v>
      </c>
      <c r="G2677" s="30" t="s">
        <v>9</v>
      </c>
      <c r="J2677" s="30" t="s">
        <v>392</v>
      </c>
      <c r="K2677" s="30">
        <f>VLOOKUP(C2677, PA!A:M, 13, FALSE)</f>
        <v>0.10091743119266047</v>
      </c>
    </row>
    <row r="2678" spans="1:11" x14ac:dyDescent="0.25">
      <c r="A2678" s="78">
        <v>46186</v>
      </c>
      <c r="C2678" s="19" t="s">
        <v>365</v>
      </c>
      <c r="D2678" s="30">
        <v>1</v>
      </c>
      <c r="E2678" s="30">
        <v>5</v>
      </c>
      <c r="F2678" s="30">
        <f t="shared" si="85"/>
        <v>5</v>
      </c>
      <c r="G2678" s="30" t="s">
        <v>9</v>
      </c>
      <c r="J2678" s="30" t="s">
        <v>392</v>
      </c>
      <c r="K2678" s="30">
        <f>VLOOKUP(C2678, PA!A:M, 13, FALSE)</f>
        <v>0.66666666666666663</v>
      </c>
    </row>
    <row r="2679" spans="1:11" x14ac:dyDescent="0.25">
      <c r="A2679" s="78">
        <v>46186</v>
      </c>
      <c r="C2679" s="33" t="s">
        <v>834</v>
      </c>
      <c r="D2679" s="30">
        <v>1</v>
      </c>
      <c r="E2679" s="30">
        <v>20</v>
      </c>
      <c r="F2679" s="30">
        <f t="shared" si="85"/>
        <v>20</v>
      </c>
      <c r="G2679" s="30" t="s">
        <v>9</v>
      </c>
      <c r="J2679" s="30" t="s">
        <v>392</v>
      </c>
      <c r="K2679" s="30">
        <f>VLOOKUP(C2679, PA!A:M, 13, FALSE)</f>
        <v>0.38461538461538458</v>
      </c>
    </row>
    <row r="2680" spans="1:11" ht="30" x14ac:dyDescent="0.25">
      <c r="A2680" s="78">
        <v>46186</v>
      </c>
      <c r="C2680" s="19" t="s">
        <v>928</v>
      </c>
      <c r="D2680" s="30">
        <v>1</v>
      </c>
      <c r="E2680" s="30">
        <v>20</v>
      </c>
      <c r="F2680" s="30">
        <f t="shared" si="85"/>
        <v>20</v>
      </c>
      <c r="G2680" s="30" t="s">
        <v>9</v>
      </c>
      <c r="J2680" s="30" t="s">
        <v>392</v>
      </c>
      <c r="K2680" s="30">
        <f>VLOOKUP(C2680, PA!A:M, 13, FALSE)</f>
        <v>5.2631578947368418E-2</v>
      </c>
    </row>
    <row r="2681" spans="1:11" x14ac:dyDescent="0.25">
      <c r="A2681" s="78">
        <v>46186</v>
      </c>
      <c r="C2681" s="19" t="s">
        <v>875</v>
      </c>
      <c r="D2681" s="30">
        <v>1</v>
      </c>
      <c r="E2681" s="30">
        <v>20</v>
      </c>
      <c r="F2681" s="30">
        <f t="shared" si="85"/>
        <v>20</v>
      </c>
      <c r="G2681" s="30" t="s">
        <v>9</v>
      </c>
      <c r="J2681" s="30" t="s">
        <v>392</v>
      </c>
      <c r="K2681" s="30">
        <f>VLOOKUP(C2681, PA!A:M, 13, FALSE)</f>
        <v>0.17647058823529413</v>
      </c>
    </row>
    <row r="2682" spans="1:11" x14ac:dyDescent="0.25">
      <c r="A2682" s="78">
        <v>46186</v>
      </c>
      <c r="C2682" s="19" t="s">
        <v>929</v>
      </c>
      <c r="D2682" s="30">
        <v>1</v>
      </c>
      <c r="E2682" s="30">
        <v>20</v>
      </c>
      <c r="F2682" s="30">
        <f t="shared" si="85"/>
        <v>20</v>
      </c>
      <c r="G2682" s="30" t="s">
        <v>9</v>
      </c>
      <c r="J2682" s="30" t="s">
        <v>392</v>
      </c>
      <c r="K2682" s="30">
        <f>VLOOKUP(C2682, PA!A:M, 13, FALSE)</f>
        <v>0.1111111111111111</v>
      </c>
    </row>
    <row r="2683" spans="1:11" x14ac:dyDescent="0.25">
      <c r="A2683" s="78">
        <v>46186</v>
      </c>
      <c r="C2683" s="19" t="s">
        <v>915</v>
      </c>
      <c r="D2683" s="30">
        <v>4</v>
      </c>
      <c r="E2683" s="30">
        <v>10</v>
      </c>
      <c r="F2683" s="30">
        <f t="shared" si="85"/>
        <v>40</v>
      </c>
      <c r="G2683" s="30" t="s">
        <v>9</v>
      </c>
      <c r="J2683" s="30" t="s">
        <v>392</v>
      </c>
      <c r="K2683" s="30">
        <f>VLOOKUP(C2683, PA!A:M, 13, FALSE)</f>
        <v>7.692307692307683E-2</v>
      </c>
    </row>
    <row r="2684" spans="1:11" x14ac:dyDescent="0.25">
      <c r="A2684" s="78">
        <v>46186</v>
      </c>
      <c r="C2684" s="19" t="s">
        <v>805</v>
      </c>
      <c r="D2684" s="30">
        <v>1</v>
      </c>
      <c r="E2684" s="30">
        <v>52</v>
      </c>
      <c r="F2684" s="30">
        <f t="shared" si="85"/>
        <v>52</v>
      </c>
      <c r="G2684" s="30" t="s">
        <v>9</v>
      </c>
      <c r="J2684" s="30" t="s">
        <v>392</v>
      </c>
      <c r="K2684" s="30">
        <f>VLOOKUP(C2684, PA!A:M, 13, FALSE)</f>
        <v>3.7924151696606831E-2</v>
      </c>
    </row>
    <row r="2685" spans="1:11" x14ac:dyDescent="0.25">
      <c r="A2685" s="78">
        <v>46186</v>
      </c>
      <c r="C2685" s="19" t="s">
        <v>102</v>
      </c>
      <c r="D2685" s="30">
        <v>1</v>
      </c>
      <c r="E2685" s="30">
        <v>23</v>
      </c>
      <c r="F2685" s="30">
        <f t="shared" si="85"/>
        <v>23</v>
      </c>
      <c r="G2685" s="30" t="s">
        <v>9</v>
      </c>
      <c r="J2685" s="30" t="s">
        <v>392</v>
      </c>
      <c r="K2685" s="30">
        <f>VLOOKUP(C2685, PA!A:M, 13, FALSE)</f>
        <v>0.32978723404255317</v>
      </c>
    </row>
    <row r="2686" spans="1:11" x14ac:dyDescent="0.25">
      <c r="A2686" s="78">
        <v>46186</v>
      </c>
      <c r="C2686" s="19" t="s">
        <v>747</v>
      </c>
      <c r="D2686" s="30">
        <v>2</v>
      </c>
      <c r="E2686" s="30">
        <v>10</v>
      </c>
      <c r="F2686" s="30">
        <f t="shared" si="85"/>
        <v>20</v>
      </c>
      <c r="G2686" s="30" t="s">
        <v>9</v>
      </c>
      <c r="J2686" s="30" t="s">
        <v>392</v>
      </c>
      <c r="K2686" s="30">
        <f>VLOOKUP(C2686, PA!A:M, 13, FALSE)</f>
        <v>9.0909090909090981E-2</v>
      </c>
    </row>
    <row r="2687" spans="1:11" x14ac:dyDescent="0.25">
      <c r="A2687" s="78">
        <v>46186</v>
      </c>
      <c r="C2687" s="19" t="s">
        <v>890</v>
      </c>
      <c r="D2687" s="30">
        <v>350</v>
      </c>
      <c r="E2687" s="30">
        <v>0.46899999999999997</v>
      </c>
      <c r="F2687" s="30">
        <f t="shared" si="85"/>
        <v>164.14999999999998</v>
      </c>
      <c r="G2687" s="30" t="s">
        <v>9</v>
      </c>
      <c r="J2687" s="30" t="s">
        <v>392</v>
      </c>
      <c r="K2687" s="30">
        <f>VLOOKUP(C2687, PA!A:M, 13, FALSE)</f>
        <v>1.2580645161290323</v>
      </c>
    </row>
    <row r="2688" spans="1:11" x14ac:dyDescent="0.25">
      <c r="A2688" s="78">
        <v>46186</v>
      </c>
      <c r="C2688" s="19" t="s">
        <v>780</v>
      </c>
      <c r="D2688" s="30">
        <v>0.25</v>
      </c>
      <c r="E2688" s="30">
        <v>200</v>
      </c>
      <c r="F2688" s="30">
        <f t="shared" si="85"/>
        <v>50</v>
      </c>
      <c r="G2688" s="30" t="s">
        <v>9</v>
      </c>
      <c r="J2688" s="30" t="s">
        <v>392</v>
      </c>
      <c r="K2688" s="30">
        <f>VLOOKUP(C2688, PA!A:M, 13, FALSE)</f>
        <v>0.66666666666666663</v>
      </c>
    </row>
    <row r="2689" spans="1:12" x14ac:dyDescent="0.25">
      <c r="A2689" s="78">
        <v>46186</v>
      </c>
      <c r="C2689" s="19" t="s">
        <v>619</v>
      </c>
      <c r="D2689" s="30">
        <v>2</v>
      </c>
      <c r="E2689" s="30">
        <v>10</v>
      </c>
      <c r="F2689" s="30">
        <f t="shared" si="85"/>
        <v>20</v>
      </c>
      <c r="G2689" s="30" t="s">
        <v>9</v>
      </c>
      <c r="J2689" s="30" t="s">
        <v>392</v>
      </c>
      <c r="K2689" s="30">
        <f>VLOOKUP(C2689, PA!A:M, 13, FALSE)</f>
        <v>5.2631578947368418E-2</v>
      </c>
    </row>
    <row r="2690" spans="1:12" x14ac:dyDescent="0.25">
      <c r="A2690" s="78">
        <v>46186</v>
      </c>
      <c r="C2690" s="19" t="s">
        <v>893</v>
      </c>
      <c r="D2690" s="30">
        <v>1</v>
      </c>
      <c r="E2690" s="30">
        <v>40</v>
      </c>
      <c r="F2690" s="30">
        <f t="shared" si="85"/>
        <v>40</v>
      </c>
      <c r="G2690" s="30" t="s">
        <v>9</v>
      </c>
      <c r="J2690" s="30" t="s">
        <v>392</v>
      </c>
      <c r="K2690" s="30">
        <f>VLOOKUP(C2690, PA!A:M, 13, FALSE)</f>
        <v>5.2631578947368418E-2</v>
      </c>
    </row>
    <row r="2691" spans="1:12" x14ac:dyDescent="0.25">
      <c r="A2691" s="78">
        <v>46186</v>
      </c>
      <c r="C2691" s="33" t="s">
        <v>807</v>
      </c>
      <c r="D2691" s="30">
        <v>0.5</v>
      </c>
      <c r="E2691" s="30">
        <v>70</v>
      </c>
      <c r="F2691" s="30">
        <f t="shared" si="85"/>
        <v>35</v>
      </c>
      <c r="G2691" s="30" t="s">
        <v>9</v>
      </c>
      <c r="J2691" s="30" t="s">
        <v>392</v>
      </c>
      <c r="K2691" s="30">
        <f>VLOOKUP(C2691, PA!A:M, 13, FALSE)</f>
        <v>0.2068269230769231</v>
      </c>
    </row>
    <row r="2692" spans="1:12" x14ac:dyDescent="0.25">
      <c r="A2692" s="78">
        <v>46186</v>
      </c>
      <c r="C2692" s="33" t="s">
        <v>682</v>
      </c>
      <c r="D2692" s="30">
        <v>1</v>
      </c>
      <c r="E2692" s="30">
        <v>10</v>
      </c>
      <c r="F2692" s="30">
        <f t="shared" si="85"/>
        <v>10</v>
      </c>
      <c r="G2692" s="30" t="s">
        <v>9</v>
      </c>
      <c r="I2692" s="139">
        <f>SUM(F2634:F2692)</f>
        <v>1697.4940000000001</v>
      </c>
      <c r="J2692" s="30" t="s">
        <v>392</v>
      </c>
      <c r="K2692" s="30">
        <f>VLOOKUP(C2692, PA!A:M, 13, FALSE)</f>
        <v>0.33333333333333331</v>
      </c>
      <c r="L2692" s="123">
        <f>AVERAGE(K2634:K2692)</f>
        <v>0.17876143454988133</v>
      </c>
    </row>
    <row r="2693" spans="1:12" s="69" customFormat="1" ht="18.75" x14ac:dyDescent="0.3">
      <c r="A2693" s="235" t="s">
        <v>437</v>
      </c>
      <c r="B2693" s="236"/>
      <c r="C2693" s="236"/>
      <c r="D2693" s="236"/>
      <c r="E2693" s="236"/>
      <c r="F2693" s="236"/>
      <c r="G2693" s="236"/>
      <c r="H2693" s="237"/>
      <c r="I2693" s="238">
        <v>1697</v>
      </c>
      <c r="J2693" s="239"/>
      <c r="K2693" s="239"/>
      <c r="L2693" s="240"/>
    </row>
    <row r="2694" spans="1:12" ht="28.9" customHeight="1" x14ac:dyDescent="0.25">
      <c r="A2694" s="78">
        <v>46187</v>
      </c>
      <c r="C2694" s="33" t="s">
        <v>683</v>
      </c>
      <c r="D2694" s="30">
        <v>1</v>
      </c>
      <c r="E2694" s="30">
        <v>10</v>
      </c>
      <c r="F2694" s="30">
        <f t="shared" ref="F2694:F2737" si="86">E2694*D2694</f>
        <v>10</v>
      </c>
      <c r="G2694" s="30" t="s">
        <v>9</v>
      </c>
      <c r="J2694" s="30" t="s">
        <v>392</v>
      </c>
      <c r="K2694" s="30">
        <f>VLOOKUP(C2694, PA!A:M, 13, FALSE)</f>
        <v>0.42857142857142855</v>
      </c>
    </row>
    <row r="2695" spans="1:12" x14ac:dyDescent="0.25">
      <c r="A2695" s="78">
        <v>46187</v>
      </c>
      <c r="C2695" s="33" t="s">
        <v>386</v>
      </c>
      <c r="D2695" s="30">
        <v>1</v>
      </c>
      <c r="E2695" s="30">
        <v>10</v>
      </c>
      <c r="F2695" s="30">
        <f t="shared" si="86"/>
        <v>10</v>
      </c>
      <c r="G2695" s="30" t="s">
        <v>9</v>
      </c>
      <c r="J2695" s="30" t="s">
        <v>392</v>
      </c>
      <c r="K2695" s="30">
        <f>VLOOKUP(C2695, PA!A:M, 13, FALSE)</f>
        <v>0.22448979591836743</v>
      </c>
    </row>
    <row r="2696" spans="1:12" x14ac:dyDescent="0.25">
      <c r="A2696" s="78">
        <v>46187</v>
      </c>
      <c r="C2696" s="33" t="s">
        <v>565</v>
      </c>
      <c r="D2696" s="30">
        <v>1</v>
      </c>
      <c r="E2696" s="30">
        <v>10</v>
      </c>
      <c r="F2696" s="30">
        <f t="shared" si="86"/>
        <v>10</v>
      </c>
      <c r="G2696" s="30" t="s">
        <v>9</v>
      </c>
      <c r="J2696" s="30" t="s">
        <v>392</v>
      </c>
      <c r="K2696" s="30">
        <f>VLOOKUP(C2696, PA!A:M, 13, FALSE)</f>
        <v>0.10091743119266047</v>
      </c>
    </row>
    <row r="2697" spans="1:12" x14ac:dyDescent="0.25">
      <c r="A2697" s="78">
        <v>46187</v>
      </c>
      <c r="C2697" s="19" t="s">
        <v>716</v>
      </c>
      <c r="D2697" s="30">
        <v>0.26</v>
      </c>
      <c r="E2697" s="30">
        <v>58</v>
      </c>
      <c r="F2697" s="30">
        <f t="shared" si="86"/>
        <v>15.08</v>
      </c>
      <c r="G2697" s="30" t="s">
        <v>9</v>
      </c>
      <c r="J2697" s="30" t="s">
        <v>392</v>
      </c>
      <c r="K2697" s="30">
        <f>VLOOKUP(C2697, PA!A:M, 13, FALSE)</f>
        <v>0.16</v>
      </c>
    </row>
    <row r="2698" spans="1:12" x14ac:dyDescent="0.25">
      <c r="A2698" s="78">
        <v>46187</v>
      </c>
      <c r="C2698" s="33" t="s">
        <v>730</v>
      </c>
      <c r="D2698" s="30">
        <v>0.34399999999999997</v>
      </c>
      <c r="E2698" s="30">
        <v>58</v>
      </c>
      <c r="F2698" s="30">
        <f t="shared" si="86"/>
        <v>19.951999999999998</v>
      </c>
      <c r="G2698" s="30" t="s">
        <v>9</v>
      </c>
      <c r="J2698" s="30" t="s">
        <v>392</v>
      </c>
      <c r="K2698" s="30">
        <f>VLOOKUP(C2698, PA!A:M, 13, FALSE)</f>
        <v>0.16666666666666666</v>
      </c>
    </row>
    <row r="2699" spans="1:12" x14ac:dyDescent="0.25">
      <c r="A2699" s="78">
        <v>46187</v>
      </c>
      <c r="C2699" s="33" t="s">
        <v>768</v>
      </c>
      <c r="D2699" s="30">
        <v>1</v>
      </c>
      <c r="E2699" s="30">
        <v>10</v>
      </c>
      <c r="F2699" s="30">
        <f t="shared" si="86"/>
        <v>10</v>
      </c>
      <c r="G2699" s="30" t="s">
        <v>9</v>
      </c>
      <c r="J2699" s="30" t="s">
        <v>392</v>
      </c>
      <c r="K2699" s="30">
        <f>VLOOKUP(C2699, PA!A:M, 13, FALSE)</f>
        <v>0.1111111111111111</v>
      </c>
    </row>
    <row r="2700" spans="1:12" x14ac:dyDescent="0.25">
      <c r="A2700" s="78">
        <v>46187</v>
      </c>
      <c r="C2700" s="19" t="s">
        <v>684</v>
      </c>
      <c r="D2700" s="30">
        <v>2</v>
      </c>
      <c r="E2700" s="30">
        <v>10</v>
      </c>
      <c r="F2700" s="30">
        <f t="shared" si="86"/>
        <v>20</v>
      </c>
      <c r="G2700" s="30" t="s">
        <v>9</v>
      </c>
      <c r="J2700" s="30" t="s">
        <v>392</v>
      </c>
      <c r="K2700" s="30">
        <f>VLOOKUP(C2700, PA!A:M, 13, FALSE)</f>
        <v>4.7409040793825769E-2</v>
      </c>
    </row>
    <row r="2701" spans="1:12" x14ac:dyDescent="0.25">
      <c r="A2701" s="78">
        <v>46187</v>
      </c>
      <c r="C2701" s="33" t="s">
        <v>386</v>
      </c>
      <c r="D2701" s="30">
        <v>1</v>
      </c>
      <c r="E2701" s="30">
        <v>10</v>
      </c>
      <c r="F2701" s="30">
        <f t="shared" si="86"/>
        <v>10</v>
      </c>
      <c r="G2701" s="30" t="s">
        <v>9</v>
      </c>
      <c r="J2701" s="30" t="s">
        <v>392</v>
      </c>
      <c r="K2701" s="30">
        <f>VLOOKUP(C2701, PA!A:M, 13, FALSE)</f>
        <v>0.22448979591836743</v>
      </c>
    </row>
    <row r="2702" spans="1:12" x14ac:dyDescent="0.25">
      <c r="A2702" s="78">
        <v>46187</v>
      </c>
      <c r="C2702" s="19" t="s">
        <v>668</v>
      </c>
      <c r="D2702" s="30">
        <v>1</v>
      </c>
      <c r="E2702" s="30">
        <v>5</v>
      </c>
      <c r="F2702" s="30">
        <f t="shared" si="86"/>
        <v>5</v>
      </c>
      <c r="G2702" s="30" t="s">
        <v>9</v>
      </c>
      <c r="J2702" s="30" t="s">
        <v>392</v>
      </c>
      <c r="K2702" s="30">
        <f>VLOOKUP(C2702, PA!A:M, 13, FALSE)</f>
        <v>0.1111111111111111</v>
      </c>
    </row>
    <row r="2703" spans="1:12" x14ac:dyDescent="0.25">
      <c r="A2703" s="78">
        <v>46187</v>
      </c>
      <c r="C2703" s="33" t="s">
        <v>565</v>
      </c>
      <c r="D2703" s="30">
        <v>2</v>
      </c>
      <c r="E2703" s="30">
        <v>10</v>
      </c>
      <c r="F2703" s="30">
        <f t="shared" si="86"/>
        <v>20</v>
      </c>
      <c r="G2703" s="30" t="s">
        <v>9</v>
      </c>
      <c r="J2703" s="30" t="s">
        <v>392</v>
      </c>
      <c r="K2703" s="30">
        <f>VLOOKUP(C2703, PA!A:M, 13, FALSE)</f>
        <v>0.10091743119266047</v>
      </c>
    </row>
    <row r="2704" spans="1:12" x14ac:dyDescent="0.25">
      <c r="A2704" s="78">
        <v>46187</v>
      </c>
      <c r="C2704" s="33" t="s">
        <v>781</v>
      </c>
      <c r="D2704" s="30">
        <v>0.1</v>
      </c>
      <c r="E2704" s="30">
        <v>200</v>
      </c>
      <c r="F2704" s="30">
        <f t="shared" si="86"/>
        <v>20</v>
      </c>
      <c r="G2704" s="30" t="s">
        <v>9</v>
      </c>
      <c r="J2704" s="30" t="s">
        <v>392</v>
      </c>
      <c r="K2704" s="30">
        <f>VLOOKUP(C2704, PA!A:M, 13, FALSE)</f>
        <v>0.42857142857142855</v>
      </c>
    </row>
    <row r="2705" spans="1:11" x14ac:dyDescent="0.25">
      <c r="A2705" s="78">
        <v>46187</v>
      </c>
      <c r="C2705" s="19" t="s">
        <v>553</v>
      </c>
      <c r="D2705" s="30">
        <v>1</v>
      </c>
      <c r="E2705" s="30">
        <v>5</v>
      </c>
      <c r="F2705" s="30">
        <f t="shared" si="86"/>
        <v>5</v>
      </c>
      <c r="G2705" s="30" t="s">
        <v>9</v>
      </c>
      <c r="J2705" s="30" t="s">
        <v>392</v>
      </c>
      <c r="K2705" s="30">
        <f>VLOOKUP(C2705, PA!A:M, 13, FALSE)</f>
        <v>0.1111111111111111</v>
      </c>
    </row>
    <row r="2706" spans="1:11" ht="30" x14ac:dyDescent="0.25">
      <c r="A2706" s="78">
        <v>46187</v>
      </c>
      <c r="C2706" s="70" t="s">
        <v>789</v>
      </c>
      <c r="D2706" s="30">
        <v>1</v>
      </c>
      <c r="E2706" s="30">
        <v>5</v>
      </c>
      <c r="F2706" s="30">
        <f t="shared" si="86"/>
        <v>5</v>
      </c>
      <c r="G2706" s="30" t="s">
        <v>9</v>
      </c>
      <c r="J2706" s="30" t="s">
        <v>392</v>
      </c>
      <c r="K2706" s="30">
        <f>VLOOKUP(C2706, PA!A:M, 13, FALSE)</f>
        <v>9.0909090909090981E-2</v>
      </c>
    </row>
    <row r="2707" spans="1:11" x14ac:dyDescent="0.25">
      <c r="A2707" s="78">
        <v>46187</v>
      </c>
      <c r="C2707" s="19" t="s">
        <v>772</v>
      </c>
      <c r="D2707" s="30">
        <v>1</v>
      </c>
      <c r="E2707" s="30">
        <v>20</v>
      </c>
      <c r="F2707" s="30">
        <f t="shared" si="86"/>
        <v>20</v>
      </c>
      <c r="G2707" s="30" t="s">
        <v>9</v>
      </c>
      <c r="J2707" s="30" t="s">
        <v>392</v>
      </c>
      <c r="K2707" s="30">
        <f>VLOOKUP(C2707, PA!A:M, 13, FALSE)</f>
        <v>0.1111111111111111</v>
      </c>
    </row>
    <row r="2708" spans="1:11" x14ac:dyDescent="0.25">
      <c r="A2708" s="78">
        <v>46187</v>
      </c>
      <c r="C2708" s="33" t="s">
        <v>565</v>
      </c>
      <c r="D2708" s="30">
        <v>1</v>
      </c>
      <c r="E2708" s="30">
        <v>10</v>
      </c>
      <c r="F2708" s="30">
        <f t="shared" si="86"/>
        <v>10</v>
      </c>
      <c r="G2708" s="30" t="s">
        <v>9</v>
      </c>
      <c r="J2708" s="30" t="s">
        <v>392</v>
      </c>
      <c r="K2708" s="30">
        <f>VLOOKUP(C2708, PA!A:M, 13, FALSE)</f>
        <v>0.10091743119266047</v>
      </c>
    </row>
    <row r="2709" spans="1:11" x14ac:dyDescent="0.25">
      <c r="A2709" s="78">
        <v>46187</v>
      </c>
      <c r="C2709" s="19" t="s">
        <v>942</v>
      </c>
      <c r="D2709" s="30">
        <v>1</v>
      </c>
      <c r="E2709" s="30">
        <v>35</v>
      </c>
      <c r="F2709" s="30">
        <f t="shared" si="86"/>
        <v>35</v>
      </c>
      <c r="G2709" s="30" t="s">
        <v>9</v>
      </c>
      <c r="J2709" s="30" t="s">
        <v>392</v>
      </c>
      <c r="K2709" s="30">
        <f>VLOOKUP(C2709, PA!A:M, 13, FALSE)</f>
        <v>0.34615384615384615</v>
      </c>
    </row>
    <row r="2710" spans="1:11" x14ac:dyDescent="0.25">
      <c r="A2710" s="78">
        <v>46187</v>
      </c>
      <c r="C2710" s="19" t="s">
        <v>540</v>
      </c>
      <c r="D2710" s="30">
        <v>1</v>
      </c>
      <c r="E2710" s="30">
        <v>10</v>
      </c>
      <c r="F2710" s="30">
        <f t="shared" si="86"/>
        <v>10</v>
      </c>
      <c r="G2710" s="30" t="s">
        <v>9</v>
      </c>
      <c r="J2710" s="30" t="s">
        <v>392</v>
      </c>
      <c r="K2710" s="30">
        <f>VLOOKUP(C2710, PA!A:M, 13, FALSE)</f>
        <v>0.5</v>
      </c>
    </row>
    <row r="2711" spans="1:11" x14ac:dyDescent="0.25">
      <c r="A2711" s="78">
        <v>46187</v>
      </c>
      <c r="C2711" s="19" t="s">
        <v>668</v>
      </c>
      <c r="D2711" s="30">
        <v>4</v>
      </c>
      <c r="E2711" s="30">
        <v>5</v>
      </c>
      <c r="F2711" s="30">
        <f t="shared" si="86"/>
        <v>20</v>
      </c>
      <c r="G2711" s="30" t="s">
        <v>9</v>
      </c>
      <c r="J2711" s="30" t="s">
        <v>392</v>
      </c>
      <c r="K2711" s="30">
        <f>VLOOKUP(C2711, PA!A:M, 13, FALSE)</f>
        <v>0.1111111111111111</v>
      </c>
    </row>
    <row r="2712" spans="1:11" x14ac:dyDescent="0.25">
      <c r="A2712" s="78">
        <v>46187</v>
      </c>
      <c r="C2712" s="33" t="s">
        <v>652</v>
      </c>
      <c r="D2712" s="30">
        <v>1</v>
      </c>
      <c r="E2712" s="30">
        <v>10</v>
      </c>
      <c r="F2712" s="30">
        <f t="shared" si="86"/>
        <v>10</v>
      </c>
      <c r="G2712" s="30" t="s">
        <v>9</v>
      </c>
      <c r="J2712" s="30" t="s">
        <v>392</v>
      </c>
      <c r="K2712" s="30">
        <f>VLOOKUP(C2712, PA!A:M, 13, FALSE)</f>
        <v>0.1111111111111111</v>
      </c>
    </row>
    <row r="2713" spans="1:11" x14ac:dyDescent="0.25">
      <c r="A2713" s="78">
        <v>46187</v>
      </c>
      <c r="C2713" s="19" t="s">
        <v>849</v>
      </c>
      <c r="D2713" s="30">
        <v>2</v>
      </c>
      <c r="E2713" s="30">
        <v>30</v>
      </c>
      <c r="F2713" s="30">
        <f t="shared" si="86"/>
        <v>60</v>
      </c>
      <c r="G2713" s="30" t="s">
        <v>9</v>
      </c>
      <c r="J2713" s="30" t="s">
        <v>392</v>
      </c>
      <c r="K2713" s="30">
        <f>VLOOKUP(C2713, PA!A:M, 13, FALSE)</f>
        <v>7.1428571428571425E-2</v>
      </c>
    </row>
    <row r="2714" spans="1:11" x14ac:dyDescent="0.25">
      <c r="A2714" s="78">
        <v>46187</v>
      </c>
      <c r="C2714" s="19" t="s">
        <v>786</v>
      </c>
      <c r="D2714" s="30">
        <v>2</v>
      </c>
      <c r="E2714" s="30">
        <v>40</v>
      </c>
      <c r="F2714" s="30">
        <f t="shared" si="86"/>
        <v>80</v>
      </c>
      <c r="G2714" s="30" t="s">
        <v>9</v>
      </c>
      <c r="J2714" s="30" t="s">
        <v>392</v>
      </c>
      <c r="K2714" s="30">
        <f>VLOOKUP(C2714, PA!A:M, 13, FALSE)</f>
        <v>0.1111111111111111</v>
      </c>
    </row>
    <row r="2715" spans="1:11" x14ac:dyDescent="0.25">
      <c r="A2715" s="78">
        <v>46187</v>
      </c>
      <c r="C2715" s="19" t="s">
        <v>929</v>
      </c>
      <c r="D2715" s="30">
        <v>2</v>
      </c>
      <c r="E2715" s="30">
        <v>20</v>
      </c>
      <c r="F2715" s="30">
        <f t="shared" si="86"/>
        <v>40</v>
      </c>
      <c r="G2715" s="30" t="s">
        <v>9</v>
      </c>
      <c r="J2715" s="30" t="s">
        <v>392</v>
      </c>
      <c r="K2715" s="30">
        <f>VLOOKUP(C2715, PA!A:M, 13, FALSE)</f>
        <v>0.1111111111111111</v>
      </c>
    </row>
    <row r="2716" spans="1:11" x14ac:dyDescent="0.25">
      <c r="A2716" s="78">
        <v>46187</v>
      </c>
      <c r="C2716" s="19" t="s">
        <v>718</v>
      </c>
      <c r="D2716" s="30">
        <v>1</v>
      </c>
      <c r="E2716" s="30">
        <v>160</v>
      </c>
      <c r="F2716" s="30">
        <f t="shared" si="86"/>
        <v>160</v>
      </c>
      <c r="G2716" s="30" t="s">
        <v>9</v>
      </c>
      <c r="J2716" s="30" t="s">
        <v>392</v>
      </c>
      <c r="K2716" s="30">
        <f>VLOOKUP(C2716, PA!A:M, 13, FALSE)</f>
        <v>0.14285714285714285</v>
      </c>
    </row>
    <row r="2717" spans="1:11" x14ac:dyDescent="0.25">
      <c r="A2717" s="78">
        <v>46187</v>
      </c>
      <c r="C2717" s="19" t="s">
        <v>740</v>
      </c>
      <c r="D2717" s="30">
        <v>1</v>
      </c>
      <c r="E2717" s="30">
        <v>10</v>
      </c>
      <c r="F2717" s="30">
        <f t="shared" si="86"/>
        <v>10</v>
      </c>
      <c r="G2717" s="30" t="s">
        <v>9</v>
      </c>
      <c r="J2717" s="30" t="s">
        <v>392</v>
      </c>
      <c r="K2717" s="30">
        <f>VLOOKUP(C2717, PA!A:M, 13, FALSE)</f>
        <v>0.22448979591836743</v>
      </c>
    </row>
    <row r="2718" spans="1:11" x14ac:dyDescent="0.25">
      <c r="A2718" s="78">
        <v>46187</v>
      </c>
      <c r="C2718" s="33" t="s">
        <v>652</v>
      </c>
      <c r="D2718" s="30">
        <v>1</v>
      </c>
      <c r="E2718" s="30">
        <v>20</v>
      </c>
      <c r="F2718" s="30">
        <f t="shared" si="86"/>
        <v>20</v>
      </c>
      <c r="G2718" s="30" t="s">
        <v>9</v>
      </c>
      <c r="J2718" s="30" t="s">
        <v>392</v>
      </c>
      <c r="K2718" s="30">
        <f>VLOOKUP(C2718, PA!A:M, 13, FALSE)</f>
        <v>0.1111111111111111</v>
      </c>
    </row>
    <row r="2719" spans="1:11" x14ac:dyDescent="0.25">
      <c r="A2719" s="78">
        <v>46187</v>
      </c>
      <c r="C2719" s="19" t="s">
        <v>767</v>
      </c>
      <c r="D2719" s="30">
        <v>1</v>
      </c>
      <c r="E2719" s="30">
        <v>10</v>
      </c>
      <c r="F2719" s="30">
        <f t="shared" si="86"/>
        <v>10</v>
      </c>
      <c r="G2719" s="30" t="s">
        <v>9</v>
      </c>
      <c r="J2719" s="30" t="s">
        <v>392</v>
      </c>
      <c r="K2719" s="30">
        <f>VLOOKUP(C2719, PA!A:M, 13, FALSE)</f>
        <v>0.1111111111111111</v>
      </c>
    </row>
    <row r="2720" spans="1:11" x14ac:dyDescent="0.25">
      <c r="A2720" s="78">
        <v>46187</v>
      </c>
      <c r="C2720" s="19" t="s">
        <v>386</v>
      </c>
      <c r="D2720" s="30">
        <v>1</v>
      </c>
      <c r="E2720" s="30">
        <v>10</v>
      </c>
      <c r="F2720" s="30">
        <f t="shared" si="86"/>
        <v>10</v>
      </c>
      <c r="G2720" s="30" t="s">
        <v>9</v>
      </c>
      <c r="J2720" s="30" t="s">
        <v>392</v>
      </c>
      <c r="K2720" s="30">
        <f>VLOOKUP(C2720, PA!A:M, 13, FALSE)</f>
        <v>0.22448979591836743</v>
      </c>
    </row>
    <row r="2721" spans="1:11" x14ac:dyDescent="0.25">
      <c r="A2721" s="78">
        <v>46187</v>
      </c>
      <c r="C2721" s="19" t="s">
        <v>929</v>
      </c>
      <c r="D2721" s="30">
        <v>1</v>
      </c>
      <c r="E2721" s="30">
        <v>20</v>
      </c>
      <c r="F2721" s="30">
        <f t="shared" si="86"/>
        <v>20</v>
      </c>
      <c r="G2721" s="30" t="s">
        <v>9</v>
      </c>
      <c r="J2721" s="30" t="s">
        <v>392</v>
      </c>
      <c r="K2721" s="30">
        <f>VLOOKUP(C2721, PA!A:M, 13, FALSE)</f>
        <v>0.1111111111111111</v>
      </c>
    </row>
    <row r="2722" spans="1:11" x14ac:dyDescent="0.25">
      <c r="A2722" s="78">
        <v>46187</v>
      </c>
      <c r="C2722" s="61" t="s">
        <v>207</v>
      </c>
      <c r="D2722" s="30">
        <v>1</v>
      </c>
      <c r="E2722" s="30">
        <v>45</v>
      </c>
      <c r="F2722" s="30">
        <f t="shared" si="86"/>
        <v>45</v>
      </c>
      <c r="G2722" s="30" t="s">
        <v>9</v>
      </c>
      <c r="J2722" s="30" t="s">
        <v>392</v>
      </c>
      <c r="K2722" s="30">
        <f>VLOOKUP(C2722, PA!A:M, 13, FALSE)</f>
        <v>0.14285714285714285</v>
      </c>
    </row>
    <row r="2723" spans="1:11" x14ac:dyDescent="0.25">
      <c r="A2723" s="78">
        <v>46187</v>
      </c>
      <c r="C2723" s="19" t="s">
        <v>911</v>
      </c>
      <c r="D2723" s="30">
        <v>6</v>
      </c>
      <c r="E2723" s="30">
        <v>9</v>
      </c>
      <c r="F2723" s="30">
        <f t="shared" si="86"/>
        <v>54</v>
      </c>
      <c r="G2723" s="30" t="s">
        <v>9</v>
      </c>
      <c r="J2723" s="30" t="s">
        <v>392</v>
      </c>
      <c r="K2723" s="30">
        <f>VLOOKUP(C2723, PA!A:M, 13, FALSE)</f>
        <v>0.17391304347826084</v>
      </c>
    </row>
    <row r="2724" spans="1:11" x14ac:dyDescent="0.25">
      <c r="A2724" s="78">
        <v>46187</v>
      </c>
      <c r="C2724" s="19" t="s">
        <v>891</v>
      </c>
      <c r="D2724" s="30">
        <v>6</v>
      </c>
      <c r="E2724" s="30">
        <v>1</v>
      </c>
      <c r="F2724" s="30">
        <f t="shared" si="86"/>
        <v>6</v>
      </c>
      <c r="G2724" s="30" t="s">
        <v>9</v>
      </c>
      <c r="J2724" s="30" t="s">
        <v>392</v>
      </c>
      <c r="K2724" s="30">
        <f>VLOOKUP(C2724, PA!A:M, 13, FALSE)</f>
        <v>0.1304347826086957</v>
      </c>
    </row>
    <row r="2725" spans="1:11" x14ac:dyDescent="0.25">
      <c r="A2725" s="78">
        <v>46187</v>
      </c>
      <c r="C2725" s="33" t="s">
        <v>55</v>
      </c>
      <c r="D2725" s="30">
        <v>10</v>
      </c>
      <c r="E2725" s="30">
        <v>1</v>
      </c>
      <c r="F2725" s="30">
        <f t="shared" si="86"/>
        <v>10</v>
      </c>
      <c r="G2725" s="30" t="s">
        <v>9</v>
      </c>
      <c r="J2725" s="30" t="s">
        <v>392</v>
      </c>
      <c r="K2725" s="30">
        <f>VLOOKUP(C2725, PA!A:M, 13, FALSE)</f>
        <v>0.17370892018779346</v>
      </c>
    </row>
    <row r="2726" spans="1:11" x14ac:dyDescent="0.25">
      <c r="A2726" s="78">
        <v>46187</v>
      </c>
      <c r="C2726" s="19" t="s">
        <v>893</v>
      </c>
      <c r="D2726" s="30">
        <v>1</v>
      </c>
      <c r="E2726" s="30">
        <v>40</v>
      </c>
      <c r="F2726" s="30">
        <f t="shared" si="86"/>
        <v>40</v>
      </c>
      <c r="G2726" s="30" t="s">
        <v>9</v>
      </c>
      <c r="J2726" s="30" t="s">
        <v>392</v>
      </c>
      <c r="K2726" s="30">
        <f>VLOOKUP(C2726, PA!A:M, 13, FALSE)</f>
        <v>5.2631578947368418E-2</v>
      </c>
    </row>
    <row r="2727" spans="1:11" x14ac:dyDescent="0.25">
      <c r="A2727" s="78">
        <v>46187</v>
      </c>
      <c r="C2727" s="19" t="s">
        <v>668</v>
      </c>
      <c r="D2727" s="30">
        <v>3</v>
      </c>
      <c r="E2727" s="30">
        <v>5</v>
      </c>
      <c r="F2727" s="30">
        <f t="shared" si="86"/>
        <v>15</v>
      </c>
      <c r="G2727" s="30" t="s">
        <v>9</v>
      </c>
      <c r="J2727" s="30" t="s">
        <v>392</v>
      </c>
      <c r="K2727" s="30">
        <f>VLOOKUP(C2727, PA!A:M, 13, FALSE)</f>
        <v>0.1111111111111111</v>
      </c>
    </row>
    <row r="2728" spans="1:11" x14ac:dyDescent="0.25">
      <c r="A2728" s="78">
        <v>46187</v>
      </c>
      <c r="C2728" s="19" t="s">
        <v>668</v>
      </c>
      <c r="D2728" s="30">
        <v>2</v>
      </c>
      <c r="E2728" s="30">
        <v>5</v>
      </c>
      <c r="F2728" s="30">
        <f t="shared" si="86"/>
        <v>10</v>
      </c>
      <c r="G2728" s="30" t="s">
        <v>9</v>
      </c>
      <c r="J2728" s="30" t="s">
        <v>392</v>
      </c>
      <c r="K2728" s="30">
        <f>VLOOKUP(C2728, PA!A:M, 13, FALSE)</f>
        <v>0.1111111111111111</v>
      </c>
    </row>
    <row r="2729" spans="1:11" ht="30" x14ac:dyDescent="0.25">
      <c r="A2729" s="78">
        <v>46187</v>
      </c>
      <c r="C2729" s="19" t="s">
        <v>826</v>
      </c>
      <c r="D2729" s="30">
        <v>5</v>
      </c>
      <c r="E2729" s="30">
        <v>1</v>
      </c>
      <c r="F2729" s="30">
        <f t="shared" si="86"/>
        <v>5</v>
      </c>
      <c r="G2729" s="30" t="s">
        <v>9</v>
      </c>
      <c r="J2729" s="30" t="s">
        <v>392</v>
      </c>
      <c r="K2729" s="30">
        <f>VLOOKUP(C2729, PA!A:M, 13, FALSE)</f>
        <v>0.14285714285714285</v>
      </c>
    </row>
    <row r="2730" spans="1:11" x14ac:dyDescent="0.25">
      <c r="A2730" s="78">
        <v>46187</v>
      </c>
      <c r="C2730" s="19" t="s">
        <v>767</v>
      </c>
      <c r="D2730" s="30">
        <v>1</v>
      </c>
      <c r="E2730" s="30">
        <v>10</v>
      </c>
      <c r="F2730" s="30">
        <f t="shared" si="86"/>
        <v>10</v>
      </c>
      <c r="G2730" s="30" t="s">
        <v>9</v>
      </c>
      <c r="J2730" s="30" t="s">
        <v>392</v>
      </c>
      <c r="K2730" s="30">
        <f>VLOOKUP(C2730, PA!A:M, 13, FALSE)</f>
        <v>0.1111111111111111</v>
      </c>
    </row>
    <row r="2731" spans="1:11" x14ac:dyDescent="0.25">
      <c r="A2731" s="78">
        <v>46187</v>
      </c>
      <c r="C2731" s="19" t="s">
        <v>114</v>
      </c>
      <c r="D2731" s="30">
        <v>2</v>
      </c>
      <c r="E2731" s="30">
        <v>10</v>
      </c>
      <c r="F2731" s="30">
        <f t="shared" si="86"/>
        <v>20</v>
      </c>
      <c r="G2731" s="30" t="s">
        <v>9</v>
      </c>
      <c r="J2731" s="30" t="s">
        <v>392</v>
      </c>
      <c r="K2731" s="30">
        <f>VLOOKUP(C2731, PA!A:M, 13, FALSE)</f>
        <v>0.42857142857142855</v>
      </c>
    </row>
    <row r="2732" spans="1:11" x14ac:dyDescent="0.25">
      <c r="A2732" s="78">
        <v>46187</v>
      </c>
      <c r="C2732" s="19" t="s">
        <v>785</v>
      </c>
      <c r="D2732" s="30">
        <v>2</v>
      </c>
      <c r="E2732" s="30">
        <v>1</v>
      </c>
      <c r="F2732" s="30">
        <f t="shared" si="86"/>
        <v>2</v>
      </c>
      <c r="G2732" s="30" t="s">
        <v>9</v>
      </c>
      <c r="J2732" s="30" t="s">
        <v>392</v>
      </c>
      <c r="K2732" s="30">
        <f>VLOOKUP(C2732, PA!A:M, 13, FALSE)</f>
        <v>0.13333333333333336</v>
      </c>
    </row>
    <row r="2733" spans="1:11" x14ac:dyDescent="0.25">
      <c r="A2733" s="78">
        <v>46187</v>
      </c>
      <c r="C2733" s="19" t="s">
        <v>893</v>
      </c>
      <c r="D2733" s="30">
        <v>1</v>
      </c>
      <c r="E2733" s="30">
        <v>40</v>
      </c>
      <c r="F2733" s="30">
        <f t="shared" si="86"/>
        <v>40</v>
      </c>
      <c r="G2733" s="30" t="s">
        <v>9</v>
      </c>
      <c r="J2733" s="30" t="s">
        <v>392</v>
      </c>
      <c r="K2733" s="30">
        <f>VLOOKUP(C2733, PA!A:M, 13, FALSE)</f>
        <v>5.2631578947368418E-2</v>
      </c>
    </row>
    <row r="2734" spans="1:11" ht="30" x14ac:dyDescent="0.25">
      <c r="A2734" s="78">
        <v>46187</v>
      </c>
      <c r="C2734" s="19" t="s">
        <v>854</v>
      </c>
      <c r="D2734" s="30">
        <v>1</v>
      </c>
      <c r="E2734" s="30">
        <v>40</v>
      </c>
      <c r="F2734" s="30">
        <f t="shared" si="86"/>
        <v>40</v>
      </c>
      <c r="G2734" s="30" t="s">
        <v>9</v>
      </c>
      <c r="J2734" s="30" t="s">
        <v>392</v>
      </c>
      <c r="K2734" s="30">
        <f>VLOOKUP(C2734, PA!A:M, 13, FALSE)</f>
        <v>6.6666666666666666E-2</v>
      </c>
    </row>
    <row r="2735" spans="1:11" ht="30" x14ac:dyDescent="0.25">
      <c r="A2735" s="78">
        <v>46187</v>
      </c>
      <c r="C2735" s="19" t="s">
        <v>109</v>
      </c>
      <c r="D2735" s="30">
        <v>1</v>
      </c>
      <c r="E2735" s="30">
        <v>15</v>
      </c>
      <c r="F2735" s="30">
        <f t="shared" si="86"/>
        <v>15</v>
      </c>
      <c r="G2735" s="30" t="s">
        <v>9</v>
      </c>
      <c r="J2735" s="30" t="s">
        <v>392</v>
      </c>
      <c r="K2735" s="30">
        <f>VLOOKUP(C2735, PA!A:M, 13, FALSE)</f>
        <v>0.2</v>
      </c>
    </row>
    <row r="2736" spans="1:11" ht="30" x14ac:dyDescent="0.25">
      <c r="A2736" s="78">
        <v>46187</v>
      </c>
      <c r="C2736" s="19" t="s">
        <v>818</v>
      </c>
      <c r="D2736" s="30">
        <v>5</v>
      </c>
      <c r="E2736" s="30">
        <v>1</v>
      </c>
      <c r="F2736" s="30">
        <f t="shared" si="86"/>
        <v>5</v>
      </c>
      <c r="G2736" s="30" t="s">
        <v>9</v>
      </c>
      <c r="J2736" s="30" t="s">
        <v>392</v>
      </c>
      <c r="K2736" s="30">
        <f>VLOOKUP(C2736, PA!A:M, 13, FALSE)</f>
        <v>0.14285714285714285</v>
      </c>
    </row>
    <row r="2737" spans="1:12" x14ac:dyDescent="0.25">
      <c r="A2737" s="78">
        <v>46187</v>
      </c>
      <c r="C2737" s="19" t="s">
        <v>684</v>
      </c>
      <c r="D2737" s="30">
        <v>2</v>
      </c>
      <c r="E2737" s="30">
        <v>10</v>
      </c>
      <c r="F2737" s="30">
        <f t="shared" si="86"/>
        <v>20</v>
      </c>
      <c r="G2737" s="30" t="s">
        <v>9</v>
      </c>
      <c r="I2737" s="139">
        <f>SUM(F2694:F2737)</f>
        <v>1012.0319999999999</v>
      </c>
      <c r="J2737" s="30" t="s">
        <v>392</v>
      </c>
      <c r="K2737" s="30">
        <f>VLOOKUP(C2737, PA!A:M, 13, FALSE)</f>
        <v>4.7409040793825769E-2</v>
      </c>
      <c r="L2737" s="62">
        <f>AVERAGE(K2694:K2737)</f>
        <v>0.15969786479239037</v>
      </c>
    </row>
    <row r="2738" spans="1:12" s="69" customFormat="1" ht="18.75" x14ac:dyDescent="0.3">
      <c r="A2738" s="235" t="s">
        <v>437</v>
      </c>
      <c r="B2738" s="236"/>
      <c r="C2738" s="236"/>
      <c r="D2738" s="236"/>
      <c r="E2738" s="236"/>
      <c r="F2738" s="236"/>
      <c r="G2738" s="236"/>
      <c r="H2738" s="237"/>
      <c r="I2738" s="241">
        <f>I2737</f>
        <v>1012.0319999999999</v>
      </c>
      <c r="J2738" s="242"/>
      <c r="K2738" s="242"/>
      <c r="L2738" s="243"/>
    </row>
    <row r="2739" spans="1:12" x14ac:dyDescent="0.25">
      <c r="A2739" s="78">
        <v>46188</v>
      </c>
      <c r="C2739" s="19" t="s">
        <v>945</v>
      </c>
      <c r="D2739" s="30">
        <v>1.7999999999999999E-2</v>
      </c>
      <c r="E2739" s="30">
        <v>900</v>
      </c>
      <c r="F2739" s="30">
        <f t="shared" ref="F2739:F2770" si="87">E2739*D2739</f>
        <v>16.2</v>
      </c>
      <c r="G2739" s="30" t="s">
        <v>9</v>
      </c>
      <c r="J2739" s="30" t="s">
        <v>392</v>
      </c>
      <c r="K2739" s="30">
        <f>VLOOKUP(C2739, PA!A:M, 13, FALSE)</f>
        <v>0.2857142857142857</v>
      </c>
    </row>
    <row r="2740" spans="1:12" x14ac:dyDescent="0.25">
      <c r="A2740" s="78">
        <v>46188</v>
      </c>
      <c r="C2740" s="19" t="s">
        <v>622</v>
      </c>
      <c r="D2740" s="30">
        <v>2</v>
      </c>
      <c r="E2740" s="30">
        <v>9</v>
      </c>
      <c r="F2740" s="30">
        <f t="shared" si="87"/>
        <v>18</v>
      </c>
      <c r="G2740" s="30" t="s">
        <v>9</v>
      </c>
      <c r="J2740" s="30" t="s">
        <v>392</v>
      </c>
      <c r="K2740" s="30">
        <f>VLOOKUP(C2740, PA!A:M, 13, FALSE)</f>
        <v>0.2</v>
      </c>
    </row>
    <row r="2741" spans="1:12" x14ac:dyDescent="0.25">
      <c r="A2741" s="78">
        <v>46188</v>
      </c>
      <c r="C2741" s="19" t="s">
        <v>553</v>
      </c>
      <c r="D2741" s="30">
        <v>1</v>
      </c>
      <c r="E2741" s="30">
        <v>5</v>
      </c>
      <c r="F2741" s="30">
        <f t="shared" si="87"/>
        <v>5</v>
      </c>
      <c r="G2741" s="30" t="s">
        <v>9</v>
      </c>
      <c r="J2741" s="30" t="s">
        <v>392</v>
      </c>
      <c r="K2741" s="30">
        <f>VLOOKUP(C2741, PA!A:M, 13, FALSE)</f>
        <v>0.1111111111111111</v>
      </c>
    </row>
    <row r="2742" spans="1:12" x14ac:dyDescent="0.25">
      <c r="A2742" s="78">
        <v>46188</v>
      </c>
      <c r="C2742" s="33" t="s">
        <v>565</v>
      </c>
      <c r="D2742" s="30">
        <v>2</v>
      </c>
      <c r="E2742" s="30">
        <v>10</v>
      </c>
      <c r="F2742" s="30">
        <f t="shared" si="87"/>
        <v>20</v>
      </c>
      <c r="G2742" s="30" t="s">
        <v>9</v>
      </c>
      <c r="J2742" s="30" t="s">
        <v>392</v>
      </c>
      <c r="K2742" s="30">
        <f>VLOOKUP(C2742, PA!A:M, 13, FALSE)</f>
        <v>0.10091743119266047</v>
      </c>
    </row>
    <row r="2743" spans="1:12" ht="30" x14ac:dyDescent="0.25">
      <c r="A2743" s="78">
        <v>46188</v>
      </c>
      <c r="C2743" s="19" t="s">
        <v>932</v>
      </c>
      <c r="D2743" s="30">
        <v>1</v>
      </c>
      <c r="E2743" s="30">
        <v>20</v>
      </c>
      <c r="F2743" s="30">
        <f t="shared" si="87"/>
        <v>20</v>
      </c>
      <c r="G2743" s="30" t="s">
        <v>9</v>
      </c>
      <c r="J2743" s="30" t="s">
        <v>392</v>
      </c>
      <c r="K2743" s="30">
        <f>VLOOKUP(C2743, PA!A:M, 13, FALSE)</f>
        <v>5.2631578947368418E-2</v>
      </c>
    </row>
    <row r="2744" spans="1:12" x14ac:dyDescent="0.25">
      <c r="A2744" s="78">
        <v>46188</v>
      </c>
      <c r="C2744" s="33" t="s">
        <v>565</v>
      </c>
      <c r="D2744" s="30">
        <v>4</v>
      </c>
      <c r="E2744" s="30">
        <v>10</v>
      </c>
      <c r="F2744" s="30">
        <f t="shared" si="87"/>
        <v>40</v>
      </c>
      <c r="G2744" s="30" t="s">
        <v>9</v>
      </c>
      <c r="J2744" s="30" t="s">
        <v>392</v>
      </c>
      <c r="K2744" s="30">
        <f>VLOOKUP(C2744, PA!A:M, 13, FALSE)</f>
        <v>0.10091743119266047</v>
      </c>
    </row>
    <row r="2745" spans="1:12" x14ac:dyDescent="0.25">
      <c r="A2745" s="78">
        <v>46188</v>
      </c>
      <c r="C2745" s="19" t="s">
        <v>516</v>
      </c>
      <c r="D2745" s="30">
        <v>2</v>
      </c>
      <c r="E2745" s="30">
        <v>35</v>
      </c>
      <c r="F2745" s="30">
        <f t="shared" si="87"/>
        <v>70</v>
      </c>
      <c r="G2745" s="30" t="s">
        <v>9</v>
      </c>
      <c r="J2745" s="30" t="s">
        <v>392</v>
      </c>
      <c r="K2745" s="30">
        <f>VLOOKUP(C2745, PA!A:M, 13, FALSE)</f>
        <v>6.0606060606060608E-2</v>
      </c>
    </row>
    <row r="2746" spans="1:12" x14ac:dyDescent="0.25">
      <c r="A2746" s="78">
        <v>46188</v>
      </c>
      <c r="C2746" s="19" t="s">
        <v>680</v>
      </c>
      <c r="D2746" s="30">
        <v>1</v>
      </c>
      <c r="E2746" s="30">
        <v>10</v>
      </c>
      <c r="F2746" s="30">
        <f t="shared" si="87"/>
        <v>10</v>
      </c>
      <c r="G2746" s="30" t="s">
        <v>9</v>
      </c>
      <c r="J2746" s="30" t="s">
        <v>392</v>
      </c>
      <c r="K2746" s="30">
        <f>VLOOKUP(C2746, PA!A:M, 13, FALSE)</f>
        <v>9.170305676855893E-2</v>
      </c>
    </row>
    <row r="2747" spans="1:12" x14ac:dyDescent="0.25">
      <c r="A2747" s="78">
        <v>46188</v>
      </c>
      <c r="C2747" s="76" t="str">
        <f>'Stock Register'!A221</f>
        <v>WHOLE LONG LOT 1</v>
      </c>
      <c r="D2747" s="30">
        <v>7.0000000000000001E-3</v>
      </c>
      <c r="E2747" s="30">
        <v>1450</v>
      </c>
      <c r="F2747" s="30">
        <f t="shared" si="87"/>
        <v>10.15</v>
      </c>
      <c r="G2747" s="30" t="s">
        <v>9</v>
      </c>
      <c r="J2747" s="30" t="s">
        <v>392</v>
      </c>
      <c r="K2747" s="30">
        <f>VLOOKUP(C2747, PA!A:M, 13, FALSE)</f>
        <v>0.20833333333333334</v>
      </c>
    </row>
    <row r="2748" spans="1:12" x14ac:dyDescent="0.25">
      <c r="A2748" s="78">
        <v>46188</v>
      </c>
      <c r="C2748" s="33" t="str">
        <f>'Stock Register'!A219</f>
        <v>WHOLE MEETHI LOT 1</v>
      </c>
      <c r="D2748" s="30">
        <v>8.3000000000000004E-2</v>
      </c>
      <c r="E2748" s="30">
        <v>120</v>
      </c>
      <c r="F2748" s="30">
        <f t="shared" si="87"/>
        <v>9.9600000000000009</v>
      </c>
      <c r="G2748" s="30" t="s">
        <v>9</v>
      </c>
      <c r="J2748" s="30" t="s">
        <v>392</v>
      </c>
      <c r="K2748" s="30">
        <f>VLOOKUP(C2748, PA!A:M, 13, FALSE)</f>
        <v>13.5</v>
      </c>
    </row>
    <row r="2749" spans="1:12" x14ac:dyDescent="0.25">
      <c r="A2749" s="78">
        <v>46188</v>
      </c>
      <c r="C2749" s="33" t="s">
        <v>345</v>
      </c>
      <c r="D2749" s="30">
        <v>4</v>
      </c>
      <c r="E2749" s="30">
        <v>1</v>
      </c>
      <c r="F2749" s="30">
        <f t="shared" si="87"/>
        <v>4</v>
      </c>
      <c r="G2749" s="30" t="s">
        <v>9</v>
      </c>
      <c r="J2749" s="30" t="s">
        <v>392</v>
      </c>
      <c r="K2749" s="30">
        <f>VLOOKUP(C2749, PA!A:M, 13, FALSE)</f>
        <v>0.14942528735632185</v>
      </c>
    </row>
    <row r="2750" spans="1:12" x14ac:dyDescent="0.25">
      <c r="A2750" s="78">
        <v>46188</v>
      </c>
      <c r="C2750" s="33" t="s">
        <v>822</v>
      </c>
      <c r="D2750" s="30">
        <v>0.34100000000000003</v>
      </c>
      <c r="E2750" s="30">
        <v>30</v>
      </c>
      <c r="F2750" s="30">
        <f t="shared" si="87"/>
        <v>10.23</v>
      </c>
      <c r="G2750" s="30" t="s">
        <v>9</v>
      </c>
      <c r="J2750" s="30" t="s">
        <v>392</v>
      </c>
      <c r="K2750" s="30">
        <f>VLOOKUP(C2750, PA!A:M, 13, FALSE)</f>
        <v>7.1428571428571425E-2</v>
      </c>
    </row>
    <row r="2751" spans="1:12" x14ac:dyDescent="0.25">
      <c r="A2751" s="78">
        <v>46188</v>
      </c>
      <c r="C2751" s="33" t="s">
        <v>901</v>
      </c>
      <c r="D2751" s="30">
        <v>0.5</v>
      </c>
      <c r="E2751" s="30">
        <v>20</v>
      </c>
      <c r="F2751" s="30">
        <f t="shared" si="87"/>
        <v>10</v>
      </c>
      <c r="G2751" s="30" t="s">
        <v>9</v>
      </c>
      <c r="J2751" s="30" t="s">
        <v>392</v>
      </c>
      <c r="K2751" s="30">
        <f>VLOOKUP(C2751, PA!A:M, 13, FALSE)</f>
        <v>0.33333333333333331</v>
      </c>
    </row>
    <row r="2752" spans="1:12" x14ac:dyDescent="0.25">
      <c r="A2752" s="78">
        <v>46188</v>
      </c>
      <c r="C2752" s="33" t="s">
        <v>740</v>
      </c>
      <c r="D2752" s="30">
        <v>1</v>
      </c>
      <c r="E2752" s="30">
        <v>10</v>
      </c>
      <c r="F2752" s="30">
        <f t="shared" si="87"/>
        <v>10</v>
      </c>
      <c r="G2752" s="30" t="s">
        <v>9</v>
      </c>
      <c r="J2752" s="30" t="s">
        <v>392</v>
      </c>
      <c r="K2752" s="30">
        <f>VLOOKUP(C2752, PA!A:M, 13, FALSE)</f>
        <v>0.22448979591836743</v>
      </c>
    </row>
    <row r="2753" spans="1:11" x14ac:dyDescent="0.25">
      <c r="A2753" s="78">
        <v>46188</v>
      </c>
      <c r="C2753" s="19" t="s">
        <v>886</v>
      </c>
      <c r="D2753" s="30">
        <v>1</v>
      </c>
      <c r="E2753" s="30">
        <v>10</v>
      </c>
      <c r="F2753" s="30">
        <f t="shared" si="87"/>
        <v>10</v>
      </c>
      <c r="G2753" s="30" t="s">
        <v>9</v>
      </c>
      <c r="J2753" s="30" t="s">
        <v>392</v>
      </c>
      <c r="K2753" s="30">
        <f>VLOOKUP(C2753, PA!A:M, 13, FALSE)</f>
        <v>0.1111111111111111</v>
      </c>
    </row>
    <row r="2754" spans="1:11" ht="30" x14ac:dyDescent="0.25">
      <c r="A2754" s="78">
        <v>46188</v>
      </c>
      <c r="C2754" s="33" t="s">
        <v>377</v>
      </c>
      <c r="D2754" s="30">
        <v>1</v>
      </c>
      <c r="E2754" s="30">
        <v>10</v>
      </c>
      <c r="F2754" s="30">
        <f t="shared" si="87"/>
        <v>10</v>
      </c>
      <c r="G2754" s="30" t="s">
        <v>9</v>
      </c>
      <c r="J2754" s="30" t="s">
        <v>392</v>
      </c>
      <c r="K2754" s="30">
        <f>VLOOKUP(C2754, PA!A:M, 13, FALSE)</f>
        <v>0.20048019207683071</v>
      </c>
    </row>
    <row r="2755" spans="1:11" x14ac:dyDescent="0.25">
      <c r="A2755" s="78">
        <v>46188</v>
      </c>
      <c r="C2755" s="19" t="s">
        <v>865</v>
      </c>
      <c r="D2755" s="30">
        <v>0.17199999999999999</v>
      </c>
      <c r="E2755" s="30">
        <v>58</v>
      </c>
      <c r="F2755" s="30">
        <f t="shared" si="87"/>
        <v>9.9759999999999991</v>
      </c>
      <c r="G2755" s="30" t="s">
        <v>9</v>
      </c>
      <c r="J2755" s="30" t="s">
        <v>392</v>
      </c>
      <c r="K2755" s="30">
        <f>VLOOKUP(C2755, PA!A:M, 13, FALSE)</f>
        <v>0.18367346938775511</v>
      </c>
    </row>
    <row r="2756" spans="1:11" x14ac:dyDescent="0.25">
      <c r="A2756" s="78">
        <v>46188</v>
      </c>
      <c r="C2756" s="19" t="s">
        <v>764</v>
      </c>
      <c r="D2756" s="30">
        <v>2</v>
      </c>
      <c r="E2756" s="30">
        <v>5</v>
      </c>
      <c r="F2756" s="30">
        <f t="shared" si="87"/>
        <v>10</v>
      </c>
      <c r="G2756" s="30" t="s">
        <v>9</v>
      </c>
      <c r="J2756" s="30" t="s">
        <v>392</v>
      </c>
      <c r="K2756" s="30" t="e">
        <f>VLOOKUP(C2756, PA!A:M, 13, FALSE)</f>
        <v>#N/A</v>
      </c>
    </row>
    <row r="2757" spans="1:11" x14ac:dyDescent="0.25">
      <c r="A2757" s="78">
        <v>46188</v>
      </c>
      <c r="C2757" s="19" t="s">
        <v>721</v>
      </c>
      <c r="D2757" s="30">
        <v>0.1</v>
      </c>
      <c r="E2757" s="30">
        <v>1000</v>
      </c>
      <c r="F2757" s="30">
        <f t="shared" si="87"/>
        <v>100</v>
      </c>
      <c r="G2757" s="30" t="s">
        <v>9</v>
      </c>
      <c r="J2757" s="30" t="s">
        <v>392</v>
      </c>
      <c r="K2757" s="30">
        <f>VLOOKUP(C2757, PA!A:M, 13, FALSE)</f>
        <v>0.2</v>
      </c>
    </row>
    <row r="2758" spans="1:11" x14ac:dyDescent="0.25">
      <c r="A2758" s="78">
        <v>46188</v>
      </c>
      <c r="C2758" s="33" t="s">
        <v>207</v>
      </c>
      <c r="D2758" s="30">
        <v>1</v>
      </c>
      <c r="E2758" s="30">
        <v>45</v>
      </c>
      <c r="F2758" s="30">
        <f t="shared" si="87"/>
        <v>45</v>
      </c>
      <c r="G2758" s="30" t="s">
        <v>9</v>
      </c>
      <c r="J2758" s="30" t="s">
        <v>392</v>
      </c>
      <c r="K2758" s="30">
        <f>VLOOKUP(C2758, PA!A:M, 13, FALSE)</f>
        <v>0.14285714285714285</v>
      </c>
    </row>
    <row r="2759" spans="1:11" x14ac:dyDescent="0.25">
      <c r="A2759" s="78">
        <v>46188</v>
      </c>
      <c r="C2759" s="19" t="s">
        <v>893</v>
      </c>
      <c r="D2759" s="30">
        <v>1</v>
      </c>
      <c r="E2759" s="30">
        <v>40</v>
      </c>
      <c r="F2759" s="30">
        <f t="shared" si="87"/>
        <v>40</v>
      </c>
      <c r="G2759" s="30" t="s">
        <v>9</v>
      </c>
      <c r="J2759" s="30" t="s">
        <v>392</v>
      </c>
      <c r="K2759" s="30">
        <f>VLOOKUP(C2759, PA!A:M, 13, FALSE)</f>
        <v>5.2631578947368418E-2</v>
      </c>
    </row>
    <row r="2760" spans="1:11" x14ac:dyDescent="0.25">
      <c r="A2760" s="78">
        <v>46188</v>
      </c>
      <c r="C2760" s="19" t="s">
        <v>929</v>
      </c>
      <c r="D2760" s="30">
        <v>2</v>
      </c>
      <c r="E2760" s="30">
        <v>20</v>
      </c>
      <c r="F2760" s="30">
        <f t="shared" si="87"/>
        <v>40</v>
      </c>
      <c r="G2760" s="30" t="s">
        <v>9</v>
      </c>
      <c r="J2760" s="30" t="s">
        <v>392</v>
      </c>
      <c r="K2760" s="30">
        <f>VLOOKUP(C2760, PA!A:M, 13, FALSE)</f>
        <v>0.1111111111111111</v>
      </c>
    </row>
    <row r="2761" spans="1:11" ht="30" x14ac:dyDescent="0.25">
      <c r="A2761" s="78">
        <v>46188</v>
      </c>
      <c r="C2761" s="19" t="s">
        <v>941</v>
      </c>
      <c r="D2761" s="30">
        <v>1</v>
      </c>
      <c r="E2761" s="30">
        <v>60</v>
      </c>
      <c r="F2761" s="30">
        <f t="shared" si="87"/>
        <v>60</v>
      </c>
      <c r="G2761" s="30" t="s">
        <v>9</v>
      </c>
      <c r="J2761" s="30" t="s">
        <v>392</v>
      </c>
      <c r="K2761" s="30">
        <f>VLOOKUP(C2761, PA!A:M, 13, FALSE)</f>
        <v>0.57894736842105265</v>
      </c>
    </row>
    <row r="2762" spans="1:11" x14ac:dyDescent="0.25">
      <c r="A2762" s="78">
        <v>46188</v>
      </c>
      <c r="C2762" s="33" t="s">
        <v>911</v>
      </c>
      <c r="D2762" s="30">
        <v>4</v>
      </c>
      <c r="E2762" s="30">
        <v>9</v>
      </c>
      <c r="F2762" s="30">
        <f t="shared" si="87"/>
        <v>36</v>
      </c>
      <c r="G2762" s="30" t="s">
        <v>9</v>
      </c>
      <c r="J2762" s="30" t="s">
        <v>392</v>
      </c>
      <c r="K2762" s="30">
        <f>VLOOKUP(C2762, PA!A:M, 13, FALSE)</f>
        <v>0.17391304347826084</v>
      </c>
    </row>
    <row r="2763" spans="1:11" x14ac:dyDescent="0.25">
      <c r="A2763" s="78">
        <v>46188</v>
      </c>
      <c r="C2763" s="33" t="s">
        <v>834</v>
      </c>
      <c r="D2763" s="30">
        <v>1</v>
      </c>
      <c r="E2763" s="30">
        <v>20</v>
      </c>
      <c r="F2763" s="30">
        <f t="shared" si="87"/>
        <v>20</v>
      </c>
      <c r="G2763" s="30" t="s">
        <v>9</v>
      </c>
      <c r="J2763" s="30" t="s">
        <v>392</v>
      </c>
      <c r="K2763" s="30">
        <f>VLOOKUP(C2763, PA!A:M, 13, FALSE)</f>
        <v>0.38461538461538458</v>
      </c>
    </row>
    <row r="2764" spans="1:11" x14ac:dyDescent="0.25">
      <c r="A2764" s="78">
        <v>46188</v>
      </c>
      <c r="C2764" s="19" t="s">
        <v>825</v>
      </c>
      <c r="D2764" s="30">
        <v>1</v>
      </c>
      <c r="E2764" s="30">
        <v>70</v>
      </c>
      <c r="F2764" s="30">
        <f t="shared" si="87"/>
        <v>70</v>
      </c>
      <c r="G2764" s="30" t="s">
        <v>9</v>
      </c>
      <c r="J2764" s="30" t="s">
        <v>392</v>
      </c>
      <c r="K2764" s="30">
        <f>VLOOKUP(C2764, PA!A:M, 13, FALSE)</f>
        <v>7.6923076923076927E-2</v>
      </c>
    </row>
    <row r="2765" spans="1:11" ht="30" x14ac:dyDescent="0.25">
      <c r="A2765" s="78">
        <v>46188</v>
      </c>
      <c r="C2765" s="19" t="s">
        <v>642</v>
      </c>
      <c r="D2765" s="30">
        <v>1</v>
      </c>
      <c r="E2765" s="30">
        <v>82</v>
      </c>
      <c r="F2765" s="30">
        <f t="shared" si="87"/>
        <v>82</v>
      </c>
      <c r="G2765" s="30" t="s">
        <v>9</v>
      </c>
      <c r="J2765" s="30" t="s">
        <v>392</v>
      </c>
      <c r="K2765" s="30">
        <f>VLOOKUP(C2765, PA!A:M, 13, FALSE)</f>
        <v>0.25925925925925924</v>
      </c>
    </row>
    <row r="2766" spans="1:11" ht="30" x14ac:dyDescent="0.25">
      <c r="A2766" s="78">
        <v>46188</v>
      </c>
      <c r="C2766" s="19" t="s">
        <v>526</v>
      </c>
      <c r="D2766" s="30">
        <v>1</v>
      </c>
      <c r="E2766" s="30">
        <v>65</v>
      </c>
      <c r="F2766" s="30">
        <f t="shared" si="87"/>
        <v>65</v>
      </c>
      <c r="G2766" s="30" t="s">
        <v>9</v>
      </c>
      <c r="J2766" s="30" t="s">
        <v>392</v>
      </c>
      <c r="K2766" s="30">
        <f>VLOOKUP(C2766, PA!A:M, 13, FALSE)</f>
        <v>0.25</v>
      </c>
    </row>
    <row r="2767" spans="1:11" ht="30" x14ac:dyDescent="0.25">
      <c r="A2767" s="78">
        <v>46188</v>
      </c>
      <c r="C2767" s="19" t="s">
        <v>97</v>
      </c>
      <c r="D2767" s="30">
        <v>1</v>
      </c>
      <c r="E2767" s="30">
        <v>35</v>
      </c>
      <c r="F2767" s="30">
        <f t="shared" si="87"/>
        <v>35</v>
      </c>
      <c r="G2767" s="30" t="s">
        <v>9</v>
      </c>
      <c r="J2767" s="30" t="s">
        <v>392</v>
      </c>
      <c r="K2767" s="30">
        <f>VLOOKUP(C2767, PA!A:M, 13, FALSE)</f>
        <v>0.25</v>
      </c>
    </row>
    <row r="2768" spans="1:11" x14ac:dyDescent="0.25">
      <c r="A2768" s="78">
        <v>46188</v>
      </c>
      <c r="C2768" s="19" t="s">
        <v>101</v>
      </c>
      <c r="D2768" s="30">
        <v>1</v>
      </c>
      <c r="E2768" s="30">
        <v>58</v>
      </c>
      <c r="F2768" s="30">
        <f t="shared" si="87"/>
        <v>58</v>
      </c>
      <c r="G2768" s="30" t="s">
        <v>9</v>
      </c>
      <c r="J2768" s="30" t="s">
        <v>392</v>
      </c>
      <c r="K2768" s="30">
        <f>VLOOKUP(C2768, PA!A:M, 13, FALSE)</f>
        <v>0.23404255319148937</v>
      </c>
    </row>
    <row r="2769" spans="1:11" x14ac:dyDescent="0.25">
      <c r="A2769" s="78">
        <v>46188</v>
      </c>
      <c r="C2769" s="19" t="str">
        <f>'Stock Register'!A4</f>
        <v>DURGABARI TEA 35 INR  LOT 1</v>
      </c>
      <c r="D2769" s="30">
        <v>1</v>
      </c>
      <c r="E2769" s="30">
        <v>35</v>
      </c>
      <c r="F2769" s="30">
        <f t="shared" si="87"/>
        <v>35</v>
      </c>
      <c r="G2769" s="30" t="s">
        <v>9</v>
      </c>
      <c r="J2769" s="30" t="s">
        <v>392</v>
      </c>
      <c r="K2769" s="30">
        <f>VLOOKUP(C2769, PA!A:M, 13, FALSE)</f>
        <v>0.4</v>
      </c>
    </row>
    <row r="2770" spans="1:11" x14ac:dyDescent="0.25">
      <c r="A2770" s="78">
        <v>46188</v>
      </c>
      <c r="C2770" s="19" t="str">
        <f>'Stock Register'!A186</f>
        <v>SUNRISE GARAM MASALA LOT 1</v>
      </c>
      <c r="D2770" s="30">
        <v>2</v>
      </c>
      <c r="E2770" s="30">
        <v>5</v>
      </c>
      <c r="F2770" s="30">
        <f t="shared" si="87"/>
        <v>10</v>
      </c>
      <c r="G2770" s="30" t="s">
        <v>9</v>
      </c>
      <c r="J2770" s="30" t="s">
        <v>392</v>
      </c>
      <c r="K2770" s="30">
        <f>VLOOKUP(C2770, PA!A:M, 13, FALSE)</f>
        <v>0.25</v>
      </c>
    </row>
    <row r="2771" spans="1:11" x14ac:dyDescent="0.25">
      <c r="A2771" s="78">
        <v>46188</v>
      </c>
      <c r="C2771" s="19" t="s">
        <v>708</v>
      </c>
      <c r="D2771" s="30">
        <v>3</v>
      </c>
      <c r="E2771" s="30">
        <v>5</v>
      </c>
      <c r="F2771" s="30">
        <f t="shared" ref="F2771:F2793" si="88">E2771*D2771</f>
        <v>15</v>
      </c>
      <c r="G2771" s="30" t="s">
        <v>9</v>
      </c>
      <c r="J2771" s="30" t="s">
        <v>392</v>
      </c>
      <c r="K2771" s="30">
        <f>VLOOKUP(C2771, PA!A:M, 13, FALSE)</f>
        <v>0.15384615384615394</v>
      </c>
    </row>
    <row r="2772" spans="1:11" x14ac:dyDescent="0.25">
      <c r="A2772" s="78">
        <v>46188</v>
      </c>
      <c r="C2772" s="19" t="s">
        <v>678</v>
      </c>
      <c r="D2772" s="30">
        <v>2</v>
      </c>
      <c r="E2772" s="30">
        <v>10</v>
      </c>
      <c r="F2772" s="30">
        <f t="shared" si="88"/>
        <v>20</v>
      </c>
      <c r="G2772" s="30" t="s">
        <v>9</v>
      </c>
      <c r="J2772" s="30" t="s">
        <v>392</v>
      </c>
      <c r="K2772" s="30">
        <f>VLOOKUP(C2772, PA!A:M, 13, FALSE)</f>
        <v>0.78571428571428581</v>
      </c>
    </row>
    <row r="2773" spans="1:11" ht="30" x14ac:dyDescent="0.25">
      <c r="A2773" s="78">
        <v>46188</v>
      </c>
      <c r="C2773" s="33" t="s">
        <v>377</v>
      </c>
      <c r="D2773" s="30">
        <v>1</v>
      </c>
      <c r="E2773" s="30">
        <v>10</v>
      </c>
      <c r="F2773" s="30">
        <f t="shared" si="88"/>
        <v>10</v>
      </c>
      <c r="G2773" s="30" t="s">
        <v>9</v>
      </c>
      <c r="J2773" s="30" t="s">
        <v>392</v>
      </c>
      <c r="K2773" s="30">
        <f>VLOOKUP(C2773, PA!A:M, 13, FALSE)</f>
        <v>0.20048019207683071</v>
      </c>
    </row>
    <row r="2774" spans="1:11" ht="30" x14ac:dyDescent="0.25">
      <c r="A2774" s="78">
        <v>46188</v>
      </c>
      <c r="C2774" s="33" t="s">
        <v>599</v>
      </c>
      <c r="D2774" s="30">
        <v>1</v>
      </c>
      <c r="E2774" s="30">
        <v>185</v>
      </c>
      <c r="F2774" s="30">
        <f t="shared" si="88"/>
        <v>185</v>
      </c>
      <c r="G2774" s="30" t="s">
        <v>9</v>
      </c>
      <c r="J2774" s="30" t="s">
        <v>392</v>
      </c>
      <c r="K2774" s="30">
        <f>VLOOKUP(C2774, PA!A:M, 13, FALSE)</f>
        <v>3.9325842696629212E-2</v>
      </c>
    </row>
    <row r="2775" spans="1:11" x14ac:dyDescent="0.25">
      <c r="A2775" s="78">
        <v>46188</v>
      </c>
      <c r="C2775" s="33" t="s">
        <v>319</v>
      </c>
      <c r="D2775" s="30">
        <v>1</v>
      </c>
      <c r="E2775" s="30">
        <v>98</v>
      </c>
      <c r="F2775" s="30">
        <f t="shared" si="88"/>
        <v>98</v>
      </c>
      <c r="G2775" s="30" t="s">
        <v>9</v>
      </c>
      <c r="J2775" s="30" t="s">
        <v>392</v>
      </c>
      <c r="K2775" s="30">
        <f>VLOOKUP(C2775, PA!A:M, 13, FALSE)</f>
        <v>0.18072289156626506</v>
      </c>
    </row>
    <row r="2776" spans="1:11" x14ac:dyDescent="0.25">
      <c r="A2776" s="78">
        <v>46188</v>
      </c>
      <c r="C2776" s="19" t="s">
        <v>860</v>
      </c>
      <c r="D2776" s="30">
        <v>4</v>
      </c>
      <c r="E2776" s="30">
        <v>5</v>
      </c>
      <c r="F2776" s="30">
        <f t="shared" si="88"/>
        <v>20</v>
      </c>
      <c r="G2776" s="30" t="s">
        <v>9</v>
      </c>
      <c r="J2776" s="30" t="s">
        <v>392</v>
      </c>
      <c r="K2776" s="30">
        <f>VLOOKUP(C2776, PA!A:M, 13, FALSE)</f>
        <v>0.1111111111111111</v>
      </c>
    </row>
    <row r="2777" spans="1:11" x14ac:dyDescent="0.25">
      <c r="A2777" s="78">
        <v>46188</v>
      </c>
      <c r="C2777" s="19" t="s">
        <v>893</v>
      </c>
      <c r="D2777" s="30">
        <v>1</v>
      </c>
      <c r="E2777" s="30">
        <v>40</v>
      </c>
      <c r="F2777" s="30">
        <f t="shared" si="88"/>
        <v>40</v>
      </c>
      <c r="G2777" s="30" t="s">
        <v>9</v>
      </c>
      <c r="J2777" s="30" t="s">
        <v>392</v>
      </c>
      <c r="K2777" s="30">
        <f>VLOOKUP(C2777, PA!A:M, 13, FALSE)</f>
        <v>5.2631578947368418E-2</v>
      </c>
    </row>
    <row r="2778" spans="1:11" x14ac:dyDescent="0.25">
      <c r="A2778" s="78">
        <v>46188</v>
      </c>
      <c r="C2778" s="19" t="s">
        <v>649</v>
      </c>
      <c r="D2778" s="30">
        <v>4</v>
      </c>
      <c r="E2778" s="30">
        <v>5</v>
      </c>
      <c r="F2778" s="30">
        <f t="shared" si="88"/>
        <v>20</v>
      </c>
      <c r="G2778" s="30" t="s">
        <v>9</v>
      </c>
      <c r="J2778" s="30" t="s">
        <v>392</v>
      </c>
      <c r="K2778" s="30">
        <f>VLOOKUP(C2778, PA!A:M, 13, FALSE)</f>
        <v>0.1111111111111111</v>
      </c>
    </row>
    <row r="2779" spans="1:11" x14ac:dyDescent="0.25">
      <c r="A2779" s="78">
        <v>46188</v>
      </c>
      <c r="C2779" s="33" t="s">
        <v>912</v>
      </c>
      <c r="D2779" s="30">
        <v>1</v>
      </c>
      <c r="E2779" s="30">
        <v>10</v>
      </c>
      <c r="F2779" s="30">
        <f t="shared" si="88"/>
        <v>10</v>
      </c>
      <c r="G2779" s="30" t="s">
        <v>9</v>
      </c>
      <c r="J2779" s="30" t="s">
        <v>392</v>
      </c>
      <c r="K2779" s="30">
        <f>VLOOKUP(C2779, PA!A:M, 13, FALSE)</f>
        <v>9.0909090909090981E-2</v>
      </c>
    </row>
    <row r="2780" spans="1:11" x14ac:dyDescent="0.25">
      <c r="A2780" s="78">
        <v>46188</v>
      </c>
      <c r="C2780" s="19" t="s">
        <v>619</v>
      </c>
      <c r="D2780" s="30">
        <v>2</v>
      </c>
      <c r="E2780" s="30">
        <v>10</v>
      </c>
      <c r="F2780" s="30">
        <f t="shared" si="88"/>
        <v>20</v>
      </c>
      <c r="G2780" s="30" t="s">
        <v>9</v>
      </c>
      <c r="J2780" s="30" t="s">
        <v>392</v>
      </c>
      <c r="K2780" s="30">
        <f>VLOOKUP(C2780, PA!A:M, 13, FALSE)</f>
        <v>5.2631578947368418E-2</v>
      </c>
    </row>
    <row r="2781" spans="1:11" x14ac:dyDescent="0.25">
      <c r="A2781" s="78">
        <v>46188</v>
      </c>
      <c r="C2781" s="19" t="s">
        <v>438</v>
      </c>
      <c r="D2781" s="30">
        <v>1</v>
      </c>
      <c r="E2781" s="30">
        <v>10</v>
      </c>
      <c r="F2781" s="30">
        <f t="shared" si="88"/>
        <v>10</v>
      </c>
      <c r="G2781" s="30" t="s">
        <v>9</v>
      </c>
      <c r="J2781" s="30" t="s">
        <v>392</v>
      </c>
      <c r="K2781" s="30">
        <f>VLOOKUP(C2781, PA!A:M, 13, FALSE)</f>
        <v>0.14285714285714285</v>
      </c>
    </row>
    <row r="2782" spans="1:11" ht="30" x14ac:dyDescent="0.25">
      <c r="A2782" s="78">
        <v>46188</v>
      </c>
      <c r="C2782" s="19" t="s">
        <v>840</v>
      </c>
      <c r="D2782" s="30">
        <v>1</v>
      </c>
      <c r="E2782" s="30">
        <v>50</v>
      </c>
      <c r="F2782" s="30">
        <f t="shared" si="88"/>
        <v>50</v>
      </c>
      <c r="G2782" s="30" t="s">
        <v>9</v>
      </c>
      <c r="J2782" s="30" t="s">
        <v>392</v>
      </c>
      <c r="K2782" s="30">
        <f>VLOOKUP(C2782, PA!A:M, 13, FALSE)</f>
        <v>0.25</v>
      </c>
    </row>
    <row r="2783" spans="1:11" x14ac:dyDescent="0.25">
      <c r="A2783" s="78">
        <v>46188</v>
      </c>
      <c r="C2783" s="33" t="s">
        <v>912</v>
      </c>
      <c r="D2783" s="30">
        <v>1</v>
      </c>
      <c r="E2783" s="30">
        <v>10</v>
      </c>
      <c r="F2783" s="30">
        <f t="shared" si="88"/>
        <v>10</v>
      </c>
      <c r="G2783" s="30" t="s">
        <v>9</v>
      </c>
      <c r="J2783" s="30" t="s">
        <v>392</v>
      </c>
      <c r="K2783" s="30">
        <f>VLOOKUP(C2783, PA!A:M, 13, FALSE)</f>
        <v>9.0909090909090981E-2</v>
      </c>
    </row>
    <row r="2784" spans="1:11" x14ac:dyDescent="0.25">
      <c r="A2784" s="78">
        <v>46188</v>
      </c>
      <c r="C2784" s="19" t="s">
        <v>752</v>
      </c>
      <c r="D2784" s="30">
        <v>1</v>
      </c>
      <c r="E2784" s="30">
        <v>50</v>
      </c>
      <c r="F2784" s="30">
        <f t="shared" si="88"/>
        <v>50</v>
      </c>
      <c r="G2784" s="30" t="s">
        <v>9</v>
      </c>
      <c r="J2784" s="30" t="s">
        <v>392</v>
      </c>
      <c r="K2784" s="30">
        <f>VLOOKUP(C2784, PA!A:M, 13, FALSE)</f>
        <v>9.8096632503660366E-2</v>
      </c>
    </row>
    <row r="2785" spans="1:12" x14ac:dyDescent="0.25">
      <c r="A2785" s="78">
        <v>46188</v>
      </c>
      <c r="C2785" s="19" t="s">
        <v>379</v>
      </c>
      <c r="D2785" s="30">
        <v>3</v>
      </c>
      <c r="E2785" s="30">
        <v>5</v>
      </c>
      <c r="F2785" s="30">
        <f t="shared" si="88"/>
        <v>15</v>
      </c>
      <c r="G2785" s="30" t="s">
        <v>9</v>
      </c>
      <c r="J2785" s="30" t="s">
        <v>392</v>
      </c>
      <c r="K2785" s="30">
        <f>VLOOKUP(C2785, PA!A:M, 13, FALSE)</f>
        <v>5.8823529411764684E-2</v>
      </c>
    </row>
    <row r="2786" spans="1:12" x14ac:dyDescent="0.25">
      <c r="A2786" s="78">
        <v>46188</v>
      </c>
      <c r="C2786" s="19" t="s">
        <v>893</v>
      </c>
      <c r="D2786" s="30">
        <v>1</v>
      </c>
      <c r="E2786" s="30">
        <v>40</v>
      </c>
      <c r="F2786" s="30">
        <f t="shared" si="88"/>
        <v>40</v>
      </c>
      <c r="G2786" s="30" t="s">
        <v>9</v>
      </c>
      <c r="J2786" s="30" t="s">
        <v>392</v>
      </c>
      <c r="K2786" s="30">
        <f>VLOOKUP(C2786, PA!A:M, 13, FALSE)</f>
        <v>5.2631578947368418E-2</v>
      </c>
    </row>
    <row r="2787" spans="1:12" x14ac:dyDescent="0.25">
      <c r="A2787" s="78">
        <v>46188</v>
      </c>
      <c r="C2787" s="19" t="s">
        <v>922</v>
      </c>
      <c r="D2787" s="30">
        <v>1</v>
      </c>
      <c r="E2787" s="30">
        <v>59</v>
      </c>
      <c r="F2787" s="30">
        <f t="shared" si="88"/>
        <v>59</v>
      </c>
      <c r="G2787" s="30" t="s">
        <v>9</v>
      </c>
      <c r="J2787" s="30" t="s">
        <v>392</v>
      </c>
      <c r="K2787" s="30">
        <f>VLOOKUP(C2787, PA!A:M, 13, FALSE)</f>
        <v>9.2592592592592587E-2</v>
      </c>
    </row>
    <row r="2788" spans="1:12" x14ac:dyDescent="0.25">
      <c r="A2788" s="78">
        <v>46188</v>
      </c>
      <c r="C2788" s="19" t="s">
        <v>705</v>
      </c>
      <c r="D2788" s="30">
        <v>3</v>
      </c>
      <c r="E2788" s="30">
        <v>10</v>
      </c>
      <c r="F2788" s="30">
        <f t="shared" si="88"/>
        <v>30</v>
      </c>
      <c r="G2788" s="30" t="s">
        <v>9</v>
      </c>
      <c r="J2788" s="30" t="s">
        <v>392</v>
      </c>
      <c r="K2788" s="30">
        <f>VLOOKUP(C2788, PA!A:M, 13, FALSE)</f>
        <v>9.0909090909090981E-2</v>
      </c>
    </row>
    <row r="2789" spans="1:12" x14ac:dyDescent="0.25">
      <c r="A2789" s="78">
        <v>46188</v>
      </c>
      <c r="C2789" s="33" t="s">
        <v>912</v>
      </c>
      <c r="D2789" s="30">
        <v>2</v>
      </c>
      <c r="E2789" s="30">
        <v>10</v>
      </c>
      <c r="F2789" s="30">
        <f t="shared" si="88"/>
        <v>20</v>
      </c>
      <c r="G2789" s="30" t="s">
        <v>9</v>
      </c>
      <c r="J2789" s="30" t="s">
        <v>392</v>
      </c>
      <c r="K2789" s="30">
        <f>VLOOKUP(C2789, PA!A:M, 13, FALSE)</f>
        <v>9.0909090909090981E-2</v>
      </c>
    </row>
    <row r="2790" spans="1:12" x14ac:dyDescent="0.25">
      <c r="A2790" s="78">
        <v>46188</v>
      </c>
      <c r="C2790" s="19" t="s">
        <v>635</v>
      </c>
      <c r="D2790" s="30">
        <v>1</v>
      </c>
      <c r="E2790" s="30">
        <v>10</v>
      </c>
      <c r="F2790" s="30">
        <f t="shared" si="88"/>
        <v>10</v>
      </c>
      <c r="G2790" s="30" t="s">
        <v>9</v>
      </c>
      <c r="J2790" s="30" t="s">
        <v>392</v>
      </c>
      <c r="K2790" s="30">
        <f>VLOOKUP(C2790, PA!A:M, 13, FALSE)</f>
        <v>9.0909090909090981E-2</v>
      </c>
    </row>
    <row r="2791" spans="1:12" ht="30" x14ac:dyDescent="0.25">
      <c r="A2791" s="78">
        <v>46188</v>
      </c>
      <c r="C2791" s="19" t="s">
        <v>933</v>
      </c>
      <c r="D2791" s="30">
        <v>1</v>
      </c>
      <c r="E2791" s="30">
        <v>35</v>
      </c>
      <c r="F2791" s="30">
        <f t="shared" si="88"/>
        <v>35</v>
      </c>
      <c r="G2791" s="30" t="s">
        <v>9</v>
      </c>
      <c r="J2791" s="30" t="s">
        <v>392</v>
      </c>
      <c r="K2791" s="30">
        <f>VLOOKUP(C2791, PA!A:M, 13, FALSE)</f>
        <v>0.75</v>
      </c>
    </row>
    <row r="2792" spans="1:12" x14ac:dyDescent="0.25">
      <c r="A2792" s="78">
        <v>46188</v>
      </c>
      <c r="C2792" s="19" t="s">
        <v>785</v>
      </c>
      <c r="D2792" s="30">
        <v>5</v>
      </c>
      <c r="E2792" s="30">
        <v>1</v>
      </c>
      <c r="F2792" s="30">
        <f t="shared" si="88"/>
        <v>5</v>
      </c>
      <c r="G2792" s="30" t="s">
        <v>9</v>
      </c>
      <c r="J2792" s="30" t="s">
        <v>392</v>
      </c>
      <c r="K2792" s="30">
        <f>VLOOKUP(C2792, PA!A:M, 13, FALSE)</f>
        <v>0.13333333333333336</v>
      </c>
    </row>
    <row r="2793" spans="1:12" x14ac:dyDescent="0.25">
      <c r="A2793" s="78">
        <v>46188</v>
      </c>
      <c r="C2793" s="19" t="s">
        <v>81</v>
      </c>
      <c r="D2793" s="30">
        <v>5</v>
      </c>
      <c r="E2793" s="30">
        <v>1</v>
      </c>
      <c r="F2793" s="30">
        <f t="shared" si="88"/>
        <v>5</v>
      </c>
      <c r="G2793" s="30" t="s">
        <v>9</v>
      </c>
      <c r="I2793" s="139">
        <f>SUM(F2739:F2793)</f>
        <v>1766.5160000000001</v>
      </c>
      <c r="J2793" s="30" t="s">
        <v>392</v>
      </c>
      <c r="K2793" s="30">
        <f>VLOOKUP(C2793, PA!A:M, 13, FALSE)</f>
        <v>0.20481927710843378</v>
      </c>
      <c r="L2793" s="123" t="e">
        <f>AVERAGE(K2739:K2793)</f>
        <v>#N/A</v>
      </c>
    </row>
    <row r="2794" spans="1:12" s="69" customFormat="1" ht="18.75" x14ac:dyDescent="0.3">
      <c r="A2794" s="235" t="s">
        <v>437</v>
      </c>
      <c r="B2794" s="236"/>
      <c r="C2794" s="236"/>
      <c r="D2794" s="236"/>
      <c r="E2794" s="236"/>
      <c r="F2794" s="236"/>
      <c r="G2794" s="236"/>
      <c r="H2794" s="237"/>
      <c r="I2794" s="238">
        <v>1766</v>
      </c>
      <c r="J2794" s="239"/>
      <c r="K2794" s="239"/>
      <c r="L2794" s="240"/>
    </row>
    <row r="2795" spans="1:12" x14ac:dyDescent="0.25">
      <c r="A2795" s="78">
        <v>46189</v>
      </c>
      <c r="C2795" s="19" t="s">
        <v>705</v>
      </c>
      <c r="D2795" s="30">
        <v>1</v>
      </c>
      <c r="E2795" s="30">
        <v>10</v>
      </c>
      <c r="F2795" s="30">
        <f t="shared" ref="F2795:F2826" si="89">E2795*D2795</f>
        <v>10</v>
      </c>
      <c r="G2795" s="30" t="s">
        <v>9</v>
      </c>
      <c r="J2795" s="30" t="s">
        <v>391</v>
      </c>
      <c r="K2795" s="30">
        <f>VLOOKUP(C2795, PA!A:M, 13, FALSE)</f>
        <v>9.0909090909090981E-2</v>
      </c>
    </row>
    <row r="2796" spans="1:12" x14ac:dyDescent="0.25">
      <c r="A2796" s="78">
        <v>46189</v>
      </c>
      <c r="C2796" s="19" t="s">
        <v>797</v>
      </c>
      <c r="D2796" s="30">
        <v>1</v>
      </c>
      <c r="E2796" s="30">
        <v>105</v>
      </c>
      <c r="F2796" s="30">
        <f t="shared" si="89"/>
        <v>105</v>
      </c>
      <c r="G2796" s="30" t="s">
        <v>9</v>
      </c>
      <c r="J2796" s="30" t="s">
        <v>391</v>
      </c>
      <c r="K2796" s="30">
        <f>VLOOKUP(C2796, PA!A:M, 13, FALSE)</f>
        <v>0.1111111111111111</v>
      </c>
    </row>
    <row r="2797" spans="1:12" ht="30" x14ac:dyDescent="0.25">
      <c r="A2797" s="78">
        <v>46189</v>
      </c>
      <c r="C2797" s="19" t="s">
        <v>770</v>
      </c>
      <c r="D2797" s="30">
        <v>1</v>
      </c>
      <c r="E2797" s="30">
        <v>90</v>
      </c>
      <c r="F2797" s="30">
        <f t="shared" si="89"/>
        <v>90</v>
      </c>
      <c r="G2797" s="30" t="s">
        <v>9</v>
      </c>
      <c r="J2797" s="30" t="s">
        <v>391</v>
      </c>
      <c r="K2797" s="30">
        <f>VLOOKUP(C2797, PA!A:M, 13, FALSE)</f>
        <v>9.7560975609756101E-2</v>
      </c>
    </row>
    <row r="2798" spans="1:12" x14ac:dyDescent="0.25">
      <c r="A2798" s="78">
        <v>46189</v>
      </c>
      <c r="C2798" s="19" t="s">
        <v>885</v>
      </c>
      <c r="D2798" s="30">
        <v>1</v>
      </c>
      <c r="E2798" s="30">
        <v>30</v>
      </c>
      <c r="F2798" s="30">
        <f t="shared" si="89"/>
        <v>30</v>
      </c>
      <c r="G2798" s="30" t="s">
        <v>9</v>
      </c>
      <c r="J2798" s="30" t="s">
        <v>391</v>
      </c>
      <c r="K2798" s="30">
        <f>VLOOKUP(C2798, PA!A:M, 13, FALSE)</f>
        <v>0.1111111111111111</v>
      </c>
    </row>
    <row r="2799" spans="1:12" ht="30" x14ac:dyDescent="0.25">
      <c r="A2799" s="78">
        <v>46189</v>
      </c>
      <c r="C2799" s="33" t="s">
        <v>697</v>
      </c>
      <c r="D2799" s="30">
        <v>1</v>
      </c>
      <c r="E2799" s="30">
        <v>15</v>
      </c>
      <c r="F2799" s="30">
        <f t="shared" si="89"/>
        <v>15</v>
      </c>
      <c r="G2799" s="30" t="s">
        <v>9</v>
      </c>
      <c r="J2799" s="30" t="s">
        <v>391</v>
      </c>
      <c r="K2799" s="30">
        <f>VLOOKUP(C2799, PA!A:M, 13, FALSE)</f>
        <v>0.25</v>
      </c>
    </row>
    <row r="2800" spans="1:12" x14ac:dyDescent="0.25">
      <c r="A2800" s="78">
        <v>46189</v>
      </c>
      <c r="C2800" s="19" t="s">
        <v>842</v>
      </c>
      <c r="D2800" s="30">
        <v>1</v>
      </c>
      <c r="E2800" s="30">
        <v>62</v>
      </c>
      <c r="F2800" s="30">
        <f t="shared" si="89"/>
        <v>62</v>
      </c>
      <c r="G2800" s="30" t="s">
        <v>9</v>
      </c>
      <c r="J2800" s="30" t="s">
        <v>391</v>
      </c>
      <c r="K2800" s="30">
        <f>VLOOKUP(C2800, PA!A:M, 13, FALSE)</f>
        <v>0.2</v>
      </c>
    </row>
    <row r="2801" spans="1:11" x14ac:dyDescent="0.25">
      <c r="A2801" s="78">
        <v>46189</v>
      </c>
      <c r="C2801" s="33" t="s">
        <v>66</v>
      </c>
      <c r="D2801" s="30">
        <v>2</v>
      </c>
      <c r="E2801" s="30">
        <v>10</v>
      </c>
      <c r="F2801" s="30">
        <f t="shared" si="89"/>
        <v>20</v>
      </c>
      <c r="G2801" s="30" t="s">
        <v>9</v>
      </c>
      <c r="J2801" s="30" t="s">
        <v>391</v>
      </c>
      <c r="K2801" s="30">
        <f>VLOOKUP(C2801, PA!A:M, 13, FALSE)</f>
        <v>0.15473441108545033</v>
      </c>
    </row>
    <row r="2802" spans="1:11" x14ac:dyDescent="0.25">
      <c r="A2802" s="78">
        <v>46189</v>
      </c>
      <c r="C2802" s="33" t="s">
        <v>970</v>
      </c>
      <c r="D2802" s="30">
        <v>4</v>
      </c>
      <c r="E2802" s="30">
        <v>10</v>
      </c>
      <c r="F2802" s="30">
        <f t="shared" si="89"/>
        <v>40</v>
      </c>
      <c r="G2802" s="30" t="s">
        <v>9</v>
      </c>
      <c r="J2802" s="30" t="s">
        <v>391</v>
      </c>
      <c r="K2802" s="30" t="e">
        <f>VLOOKUP(C2802, PA!A:M, 13, FALSE)</f>
        <v>#N/A</v>
      </c>
    </row>
    <row r="2803" spans="1:11" ht="30" x14ac:dyDescent="0.25">
      <c r="A2803" s="78">
        <v>46189</v>
      </c>
      <c r="C2803" s="19" t="s">
        <v>897</v>
      </c>
      <c r="D2803" s="30">
        <v>10</v>
      </c>
      <c r="E2803" s="30">
        <v>1</v>
      </c>
      <c r="F2803" s="30">
        <f t="shared" si="89"/>
        <v>10</v>
      </c>
      <c r="G2803" s="30" t="s">
        <v>9</v>
      </c>
      <c r="J2803" s="30" t="s">
        <v>391</v>
      </c>
      <c r="K2803" s="30">
        <f>VLOOKUP(C2803, PA!A:M, 13, FALSE)</f>
        <v>0.16363636363636364</v>
      </c>
    </row>
    <row r="2804" spans="1:11" ht="30" x14ac:dyDescent="0.25">
      <c r="A2804" s="78">
        <v>46189</v>
      </c>
      <c r="C2804" s="19" t="s">
        <v>818</v>
      </c>
      <c r="D2804" s="30">
        <v>10</v>
      </c>
      <c r="E2804" s="30">
        <v>1</v>
      </c>
      <c r="F2804" s="30">
        <f t="shared" si="89"/>
        <v>10</v>
      </c>
      <c r="G2804" s="30" t="s">
        <v>9</v>
      </c>
      <c r="J2804" s="30" t="s">
        <v>391</v>
      </c>
      <c r="K2804" s="30">
        <f>VLOOKUP(C2804, PA!A:M, 13, FALSE)</f>
        <v>0.14285714285714285</v>
      </c>
    </row>
    <row r="2805" spans="1:11" x14ac:dyDescent="0.25">
      <c r="A2805" s="78">
        <v>46189</v>
      </c>
      <c r="C2805" s="19" t="s">
        <v>381</v>
      </c>
      <c r="D2805" s="30">
        <v>1</v>
      </c>
      <c r="E2805" s="30">
        <v>15</v>
      </c>
      <c r="F2805" s="30">
        <f t="shared" si="89"/>
        <v>15</v>
      </c>
      <c r="G2805" s="30" t="s">
        <v>9</v>
      </c>
      <c r="J2805" s="30" t="s">
        <v>391</v>
      </c>
      <c r="K2805" s="30">
        <f>VLOOKUP(C2805, PA!A:M, 13, FALSE)</f>
        <v>0.43478260869565138</v>
      </c>
    </row>
    <row r="2806" spans="1:11" x14ac:dyDescent="0.25">
      <c r="A2806" s="78">
        <v>46189</v>
      </c>
      <c r="C2806" s="19" t="s">
        <v>865</v>
      </c>
      <c r="D2806" s="30">
        <v>0.51700000000000002</v>
      </c>
      <c r="E2806" s="30">
        <v>58</v>
      </c>
      <c r="F2806" s="30">
        <f t="shared" si="89"/>
        <v>29.986000000000001</v>
      </c>
      <c r="G2806" s="30" t="s">
        <v>9</v>
      </c>
      <c r="J2806" s="30" t="s">
        <v>391</v>
      </c>
      <c r="K2806" s="30">
        <f>VLOOKUP(C2806, PA!A:M, 13, FALSE)</f>
        <v>0.18367346938775511</v>
      </c>
    </row>
    <row r="2807" spans="1:11" x14ac:dyDescent="0.25">
      <c r="A2807" s="78">
        <v>46189</v>
      </c>
      <c r="C2807" s="33" t="s">
        <v>911</v>
      </c>
      <c r="D2807" s="30">
        <v>6</v>
      </c>
      <c r="E2807" s="30">
        <v>9</v>
      </c>
      <c r="F2807" s="30">
        <f t="shared" si="89"/>
        <v>54</v>
      </c>
      <c r="G2807" s="30" t="s">
        <v>9</v>
      </c>
      <c r="J2807" s="30" t="s">
        <v>391</v>
      </c>
      <c r="K2807" s="30">
        <f>VLOOKUP(C2807, PA!A:M, 13, FALSE)</f>
        <v>0.17391304347826084</v>
      </c>
    </row>
    <row r="2808" spans="1:11" x14ac:dyDescent="0.25">
      <c r="A2808" s="78">
        <v>46189</v>
      </c>
      <c r="C2808" s="33" t="s">
        <v>807</v>
      </c>
      <c r="D2808" s="30">
        <v>1</v>
      </c>
      <c r="E2808" s="30">
        <v>70</v>
      </c>
      <c r="F2808" s="30">
        <f t="shared" si="89"/>
        <v>70</v>
      </c>
      <c r="G2808" s="30" t="s">
        <v>9</v>
      </c>
      <c r="J2808" s="30" t="s">
        <v>391</v>
      </c>
      <c r="K2808" s="30">
        <f>VLOOKUP(C2808, PA!A:M, 13, FALSE)</f>
        <v>0.2068269230769231</v>
      </c>
    </row>
    <row r="2809" spans="1:11" x14ac:dyDescent="0.25">
      <c r="A2809" s="78">
        <v>46189</v>
      </c>
      <c r="C2809" s="19" t="s">
        <v>814</v>
      </c>
      <c r="D2809" s="30">
        <v>0.5</v>
      </c>
      <c r="E2809" s="30">
        <v>60</v>
      </c>
      <c r="F2809" s="30">
        <f t="shared" si="89"/>
        <v>30</v>
      </c>
      <c r="G2809" s="30" t="s">
        <v>9</v>
      </c>
      <c r="J2809" s="30" t="s">
        <v>391</v>
      </c>
      <c r="K2809" s="30">
        <f>VLOOKUP(C2809, PA!A:M, 13, FALSE)</f>
        <v>0.2</v>
      </c>
    </row>
    <row r="2810" spans="1:11" x14ac:dyDescent="0.25">
      <c r="A2810" s="78">
        <v>46189</v>
      </c>
      <c r="C2810" s="19" t="s">
        <v>539</v>
      </c>
      <c r="D2810" s="30">
        <v>1</v>
      </c>
      <c r="E2810" s="30">
        <v>25</v>
      </c>
      <c r="F2810" s="30">
        <f t="shared" si="89"/>
        <v>25</v>
      </c>
      <c r="G2810" s="30" t="s">
        <v>9</v>
      </c>
      <c r="J2810" s="30" t="s">
        <v>391</v>
      </c>
      <c r="K2810" s="30">
        <f>VLOOKUP(C2810, PA!A:M, 13, FALSE)</f>
        <v>0.19999999999999993</v>
      </c>
    </row>
    <row r="2811" spans="1:11" x14ac:dyDescent="0.25">
      <c r="A2811" s="78">
        <v>46189</v>
      </c>
      <c r="C2811" s="19" t="s">
        <v>860</v>
      </c>
      <c r="D2811" s="30">
        <v>1</v>
      </c>
      <c r="E2811" s="30">
        <v>5</v>
      </c>
      <c r="F2811" s="30">
        <f t="shared" si="89"/>
        <v>5</v>
      </c>
      <c r="G2811" s="30" t="s">
        <v>9</v>
      </c>
      <c r="J2811" s="30" t="s">
        <v>391</v>
      </c>
      <c r="K2811" s="30">
        <f>VLOOKUP(C2811, PA!A:M, 13, FALSE)</f>
        <v>0.1111111111111111</v>
      </c>
    </row>
    <row r="2812" spans="1:11" x14ac:dyDescent="0.25">
      <c r="A2812" s="78">
        <v>46189</v>
      </c>
      <c r="C2812" s="19" t="s">
        <v>742</v>
      </c>
      <c r="D2812" s="30">
        <v>1</v>
      </c>
      <c r="E2812" s="30">
        <v>35</v>
      </c>
      <c r="F2812" s="30">
        <f t="shared" si="89"/>
        <v>35</v>
      </c>
      <c r="G2812" s="30" t="s">
        <v>9</v>
      </c>
      <c r="J2812" s="30" t="s">
        <v>391</v>
      </c>
      <c r="K2812" s="30">
        <f>VLOOKUP(C2812, PA!A:M, 13, FALSE)</f>
        <v>0.3888888888888889</v>
      </c>
    </row>
    <row r="2813" spans="1:11" x14ac:dyDescent="0.25">
      <c r="A2813" s="78">
        <v>46189</v>
      </c>
      <c r="C2813" s="19" t="s">
        <v>590</v>
      </c>
      <c r="D2813" s="30">
        <v>0.5</v>
      </c>
      <c r="E2813" s="30">
        <v>42</v>
      </c>
      <c r="F2813" s="30">
        <f t="shared" si="89"/>
        <v>21</v>
      </c>
      <c r="G2813" s="30" t="s">
        <v>9</v>
      </c>
      <c r="J2813" s="30" t="s">
        <v>391</v>
      </c>
      <c r="K2813" s="30">
        <f>VLOOKUP(C2813, PA!A:M, 13, FALSE)</f>
        <v>0.1891891891891892</v>
      </c>
    </row>
    <row r="2814" spans="1:11" x14ac:dyDescent="0.25">
      <c r="A2814" s="78">
        <v>46189</v>
      </c>
      <c r="C2814" s="33" t="s">
        <v>822</v>
      </c>
      <c r="D2814" s="30">
        <v>1</v>
      </c>
      <c r="E2814" s="30">
        <v>29</v>
      </c>
      <c r="F2814" s="30">
        <f t="shared" si="89"/>
        <v>29</v>
      </c>
      <c r="G2814" s="30" t="s">
        <v>9</v>
      </c>
      <c r="I2814" s="139">
        <f>SUM(F2795:F2814)</f>
        <v>705.98599999999999</v>
      </c>
      <c r="J2814" s="30" t="s">
        <v>391</v>
      </c>
      <c r="K2814" s="30">
        <f>VLOOKUP(C2814, PA!A:M, 13, FALSE)</f>
        <v>7.1428571428571425E-2</v>
      </c>
    </row>
    <row r="2815" spans="1:11" x14ac:dyDescent="0.25">
      <c r="A2815" s="78">
        <v>46189</v>
      </c>
      <c r="C2815" s="19" t="s">
        <v>805</v>
      </c>
      <c r="D2815" s="30">
        <v>1</v>
      </c>
      <c r="E2815" s="30">
        <v>55</v>
      </c>
      <c r="F2815" s="30">
        <f t="shared" si="89"/>
        <v>55</v>
      </c>
      <c r="G2815" s="30" t="s">
        <v>9</v>
      </c>
      <c r="J2815" s="30" t="s">
        <v>392</v>
      </c>
      <c r="K2815" s="30">
        <f>VLOOKUP(C2815, PA!A:M, 13, FALSE)</f>
        <v>3.7924151696606831E-2</v>
      </c>
    </row>
    <row r="2816" spans="1:11" x14ac:dyDescent="0.25">
      <c r="A2816" s="78">
        <v>46189</v>
      </c>
      <c r="C2816" s="33" t="s">
        <v>901</v>
      </c>
      <c r="D2816" s="30">
        <v>0.5</v>
      </c>
      <c r="E2816" s="30">
        <v>20</v>
      </c>
      <c r="F2816" s="30">
        <f t="shared" si="89"/>
        <v>10</v>
      </c>
      <c r="G2816" s="30" t="s">
        <v>9</v>
      </c>
      <c r="J2816" s="30" t="s">
        <v>392</v>
      </c>
      <c r="K2816" s="30">
        <f>VLOOKUP(C2816, PA!A:M, 13, FALSE)</f>
        <v>0.33333333333333331</v>
      </c>
    </row>
    <row r="2817" spans="1:11" x14ac:dyDescent="0.25">
      <c r="A2817" s="78">
        <v>46189</v>
      </c>
      <c r="C2817" s="33" t="s">
        <v>901</v>
      </c>
      <c r="D2817" s="30">
        <v>1</v>
      </c>
      <c r="E2817" s="30">
        <v>20</v>
      </c>
      <c r="F2817" s="30">
        <f t="shared" si="89"/>
        <v>20</v>
      </c>
      <c r="G2817" s="30" t="s">
        <v>9</v>
      </c>
      <c r="J2817" s="30" t="s">
        <v>392</v>
      </c>
      <c r="K2817" s="30">
        <f>VLOOKUP(C2817, PA!A:M, 13, FALSE)</f>
        <v>0.33333333333333331</v>
      </c>
    </row>
    <row r="2818" spans="1:11" x14ac:dyDescent="0.25">
      <c r="A2818" s="78">
        <v>46189</v>
      </c>
      <c r="C2818" s="33" t="s">
        <v>822</v>
      </c>
      <c r="D2818" s="30">
        <v>1</v>
      </c>
      <c r="E2818" s="30">
        <v>30</v>
      </c>
      <c r="F2818" s="30">
        <f t="shared" si="89"/>
        <v>30</v>
      </c>
      <c r="G2818" s="30" t="s">
        <v>9</v>
      </c>
      <c r="J2818" s="30" t="s">
        <v>392</v>
      </c>
      <c r="K2818" s="30">
        <f>VLOOKUP(C2818, PA!A:M, 13, FALSE)</f>
        <v>7.1428571428571425E-2</v>
      </c>
    </row>
    <row r="2819" spans="1:11" x14ac:dyDescent="0.25">
      <c r="A2819" s="78">
        <v>46189</v>
      </c>
      <c r="C2819" s="33" t="s">
        <v>807</v>
      </c>
      <c r="D2819" s="30">
        <v>1</v>
      </c>
      <c r="E2819" s="30">
        <v>70</v>
      </c>
      <c r="F2819" s="30">
        <f t="shared" si="89"/>
        <v>70</v>
      </c>
      <c r="G2819" s="30" t="s">
        <v>9</v>
      </c>
      <c r="J2819" s="30" t="s">
        <v>392</v>
      </c>
      <c r="K2819" s="30">
        <f>VLOOKUP(C2819, PA!A:M, 13, FALSE)</f>
        <v>0.2068269230769231</v>
      </c>
    </row>
    <row r="2820" spans="1:11" ht="34.9" customHeight="1" x14ac:dyDescent="0.25">
      <c r="A2820" s="78">
        <v>46189</v>
      </c>
      <c r="C2820" s="33" t="s">
        <v>377</v>
      </c>
      <c r="D2820" s="30">
        <v>3</v>
      </c>
      <c r="E2820" s="30">
        <v>10</v>
      </c>
      <c r="F2820" s="30">
        <f t="shared" si="89"/>
        <v>30</v>
      </c>
      <c r="G2820" s="30" t="s">
        <v>9</v>
      </c>
      <c r="J2820" s="30" t="s">
        <v>392</v>
      </c>
      <c r="K2820" s="30">
        <f>VLOOKUP(C2820, PA!A:M, 13, FALSE)</f>
        <v>0.20048019207683071</v>
      </c>
    </row>
    <row r="2821" spans="1:11" x14ac:dyDescent="0.25">
      <c r="A2821" s="78">
        <v>46189</v>
      </c>
      <c r="C2821" s="19" t="s">
        <v>893</v>
      </c>
      <c r="D2821" s="30">
        <v>1</v>
      </c>
      <c r="E2821" s="30">
        <v>40</v>
      </c>
      <c r="F2821" s="30">
        <f t="shared" si="89"/>
        <v>40</v>
      </c>
      <c r="G2821" s="30" t="s">
        <v>9</v>
      </c>
      <c r="J2821" s="30" t="s">
        <v>392</v>
      </c>
      <c r="K2821" s="30">
        <f>VLOOKUP(C2821, PA!A:M, 13, FALSE)</f>
        <v>5.2631578947368418E-2</v>
      </c>
    </row>
    <row r="2822" spans="1:11" x14ac:dyDescent="0.25">
      <c r="A2822" s="78">
        <v>46189</v>
      </c>
      <c r="C2822" s="19" t="s">
        <v>893</v>
      </c>
      <c r="D2822" s="30">
        <v>2</v>
      </c>
      <c r="E2822" s="30">
        <v>40</v>
      </c>
      <c r="F2822" s="30">
        <f t="shared" si="89"/>
        <v>80</v>
      </c>
      <c r="G2822" s="30" t="s">
        <v>9</v>
      </c>
      <c r="J2822" s="30" t="s">
        <v>392</v>
      </c>
      <c r="K2822" s="30">
        <f>VLOOKUP(C2822, PA!A:M, 13, FALSE)</f>
        <v>5.2631578947368418E-2</v>
      </c>
    </row>
    <row r="2823" spans="1:11" x14ac:dyDescent="0.25">
      <c r="A2823" s="78">
        <v>46189</v>
      </c>
      <c r="C2823" s="33" t="s">
        <v>780</v>
      </c>
      <c r="D2823" s="30">
        <v>0.03</v>
      </c>
      <c r="E2823" s="30">
        <v>150</v>
      </c>
      <c r="F2823" s="30">
        <f t="shared" si="89"/>
        <v>4.5</v>
      </c>
      <c r="G2823" s="30" t="s">
        <v>9</v>
      </c>
      <c r="J2823" s="30" t="s">
        <v>392</v>
      </c>
      <c r="K2823" s="30">
        <f>VLOOKUP(C2823, PA!A:M, 13, FALSE)</f>
        <v>0.66666666666666663</v>
      </c>
    </row>
    <row r="2824" spans="1:11" x14ac:dyDescent="0.25">
      <c r="A2824" s="78">
        <v>46189</v>
      </c>
      <c r="C2824" s="33" t="s">
        <v>682</v>
      </c>
      <c r="D2824" s="30">
        <v>1</v>
      </c>
      <c r="E2824" s="30">
        <v>10</v>
      </c>
      <c r="F2824" s="30">
        <f t="shared" si="89"/>
        <v>10</v>
      </c>
      <c r="G2824" s="30" t="s">
        <v>9</v>
      </c>
      <c r="J2824" s="30" t="s">
        <v>392</v>
      </c>
      <c r="K2824" s="30">
        <f>VLOOKUP(C2824, PA!A:M, 13, FALSE)</f>
        <v>0.33333333333333331</v>
      </c>
    </row>
    <row r="2825" spans="1:11" ht="30" x14ac:dyDescent="0.25">
      <c r="A2825" s="78">
        <v>46189</v>
      </c>
      <c r="C2825" s="19" t="str">
        <f>'Stock Register'!A203</f>
        <v>HEAD AND SHOULDERS SATCHET LOT 2</v>
      </c>
      <c r="D2825" s="30">
        <v>4</v>
      </c>
      <c r="E2825" s="30">
        <v>4</v>
      </c>
      <c r="F2825" s="30">
        <f t="shared" si="89"/>
        <v>16</v>
      </c>
      <c r="G2825" s="30" t="s">
        <v>9</v>
      </c>
      <c r="J2825" s="30" t="s">
        <v>392</v>
      </c>
      <c r="K2825" s="30">
        <f>VLOOKUP(C2825, PA!A:M, 13, FALSE)</f>
        <v>0.15473441108545033</v>
      </c>
    </row>
    <row r="2826" spans="1:11" x14ac:dyDescent="0.25">
      <c r="A2826" s="78">
        <v>46189</v>
      </c>
      <c r="C2826" s="33" t="s">
        <v>386</v>
      </c>
      <c r="D2826" s="30">
        <v>1</v>
      </c>
      <c r="E2826" s="30">
        <v>10</v>
      </c>
      <c r="F2826" s="30">
        <f t="shared" si="89"/>
        <v>10</v>
      </c>
      <c r="G2826" s="30" t="s">
        <v>9</v>
      </c>
      <c r="J2826" s="30" t="s">
        <v>392</v>
      </c>
      <c r="K2826" s="30">
        <f>VLOOKUP(C2826, PA!A:M, 13, FALSE)</f>
        <v>0.22448979591836743</v>
      </c>
    </row>
    <row r="2827" spans="1:11" x14ac:dyDescent="0.25">
      <c r="A2827" s="78">
        <v>46189</v>
      </c>
      <c r="C2827" s="33" t="s">
        <v>740</v>
      </c>
      <c r="D2827" s="30">
        <v>2</v>
      </c>
      <c r="E2827" s="30">
        <v>10</v>
      </c>
      <c r="F2827" s="30">
        <f t="shared" ref="F2827:F2858" si="90">E2827*D2827</f>
        <v>20</v>
      </c>
      <c r="G2827" s="30" t="s">
        <v>9</v>
      </c>
      <c r="J2827" s="30" t="s">
        <v>392</v>
      </c>
      <c r="K2827" s="30">
        <f>VLOOKUP(C2827, PA!A:M, 13, FALSE)</f>
        <v>0.22448979591836743</v>
      </c>
    </row>
    <row r="2828" spans="1:11" x14ac:dyDescent="0.25">
      <c r="A2828" s="78">
        <v>46189</v>
      </c>
      <c r="C2828" s="33" t="s">
        <v>911</v>
      </c>
      <c r="D2828" s="30">
        <v>8</v>
      </c>
      <c r="E2828" s="30">
        <v>9</v>
      </c>
      <c r="F2828" s="30">
        <f t="shared" si="90"/>
        <v>72</v>
      </c>
      <c r="G2828" s="30" t="s">
        <v>9</v>
      </c>
      <c r="J2828" s="30" t="s">
        <v>392</v>
      </c>
      <c r="K2828" s="30">
        <f>VLOOKUP(C2828, PA!A:M, 13, FALSE)</f>
        <v>0.17391304347826084</v>
      </c>
    </row>
    <row r="2829" spans="1:11" x14ac:dyDescent="0.25">
      <c r="A2829" s="78">
        <v>46189</v>
      </c>
      <c r="C2829" s="19" t="s">
        <v>720</v>
      </c>
      <c r="D2829" s="30">
        <v>0.15</v>
      </c>
      <c r="E2829" s="30">
        <v>138</v>
      </c>
      <c r="F2829" s="30">
        <f t="shared" si="90"/>
        <v>20.7</v>
      </c>
      <c r="G2829" s="30" t="s">
        <v>9</v>
      </c>
      <c r="J2829" s="30" t="s">
        <v>392</v>
      </c>
      <c r="K2829" s="30">
        <f>VLOOKUP(C2829, PA!A:M, 13, FALSE)</f>
        <v>0.17391304347826086</v>
      </c>
    </row>
    <row r="2830" spans="1:11" x14ac:dyDescent="0.25">
      <c r="A2830" s="78">
        <v>46189</v>
      </c>
      <c r="C2830" s="19" t="s">
        <v>797</v>
      </c>
      <c r="D2830" s="30">
        <v>1</v>
      </c>
      <c r="E2830" s="30">
        <v>105</v>
      </c>
      <c r="F2830" s="30">
        <f t="shared" si="90"/>
        <v>105</v>
      </c>
      <c r="G2830" s="30" t="s">
        <v>9</v>
      </c>
      <c r="J2830" s="30" t="s">
        <v>392</v>
      </c>
      <c r="K2830" s="30">
        <f>VLOOKUP(C2830, PA!A:M, 13, FALSE)</f>
        <v>0.1111111111111111</v>
      </c>
    </row>
    <row r="2831" spans="1:11" x14ac:dyDescent="0.25">
      <c r="A2831" s="78">
        <v>46189</v>
      </c>
      <c r="C2831" s="19" t="s">
        <v>747</v>
      </c>
      <c r="D2831" s="30">
        <v>1</v>
      </c>
      <c r="E2831" s="30">
        <v>10</v>
      </c>
      <c r="F2831" s="30">
        <f t="shared" si="90"/>
        <v>10</v>
      </c>
      <c r="G2831" s="30" t="s">
        <v>9</v>
      </c>
      <c r="J2831" s="30" t="s">
        <v>392</v>
      </c>
      <c r="K2831" s="30">
        <f>VLOOKUP(C2831, PA!A:M, 13, FALSE)</f>
        <v>9.0909090909090981E-2</v>
      </c>
    </row>
    <row r="2832" spans="1:11" x14ac:dyDescent="0.25">
      <c r="A2832" s="78">
        <v>46189</v>
      </c>
      <c r="C2832" s="19" t="s">
        <v>849</v>
      </c>
      <c r="D2832" s="30">
        <v>1</v>
      </c>
      <c r="E2832" s="30">
        <v>27</v>
      </c>
      <c r="F2832" s="30">
        <f t="shared" si="90"/>
        <v>27</v>
      </c>
      <c r="G2832" s="30" t="s">
        <v>9</v>
      </c>
      <c r="J2832" s="30" t="s">
        <v>392</v>
      </c>
      <c r="K2832" s="30">
        <f>VLOOKUP(C2832, PA!A:M, 13, FALSE)</f>
        <v>7.1428571428571425E-2</v>
      </c>
    </row>
    <row r="2833" spans="1:11" x14ac:dyDescent="0.25">
      <c r="A2833" s="78">
        <v>46189</v>
      </c>
      <c r="C2833" s="19" t="s">
        <v>684</v>
      </c>
      <c r="D2833" s="30">
        <v>4</v>
      </c>
      <c r="E2833" s="30">
        <v>9.5</v>
      </c>
      <c r="F2833" s="30">
        <f t="shared" si="90"/>
        <v>38</v>
      </c>
      <c r="G2833" s="30" t="s">
        <v>9</v>
      </c>
      <c r="J2833" s="30" t="s">
        <v>392</v>
      </c>
      <c r="K2833" s="30">
        <f>VLOOKUP(C2833, PA!A:M, 13, FALSE)</f>
        <v>4.7409040793825769E-2</v>
      </c>
    </row>
    <row r="2834" spans="1:11" x14ac:dyDescent="0.25">
      <c r="A2834" s="78">
        <v>46189</v>
      </c>
      <c r="C2834" s="33" t="s">
        <v>714</v>
      </c>
      <c r="D2834" s="30">
        <v>1</v>
      </c>
      <c r="E2834" s="30">
        <v>30</v>
      </c>
      <c r="F2834" s="30">
        <f t="shared" si="90"/>
        <v>30</v>
      </c>
      <c r="G2834" s="30" t="s">
        <v>9</v>
      </c>
      <c r="J2834" s="30" t="s">
        <v>392</v>
      </c>
      <c r="K2834" s="30">
        <f>VLOOKUP(C2834, PA!A:M, 13, FALSE)</f>
        <v>0.15384615384615385</v>
      </c>
    </row>
    <row r="2835" spans="1:11" x14ac:dyDescent="0.25">
      <c r="A2835" s="78">
        <v>46189</v>
      </c>
      <c r="C2835" s="19" t="s">
        <v>98</v>
      </c>
      <c r="D2835" s="30">
        <v>1</v>
      </c>
      <c r="E2835" s="30">
        <v>19</v>
      </c>
      <c r="F2835" s="30">
        <f t="shared" si="90"/>
        <v>19</v>
      </c>
      <c r="G2835" s="30" t="s">
        <v>9</v>
      </c>
      <c r="J2835" s="30" t="s">
        <v>392</v>
      </c>
      <c r="K2835" s="30">
        <f>VLOOKUP(C2835, PA!A:M, 13, FALSE)</f>
        <v>0.69642857142857151</v>
      </c>
    </row>
    <row r="2836" spans="1:11" x14ac:dyDescent="0.25">
      <c r="A2836" s="78">
        <v>46189</v>
      </c>
      <c r="C2836" s="19" t="s">
        <v>525</v>
      </c>
      <c r="D2836" s="30">
        <v>1</v>
      </c>
      <c r="E2836" s="30">
        <v>29</v>
      </c>
      <c r="F2836" s="30">
        <f t="shared" si="90"/>
        <v>29</v>
      </c>
      <c r="G2836" s="30" t="s">
        <v>9</v>
      </c>
      <c r="J2836" s="30" t="s">
        <v>392</v>
      </c>
      <c r="K2836" s="30">
        <f>VLOOKUP(C2836, PA!A:M, 13, FALSE)</f>
        <v>0.39423076923076916</v>
      </c>
    </row>
    <row r="2837" spans="1:11" x14ac:dyDescent="0.25">
      <c r="A2837" s="78">
        <v>46189</v>
      </c>
      <c r="C2837" s="19" t="s">
        <v>846</v>
      </c>
      <c r="D2837" s="30">
        <v>1</v>
      </c>
      <c r="E2837" s="30">
        <v>10</v>
      </c>
      <c r="F2837" s="30">
        <f t="shared" si="90"/>
        <v>10</v>
      </c>
      <c r="G2837" s="30" t="s">
        <v>9</v>
      </c>
      <c r="J2837" s="30" t="s">
        <v>392</v>
      </c>
      <c r="K2837" s="30">
        <f>VLOOKUP(C2837, PA!A:M, 13, FALSE)</f>
        <v>9.0909090909090981E-2</v>
      </c>
    </row>
    <row r="2838" spans="1:11" x14ac:dyDescent="0.25">
      <c r="A2838" s="78">
        <v>46189</v>
      </c>
      <c r="C2838" s="33" t="s">
        <v>565</v>
      </c>
      <c r="D2838" s="30">
        <v>1</v>
      </c>
      <c r="E2838" s="30">
        <v>10</v>
      </c>
      <c r="F2838" s="30">
        <f t="shared" si="90"/>
        <v>10</v>
      </c>
      <c r="G2838" s="30" t="s">
        <v>9</v>
      </c>
      <c r="J2838" s="30" t="s">
        <v>392</v>
      </c>
      <c r="K2838" s="30">
        <f>VLOOKUP(C2838, PA!A:M, 13, FALSE)</f>
        <v>0.10091743119266047</v>
      </c>
    </row>
    <row r="2839" spans="1:11" x14ac:dyDescent="0.25">
      <c r="A2839" s="78">
        <v>46189</v>
      </c>
      <c r="C2839" s="19" t="s">
        <v>763</v>
      </c>
      <c r="D2839" s="30">
        <v>1</v>
      </c>
      <c r="E2839" s="30">
        <v>5</v>
      </c>
      <c r="F2839" s="30">
        <f t="shared" si="90"/>
        <v>5</v>
      </c>
      <c r="G2839" s="30" t="s">
        <v>9</v>
      </c>
      <c r="J2839" s="30" t="s">
        <v>392</v>
      </c>
      <c r="K2839" s="30">
        <f>VLOOKUP(C2839, PA!A:M, 13, FALSE)</f>
        <v>9.0909090909090981E-2</v>
      </c>
    </row>
    <row r="2840" spans="1:11" x14ac:dyDescent="0.25">
      <c r="A2840" s="78">
        <v>46189</v>
      </c>
      <c r="C2840" s="19" t="s">
        <v>865</v>
      </c>
      <c r="D2840" s="30">
        <v>0.35</v>
      </c>
      <c r="E2840" s="30">
        <v>58</v>
      </c>
      <c r="F2840" s="30">
        <f t="shared" si="90"/>
        <v>20.299999999999997</v>
      </c>
      <c r="G2840" s="30" t="s">
        <v>9</v>
      </c>
      <c r="J2840" s="30" t="s">
        <v>392</v>
      </c>
      <c r="K2840" s="30">
        <f>VLOOKUP(C2840, PA!A:M, 13, FALSE)</f>
        <v>0.18367346938775511</v>
      </c>
    </row>
    <row r="2841" spans="1:11" x14ac:dyDescent="0.25">
      <c r="A2841" s="78">
        <v>46189</v>
      </c>
      <c r="C2841" s="19" t="s">
        <v>767</v>
      </c>
      <c r="D2841" s="30">
        <v>1</v>
      </c>
      <c r="E2841" s="30">
        <v>10</v>
      </c>
      <c r="F2841" s="30">
        <f t="shared" si="90"/>
        <v>10</v>
      </c>
      <c r="G2841" s="30" t="s">
        <v>9</v>
      </c>
      <c r="J2841" s="30" t="s">
        <v>392</v>
      </c>
      <c r="K2841" s="30">
        <f>VLOOKUP(C2841, PA!A:M, 13, FALSE)</f>
        <v>0.1111111111111111</v>
      </c>
    </row>
    <row r="2842" spans="1:11" x14ac:dyDescent="0.25">
      <c r="A2842" s="78">
        <v>46189</v>
      </c>
      <c r="C2842" s="19" t="s">
        <v>15</v>
      </c>
      <c r="D2842" s="30">
        <v>1</v>
      </c>
      <c r="E2842" s="30">
        <v>10</v>
      </c>
      <c r="F2842" s="30">
        <f t="shared" si="90"/>
        <v>10</v>
      </c>
      <c r="G2842" s="30" t="s">
        <v>9</v>
      </c>
      <c r="J2842" s="30" t="s">
        <v>392</v>
      </c>
      <c r="K2842" s="30">
        <f>VLOOKUP(C2842, PA!A:M, 13, FALSE)</f>
        <v>5.2631578947368418E-2</v>
      </c>
    </row>
    <row r="2843" spans="1:11" x14ac:dyDescent="0.25">
      <c r="A2843" s="78">
        <v>46189</v>
      </c>
      <c r="C2843" s="19" t="s">
        <v>881</v>
      </c>
      <c r="D2843" s="30">
        <v>1</v>
      </c>
      <c r="E2843" s="30">
        <v>10</v>
      </c>
      <c r="F2843" s="30">
        <f t="shared" si="90"/>
        <v>10</v>
      </c>
      <c r="G2843" s="30" t="s">
        <v>9</v>
      </c>
      <c r="J2843" s="30" t="s">
        <v>392</v>
      </c>
      <c r="K2843" s="30">
        <f>VLOOKUP(C2843, PA!A:M, 13, FALSE)</f>
        <v>0.14285714285714285</v>
      </c>
    </row>
    <row r="2844" spans="1:11" x14ac:dyDescent="0.25">
      <c r="A2844" s="78">
        <v>46189</v>
      </c>
      <c r="C2844" s="33" t="s">
        <v>781</v>
      </c>
      <c r="D2844" s="30">
        <v>0.1</v>
      </c>
      <c r="E2844" s="30">
        <v>200</v>
      </c>
      <c r="F2844" s="30">
        <f t="shared" si="90"/>
        <v>20</v>
      </c>
      <c r="G2844" s="30" t="s">
        <v>9</v>
      </c>
      <c r="J2844" s="30" t="s">
        <v>392</v>
      </c>
      <c r="K2844" s="30">
        <f>VLOOKUP(C2844, PA!A:M, 13, FALSE)</f>
        <v>0.42857142857142855</v>
      </c>
    </row>
    <row r="2845" spans="1:11" x14ac:dyDescent="0.25">
      <c r="A2845" s="78">
        <v>46189</v>
      </c>
      <c r="C2845" s="19" t="s">
        <v>102</v>
      </c>
      <c r="D2845" s="30">
        <v>1</v>
      </c>
      <c r="E2845" s="30">
        <v>25</v>
      </c>
      <c r="F2845" s="30">
        <f t="shared" si="90"/>
        <v>25</v>
      </c>
      <c r="G2845" s="30" t="s">
        <v>9</v>
      </c>
      <c r="J2845" s="30" t="s">
        <v>392</v>
      </c>
      <c r="K2845" s="30">
        <f>VLOOKUP(C2845, PA!A:M, 13, FALSE)</f>
        <v>0.32978723404255317</v>
      </c>
    </row>
    <row r="2846" spans="1:11" x14ac:dyDescent="0.25">
      <c r="A2846" s="78">
        <v>46189</v>
      </c>
      <c r="C2846" s="33" t="s">
        <v>345</v>
      </c>
      <c r="D2846" s="30">
        <v>5</v>
      </c>
      <c r="E2846" s="30">
        <v>1</v>
      </c>
      <c r="F2846" s="30">
        <f t="shared" si="90"/>
        <v>5</v>
      </c>
      <c r="G2846" s="30" t="s">
        <v>9</v>
      </c>
      <c r="J2846" s="30" t="s">
        <v>392</v>
      </c>
      <c r="K2846" s="30">
        <f>VLOOKUP(C2846, PA!A:M, 13, FALSE)</f>
        <v>0.14942528735632185</v>
      </c>
    </row>
    <row r="2847" spans="1:11" x14ac:dyDescent="0.25">
      <c r="A2847" s="78">
        <v>46189</v>
      </c>
      <c r="C2847" s="19" t="s">
        <v>860</v>
      </c>
      <c r="D2847" s="30">
        <v>2</v>
      </c>
      <c r="E2847" s="30">
        <v>5</v>
      </c>
      <c r="F2847" s="30">
        <f t="shared" si="90"/>
        <v>10</v>
      </c>
      <c r="G2847" s="30" t="s">
        <v>9</v>
      </c>
      <c r="J2847" s="30" t="s">
        <v>392</v>
      </c>
      <c r="K2847" s="30">
        <f>VLOOKUP(C2847, PA!A:M, 13, FALSE)</f>
        <v>0.1111111111111111</v>
      </c>
    </row>
    <row r="2848" spans="1:11" x14ac:dyDescent="0.25">
      <c r="A2848" s="78">
        <v>46189</v>
      </c>
      <c r="C2848" s="19" t="s">
        <v>674</v>
      </c>
      <c r="D2848" s="30">
        <v>1</v>
      </c>
      <c r="E2848" s="30">
        <v>58</v>
      </c>
      <c r="F2848" s="30">
        <f t="shared" si="90"/>
        <v>58</v>
      </c>
      <c r="G2848" s="30" t="s">
        <v>9</v>
      </c>
      <c r="J2848" s="30" t="s">
        <v>392</v>
      </c>
      <c r="K2848" s="30">
        <f>VLOOKUP(C2848, PA!A:M, 13, FALSE)</f>
        <v>7.407407407407407E-2</v>
      </c>
    </row>
    <row r="2849" spans="1:12" ht="30" x14ac:dyDescent="0.25">
      <c r="A2849" s="78">
        <v>46189</v>
      </c>
      <c r="C2849" s="19" t="s">
        <v>555</v>
      </c>
      <c r="D2849" s="30">
        <v>1</v>
      </c>
      <c r="E2849" s="30">
        <v>99</v>
      </c>
      <c r="F2849" s="30">
        <f t="shared" si="90"/>
        <v>99</v>
      </c>
      <c r="G2849" s="30" t="s">
        <v>9</v>
      </c>
      <c r="J2849" s="30" t="s">
        <v>392</v>
      </c>
      <c r="K2849" s="30">
        <f>VLOOKUP(C2849, PA!A:M, 13, FALSE)</f>
        <v>7.6086956521739135E-2</v>
      </c>
    </row>
    <row r="2850" spans="1:12" x14ac:dyDescent="0.25">
      <c r="A2850" s="78">
        <v>46189</v>
      </c>
      <c r="C2850" s="19" t="s">
        <v>865</v>
      </c>
      <c r="D2850" s="30">
        <v>1</v>
      </c>
      <c r="E2850" s="30">
        <v>58</v>
      </c>
      <c r="F2850" s="30">
        <f t="shared" si="90"/>
        <v>58</v>
      </c>
      <c r="G2850" s="30" t="s">
        <v>9</v>
      </c>
      <c r="J2850" s="30" t="s">
        <v>392</v>
      </c>
      <c r="K2850" s="30">
        <f>VLOOKUP(C2850, PA!A:M, 13, FALSE)</f>
        <v>0.18367346938775511</v>
      </c>
    </row>
    <row r="2851" spans="1:12" x14ac:dyDescent="0.25">
      <c r="A2851" s="78">
        <v>46189</v>
      </c>
      <c r="C2851" s="33" t="s">
        <v>714</v>
      </c>
      <c r="D2851" s="30">
        <v>1</v>
      </c>
      <c r="E2851" s="30">
        <v>30</v>
      </c>
      <c r="F2851" s="30">
        <f t="shared" si="90"/>
        <v>30</v>
      </c>
      <c r="G2851" s="30" t="s">
        <v>9</v>
      </c>
      <c r="J2851" s="30" t="s">
        <v>392</v>
      </c>
      <c r="K2851" s="30">
        <f>VLOOKUP(C2851, PA!A:M, 13, FALSE)</f>
        <v>0.15384615384615385</v>
      </c>
    </row>
    <row r="2852" spans="1:12" x14ac:dyDescent="0.25">
      <c r="A2852" s="78">
        <v>46189</v>
      </c>
      <c r="C2852" s="19" t="s">
        <v>395</v>
      </c>
      <c r="D2852" s="30">
        <v>1</v>
      </c>
      <c r="E2852" s="30">
        <v>10</v>
      </c>
      <c r="F2852" s="30">
        <f t="shared" si="90"/>
        <v>10</v>
      </c>
      <c r="G2852" s="30" t="s">
        <v>9</v>
      </c>
      <c r="J2852" s="30" t="s">
        <v>392</v>
      </c>
      <c r="K2852" s="30">
        <f>VLOOKUP(C2852, PA!A:M, 13, FALSE)</f>
        <v>0.13636363636363627</v>
      </c>
    </row>
    <row r="2853" spans="1:12" x14ac:dyDescent="0.25">
      <c r="A2853" s="78">
        <v>46189</v>
      </c>
      <c r="C2853" s="19" t="s">
        <v>850</v>
      </c>
      <c r="D2853" s="30">
        <v>1</v>
      </c>
      <c r="E2853" s="30">
        <v>35</v>
      </c>
      <c r="F2853" s="30">
        <f t="shared" si="90"/>
        <v>35</v>
      </c>
      <c r="G2853" s="30" t="s">
        <v>9</v>
      </c>
      <c r="J2853" s="30" t="s">
        <v>392</v>
      </c>
      <c r="K2853" s="30">
        <f>VLOOKUP(C2853, PA!A:M, 13, FALSE)</f>
        <v>9.375E-2</v>
      </c>
    </row>
    <row r="2854" spans="1:12" x14ac:dyDescent="0.25">
      <c r="A2854" s="78">
        <v>46189</v>
      </c>
      <c r="C2854" s="19" t="s">
        <v>710</v>
      </c>
      <c r="D2854" s="30">
        <v>2</v>
      </c>
      <c r="E2854" s="30">
        <v>5</v>
      </c>
      <c r="F2854" s="30">
        <f t="shared" si="90"/>
        <v>10</v>
      </c>
      <c r="G2854" s="30" t="s">
        <v>9</v>
      </c>
      <c r="J2854" s="30" t="s">
        <v>392</v>
      </c>
      <c r="K2854" s="30">
        <f>VLOOKUP(C2854, PA!A:M, 13, FALSE)</f>
        <v>0.3636363636363637</v>
      </c>
    </row>
    <row r="2855" spans="1:12" x14ac:dyDescent="0.25">
      <c r="A2855" s="78">
        <v>46189</v>
      </c>
      <c r="C2855" s="33" t="s">
        <v>834</v>
      </c>
      <c r="D2855" s="30">
        <v>1</v>
      </c>
      <c r="E2855" s="30">
        <v>20</v>
      </c>
      <c r="F2855" s="30">
        <f t="shared" si="90"/>
        <v>20</v>
      </c>
      <c r="G2855" s="30" t="s">
        <v>9</v>
      </c>
      <c r="J2855" s="30" t="s">
        <v>392</v>
      </c>
      <c r="K2855" s="30">
        <f>VLOOKUP(C2855, PA!A:M, 13, FALSE)</f>
        <v>0.38461538461538458</v>
      </c>
    </row>
    <row r="2856" spans="1:12" x14ac:dyDescent="0.25">
      <c r="A2856" s="78">
        <v>46189</v>
      </c>
      <c r="C2856" s="19" t="str">
        <f>'Stock Register'!A103</f>
        <v>TISSUE LOT 1</v>
      </c>
      <c r="D2856" s="30">
        <v>2</v>
      </c>
      <c r="E2856" s="30">
        <v>15</v>
      </c>
      <c r="F2856" s="30">
        <f t="shared" si="90"/>
        <v>30</v>
      </c>
      <c r="G2856" s="30" t="s">
        <v>9</v>
      </c>
      <c r="J2856" s="30" t="s">
        <v>392</v>
      </c>
      <c r="K2856" s="30">
        <f>VLOOKUP(C2856, PA!A:M, 13, FALSE)</f>
        <v>0.25</v>
      </c>
    </row>
    <row r="2857" spans="1:12" x14ac:dyDescent="0.25">
      <c r="A2857" s="78">
        <v>46189</v>
      </c>
      <c r="C2857" s="33" t="s">
        <v>911</v>
      </c>
      <c r="D2857" s="30">
        <v>3</v>
      </c>
      <c r="E2857" s="30">
        <v>27</v>
      </c>
      <c r="F2857" s="30">
        <f t="shared" si="90"/>
        <v>81</v>
      </c>
      <c r="G2857" s="30" t="s">
        <v>9</v>
      </c>
      <c r="J2857" s="30" t="s">
        <v>392</v>
      </c>
      <c r="K2857" s="30">
        <f>VLOOKUP(C2857, PA!A:M, 13, FALSE)</f>
        <v>0.17391304347826084</v>
      </c>
    </row>
    <row r="2858" spans="1:12" x14ac:dyDescent="0.25">
      <c r="A2858" s="78">
        <v>46189</v>
      </c>
      <c r="C2858" s="19" t="s">
        <v>858</v>
      </c>
      <c r="D2858" s="30">
        <v>1</v>
      </c>
      <c r="E2858" s="30">
        <v>10</v>
      </c>
      <c r="F2858" s="30">
        <f t="shared" si="90"/>
        <v>10</v>
      </c>
      <c r="G2858" s="30" t="s">
        <v>9</v>
      </c>
      <c r="J2858" s="30" t="s">
        <v>392</v>
      </c>
      <c r="K2858" s="30">
        <f>VLOOKUP(C2858, PA!A:M, 13, FALSE)</f>
        <v>9.0909090909090981E-2</v>
      </c>
    </row>
    <row r="2859" spans="1:12" x14ac:dyDescent="0.25">
      <c r="A2859" s="78">
        <v>46189</v>
      </c>
      <c r="C2859" s="19" t="s">
        <v>856</v>
      </c>
      <c r="D2859" s="30">
        <v>1</v>
      </c>
      <c r="E2859" s="30">
        <v>10</v>
      </c>
      <c r="F2859" s="30">
        <f t="shared" ref="F2859:F2864" si="91">E2859*D2859</f>
        <v>10</v>
      </c>
      <c r="G2859" s="30" t="s">
        <v>9</v>
      </c>
      <c r="J2859" s="30" t="s">
        <v>392</v>
      </c>
      <c r="K2859" s="30">
        <f>VLOOKUP(C2859, PA!A:M, 13, FALSE)</f>
        <v>9.0909090909090981E-2</v>
      </c>
    </row>
    <row r="2860" spans="1:12" x14ac:dyDescent="0.25">
      <c r="A2860" s="78">
        <v>46189</v>
      </c>
      <c r="C2860" s="19" t="s">
        <v>807</v>
      </c>
      <c r="D2860" s="30">
        <v>0.5</v>
      </c>
      <c r="E2860" s="30">
        <v>70</v>
      </c>
      <c r="F2860" s="30">
        <f t="shared" si="91"/>
        <v>35</v>
      </c>
      <c r="G2860" s="30" t="s">
        <v>9</v>
      </c>
      <c r="J2860" s="30" t="s">
        <v>392</v>
      </c>
      <c r="K2860" s="30">
        <f>VLOOKUP(C2860, PA!A:M, 13, FALSE)</f>
        <v>0.2068269230769231</v>
      </c>
    </row>
    <row r="2861" spans="1:12" x14ac:dyDescent="0.25">
      <c r="A2861" s="78">
        <v>46189</v>
      </c>
      <c r="C2861" s="33" t="s">
        <v>565</v>
      </c>
      <c r="D2861" s="30">
        <v>1</v>
      </c>
      <c r="E2861" s="30">
        <v>10</v>
      </c>
      <c r="F2861" s="30">
        <f t="shared" si="91"/>
        <v>10</v>
      </c>
      <c r="G2861" s="30" t="s">
        <v>9</v>
      </c>
      <c r="J2861" s="30" t="s">
        <v>392</v>
      </c>
      <c r="K2861" s="30">
        <f>VLOOKUP(C2861, PA!A:M, 13, FALSE)</f>
        <v>0.10091743119266047</v>
      </c>
    </row>
    <row r="2862" spans="1:12" x14ac:dyDescent="0.25">
      <c r="A2862" s="78">
        <v>46189</v>
      </c>
      <c r="C2862" s="19" t="s">
        <v>860</v>
      </c>
      <c r="D2862" s="30">
        <v>2</v>
      </c>
      <c r="E2862" s="30">
        <v>5</v>
      </c>
      <c r="F2862" s="30">
        <f t="shared" si="91"/>
        <v>10</v>
      </c>
      <c r="G2862" s="30" t="s">
        <v>9</v>
      </c>
      <c r="J2862" s="30" t="s">
        <v>392</v>
      </c>
      <c r="K2862" s="30">
        <f>VLOOKUP(C2862, PA!A:M, 13, FALSE)</f>
        <v>0.1111111111111111</v>
      </c>
    </row>
    <row r="2863" spans="1:12" x14ac:dyDescent="0.25">
      <c r="A2863" s="78">
        <v>46189</v>
      </c>
      <c r="B2863" s="133"/>
      <c r="C2863" s="33" t="s">
        <v>911</v>
      </c>
      <c r="D2863" s="84">
        <v>8</v>
      </c>
      <c r="E2863" s="84">
        <v>8.75</v>
      </c>
      <c r="F2863" s="84">
        <f t="shared" si="91"/>
        <v>70</v>
      </c>
      <c r="G2863" s="84" t="s">
        <v>9</v>
      </c>
      <c r="H2863" s="86"/>
      <c r="J2863" s="30" t="s">
        <v>392</v>
      </c>
      <c r="K2863" s="30">
        <f>VLOOKUP(C2863, PA!A:M, 13, FALSE)</f>
        <v>0.17391304347826084</v>
      </c>
    </row>
    <row r="2864" spans="1:12" x14ac:dyDescent="0.25">
      <c r="A2864" s="78">
        <v>46189</v>
      </c>
      <c r="B2864" s="133"/>
      <c r="C2864" s="19" t="s">
        <v>530</v>
      </c>
      <c r="D2864" s="84">
        <v>2</v>
      </c>
      <c r="E2864" s="84">
        <v>10</v>
      </c>
      <c r="F2864" s="84">
        <f t="shared" si="91"/>
        <v>20</v>
      </c>
      <c r="G2864" s="84" t="s">
        <v>9</v>
      </c>
      <c r="H2864" s="86"/>
      <c r="I2864" s="139">
        <f>SUM(F2815:F2864)</f>
        <v>1477.5</v>
      </c>
      <c r="J2864" s="30" t="s">
        <v>392</v>
      </c>
      <c r="K2864" s="30">
        <f>VLOOKUP(C2864, PA!A:M, 13, FALSE)</f>
        <v>0.19999999999999993</v>
      </c>
      <c r="L2864" s="123" t="e">
        <f>AVERAGE(K2795:K2864)</f>
        <v>#N/A</v>
      </c>
    </row>
    <row r="2865" spans="1:12" s="69" customFormat="1" ht="18.75" x14ac:dyDescent="0.3">
      <c r="A2865" s="235" t="s">
        <v>437</v>
      </c>
      <c r="B2865" s="236"/>
      <c r="C2865" s="236"/>
      <c r="D2865" s="236"/>
      <c r="E2865" s="236"/>
      <c r="F2865" s="236"/>
      <c r="G2865" s="236"/>
      <c r="H2865" s="237"/>
      <c r="I2865" s="238">
        <f>SUM(I2864,I2814)</f>
        <v>2183.4859999999999</v>
      </c>
      <c r="J2865" s="239"/>
      <c r="K2865" s="239"/>
      <c r="L2865" s="240"/>
    </row>
    <row r="2866" spans="1:12" ht="28.9" customHeight="1" x14ac:dyDescent="0.25">
      <c r="A2866" s="78">
        <v>46190</v>
      </c>
      <c r="C2866" s="33" t="s">
        <v>970</v>
      </c>
      <c r="D2866" s="30">
        <v>1</v>
      </c>
      <c r="E2866" s="30">
        <v>10</v>
      </c>
      <c r="F2866" s="30">
        <f t="shared" ref="F2866:F2905" si="92">E2866*D2866</f>
        <v>10</v>
      </c>
      <c r="G2866" s="30" t="s">
        <v>9</v>
      </c>
      <c r="J2866" s="30" t="s">
        <v>392</v>
      </c>
      <c r="K2866" s="30" t="e">
        <f>VLOOKUP(C2866, PA!A:M, 13, FALSE)</f>
        <v>#N/A</v>
      </c>
    </row>
    <row r="2867" spans="1:12" x14ac:dyDescent="0.25">
      <c r="A2867" s="78">
        <v>46190</v>
      </c>
      <c r="C2867" s="33" t="s">
        <v>565</v>
      </c>
      <c r="D2867" s="30">
        <v>4</v>
      </c>
      <c r="E2867" s="30">
        <v>10</v>
      </c>
      <c r="F2867" s="30">
        <f t="shared" si="92"/>
        <v>40</v>
      </c>
      <c r="G2867" s="30" t="s">
        <v>9</v>
      </c>
      <c r="J2867" s="30" t="s">
        <v>392</v>
      </c>
      <c r="K2867" s="30">
        <f>VLOOKUP(C2867, PA!A:M, 13, FALSE)</f>
        <v>0.10091743119266047</v>
      </c>
    </row>
    <row r="2868" spans="1:12" x14ac:dyDescent="0.25">
      <c r="A2868" s="78">
        <v>46190</v>
      </c>
      <c r="C2868" s="33" t="s">
        <v>497</v>
      </c>
      <c r="D2868" s="30">
        <v>1</v>
      </c>
      <c r="E2868" s="30">
        <v>35</v>
      </c>
      <c r="F2868" s="30">
        <f t="shared" si="92"/>
        <v>35</v>
      </c>
      <c r="G2868" s="30" t="s">
        <v>9</v>
      </c>
      <c r="J2868" s="30" t="s">
        <v>392</v>
      </c>
      <c r="K2868" s="30">
        <f>VLOOKUP(C2868, PA!A:M, 13, FALSE)</f>
        <v>0.4</v>
      </c>
    </row>
    <row r="2869" spans="1:12" x14ac:dyDescent="0.25">
      <c r="A2869" s="78">
        <v>46190</v>
      </c>
      <c r="C2869" s="19" t="s">
        <v>852</v>
      </c>
      <c r="D2869" s="30">
        <v>1</v>
      </c>
      <c r="E2869" s="30">
        <v>105</v>
      </c>
      <c r="F2869" s="30">
        <f t="shared" si="92"/>
        <v>105</v>
      </c>
      <c r="G2869" s="30" t="s">
        <v>9</v>
      </c>
      <c r="J2869" s="30" t="s">
        <v>392</v>
      </c>
      <c r="K2869" s="30">
        <f>VLOOKUP(C2869, PA!A:M, 13, FALSE)</f>
        <v>7.6923076923076927E-2</v>
      </c>
    </row>
    <row r="2870" spans="1:12" x14ac:dyDescent="0.25">
      <c r="A2870" s="78">
        <v>46190</v>
      </c>
      <c r="C2870" s="19" t="s">
        <v>942</v>
      </c>
      <c r="D2870" s="30">
        <v>1</v>
      </c>
      <c r="E2870" s="30">
        <v>35</v>
      </c>
      <c r="F2870" s="30">
        <f t="shared" si="92"/>
        <v>35</v>
      </c>
      <c r="G2870" s="30" t="s">
        <v>9</v>
      </c>
      <c r="J2870" s="30" t="s">
        <v>392</v>
      </c>
      <c r="K2870" s="30">
        <f>VLOOKUP(C2870, PA!A:M, 13, FALSE)</f>
        <v>0.34615384615384615</v>
      </c>
    </row>
    <row r="2871" spans="1:12" x14ac:dyDescent="0.25">
      <c r="A2871" s="78">
        <v>46190</v>
      </c>
      <c r="C2871" s="33" t="s">
        <v>348</v>
      </c>
      <c r="D2871" s="30">
        <v>5</v>
      </c>
      <c r="E2871" s="30">
        <v>1</v>
      </c>
      <c r="F2871" s="30">
        <f t="shared" si="92"/>
        <v>5</v>
      </c>
      <c r="G2871" s="30" t="s">
        <v>9</v>
      </c>
      <c r="J2871" s="30" t="s">
        <v>392</v>
      </c>
      <c r="K2871" s="30">
        <f>VLOOKUP(C2871, PA!A:M, 13, FALSE)</f>
        <v>5.0000000000000058E-2</v>
      </c>
    </row>
    <row r="2872" spans="1:12" x14ac:dyDescent="0.25">
      <c r="A2872" s="78">
        <v>46190</v>
      </c>
      <c r="C2872" s="33" t="s">
        <v>807</v>
      </c>
      <c r="D2872" s="30">
        <v>0.56999999999999995</v>
      </c>
      <c r="E2872" s="30">
        <v>70</v>
      </c>
      <c r="F2872" s="30">
        <f t="shared" si="92"/>
        <v>39.9</v>
      </c>
      <c r="G2872" s="30" t="s">
        <v>9</v>
      </c>
      <c r="J2872" s="30" t="s">
        <v>392</v>
      </c>
      <c r="K2872" s="30">
        <f>VLOOKUP(C2872, PA!A:M, 13, FALSE)</f>
        <v>0.2068269230769231</v>
      </c>
    </row>
    <row r="2873" spans="1:12" x14ac:dyDescent="0.25">
      <c r="A2873" s="78">
        <v>46190</v>
      </c>
      <c r="C2873" s="33" t="s">
        <v>807</v>
      </c>
      <c r="D2873" s="30">
        <v>0.5</v>
      </c>
      <c r="E2873" s="30">
        <v>70</v>
      </c>
      <c r="F2873" s="30">
        <f t="shared" si="92"/>
        <v>35</v>
      </c>
      <c r="G2873" s="30" t="s">
        <v>9</v>
      </c>
      <c r="J2873" s="30" t="s">
        <v>392</v>
      </c>
      <c r="K2873" s="30">
        <f>VLOOKUP(C2873, PA!A:M, 13, FALSE)</f>
        <v>0.2068269230769231</v>
      </c>
    </row>
    <row r="2874" spans="1:12" x14ac:dyDescent="0.25">
      <c r="A2874" s="78">
        <v>46190</v>
      </c>
      <c r="C2874" s="33" t="s">
        <v>565</v>
      </c>
      <c r="D2874" s="30">
        <v>1</v>
      </c>
      <c r="E2874" s="30">
        <v>10</v>
      </c>
      <c r="F2874" s="30">
        <f t="shared" si="92"/>
        <v>10</v>
      </c>
      <c r="G2874" s="30" t="s">
        <v>9</v>
      </c>
      <c r="J2874" s="30" t="s">
        <v>392</v>
      </c>
      <c r="K2874" s="30">
        <f>VLOOKUP(C2874, PA!A:M, 13, FALSE)</f>
        <v>0.10091743119266047</v>
      </c>
    </row>
    <row r="2875" spans="1:12" x14ac:dyDescent="0.25">
      <c r="A2875" s="78">
        <v>46190</v>
      </c>
      <c r="C2875" s="33" t="s">
        <v>605</v>
      </c>
      <c r="D2875" s="30">
        <v>1</v>
      </c>
      <c r="E2875" s="30">
        <v>199</v>
      </c>
      <c r="F2875" s="30">
        <f t="shared" si="92"/>
        <v>199</v>
      </c>
      <c r="G2875" s="30" t="s">
        <v>9</v>
      </c>
      <c r="J2875" s="30" t="s">
        <v>392</v>
      </c>
      <c r="K2875" s="30">
        <f>VLOOKUP(C2875, PA!A:M, 13, FALSE)</f>
        <v>3.6458333333333336E-2</v>
      </c>
    </row>
    <row r="2876" spans="1:12" x14ac:dyDescent="0.25">
      <c r="A2876" s="78">
        <v>46190</v>
      </c>
      <c r="C2876" s="19" t="s">
        <v>525</v>
      </c>
      <c r="D2876" s="30">
        <v>1</v>
      </c>
      <c r="E2876" s="30">
        <v>28</v>
      </c>
      <c r="F2876" s="30">
        <f t="shared" si="92"/>
        <v>28</v>
      </c>
      <c r="G2876" s="30" t="s">
        <v>9</v>
      </c>
      <c r="J2876" s="30" t="s">
        <v>392</v>
      </c>
      <c r="K2876" s="30">
        <f>VLOOKUP(C2876, PA!A:M, 13, FALSE)</f>
        <v>0.39423076923076916</v>
      </c>
    </row>
    <row r="2877" spans="1:12" x14ac:dyDescent="0.25">
      <c r="A2877" s="78">
        <v>46190</v>
      </c>
      <c r="C2877" s="19" t="s">
        <v>98</v>
      </c>
      <c r="D2877" s="30">
        <v>1</v>
      </c>
      <c r="E2877" s="30">
        <v>19</v>
      </c>
      <c r="F2877" s="30">
        <f t="shared" si="92"/>
        <v>19</v>
      </c>
      <c r="G2877" s="30" t="s">
        <v>9</v>
      </c>
      <c r="J2877" s="30" t="s">
        <v>392</v>
      </c>
      <c r="K2877" s="30">
        <f>VLOOKUP(C2877, PA!A:M, 13, FALSE)</f>
        <v>0.69642857142857151</v>
      </c>
    </row>
    <row r="2878" spans="1:12" x14ac:dyDescent="0.25">
      <c r="A2878" s="78">
        <v>46190</v>
      </c>
      <c r="C2878" s="19" t="s">
        <v>680</v>
      </c>
      <c r="D2878" s="30">
        <v>1</v>
      </c>
      <c r="E2878" s="30">
        <v>10</v>
      </c>
      <c r="F2878" s="30">
        <f t="shared" si="92"/>
        <v>10</v>
      </c>
      <c r="G2878" s="30" t="s">
        <v>9</v>
      </c>
      <c r="J2878" s="30" t="s">
        <v>392</v>
      </c>
      <c r="K2878" s="30">
        <f>VLOOKUP(C2878, PA!A:M, 13, FALSE)</f>
        <v>9.170305676855893E-2</v>
      </c>
    </row>
    <row r="2879" spans="1:12" x14ac:dyDescent="0.25">
      <c r="A2879" s="78">
        <v>46190</v>
      </c>
      <c r="C2879" s="33" t="s">
        <v>912</v>
      </c>
      <c r="D2879" s="30">
        <v>1</v>
      </c>
      <c r="E2879" s="30">
        <v>10</v>
      </c>
      <c r="F2879" s="30">
        <f t="shared" si="92"/>
        <v>10</v>
      </c>
      <c r="G2879" s="30" t="s">
        <v>9</v>
      </c>
      <c r="J2879" s="30" t="s">
        <v>392</v>
      </c>
      <c r="K2879" s="30">
        <f>VLOOKUP(C2879, PA!A:M, 13, FALSE)</f>
        <v>9.0909090909090981E-2</v>
      </c>
    </row>
    <row r="2880" spans="1:12" x14ac:dyDescent="0.25">
      <c r="A2880" s="78">
        <v>46190</v>
      </c>
      <c r="C2880" s="19" t="s">
        <v>949</v>
      </c>
      <c r="D2880" s="30">
        <v>5</v>
      </c>
      <c r="E2880" s="30">
        <v>1</v>
      </c>
      <c r="F2880" s="30">
        <f t="shared" si="92"/>
        <v>5</v>
      </c>
      <c r="G2880" s="30" t="s">
        <v>9</v>
      </c>
      <c r="J2880" s="30" t="s">
        <v>392</v>
      </c>
      <c r="K2880" s="30">
        <f>VLOOKUP(C2880, PA!A:M, 13, FALSE)</f>
        <v>0.17241379310344832</v>
      </c>
    </row>
    <row r="2881" spans="1:11" x14ac:dyDescent="0.25">
      <c r="A2881" s="78">
        <v>46190</v>
      </c>
      <c r="C2881" s="33" t="s">
        <v>858</v>
      </c>
      <c r="D2881" s="30">
        <v>2</v>
      </c>
      <c r="E2881" s="30">
        <v>10</v>
      </c>
      <c r="F2881" s="30">
        <f t="shared" si="92"/>
        <v>20</v>
      </c>
      <c r="G2881" s="30" t="s">
        <v>9</v>
      </c>
      <c r="J2881" s="30" t="s">
        <v>392</v>
      </c>
      <c r="K2881" s="30">
        <f>VLOOKUP(C2881, PA!A:M, 13, FALSE)</f>
        <v>9.0909090909090981E-2</v>
      </c>
    </row>
    <row r="2882" spans="1:11" x14ac:dyDescent="0.25">
      <c r="A2882" s="78">
        <v>46190</v>
      </c>
      <c r="C2882" s="33" t="s">
        <v>652</v>
      </c>
      <c r="D2882" s="30">
        <v>1</v>
      </c>
      <c r="E2882" s="30">
        <v>20</v>
      </c>
      <c r="F2882" s="30">
        <f t="shared" si="92"/>
        <v>20</v>
      </c>
      <c r="G2882" s="30" t="s">
        <v>9</v>
      </c>
      <c r="J2882" s="30" t="s">
        <v>392</v>
      </c>
      <c r="K2882" s="30">
        <f>VLOOKUP(C2882, PA!A:M, 13, FALSE)</f>
        <v>0.1111111111111111</v>
      </c>
    </row>
    <row r="2883" spans="1:11" x14ac:dyDescent="0.25">
      <c r="A2883" s="78">
        <v>46190</v>
      </c>
      <c r="C2883" s="76" t="s">
        <v>378</v>
      </c>
      <c r="D2883" s="30">
        <v>1</v>
      </c>
      <c r="E2883" s="30">
        <v>20</v>
      </c>
      <c r="F2883" s="30">
        <f t="shared" si="92"/>
        <v>20</v>
      </c>
      <c r="G2883" s="30" t="s">
        <v>9</v>
      </c>
      <c r="J2883" s="30" t="s">
        <v>392</v>
      </c>
      <c r="K2883" s="30">
        <f>VLOOKUP(C2883, PA!A:M, 13, FALSE)</f>
        <v>0.33333333333333331</v>
      </c>
    </row>
    <row r="2884" spans="1:11" x14ac:dyDescent="0.25">
      <c r="A2884" s="78">
        <v>46190</v>
      </c>
      <c r="C2884" s="19" t="s">
        <v>942</v>
      </c>
      <c r="D2884" s="30">
        <v>1</v>
      </c>
      <c r="E2884" s="30">
        <v>35</v>
      </c>
      <c r="F2884" s="30">
        <f t="shared" si="92"/>
        <v>35</v>
      </c>
      <c r="G2884" s="30" t="s">
        <v>9</v>
      </c>
      <c r="J2884" s="30" t="s">
        <v>392</v>
      </c>
      <c r="K2884" s="30">
        <f>VLOOKUP(C2884, PA!A:M, 13, FALSE)</f>
        <v>0.34615384615384615</v>
      </c>
    </row>
    <row r="2885" spans="1:11" x14ac:dyDescent="0.25">
      <c r="A2885" s="78">
        <v>46190</v>
      </c>
      <c r="C2885" s="19" t="s">
        <v>741</v>
      </c>
      <c r="D2885" s="30">
        <v>1</v>
      </c>
      <c r="E2885" s="30">
        <v>10</v>
      </c>
      <c r="F2885" s="30">
        <f t="shared" si="92"/>
        <v>10</v>
      </c>
      <c r="G2885" s="30" t="s">
        <v>9</v>
      </c>
      <c r="J2885" s="30" t="s">
        <v>392</v>
      </c>
      <c r="K2885" s="30">
        <f>VLOOKUP(C2885, PA!A:M, 13, FALSE)</f>
        <v>0.22448979591836743</v>
      </c>
    </row>
    <row r="2886" spans="1:11" x14ac:dyDescent="0.25">
      <c r="A2886" s="78">
        <v>46190</v>
      </c>
      <c r="C2886" s="19" t="s">
        <v>967</v>
      </c>
      <c r="D2886" s="30">
        <v>1</v>
      </c>
      <c r="E2886" s="30">
        <v>120</v>
      </c>
      <c r="F2886" s="30">
        <f t="shared" si="92"/>
        <v>120</v>
      </c>
      <c r="G2886" s="30" t="s">
        <v>9</v>
      </c>
      <c r="J2886" s="30" t="s">
        <v>392</v>
      </c>
      <c r="K2886" s="30">
        <f>VLOOKUP(C2886, PA!A:M, 13, FALSE)</f>
        <v>9.5238095238095233E-2</v>
      </c>
    </row>
    <row r="2887" spans="1:11" x14ac:dyDescent="0.25">
      <c r="A2887" s="78">
        <v>46190</v>
      </c>
      <c r="C2887" s="19" t="s">
        <v>649</v>
      </c>
      <c r="D2887" s="30">
        <v>2</v>
      </c>
      <c r="E2887" s="30">
        <v>5</v>
      </c>
      <c r="F2887" s="30">
        <f t="shared" si="92"/>
        <v>10</v>
      </c>
      <c r="G2887" s="30" t="s">
        <v>9</v>
      </c>
      <c r="J2887" s="30" t="s">
        <v>392</v>
      </c>
      <c r="K2887" s="30">
        <f>VLOOKUP(C2887, PA!A:M, 13, FALSE)</f>
        <v>0.1111111111111111</v>
      </c>
    </row>
    <row r="2888" spans="1:11" x14ac:dyDescent="0.25">
      <c r="A2888" s="78">
        <v>46190</v>
      </c>
      <c r="C2888" s="33" t="s">
        <v>741</v>
      </c>
      <c r="D2888" s="30">
        <v>1</v>
      </c>
      <c r="E2888" s="30">
        <v>10</v>
      </c>
      <c r="F2888" s="30">
        <f t="shared" si="92"/>
        <v>10</v>
      </c>
      <c r="G2888" s="30" t="s">
        <v>9</v>
      </c>
      <c r="J2888" s="30" t="s">
        <v>392</v>
      </c>
      <c r="K2888" s="30">
        <f>VLOOKUP(C2888, PA!A:M, 13, FALSE)</f>
        <v>0.22448979591836743</v>
      </c>
    </row>
    <row r="2889" spans="1:11" x14ac:dyDescent="0.25">
      <c r="A2889" s="78">
        <v>46190</v>
      </c>
      <c r="C2889" s="19" t="s">
        <v>940</v>
      </c>
      <c r="D2889" s="30">
        <v>1</v>
      </c>
      <c r="E2889" s="30">
        <v>40</v>
      </c>
      <c r="F2889" s="30">
        <f t="shared" si="92"/>
        <v>40</v>
      </c>
      <c r="G2889" s="30" t="s">
        <v>9</v>
      </c>
      <c r="J2889" s="30" t="s">
        <v>392</v>
      </c>
      <c r="K2889" s="30">
        <f>VLOOKUP(C2889, PA!A:M, 13, FALSE)</f>
        <v>5.2631578947368418E-2</v>
      </c>
    </row>
    <row r="2890" spans="1:11" x14ac:dyDescent="0.25">
      <c r="A2890" s="78">
        <v>46190</v>
      </c>
      <c r="C2890" s="19" t="s">
        <v>915</v>
      </c>
      <c r="D2890" s="30">
        <v>1</v>
      </c>
      <c r="E2890" s="30">
        <v>10</v>
      </c>
      <c r="F2890" s="30">
        <f t="shared" si="92"/>
        <v>10</v>
      </c>
      <c r="G2890" s="30" t="s">
        <v>9</v>
      </c>
      <c r="J2890" s="30" t="s">
        <v>392</v>
      </c>
      <c r="K2890" s="30">
        <f>VLOOKUP(C2890, PA!A:M, 13, FALSE)</f>
        <v>7.692307692307683E-2</v>
      </c>
    </row>
    <row r="2891" spans="1:11" ht="30" x14ac:dyDescent="0.25">
      <c r="A2891" s="78">
        <v>46190</v>
      </c>
      <c r="C2891" s="19" t="s">
        <v>928</v>
      </c>
      <c r="D2891" s="30">
        <v>1</v>
      </c>
      <c r="E2891" s="30">
        <v>20</v>
      </c>
      <c r="F2891" s="30">
        <f t="shared" si="92"/>
        <v>20</v>
      </c>
      <c r="G2891" s="30" t="s">
        <v>9</v>
      </c>
      <c r="J2891" s="30" t="s">
        <v>392</v>
      </c>
      <c r="K2891" s="30">
        <f>VLOOKUP(C2891, PA!A:M, 13, FALSE)</f>
        <v>5.2631578947368418E-2</v>
      </c>
    </row>
    <row r="2892" spans="1:11" x14ac:dyDescent="0.25">
      <c r="A2892" s="78">
        <v>46190</v>
      </c>
      <c r="C2892" s="19" t="s">
        <v>911</v>
      </c>
      <c r="D2892" s="30">
        <v>4</v>
      </c>
      <c r="E2892" s="30">
        <v>9</v>
      </c>
      <c r="F2892" s="30">
        <f t="shared" si="92"/>
        <v>36</v>
      </c>
      <c r="G2892" s="30" t="s">
        <v>9</v>
      </c>
      <c r="J2892" s="30" t="s">
        <v>392</v>
      </c>
      <c r="K2892" s="30">
        <f>VLOOKUP(C2892, PA!A:M, 13, FALSE)</f>
        <v>0.17391304347826084</v>
      </c>
    </row>
    <row r="2893" spans="1:11" x14ac:dyDescent="0.25">
      <c r="A2893" s="78">
        <v>46190</v>
      </c>
      <c r="C2893" s="19" t="s">
        <v>939</v>
      </c>
      <c r="D2893" s="30">
        <v>1</v>
      </c>
      <c r="E2893" s="30">
        <v>30</v>
      </c>
      <c r="F2893" s="30">
        <f t="shared" si="92"/>
        <v>30</v>
      </c>
      <c r="G2893" s="30" t="s">
        <v>9</v>
      </c>
      <c r="J2893" s="30" t="s">
        <v>392</v>
      </c>
      <c r="K2893" s="30">
        <f>VLOOKUP(C2893, PA!A:M, 13, FALSE)</f>
        <v>0.25</v>
      </c>
    </row>
    <row r="2894" spans="1:11" x14ac:dyDescent="0.25">
      <c r="A2894" s="78">
        <v>46190</v>
      </c>
      <c r="C2894" s="19" t="s">
        <v>949</v>
      </c>
      <c r="D2894" s="30">
        <v>4</v>
      </c>
      <c r="E2894" s="30">
        <v>1</v>
      </c>
      <c r="F2894" s="30">
        <f t="shared" si="92"/>
        <v>4</v>
      </c>
      <c r="G2894" s="30" t="s">
        <v>9</v>
      </c>
      <c r="J2894" s="30" t="s">
        <v>392</v>
      </c>
      <c r="K2894" s="30">
        <f>VLOOKUP(C2894, PA!A:M, 13, FALSE)</f>
        <v>0.17241379310344832</v>
      </c>
    </row>
    <row r="2895" spans="1:11" x14ac:dyDescent="0.25">
      <c r="A2895" s="78">
        <v>46190</v>
      </c>
      <c r="C2895" s="33" t="s">
        <v>912</v>
      </c>
      <c r="D2895" s="30">
        <v>1</v>
      </c>
      <c r="E2895" s="30">
        <v>10</v>
      </c>
      <c r="F2895" s="30">
        <f t="shared" si="92"/>
        <v>10</v>
      </c>
      <c r="G2895" s="30" t="s">
        <v>9</v>
      </c>
      <c r="J2895" s="30" t="s">
        <v>392</v>
      </c>
      <c r="K2895" s="30">
        <f>VLOOKUP(C2895, PA!A:M, 13, FALSE)</f>
        <v>9.0909090909090981E-2</v>
      </c>
    </row>
    <row r="2896" spans="1:11" x14ac:dyDescent="0.25">
      <c r="A2896" s="78">
        <v>46190</v>
      </c>
      <c r="C2896" s="19" t="s">
        <v>870</v>
      </c>
      <c r="D2896" s="30">
        <v>1</v>
      </c>
      <c r="E2896" s="30">
        <v>37</v>
      </c>
      <c r="F2896" s="30">
        <f t="shared" si="92"/>
        <v>37</v>
      </c>
      <c r="G2896" s="30" t="s">
        <v>9</v>
      </c>
      <c r="J2896" s="30" t="s">
        <v>392</v>
      </c>
      <c r="K2896" s="30">
        <f>VLOOKUP(C2896, PA!A:M, 13, FALSE)</f>
        <v>0.25</v>
      </c>
    </row>
    <row r="2897" spans="1:12" x14ac:dyDescent="0.25">
      <c r="A2897" s="78">
        <v>46190</v>
      </c>
      <c r="C2897" s="19" t="s">
        <v>871</v>
      </c>
      <c r="D2897" s="30">
        <v>1</v>
      </c>
      <c r="E2897" s="30">
        <v>37</v>
      </c>
      <c r="F2897" s="30">
        <f t="shared" si="92"/>
        <v>37</v>
      </c>
      <c r="G2897" s="30" t="s">
        <v>9</v>
      </c>
      <c r="J2897" s="30" t="s">
        <v>392</v>
      </c>
      <c r="K2897" s="30">
        <f>VLOOKUP(C2897, PA!A:M, 13, FALSE)</f>
        <v>0.45833333333333331</v>
      </c>
    </row>
    <row r="2898" spans="1:12" x14ac:dyDescent="0.25">
      <c r="A2898" s="78">
        <v>46190</v>
      </c>
      <c r="C2898" s="33" t="s">
        <v>565</v>
      </c>
      <c r="D2898" s="30">
        <v>2</v>
      </c>
      <c r="E2898" s="30">
        <v>10</v>
      </c>
      <c r="F2898" s="30">
        <f t="shared" si="92"/>
        <v>20</v>
      </c>
      <c r="G2898" s="30" t="s">
        <v>9</v>
      </c>
      <c r="J2898" s="30" t="s">
        <v>392</v>
      </c>
      <c r="K2898" s="30">
        <f>VLOOKUP(C2898, PA!A:M, 13, FALSE)</f>
        <v>0.10091743119266047</v>
      </c>
    </row>
    <row r="2899" spans="1:12" x14ac:dyDescent="0.25">
      <c r="A2899" s="78">
        <v>46190</v>
      </c>
      <c r="C2899" s="19" t="s">
        <v>949</v>
      </c>
      <c r="D2899" s="30">
        <v>5</v>
      </c>
      <c r="E2899" s="30">
        <v>1</v>
      </c>
      <c r="F2899" s="30">
        <f t="shared" si="92"/>
        <v>5</v>
      </c>
      <c r="G2899" s="30" t="s">
        <v>9</v>
      </c>
      <c r="J2899" s="30" t="s">
        <v>392</v>
      </c>
      <c r="K2899" s="30">
        <f>VLOOKUP(C2899, PA!A:M, 13, FALSE)</f>
        <v>0.17241379310344832</v>
      </c>
    </row>
    <row r="2900" spans="1:12" x14ac:dyDescent="0.25">
      <c r="A2900" s="78">
        <v>46190</v>
      </c>
      <c r="C2900" s="19" t="s">
        <v>950</v>
      </c>
      <c r="D2900" s="30">
        <v>5</v>
      </c>
      <c r="E2900" s="30">
        <v>1</v>
      </c>
      <c r="F2900" s="30">
        <f t="shared" si="92"/>
        <v>5</v>
      </c>
      <c r="G2900" s="30" t="s">
        <v>9</v>
      </c>
      <c r="J2900" s="30" t="s">
        <v>392</v>
      </c>
      <c r="K2900" s="30">
        <f>VLOOKUP(C2900, PA!A:M, 13, FALSE)</f>
        <v>0.17241379310344832</v>
      </c>
    </row>
    <row r="2901" spans="1:12" ht="30" x14ac:dyDescent="0.25">
      <c r="A2901" s="78">
        <v>46190</v>
      </c>
      <c r="C2901" s="19" t="s">
        <v>799</v>
      </c>
      <c r="D2901" s="30">
        <v>2</v>
      </c>
      <c r="E2901" s="30">
        <v>5</v>
      </c>
      <c r="F2901" s="30">
        <f t="shared" si="92"/>
        <v>10</v>
      </c>
      <c r="G2901" s="30" t="s">
        <v>9</v>
      </c>
      <c r="J2901" s="30" t="s">
        <v>392</v>
      </c>
      <c r="K2901" s="30">
        <f>VLOOKUP(C2901, PA!A:M, 13, FALSE)</f>
        <v>0.1</v>
      </c>
    </row>
    <row r="2902" spans="1:12" x14ac:dyDescent="0.25">
      <c r="A2902" s="78">
        <v>46190</v>
      </c>
      <c r="C2902" s="33" t="s">
        <v>565</v>
      </c>
      <c r="D2902" s="30">
        <v>2</v>
      </c>
      <c r="E2902" s="30">
        <v>10</v>
      </c>
      <c r="F2902" s="30">
        <f t="shared" si="92"/>
        <v>20</v>
      </c>
      <c r="G2902" s="30" t="s">
        <v>9</v>
      </c>
      <c r="J2902" s="30" t="s">
        <v>392</v>
      </c>
      <c r="K2902" s="30">
        <f>VLOOKUP(C2902, PA!A:M, 13, FALSE)</f>
        <v>0.10091743119266047</v>
      </c>
    </row>
    <row r="2903" spans="1:12" x14ac:dyDescent="0.25">
      <c r="A2903" s="78">
        <v>46190</v>
      </c>
      <c r="C2903" s="33" t="s">
        <v>970</v>
      </c>
      <c r="D2903" s="30">
        <v>1</v>
      </c>
      <c r="E2903" s="30">
        <v>10</v>
      </c>
      <c r="F2903" s="30">
        <f t="shared" si="92"/>
        <v>10</v>
      </c>
      <c r="G2903" s="30" t="s">
        <v>9</v>
      </c>
      <c r="J2903" s="30" t="s">
        <v>392</v>
      </c>
      <c r="K2903" s="30" t="e">
        <f>VLOOKUP(C2903, PA!A:M, 13, FALSE)</f>
        <v>#N/A</v>
      </c>
    </row>
    <row r="2904" spans="1:12" x14ac:dyDescent="0.25">
      <c r="A2904" s="78">
        <v>46190</v>
      </c>
      <c r="C2904" s="33" t="s">
        <v>714</v>
      </c>
      <c r="D2904" s="30">
        <v>1</v>
      </c>
      <c r="E2904" s="30">
        <v>30</v>
      </c>
      <c r="F2904" s="30">
        <f t="shared" si="92"/>
        <v>30</v>
      </c>
      <c r="G2904" s="30" t="s">
        <v>9</v>
      </c>
      <c r="J2904" s="30" t="s">
        <v>392</v>
      </c>
      <c r="K2904" s="30">
        <f>VLOOKUP(C2904, PA!A:M, 13, FALSE)</f>
        <v>0.15384615384615385</v>
      </c>
    </row>
    <row r="2905" spans="1:12" x14ac:dyDescent="0.25">
      <c r="A2905" s="78">
        <v>46190</v>
      </c>
      <c r="C2905" s="19" t="s">
        <v>110</v>
      </c>
      <c r="D2905" s="30">
        <v>2</v>
      </c>
      <c r="E2905" s="30">
        <v>5</v>
      </c>
      <c r="F2905" s="30">
        <f t="shared" si="92"/>
        <v>10</v>
      </c>
      <c r="G2905" s="30" t="s">
        <v>9</v>
      </c>
      <c r="I2905" s="139">
        <f>SUM(F2866:F2905)</f>
        <v>1164.9000000000001</v>
      </c>
      <c r="J2905" s="30" t="s">
        <v>392</v>
      </c>
      <c r="K2905" s="30">
        <f>VLOOKUP(C2905, PA!A:M, 13, FALSE)</f>
        <v>0.1111111111111111</v>
      </c>
      <c r="L2905" s="123" t="e">
        <f>AVERAGE(K2866:K2905)</f>
        <v>#N/A</v>
      </c>
    </row>
    <row r="2906" spans="1:12" s="69" customFormat="1" ht="18.75" x14ac:dyDescent="0.3">
      <c r="A2906" s="235" t="s">
        <v>437</v>
      </c>
      <c r="B2906" s="236"/>
      <c r="C2906" s="236"/>
      <c r="D2906" s="236"/>
      <c r="E2906" s="236"/>
      <c r="F2906" s="236"/>
      <c r="G2906" s="236"/>
      <c r="H2906" s="237"/>
      <c r="I2906" s="238">
        <v>1164</v>
      </c>
      <c r="J2906" s="239"/>
      <c r="K2906" s="239"/>
      <c r="L2906" s="240"/>
    </row>
    <row r="2907" spans="1:12" x14ac:dyDescent="0.25">
      <c r="A2907" s="78">
        <v>46191</v>
      </c>
      <c r="C2907" s="19" t="s">
        <v>865</v>
      </c>
      <c r="D2907" s="30">
        <v>0.51700000000000002</v>
      </c>
      <c r="E2907" s="30">
        <v>58</v>
      </c>
      <c r="F2907" s="30">
        <f t="shared" ref="F2907:F2934" si="93">E2907*D2907</f>
        <v>29.986000000000001</v>
      </c>
      <c r="G2907" s="30" t="s">
        <v>9</v>
      </c>
      <c r="J2907" s="30" t="s">
        <v>392</v>
      </c>
      <c r="K2907" s="30">
        <f>VLOOKUP(C2907, PA!A:M, 13, FALSE)</f>
        <v>0.18367346938775511</v>
      </c>
    </row>
    <row r="2908" spans="1:12" x14ac:dyDescent="0.25">
      <c r="A2908" s="78">
        <v>46191</v>
      </c>
      <c r="C2908" s="33" t="s">
        <v>565</v>
      </c>
      <c r="D2908" s="30">
        <v>2</v>
      </c>
      <c r="E2908" s="30">
        <v>10</v>
      </c>
      <c r="F2908" s="30">
        <f t="shared" si="93"/>
        <v>20</v>
      </c>
      <c r="G2908" s="30" t="s">
        <v>9</v>
      </c>
      <c r="J2908" s="30" t="s">
        <v>392</v>
      </c>
      <c r="K2908" s="30">
        <f>VLOOKUP(C2908, PA!A:M, 13, FALSE)</f>
        <v>0.10091743119266047</v>
      </c>
    </row>
    <row r="2909" spans="1:12" x14ac:dyDescent="0.25">
      <c r="A2909" s="78">
        <v>46191</v>
      </c>
      <c r="C2909" s="33" t="s">
        <v>565</v>
      </c>
      <c r="D2909" s="30">
        <v>1</v>
      </c>
      <c r="E2909" s="30">
        <v>10</v>
      </c>
      <c r="F2909" s="30">
        <f t="shared" si="93"/>
        <v>10</v>
      </c>
      <c r="G2909" s="30" t="s">
        <v>9</v>
      </c>
      <c r="J2909" s="30" t="s">
        <v>392</v>
      </c>
      <c r="K2909" s="30">
        <f>VLOOKUP(C2909, PA!A:M, 13, FALSE)</f>
        <v>0.10091743119266047</v>
      </c>
    </row>
    <row r="2910" spans="1:12" ht="30" x14ac:dyDescent="0.25">
      <c r="A2910" s="78">
        <v>46191</v>
      </c>
      <c r="C2910" s="19" t="s">
        <v>642</v>
      </c>
      <c r="D2910" s="30">
        <v>1</v>
      </c>
      <c r="E2910" s="30">
        <v>88</v>
      </c>
      <c r="F2910" s="30">
        <f t="shared" si="93"/>
        <v>88</v>
      </c>
      <c r="G2910" s="30" t="s">
        <v>9</v>
      </c>
      <c r="J2910" s="30" t="s">
        <v>392</v>
      </c>
      <c r="K2910" s="30">
        <f>VLOOKUP(C2910, PA!A:M, 13, FALSE)</f>
        <v>0.25925925925925924</v>
      </c>
    </row>
    <row r="2911" spans="1:12" x14ac:dyDescent="0.25">
      <c r="A2911" s="78">
        <v>46191</v>
      </c>
      <c r="C2911" s="19" t="s">
        <v>896</v>
      </c>
      <c r="D2911" s="30">
        <v>0.25</v>
      </c>
      <c r="E2911" s="30">
        <v>110</v>
      </c>
      <c r="F2911" s="30">
        <f t="shared" si="93"/>
        <v>27.5</v>
      </c>
      <c r="G2911" s="30" t="s">
        <v>9</v>
      </c>
      <c r="J2911" s="30" t="s">
        <v>392</v>
      </c>
      <c r="K2911" s="30">
        <f>VLOOKUP(C2911, PA!A:M, 13, FALSE)</f>
        <v>0.22222222222222221</v>
      </c>
    </row>
    <row r="2912" spans="1:12" x14ac:dyDescent="0.25">
      <c r="A2912" s="78">
        <v>46191</v>
      </c>
      <c r="C2912" s="19" t="s">
        <v>845</v>
      </c>
      <c r="D2912" s="30">
        <v>4.1000000000000002E-2</v>
      </c>
      <c r="E2912" s="30">
        <v>420</v>
      </c>
      <c r="F2912" s="30">
        <f t="shared" si="93"/>
        <v>17.220000000000002</v>
      </c>
      <c r="G2912" s="30" t="s">
        <v>9</v>
      </c>
      <c r="J2912" s="30" t="s">
        <v>392</v>
      </c>
      <c r="K2912" s="30">
        <f>VLOOKUP(C2912, PA!A:M, 13, FALSE)</f>
        <v>0.3125</v>
      </c>
    </row>
    <row r="2913" spans="1:11" ht="30" x14ac:dyDescent="0.25">
      <c r="A2913" s="78">
        <v>46191</v>
      </c>
      <c r="C2913" s="19" t="s">
        <v>97</v>
      </c>
      <c r="D2913" s="30">
        <v>1</v>
      </c>
      <c r="E2913" s="30">
        <v>35</v>
      </c>
      <c r="F2913" s="30">
        <f t="shared" si="93"/>
        <v>35</v>
      </c>
      <c r="G2913" s="30" t="s">
        <v>9</v>
      </c>
      <c r="J2913" s="30" t="s">
        <v>392</v>
      </c>
      <c r="K2913" s="30">
        <f>VLOOKUP(C2913, PA!A:M, 13, FALSE)</f>
        <v>0.25</v>
      </c>
    </row>
    <row r="2914" spans="1:11" x14ac:dyDescent="0.25">
      <c r="A2914" s="78">
        <v>46191</v>
      </c>
      <c r="C2914" s="19" t="s">
        <v>964</v>
      </c>
      <c r="D2914" s="30">
        <v>1</v>
      </c>
      <c r="E2914" s="30">
        <v>10</v>
      </c>
      <c r="F2914" s="30">
        <f t="shared" si="93"/>
        <v>10</v>
      </c>
      <c r="G2914" s="30" t="s">
        <v>9</v>
      </c>
      <c r="J2914" s="30" t="s">
        <v>392</v>
      </c>
      <c r="K2914" s="30">
        <f>VLOOKUP(C2914, PA!A:M, 13, FALSE)</f>
        <v>0.14285714285714285</v>
      </c>
    </row>
    <row r="2915" spans="1:11" x14ac:dyDescent="0.25">
      <c r="A2915" s="78">
        <v>46191</v>
      </c>
      <c r="C2915" s="33" t="s">
        <v>740</v>
      </c>
      <c r="D2915" s="30">
        <v>1</v>
      </c>
      <c r="E2915" s="30">
        <v>10</v>
      </c>
      <c r="F2915" s="30">
        <f t="shared" si="93"/>
        <v>10</v>
      </c>
      <c r="G2915" s="30" t="s">
        <v>9</v>
      </c>
      <c r="J2915" s="30" t="s">
        <v>392</v>
      </c>
      <c r="K2915" s="30">
        <f>VLOOKUP(C2915, PA!A:M, 13, FALSE)</f>
        <v>0.22448979591836743</v>
      </c>
    </row>
    <row r="2916" spans="1:11" x14ac:dyDescent="0.25">
      <c r="A2916" s="78">
        <v>46191</v>
      </c>
      <c r="C2916" s="33" t="s">
        <v>807</v>
      </c>
      <c r="D2916" s="30">
        <v>0.14299999999999999</v>
      </c>
      <c r="E2916" s="30">
        <v>70</v>
      </c>
      <c r="F2916" s="30">
        <f t="shared" si="93"/>
        <v>10.01</v>
      </c>
      <c r="G2916" s="30" t="s">
        <v>9</v>
      </c>
      <c r="J2916" s="30" t="s">
        <v>392</v>
      </c>
      <c r="K2916" s="30">
        <f>VLOOKUP(C2916, PA!A:M, 13, FALSE)</f>
        <v>0.2068269230769231</v>
      </c>
    </row>
    <row r="2917" spans="1:11" x14ac:dyDescent="0.25">
      <c r="A2917" s="78">
        <v>46191</v>
      </c>
      <c r="C2917" s="19" t="s">
        <v>805</v>
      </c>
      <c r="D2917" s="30">
        <v>26</v>
      </c>
      <c r="E2917" s="30">
        <v>54.25</v>
      </c>
      <c r="F2917" s="30">
        <f t="shared" si="93"/>
        <v>1410.5</v>
      </c>
      <c r="G2917" s="30" t="s">
        <v>9</v>
      </c>
      <c r="J2917" s="30" t="s">
        <v>392</v>
      </c>
      <c r="K2917" s="30">
        <f>VLOOKUP(C2917, PA!A:M, 13, FALSE)</f>
        <v>3.7924151696606831E-2</v>
      </c>
    </row>
    <row r="2918" spans="1:11" x14ac:dyDescent="0.25">
      <c r="A2918" s="78">
        <v>46191</v>
      </c>
      <c r="C2918" s="19" t="s">
        <v>845</v>
      </c>
      <c r="D2918" s="30">
        <v>0.01</v>
      </c>
      <c r="E2918" s="30">
        <v>420</v>
      </c>
      <c r="F2918" s="30">
        <f t="shared" si="93"/>
        <v>4.2</v>
      </c>
      <c r="G2918" s="30" t="s">
        <v>9</v>
      </c>
      <c r="J2918" s="30" t="s">
        <v>392</v>
      </c>
      <c r="K2918" s="30">
        <f>VLOOKUP(C2918, PA!A:M, 13, FALSE)</f>
        <v>0.3125</v>
      </c>
    </row>
    <row r="2919" spans="1:11" x14ac:dyDescent="0.25">
      <c r="A2919" s="78">
        <v>46191</v>
      </c>
      <c r="C2919" s="33" t="s">
        <v>565</v>
      </c>
      <c r="D2919" s="30">
        <v>2</v>
      </c>
      <c r="E2919" s="30">
        <v>10</v>
      </c>
      <c r="F2919" s="30">
        <f t="shared" si="93"/>
        <v>20</v>
      </c>
      <c r="G2919" s="30" t="s">
        <v>9</v>
      </c>
      <c r="J2919" s="30" t="s">
        <v>392</v>
      </c>
      <c r="K2919" s="30">
        <f>VLOOKUP(C2919, PA!A:M, 13, FALSE)</f>
        <v>0.10091743119266047</v>
      </c>
    </row>
    <row r="2920" spans="1:11" x14ac:dyDescent="0.25">
      <c r="A2920" s="78">
        <v>46191</v>
      </c>
      <c r="C2920" s="33" t="s">
        <v>834</v>
      </c>
      <c r="D2920" s="30">
        <v>1</v>
      </c>
      <c r="E2920" s="30">
        <v>20</v>
      </c>
      <c r="F2920" s="30">
        <f t="shared" si="93"/>
        <v>20</v>
      </c>
      <c r="G2920" s="30" t="s">
        <v>9</v>
      </c>
      <c r="J2920" s="30" t="s">
        <v>392</v>
      </c>
      <c r="K2920" s="30">
        <f>VLOOKUP(C2920, PA!A:M, 13, FALSE)</f>
        <v>0.38461538461538458</v>
      </c>
    </row>
    <row r="2921" spans="1:11" ht="30" x14ac:dyDescent="0.25">
      <c r="A2921" s="78">
        <v>46191</v>
      </c>
      <c r="C2921" s="19" t="s">
        <v>928</v>
      </c>
      <c r="D2921" s="30">
        <v>1</v>
      </c>
      <c r="E2921" s="30">
        <v>20</v>
      </c>
      <c r="F2921" s="30">
        <f t="shared" si="93"/>
        <v>20</v>
      </c>
      <c r="G2921" s="30" t="s">
        <v>9</v>
      </c>
      <c r="J2921" s="30" t="s">
        <v>392</v>
      </c>
      <c r="K2921" s="30">
        <f>VLOOKUP(C2921, PA!A:M, 13, FALSE)</f>
        <v>5.2631578947368418E-2</v>
      </c>
    </row>
    <row r="2922" spans="1:11" x14ac:dyDescent="0.25">
      <c r="A2922" s="78">
        <v>46191</v>
      </c>
      <c r="C2922" s="19" t="s">
        <v>534</v>
      </c>
      <c r="D2922" s="30">
        <v>1</v>
      </c>
      <c r="E2922" s="30">
        <v>5</v>
      </c>
      <c r="F2922" s="30">
        <f t="shared" si="93"/>
        <v>5</v>
      </c>
      <c r="G2922" s="30" t="s">
        <v>9</v>
      </c>
      <c r="J2922" s="30" t="s">
        <v>392</v>
      </c>
      <c r="K2922" s="30">
        <f>VLOOKUP(C2922, PA!A:M, 13, FALSE)</f>
        <v>9.0909090909090981E-2</v>
      </c>
    </row>
    <row r="2923" spans="1:11" ht="30" x14ac:dyDescent="0.25">
      <c r="A2923" s="78">
        <v>46191</v>
      </c>
      <c r="C2923" s="70" t="s">
        <v>789</v>
      </c>
      <c r="D2923" s="30">
        <v>1</v>
      </c>
      <c r="E2923" s="30">
        <v>5</v>
      </c>
      <c r="F2923" s="30">
        <f t="shared" si="93"/>
        <v>5</v>
      </c>
      <c r="G2923" s="30" t="s">
        <v>9</v>
      </c>
      <c r="J2923" s="30" t="s">
        <v>392</v>
      </c>
      <c r="K2923" s="30">
        <f>VLOOKUP(C2923, PA!A:M, 13, FALSE)</f>
        <v>9.0909090909090981E-2</v>
      </c>
    </row>
    <row r="2924" spans="1:11" x14ac:dyDescent="0.25">
      <c r="A2924" s="78">
        <v>46191</v>
      </c>
      <c r="C2924" s="33" t="s">
        <v>107</v>
      </c>
      <c r="D2924" s="30">
        <v>1</v>
      </c>
      <c r="E2924" s="30">
        <v>128</v>
      </c>
      <c r="F2924" s="30">
        <f t="shared" si="93"/>
        <v>128</v>
      </c>
      <c r="G2924" s="30" t="s">
        <v>9</v>
      </c>
      <c r="J2924" s="30" t="s">
        <v>392</v>
      </c>
      <c r="K2924" s="30">
        <f>VLOOKUP(C2924, PA!A:M, 13, FALSE)</f>
        <v>0.14285714285714285</v>
      </c>
    </row>
    <row r="2925" spans="1:11" x14ac:dyDescent="0.25">
      <c r="A2925" s="78">
        <v>46191</v>
      </c>
      <c r="C2925" s="33" t="s">
        <v>807</v>
      </c>
      <c r="D2925" s="30">
        <v>0.25</v>
      </c>
      <c r="E2925" s="30">
        <v>70</v>
      </c>
      <c r="F2925" s="30">
        <f t="shared" si="93"/>
        <v>17.5</v>
      </c>
      <c r="G2925" s="30" t="s">
        <v>9</v>
      </c>
      <c r="J2925" s="30" t="s">
        <v>392</v>
      </c>
      <c r="K2925" s="30">
        <f>VLOOKUP(C2925, PA!A:M, 13, FALSE)</f>
        <v>0.2068269230769231</v>
      </c>
    </row>
    <row r="2926" spans="1:11" x14ac:dyDescent="0.25">
      <c r="A2926" s="78">
        <v>46191</v>
      </c>
      <c r="C2926" s="19" t="s">
        <v>639</v>
      </c>
      <c r="D2926" s="30">
        <v>1</v>
      </c>
      <c r="E2926" s="30">
        <v>2</v>
      </c>
      <c r="F2926" s="30">
        <f t="shared" si="93"/>
        <v>2</v>
      </c>
      <c r="G2926" s="30" t="s">
        <v>9</v>
      </c>
      <c r="J2926" s="30" t="s">
        <v>392</v>
      </c>
      <c r="K2926" s="30">
        <f>VLOOKUP(C2926, PA!A:M, 13, FALSE)</f>
        <v>0.19999999999999996</v>
      </c>
    </row>
    <row r="2927" spans="1:11" x14ac:dyDescent="0.25">
      <c r="A2927" s="78">
        <v>46191</v>
      </c>
      <c r="C2927" s="19" t="s">
        <v>763</v>
      </c>
      <c r="D2927" s="30">
        <v>1</v>
      </c>
      <c r="E2927" s="30">
        <v>5</v>
      </c>
      <c r="F2927" s="30">
        <f t="shared" si="93"/>
        <v>5</v>
      </c>
      <c r="G2927" s="30" t="s">
        <v>9</v>
      </c>
      <c r="J2927" s="30" t="s">
        <v>392</v>
      </c>
      <c r="K2927" s="30">
        <f>VLOOKUP(C2927, PA!A:M, 13, FALSE)</f>
        <v>9.0909090909090981E-2</v>
      </c>
    </row>
    <row r="2928" spans="1:11" x14ac:dyDescent="0.25">
      <c r="A2928" s="78">
        <v>46191</v>
      </c>
      <c r="C2928" s="19" t="s">
        <v>727</v>
      </c>
      <c r="D2928" s="30">
        <v>1.054</v>
      </c>
      <c r="E2928" s="30">
        <v>95</v>
      </c>
      <c r="F2928" s="30">
        <f t="shared" si="93"/>
        <v>100.13000000000001</v>
      </c>
      <c r="G2928" s="30" t="s">
        <v>9</v>
      </c>
      <c r="J2928" s="30" t="s">
        <v>392</v>
      </c>
      <c r="K2928" s="30">
        <f>VLOOKUP(C2928, PA!A:M, 13, FALSE)</f>
        <v>0.1875</v>
      </c>
    </row>
    <row r="2929" spans="1:13" x14ac:dyDescent="0.25">
      <c r="A2929" s="78">
        <v>46191</v>
      </c>
      <c r="C2929" s="19" t="s">
        <v>901</v>
      </c>
      <c r="D2929" s="30">
        <v>1.3</v>
      </c>
      <c r="E2929" s="30">
        <v>20</v>
      </c>
      <c r="F2929" s="30">
        <f t="shared" si="93"/>
        <v>26</v>
      </c>
      <c r="G2929" s="30" t="s">
        <v>9</v>
      </c>
      <c r="J2929" s="30" t="s">
        <v>392</v>
      </c>
      <c r="K2929" s="30">
        <f>VLOOKUP(C2929, PA!A:M, 13, FALSE)</f>
        <v>0.33333333333333331</v>
      </c>
    </row>
    <row r="2930" spans="1:13" ht="30" x14ac:dyDescent="0.25">
      <c r="A2930" s="78">
        <v>46191</v>
      </c>
      <c r="C2930" s="19" t="s">
        <v>854</v>
      </c>
      <c r="D2930" s="30">
        <v>1</v>
      </c>
      <c r="E2930" s="30">
        <v>40</v>
      </c>
      <c r="F2930" s="30">
        <f t="shared" si="93"/>
        <v>40</v>
      </c>
      <c r="G2930" s="30" t="s">
        <v>9</v>
      </c>
      <c r="J2930" s="30" t="s">
        <v>392</v>
      </c>
      <c r="K2930" s="30">
        <f>VLOOKUP(C2930, PA!A:M, 13, FALSE)</f>
        <v>6.6666666666666666E-2</v>
      </c>
    </row>
    <row r="2931" spans="1:13" x14ac:dyDescent="0.25">
      <c r="A2931" s="78">
        <v>46191</v>
      </c>
      <c r="C2931" s="19" t="s">
        <v>578</v>
      </c>
      <c r="D2931" s="30">
        <v>1</v>
      </c>
      <c r="E2931" s="30">
        <v>5</v>
      </c>
      <c r="F2931" s="30">
        <f t="shared" si="93"/>
        <v>5</v>
      </c>
      <c r="G2931" s="30" t="s">
        <v>9</v>
      </c>
      <c r="J2931" s="30" t="s">
        <v>392</v>
      </c>
      <c r="K2931" s="30">
        <f>VLOOKUP(C2931, PA!A:M, 13, FALSE)</f>
        <v>0.25</v>
      </c>
    </row>
    <row r="2932" spans="1:13" x14ac:dyDescent="0.25">
      <c r="A2932" s="78">
        <v>46191</v>
      </c>
      <c r="C2932" s="19" t="s">
        <v>763</v>
      </c>
      <c r="D2932" s="30">
        <v>1</v>
      </c>
      <c r="E2932" s="30">
        <v>5</v>
      </c>
      <c r="F2932" s="30">
        <f t="shared" si="93"/>
        <v>5</v>
      </c>
      <c r="G2932" s="30" t="s">
        <v>9</v>
      </c>
      <c r="J2932" s="30" t="s">
        <v>392</v>
      </c>
      <c r="K2932" s="30">
        <f>VLOOKUP(C2932, PA!A:M, 13, FALSE)</f>
        <v>9.0909090909090981E-2</v>
      </c>
    </row>
    <row r="2933" spans="1:13" x14ac:dyDescent="0.25">
      <c r="A2933" s="78">
        <v>46191</v>
      </c>
      <c r="C2933" s="33" t="s">
        <v>705</v>
      </c>
      <c r="D2933" s="30">
        <v>1</v>
      </c>
      <c r="E2933" s="30">
        <v>10</v>
      </c>
      <c r="F2933" s="30">
        <f t="shared" si="93"/>
        <v>10</v>
      </c>
      <c r="G2933" s="30" t="s">
        <v>9</v>
      </c>
      <c r="J2933" s="30" t="s">
        <v>392</v>
      </c>
      <c r="K2933" s="30">
        <f>VLOOKUP(C2933, PA!A:M, 13, FALSE)</f>
        <v>9.0909090909090981E-2</v>
      </c>
    </row>
    <row r="2934" spans="1:13" ht="15.75" thickBot="1" x14ac:dyDescent="0.3">
      <c r="A2934" s="78">
        <v>46191</v>
      </c>
      <c r="C2934" s="33" t="s">
        <v>565</v>
      </c>
      <c r="D2934" s="30">
        <v>1</v>
      </c>
      <c r="E2934" s="30">
        <v>10</v>
      </c>
      <c r="F2934" s="30">
        <f t="shared" si="93"/>
        <v>10</v>
      </c>
      <c r="G2934" s="30" t="s">
        <v>9</v>
      </c>
      <c r="I2934" s="141">
        <f>SUM(F2907:F2934)</f>
        <v>2091.0460000000003</v>
      </c>
      <c r="J2934" s="125" t="s">
        <v>392</v>
      </c>
      <c r="K2934" s="125">
        <f>VLOOKUP(C2934, PA!A:M, 13, FALSE)</f>
        <v>0.10091743119266047</v>
      </c>
      <c r="L2934" s="126">
        <f>AVERAGE(K2907:K2934)</f>
        <v>0.17267497047254254</v>
      </c>
    </row>
    <row r="2935" spans="1:13" s="69" customFormat="1" ht="19.5" thickBot="1" x14ac:dyDescent="0.35">
      <c r="A2935" s="235" t="s">
        <v>437</v>
      </c>
      <c r="B2935" s="236"/>
      <c r="C2935" s="236"/>
      <c r="D2935" s="236"/>
      <c r="E2935" s="236"/>
      <c r="F2935" s="236"/>
      <c r="G2935" s="236"/>
      <c r="H2935" s="236"/>
      <c r="I2935" s="274">
        <v>2091</v>
      </c>
      <c r="J2935" s="245"/>
      <c r="K2935" s="245"/>
      <c r="L2935" s="246"/>
      <c r="M2935" s="124"/>
    </row>
    <row r="2936" spans="1:13" x14ac:dyDescent="0.25">
      <c r="A2936" s="78">
        <v>46192</v>
      </c>
      <c r="B2936" s="68">
        <v>1</v>
      </c>
      <c r="C2936" s="33" t="s">
        <v>348</v>
      </c>
      <c r="D2936" s="30">
        <v>2</v>
      </c>
      <c r="E2936" s="30">
        <v>1</v>
      </c>
      <c r="F2936" s="30">
        <f t="shared" ref="F2936:F2960" si="94">E2936*D2936</f>
        <v>2</v>
      </c>
      <c r="G2936" s="30" t="s">
        <v>9</v>
      </c>
      <c r="I2936" s="142"/>
      <c r="J2936" s="127" t="s">
        <v>392</v>
      </c>
      <c r="K2936" s="125">
        <f>VLOOKUP(C2936, PA!A:M, 13, FALSE)</f>
        <v>5.0000000000000058E-2</v>
      </c>
      <c r="L2936" s="127"/>
    </row>
    <row r="2937" spans="1:13" x14ac:dyDescent="0.25">
      <c r="A2937" s="78">
        <v>46192</v>
      </c>
      <c r="B2937" s="68">
        <v>2</v>
      </c>
      <c r="C2937" s="33" t="s">
        <v>822</v>
      </c>
      <c r="D2937" s="30">
        <v>1</v>
      </c>
      <c r="E2937" s="30">
        <v>29</v>
      </c>
      <c r="F2937" s="30">
        <f t="shared" si="94"/>
        <v>29</v>
      </c>
      <c r="G2937" s="30" t="s">
        <v>9</v>
      </c>
      <c r="J2937" s="30" t="s">
        <v>392</v>
      </c>
      <c r="K2937" s="125">
        <f>VLOOKUP(C2937, PA!A:M, 13, FALSE)</f>
        <v>7.1428571428571425E-2</v>
      </c>
    </row>
    <row r="2938" spans="1:13" x14ac:dyDescent="0.25">
      <c r="A2938" s="78">
        <v>46192</v>
      </c>
      <c r="B2938" s="68">
        <v>2</v>
      </c>
      <c r="C2938" s="33" t="s">
        <v>781</v>
      </c>
      <c r="D2938" s="30">
        <v>0.1</v>
      </c>
      <c r="E2938" s="30">
        <v>200</v>
      </c>
      <c r="F2938" s="30">
        <f t="shared" si="94"/>
        <v>20</v>
      </c>
      <c r="G2938" s="30" t="s">
        <v>9</v>
      </c>
      <c r="J2938" s="30" t="s">
        <v>392</v>
      </c>
      <c r="K2938" s="125">
        <f>VLOOKUP(C2938, PA!A:M, 13, FALSE)</f>
        <v>0.42857142857142855</v>
      </c>
    </row>
    <row r="2939" spans="1:13" x14ac:dyDescent="0.25">
      <c r="A2939" s="78">
        <v>46192</v>
      </c>
      <c r="B2939" s="68">
        <v>2</v>
      </c>
      <c r="C2939" s="33" t="s">
        <v>780</v>
      </c>
      <c r="D2939" s="30">
        <v>0.13300000000000001</v>
      </c>
      <c r="E2939" s="30">
        <v>150</v>
      </c>
      <c r="F2939" s="30">
        <f t="shared" si="94"/>
        <v>19.950000000000003</v>
      </c>
      <c r="G2939" s="30" t="s">
        <v>9</v>
      </c>
      <c r="J2939" s="30" t="s">
        <v>392</v>
      </c>
      <c r="K2939" s="125">
        <f>VLOOKUP(C2939, PA!A:M, 13, FALSE)</f>
        <v>0.66666666666666663</v>
      </c>
    </row>
    <row r="2940" spans="1:13" x14ac:dyDescent="0.25">
      <c r="A2940" s="78">
        <v>46192</v>
      </c>
      <c r="B2940" s="68">
        <v>3</v>
      </c>
      <c r="C2940" s="33" t="s">
        <v>946</v>
      </c>
      <c r="D2940" s="30">
        <v>1</v>
      </c>
      <c r="E2940" s="30">
        <v>40</v>
      </c>
      <c r="F2940" s="30">
        <f t="shared" si="94"/>
        <v>40</v>
      </c>
      <c r="G2940" s="30" t="s">
        <v>9</v>
      </c>
      <c r="J2940" s="30" t="s">
        <v>392</v>
      </c>
      <c r="K2940" s="125" t="e">
        <f>VLOOKUP(C2940, PA!A:M, 13, FALSE)</f>
        <v>#N/A</v>
      </c>
    </row>
    <row r="2941" spans="1:13" x14ac:dyDescent="0.25">
      <c r="A2941" s="78">
        <v>46192</v>
      </c>
      <c r="B2941" s="68">
        <v>4</v>
      </c>
      <c r="C2941" s="19" t="s">
        <v>886</v>
      </c>
      <c r="D2941" s="30">
        <v>2</v>
      </c>
      <c r="E2941" s="30">
        <v>10</v>
      </c>
      <c r="F2941" s="30">
        <f t="shared" si="94"/>
        <v>20</v>
      </c>
      <c r="G2941" s="30" t="s">
        <v>9</v>
      </c>
      <c r="J2941" s="30" t="s">
        <v>392</v>
      </c>
      <c r="K2941" s="125">
        <f>VLOOKUP(C2941, PA!A:M, 13, FALSE)</f>
        <v>0.1111111111111111</v>
      </c>
    </row>
    <row r="2942" spans="1:13" x14ac:dyDescent="0.25">
      <c r="A2942" s="78">
        <v>46192</v>
      </c>
      <c r="B2942" s="68">
        <v>4</v>
      </c>
      <c r="C2942" s="19" t="s">
        <v>915</v>
      </c>
      <c r="D2942" s="30">
        <v>1</v>
      </c>
      <c r="E2942" s="30">
        <v>10</v>
      </c>
      <c r="F2942" s="30">
        <f t="shared" si="94"/>
        <v>10</v>
      </c>
      <c r="G2942" s="30" t="s">
        <v>9</v>
      </c>
      <c r="I2942" s="143"/>
      <c r="J2942" s="125" t="s">
        <v>392</v>
      </c>
      <c r="K2942" s="125">
        <f>VLOOKUP(C2942, PA!A:M, 13, FALSE)</f>
        <v>7.692307692307683E-2</v>
      </c>
      <c r="L2942" s="125"/>
    </row>
    <row r="2943" spans="1:13" x14ac:dyDescent="0.25">
      <c r="A2943" s="78">
        <v>46192</v>
      </c>
      <c r="B2943" s="68">
        <v>5</v>
      </c>
      <c r="C2943" s="19" t="s">
        <v>651</v>
      </c>
      <c r="D2943" s="30">
        <v>8</v>
      </c>
      <c r="E2943" s="30">
        <v>8.75</v>
      </c>
      <c r="F2943" s="30">
        <f t="shared" si="94"/>
        <v>70</v>
      </c>
      <c r="G2943" s="30" t="s">
        <v>9</v>
      </c>
      <c r="I2943" s="143"/>
      <c r="J2943" s="125" t="s">
        <v>392</v>
      </c>
      <c r="K2943" s="125">
        <f>VLOOKUP(C2943, PA!A:M, 13, FALSE)</f>
        <v>0.17493472584856395</v>
      </c>
      <c r="L2943" s="125"/>
    </row>
    <row r="2944" spans="1:13" ht="30" x14ac:dyDescent="0.25">
      <c r="A2944" s="78">
        <v>46192</v>
      </c>
      <c r="B2944" s="68">
        <v>5</v>
      </c>
      <c r="C2944" s="33" t="str">
        <f>PA!A217</f>
        <v>HEAD AND SHOULDERS SATCHET LOT 2</v>
      </c>
      <c r="D2944" s="30">
        <v>4</v>
      </c>
      <c r="E2944" s="30">
        <v>5</v>
      </c>
      <c r="F2944" s="30">
        <f t="shared" si="94"/>
        <v>20</v>
      </c>
      <c r="G2944" s="30" t="s">
        <v>9</v>
      </c>
      <c r="I2944" s="143"/>
      <c r="J2944" s="125" t="s">
        <v>392</v>
      </c>
      <c r="K2944" s="125">
        <f>VLOOKUP(C2944, PA!A:M, 13, FALSE)</f>
        <v>0.15473441108545033</v>
      </c>
      <c r="L2944" s="125"/>
    </row>
    <row r="2945" spans="1:12" x14ac:dyDescent="0.25">
      <c r="A2945" s="78">
        <v>46192</v>
      </c>
      <c r="B2945" s="68">
        <v>5</v>
      </c>
      <c r="C2945" s="19" t="s">
        <v>959</v>
      </c>
      <c r="D2945" s="30">
        <v>1</v>
      </c>
      <c r="E2945" s="30">
        <v>40</v>
      </c>
      <c r="F2945" s="30">
        <f t="shared" si="94"/>
        <v>40</v>
      </c>
      <c r="G2945" s="30" t="s">
        <v>9</v>
      </c>
      <c r="I2945" s="143"/>
      <c r="J2945" s="125" t="s">
        <v>392</v>
      </c>
      <c r="K2945" s="125">
        <f>VLOOKUP(C2945, PA!A:M, 13, FALSE)</f>
        <v>1</v>
      </c>
      <c r="L2945" s="125"/>
    </row>
    <row r="2946" spans="1:12" x14ac:dyDescent="0.25">
      <c r="A2946" s="78">
        <v>46192</v>
      </c>
      <c r="B2946" s="68">
        <v>5</v>
      </c>
      <c r="C2946" s="33" t="s">
        <v>699</v>
      </c>
      <c r="D2946" s="30">
        <v>2</v>
      </c>
      <c r="E2946" s="30">
        <v>15</v>
      </c>
      <c r="F2946" s="30">
        <f t="shared" si="94"/>
        <v>30</v>
      </c>
      <c r="G2946" s="30" t="s">
        <v>9</v>
      </c>
      <c r="I2946" s="143"/>
      <c r="J2946" s="125" t="s">
        <v>392</v>
      </c>
      <c r="K2946" s="125">
        <f>VLOOKUP(C2946, PA!A:M, 13, FALSE)</f>
        <v>6.6666666666666666E-2</v>
      </c>
      <c r="L2946" s="125"/>
    </row>
    <row r="2947" spans="1:12" x14ac:dyDescent="0.25">
      <c r="A2947" s="78">
        <v>46192</v>
      </c>
      <c r="B2947" s="68">
        <v>6</v>
      </c>
      <c r="C2947" s="33" t="s">
        <v>762</v>
      </c>
      <c r="D2947" s="30">
        <v>2</v>
      </c>
      <c r="E2947" s="30">
        <v>10</v>
      </c>
      <c r="F2947" s="30">
        <f t="shared" si="94"/>
        <v>20</v>
      </c>
      <c r="G2947" s="30" t="s">
        <v>9</v>
      </c>
      <c r="I2947" s="143"/>
      <c r="J2947" s="125" t="s">
        <v>392</v>
      </c>
      <c r="K2947" s="125">
        <f>VLOOKUP(C2947, PA!A:M, 13, FALSE)</f>
        <v>-0.45454545454545453</v>
      </c>
      <c r="L2947" s="125"/>
    </row>
    <row r="2948" spans="1:12" x14ac:dyDescent="0.25">
      <c r="A2948" s="78">
        <v>46192</v>
      </c>
      <c r="B2948" s="68">
        <v>6</v>
      </c>
      <c r="C2948" s="33" t="s">
        <v>113</v>
      </c>
      <c r="D2948" s="30">
        <v>3</v>
      </c>
      <c r="E2948" s="30">
        <v>5</v>
      </c>
      <c r="F2948" s="30">
        <f t="shared" si="94"/>
        <v>15</v>
      </c>
      <c r="G2948" s="30" t="s">
        <v>9</v>
      </c>
      <c r="I2948" s="143"/>
      <c r="J2948" s="125" t="s">
        <v>392</v>
      </c>
      <c r="K2948" s="125">
        <f>VLOOKUP(C2948, PA!A:M, 13, FALSE)</f>
        <v>0.53846153846153844</v>
      </c>
      <c r="L2948" s="125"/>
    </row>
    <row r="2949" spans="1:12" x14ac:dyDescent="0.25">
      <c r="A2949" s="78">
        <v>46192</v>
      </c>
      <c r="B2949" s="68">
        <v>6</v>
      </c>
      <c r="C2949" s="33" t="s">
        <v>668</v>
      </c>
      <c r="D2949" s="30">
        <v>1</v>
      </c>
      <c r="E2949" s="30">
        <v>5</v>
      </c>
      <c r="F2949" s="30">
        <f t="shared" si="94"/>
        <v>5</v>
      </c>
      <c r="G2949" s="30" t="s">
        <v>9</v>
      </c>
      <c r="I2949" s="143"/>
      <c r="J2949" s="125" t="s">
        <v>392</v>
      </c>
      <c r="K2949" s="125">
        <f>VLOOKUP(C2949, PA!A:M, 13, FALSE)</f>
        <v>0.1111111111111111</v>
      </c>
      <c r="L2949" s="125"/>
    </row>
    <row r="2950" spans="1:12" ht="30" x14ac:dyDescent="0.25">
      <c r="A2950" s="78">
        <v>46192</v>
      </c>
      <c r="B2950" s="68">
        <v>7</v>
      </c>
      <c r="C2950" s="19" t="s">
        <v>943</v>
      </c>
      <c r="D2950" s="30">
        <v>1</v>
      </c>
      <c r="E2950" s="30">
        <v>35</v>
      </c>
      <c r="F2950" s="30">
        <f t="shared" si="94"/>
        <v>35</v>
      </c>
      <c r="G2950" s="30" t="s">
        <v>9</v>
      </c>
      <c r="I2950" s="143"/>
      <c r="J2950" s="125" t="s">
        <v>392</v>
      </c>
      <c r="K2950" s="125">
        <f>VLOOKUP(C2950, PA!A:M, 13, FALSE)</f>
        <v>0.25</v>
      </c>
      <c r="L2950" s="125"/>
    </row>
    <row r="2951" spans="1:12" x14ac:dyDescent="0.25">
      <c r="A2951" s="78">
        <v>46192</v>
      </c>
      <c r="B2951" s="68">
        <v>7</v>
      </c>
      <c r="C2951" s="33" t="s">
        <v>684</v>
      </c>
      <c r="D2951" s="30">
        <v>4</v>
      </c>
      <c r="E2951" s="30">
        <v>9.5</v>
      </c>
      <c r="F2951" s="30">
        <f t="shared" si="94"/>
        <v>38</v>
      </c>
      <c r="G2951" s="30" t="s">
        <v>9</v>
      </c>
      <c r="I2951" s="143"/>
      <c r="J2951" s="125" t="s">
        <v>392</v>
      </c>
      <c r="K2951" s="125">
        <f>VLOOKUP(C2951, PA!A:M, 13, FALSE)</f>
        <v>4.7409040793825769E-2</v>
      </c>
      <c r="L2951" s="125"/>
    </row>
    <row r="2952" spans="1:12" x14ac:dyDescent="0.25">
      <c r="A2952" s="78">
        <v>46192</v>
      </c>
      <c r="B2952" s="68">
        <v>8</v>
      </c>
      <c r="C2952" s="19" t="s">
        <v>651</v>
      </c>
      <c r="D2952" s="30">
        <v>4</v>
      </c>
      <c r="E2952" s="30">
        <v>9</v>
      </c>
      <c r="F2952" s="30">
        <f t="shared" si="94"/>
        <v>36</v>
      </c>
      <c r="G2952" s="30" t="s">
        <v>9</v>
      </c>
      <c r="I2952" s="143"/>
      <c r="J2952" s="125" t="s">
        <v>392</v>
      </c>
      <c r="K2952" s="125">
        <f>VLOOKUP(C2952, PA!A:M, 13, FALSE)</f>
        <v>0.17493472584856395</v>
      </c>
      <c r="L2952" s="125"/>
    </row>
    <row r="2953" spans="1:12" x14ac:dyDescent="0.25">
      <c r="A2953" s="78">
        <v>46192</v>
      </c>
      <c r="B2953" s="68">
        <v>8</v>
      </c>
      <c r="C2953" s="19" t="s">
        <v>923</v>
      </c>
      <c r="D2953" s="30">
        <v>1</v>
      </c>
      <c r="E2953" s="30">
        <v>30</v>
      </c>
      <c r="F2953" s="30">
        <f t="shared" si="94"/>
        <v>30</v>
      </c>
      <c r="G2953" s="30" t="s">
        <v>9</v>
      </c>
      <c r="I2953" s="143"/>
      <c r="J2953" s="125" t="s">
        <v>392</v>
      </c>
      <c r="K2953" s="125">
        <f>VLOOKUP(C2953, PA!A:M, 13, FALSE)</f>
        <v>0.15384615384615385</v>
      </c>
      <c r="L2953" s="125"/>
    </row>
    <row r="2954" spans="1:12" ht="30" x14ac:dyDescent="0.25">
      <c r="A2954" s="78">
        <v>46192</v>
      </c>
      <c r="B2954" s="68">
        <v>8</v>
      </c>
      <c r="C2954" s="19" t="s">
        <v>933</v>
      </c>
      <c r="D2954" s="30">
        <v>1</v>
      </c>
      <c r="E2954" s="30">
        <v>35</v>
      </c>
      <c r="F2954" s="30">
        <f t="shared" si="94"/>
        <v>35</v>
      </c>
      <c r="G2954" s="30" t="s">
        <v>9</v>
      </c>
      <c r="I2954" s="143"/>
      <c r="J2954" s="125" t="s">
        <v>392</v>
      </c>
      <c r="K2954" s="125">
        <f>VLOOKUP(C2954, PA!A:M, 13, FALSE)</f>
        <v>0.75</v>
      </c>
      <c r="L2954" s="125"/>
    </row>
    <row r="2955" spans="1:12" x14ac:dyDescent="0.25">
      <c r="A2955" s="78">
        <v>46192</v>
      </c>
      <c r="B2955" s="68">
        <v>8</v>
      </c>
      <c r="C2955" s="19" t="str">
        <f>PA!A200</f>
        <v>SUNRISE GARAM MASALA LOT 1</v>
      </c>
      <c r="D2955" s="30">
        <v>1</v>
      </c>
      <c r="E2955" s="30">
        <v>5</v>
      </c>
      <c r="F2955" s="30">
        <f t="shared" si="94"/>
        <v>5</v>
      </c>
      <c r="G2955" s="30" t="s">
        <v>9</v>
      </c>
      <c r="I2955" s="143"/>
      <c r="J2955" s="125" t="s">
        <v>392</v>
      </c>
      <c r="K2955" s="125">
        <f>VLOOKUP(C2955, PA!A:M, 13, FALSE)</f>
        <v>0.25</v>
      </c>
      <c r="L2955" s="125"/>
    </row>
    <row r="2956" spans="1:12" x14ac:dyDescent="0.25">
      <c r="A2956" s="78">
        <v>46192</v>
      </c>
      <c r="B2956" s="68">
        <v>9</v>
      </c>
      <c r="C2956" s="19" t="s">
        <v>968</v>
      </c>
      <c r="D2956" s="30">
        <v>1.03</v>
      </c>
      <c r="E2956" s="30">
        <v>58</v>
      </c>
      <c r="F2956" s="30">
        <f t="shared" si="94"/>
        <v>59.74</v>
      </c>
      <c r="G2956" s="30" t="s">
        <v>9</v>
      </c>
      <c r="I2956" s="143"/>
      <c r="J2956" s="125" t="s">
        <v>392</v>
      </c>
      <c r="K2956" s="125">
        <f>VLOOKUP(C2956, PA!A:M, 13, FALSE)</f>
        <v>0.16</v>
      </c>
      <c r="L2956" s="125"/>
    </row>
    <row r="2957" spans="1:12" x14ac:dyDescent="0.25">
      <c r="A2957" s="78">
        <v>46192</v>
      </c>
      <c r="B2957" s="68">
        <v>10</v>
      </c>
      <c r="C2957" s="19" t="s">
        <v>901</v>
      </c>
      <c r="D2957" s="30">
        <v>1</v>
      </c>
      <c r="E2957" s="30">
        <v>20</v>
      </c>
      <c r="F2957" s="30">
        <f t="shared" si="94"/>
        <v>20</v>
      </c>
      <c r="G2957" s="30" t="s">
        <v>9</v>
      </c>
      <c r="I2957" s="143"/>
      <c r="J2957" s="125" t="s">
        <v>392</v>
      </c>
      <c r="K2957" s="125">
        <f>VLOOKUP(C2957, PA!A:M, 13, FALSE)</f>
        <v>0.33333333333333331</v>
      </c>
      <c r="L2957" s="125"/>
    </row>
    <row r="2958" spans="1:12" ht="30" x14ac:dyDescent="0.25">
      <c r="A2958" s="78">
        <v>46192</v>
      </c>
      <c r="B2958" s="68">
        <v>10</v>
      </c>
      <c r="C2958" s="33" t="s">
        <v>377</v>
      </c>
      <c r="D2958" s="30">
        <v>2</v>
      </c>
      <c r="E2958" s="30">
        <v>10</v>
      </c>
      <c r="F2958" s="30">
        <f t="shared" si="94"/>
        <v>20</v>
      </c>
      <c r="G2958" s="30" t="s">
        <v>9</v>
      </c>
      <c r="I2958" s="143"/>
      <c r="J2958" s="125" t="s">
        <v>392</v>
      </c>
      <c r="K2958" s="125">
        <f>VLOOKUP(C2958, PA!A:M, 13, FALSE)</f>
        <v>0.20048019207683071</v>
      </c>
      <c r="L2958" s="125"/>
    </row>
    <row r="2959" spans="1:12" x14ac:dyDescent="0.25">
      <c r="A2959" s="78">
        <v>46192</v>
      </c>
      <c r="B2959" s="68">
        <v>11</v>
      </c>
      <c r="C2959" s="19" t="s">
        <v>822</v>
      </c>
      <c r="D2959" s="30">
        <v>0.5</v>
      </c>
      <c r="E2959" s="30">
        <v>30</v>
      </c>
      <c r="F2959" s="30">
        <f t="shared" si="94"/>
        <v>15</v>
      </c>
      <c r="G2959" s="30" t="s">
        <v>9</v>
      </c>
      <c r="I2959" s="143"/>
      <c r="J2959" s="125" t="s">
        <v>392</v>
      </c>
      <c r="K2959" s="125">
        <f>VLOOKUP(C2959, PA!A:M, 13, FALSE)</f>
        <v>7.1428571428571425E-2</v>
      </c>
      <c r="L2959" s="125"/>
    </row>
    <row r="2960" spans="1:12" x14ac:dyDescent="0.25">
      <c r="A2960" s="78">
        <v>46192</v>
      </c>
      <c r="B2960" s="68">
        <v>11</v>
      </c>
      <c r="C2960" s="19" t="s">
        <v>348</v>
      </c>
      <c r="D2960" s="30">
        <v>5</v>
      </c>
      <c r="E2960" s="30">
        <v>1</v>
      </c>
      <c r="F2960" s="30">
        <f t="shared" si="94"/>
        <v>5</v>
      </c>
      <c r="G2960" s="30" t="s">
        <v>9</v>
      </c>
      <c r="I2960" s="143"/>
      <c r="J2960" s="125" t="s">
        <v>392</v>
      </c>
      <c r="K2960" s="125">
        <f>VLOOKUP(C2960, PA!A:M, 13, FALSE)</f>
        <v>5.0000000000000058E-2</v>
      </c>
      <c r="L2960" s="125"/>
    </row>
    <row r="2961" spans="1:13" ht="15.75" thickBot="1" x14ac:dyDescent="0.3">
      <c r="I2961" s="144">
        <f>SUM(F2936:F2961)</f>
        <v>639.69000000000005</v>
      </c>
      <c r="J2961" s="125" t="s">
        <v>392</v>
      </c>
      <c r="K2961" s="125"/>
      <c r="L2961" s="126" t="e">
        <f>AVERAGE(K2936:K2961)</f>
        <v>#N/A</v>
      </c>
    </row>
    <row r="2962" spans="1:13" s="69" customFormat="1" ht="19.5" thickBot="1" x14ac:dyDescent="0.35">
      <c r="A2962" s="235" t="s">
        <v>437</v>
      </c>
      <c r="B2962" s="236"/>
      <c r="C2962" s="236"/>
      <c r="D2962" s="236"/>
      <c r="E2962" s="236"/>
      <c r="F2962" s="236"/>
      <c r="G2962" s="236"/>
      <c r="H2962" s="236"/>
      <c r="I2962" s="244">
        <f>I2961</f>
        <v>639.69000000000005</v>
      </c>
      <c r="J2962" s="245"/>
      <c r="K2962" s="245"/>
      <c r="L2962" s="246"/>
      <c r="M2962" s="124"/>
    </row>
    <row r="2963" spans="1:13" x14ac:dyDescent="0.25">
      <c r="A2963" s="78">
        <v>46193</v>
      </c>
      <c r="B2963" s="68">
        <v>1</v>
      </c>
      <c r="C2963" s="19" t="s">
        <v>651</v>
      </c>
      <c r="D2963" s="30">
        <v>4</v>
      </c>
      <c r="E2963" s="30">
        <v>8.75</v>
      </c>
      <c r="F2963" s="30">
        <f>E2963*D2963</f>
        <v>35</v>
      </c>
      <c r="G2963" s="30" t="s">
        <v>9</v>
      </c>
      <c r="I2963" s="142"/>
      <c r="J2963" s="127" t="s">
        <v>391</v>
      </c>
      <c r="K2963" s="125">
        <f>VLOOKUP(C2963, PA!A:M, 13, FALSE)</f>
        <v>0.17493472584856395</v>
      </c>
      <c r="L2963" s="127"/>
    </row>
    <row r="2964" spans="1:13" x14ac:dyDescent="0.25">
      <c r="A2964" s="78">
        <v>46193</v>
      </c>
      <c r="B2964" s="68">
        <v>1</v>
      </c>
      <c r="C2964" s="33" t="s">
        <v>101</v>
      </c>
      <c r="D2964" s="30">
        <v>1</v>
      </c>
      <c r="E2964" s="30">
        <v>55</v>
      </c>
      <c r="F2964" s="30">
        <f>E2964*D2964</f>
        <v>55</v>
      </c>
      <c r="G2964" s="30" t="s">
        <v>9</v>
      </c>
      <c r="J2964" s="30" t="s">
        <v>391</v>
      </c>
      <c r="K2964" s="125">
        <f>VLOOKUP(C2964, PA!A:M, 13, FALSE)</f>
        <v>0.23404255319148937</v>
      </c>
    </row>
    <row r="2965" spans="1:13" x14ac:dyDescent="0.25">
      <c r="A2965" s="78">
        <v>46193</v>
      </c>
      <c r="B2965" s="68">
        <v>2</v>
      </c>
      <c r="C2965" s="33" t="s">
        <v>365</v>
      </c>
      <c r="D2965" s="30">
        <v>4</v>
      </c>
      <c r="E2965" s="30">
        <v>5</v>
      </c>
      <c r="F2965" s="30">
        <f t="shared" ref="F2965:F2983" si="95">E2965*D2965</f>
        <v>20</v>
      </c>
      <c r="G2965" s="30" t="s">
        <v>9</v>
      </c>
      <c r="J2965" s="30" t="s">
        <v>391</v>
      </c>
      <c r="K2965" s="125">
        <f>VLOOKUP(C2965, PA!A:M, 13, FALSE)</f>
        <v>0.66666666666666663</v>
      </c>
    </row>
    <row r="2966" spans="1:13" x14ac:dyDescent="0.25">
      <c r="A2966" s="78">
        <v>46193</v>
      </c>
      <c r="B2966" s="68">
        <v>2</v>
      </c>
      <c r="C2966" s="33" t="s">
        <v>73</v>
      </c>
      <c r="D2966" s="30">
        <v>1</v>
      </c>
      <c r="E2966" s="30">
        <v>10</v>
      </c>
      <c r="F2966" s="30">
        <f t="shared" si="95"/>
        <v>10</v>
      </c>
      <c r="G2966" s="30" t="s">
        <v>9</v>
      </c>
      <c r="J2966" s="30" t="s">
        <v>391</v>
      </c>
      <c r="K2966" s="125">
        <f>VLOOKUP(C2966, PA!A:M, 13, FALSE)</f>
        <v>0.33333333333333331</v>
      </c>
    </row>
    <row r="2967" spans="1:13" x14ac:dyDescent="0.25">
      <c r="A2967" s="78">
        <v>46193</v>
      </c>
      <c r="B2967" s="68">
        <v>3</v>
      </c>
      <c r="C2967" s="33" t="s">
        <v>683</v>
      </c>
      <c r="D2967" s="30">
        <v>2</v>
      </c>
      <c r="E2967" s="30">
        <v>10</v>
      </c>
      <c r="F2967" s="30">
        <f t="shared" si="95"/>
        <v>20</v>
      </c>
      <c r="G2967" s="30" t="s">
        <v>9</v>
      </c>
      <c r="J2967" s="30" t="s">
        <v>391</v>
      </c>
      <c r="K2967" s="125">
        <f>VLOOKUP(C2967, PA!A:M, 13, FALSE)</f>
        <v>0.42857142857142855</v>
      </c>
    </row>
    <row r="2968" spans="1:13" x14ac:dyDescent="0.25">
      <c r="A2968" s="78">
        <v>46193</v>
      </c>
      <c r="B2968" s="68">
        <v>4</v>
      </c>
      <c r="C2968" s="33" t="s">
        <v>915</v>
      </c>
      <c r="D2968" s="30">
        <v>1</v>
      </c>
      <c r="E2968" s="30">
        <v>10</v>
      </c>
      <c r="F2968" s="30">
        <f t="shared" si="95"/>
        <v>10</v>
      </c>
      <c r="G2968" s="30" t="s">
        <v>9</v>
      </c>
      <c r="J2968" s="30" t="s">
        <v>391</v>
      </c>
      <c r="K2968" s="125">
        <f>VLOOKUP(C2968, PA!A:M, 13, FALSE)</f>
        <v>7.692307692307683E-2</v>
      </c>
    </row>
    <row r="2969" spans="1:13" x14ac:dyDescent="0.25">
      <c r="A2969" s="78">
        <v>46193</v>
      </c>
      <c r="B2969" s="68">
        <v>4</v>
      </c>
      <c r="C2969" s="33" t="s">
        <v>519</v>
      </c>
      <c r="D2969" s="30">
        <v>1</v>
      </c>
      <c r="E2969" s="30">
        <v>10</v>
      </c>
      <c r="F2969" s="30">
        <f t="shared" si="95"/>
        <v>10</v>
      </c>
      <c r="G2969" s="30" t="s">
        <v>9</v>
      </c>
      <c r="J2969" s="30" t="s">
        <v>391</v>
      </c>
      <c r="K2969" s="125">
        <f>VLOOKUP(C2969, PA!A:M, 13, FALSE)</f>
        <v>0.14285714285714285</v>
      </c>
    </row>
    <row r="2970" spans="1:13" x14ac:dyDescent="0.25">
      <c r="A2970" s="78">
        <v>46193</v>
      </c>
      <c r="B2970" s="68">
        <v>5</v>
      </c>
      <c r="C2970" s="33" t="s">
        <v>399</v>
      </c>
      <c r="D2970" s="30">
        <v>0.25</v>
      </c>
      <c r="E2970" s="30">
        <v>70</v>
      </c>
      <c r="F2970" s="30">
        <f t="shared" si="95"/>
        <v>17.5</v>
      </c>
      <c r="G2970" s="30" t="s">
        <v>9</v>
      </c>
      <c r="J2970" s="30" t="s">
        <v>391</v>
      </c>
      <c r="K2970" s="125">
        <f>VLOOKUP(C2970, PA!A:M, 13, FALSE)</f>
        <v>0.10999999999999992</v>
      </c>
    </row>
    <row r="2971" spans="1:13" x14ac:dyDescent="0.25">
      <c r="A2971" s="78">
        <v>46193</v>
      </c>
      <c r="B2971" s="68">
        <v>5</v>
      </c>
      <c r="C2971" s="19" t="s">
        <v>558</v>
      </c>
      <c r="D2971" s="30">
        <v>1</v>
      </c>
      <c r="E2971" s="30">
        <v>10</v>
      </c>
      <c r="F2971" s="30">
        <f t="shared" si="95"/>
        <v>10</v>
      </c>
      <c r="G2971" s="30" t="s">
        <v>9</v>
      </c>
      <c r="J2971" s="30" t="s">
        <v>391</v>
      </c>
      <c r="K2971" s="125">
        <f>VLOOKUP(C2971, PA!A:M, 13, FALSE)</f>
        <v>0.1111111111111111</v>
      </c>
    </row>
    <row r="2972" spans="1:13" x14ac:dyDescent="0.25">
      <c r="A2972" s="78">
        <v>46193</v>
      </c>
      <c r="B2972" s="68">
        <v>5</v>
      </c>
      <c r="C2972" s="33" t="s">
        <v>581</v>
      </c>
      <c r="D2972" s="30">
        <v>1</v>
      </c>
      <c r="E2972" s="30">
        <v>2</v>
      </c>
      <c r="F2972" s="30">
        <f t="shared" si="95"/>
        <v>2</v>
      </c>
      <c r="G2972" s="30" t="s">
        <v>9</v>
      </c>
      <c r="J2972" s="30" t="s">
        <v>391</v>
      </c>
      <c r="K2972" s="125">
        <f>VLOOKUP(C2972, PA!A:M, 13, FALSE)</f>
        <v>0.33333333333333331</v>
      </c>
    </row>
    <row r="2973" spans="1:13" x14ac:dyDescent="0.25">
      <c r="A2973" s="78">
        <v>46193</v>
      </c>
      <c r="B2973" s="68">
        <v>6</v>
      </c>
      <c r="C2973" s="33" t="s">
        <v>920</v>
      </c>
      <c r="D2973" s="30">
        <v>1</v>
      </c>
      <c r="E2973" s="30">
        <v>60</v>
      </c>
      <c r="F2973" s="30">
        <f t="shared" si="95"/>
        <v>60</v>
      </c>
      <c r="G2973" s="30" t="s">
        <v>9</v>
      </c>
      <c r="J2973" s="30" t="s">
        <v>391</v>
      </c>
      <c r="K2973" s="125">
        <f>VLOOKUP(C2973, PA!A:M, 13, FALSE)</f>
        <v>0.27659574468085107</v>
      </c>
    </row>
    <row r="2974" spans="1:13" x14ac:dyDescent="0.25">
      <c r="A2974" s="78">
        <v>46193</v>
      </c>
      <c r="B2974" s="68">
        <v>7</v>
      </c>
      <c r="C2974" s="33" t="s">
        <v>705</v>
      </c>
      <c r="D2974" s="30">
        <v>1</v>
      </c>
      <c r="E2974" s="30">
        <v>10</v>
      </c>
      <c r="F2974" s="30">
        <f t="shared" si="95"/>
        <v>10</v>
      </c>
      <c r="G2974" s="30" t="s">
        <v>9</v>
      </c>
      <c r="J2974" s="30" t="s">
        <v>391</v>
      </c>
      <c r="K2974" s="125">
        <f>VLOOKUP(C2974, PA!A:M, 13, FALSE)</f>
        <v>9.0909090909090981E-2</v>
      </c>
    </row>
    <row r="2975" spans="1:13" x14ac:dyDescent="0.25">
      <c r="A2975" s="78">
        <v>46193</v>
      </c>
      <c r="B2975" s="68">
        <v>7</v>
      </c>
      <c r="C2975" s="33" t="s">
        <v>565</v>
      </c>
      <c r="D2975" s="30">
        <v>1</v>
      </c>
      <c r="E2975" s="30">
        <v>10</v>
      </c>
      <c r="F2975" s="30">
        <f t="shared" si="95"/>
        <v>10</v>
      </c>
      <c r="G2975" s="30" t="s">
        <v>9</v>
      </c>
      <c r="J2975" s="30" t="s">
        <v>391</v>
      </c>
      <c r="K2975" s="125">
        <f>VLOOKUP(C2975, PA!A:M, 13, FALSE)</f>
        <v>0.10091743119266047</v>
      </c>
    </row>
    <row r="2976" spans="1:13" x14ac:dyDescent="0.25">
      <c r="A2976" s="78">
        <v>46193</v>
      </c>
      <c r="B2976" s="68">
        <v>8</v>
      </c>
      <c r="C2976" s="33" t="s">
        <v>848</v>
      </c>
      <c r="D2976" s="30">
        <v>1</v>
      </c>
      <c r="E2976" s="30">
        <v>5</v>
      </c>
      <c r="F2976" s="30">
        <f t="shared" si="95"/>
        <v>5</v>
      </c>
      <c r="G2976" s="30" t="s">
        <v>9</v>
      </c>
      <c r="J2976" s="30" t="s">
        <v>391</v>
      </c>
      <c r="K2976" s="125">
        <f>VLOOKUP(C2976, PA!A:M, 13, FALSE)</f>
        <v>9.0909090909090981E-2</v>
      </c>
    </row>
    <row r="2977" spans="1:12" x14ac:dyDescent="0.25">
      <c r="A2977" s="78">
        <v>46193</v>
      </c>
      <c r="B2977" s="68">
        <v>9</v>
      </c>
      <c r="C2977" s="33" t="s">
        <v>404</v>
      </c>
      <c r="D2977" s="30">
        <v>2</v>
      </c>
      <c r="E2977" s="30">
        <v>30</v>
      </c>
      <c r="F2977" s="30">
        <f t="shared" si="95"/>
        <v>60</v>
      </c>
      <c r="G2977" s="30" t="s">
        <v>9</v>
      </c>
      <c r="J2977" s="30" t="s">
        <v>391</v>
      </c>
      <c r="K2977" s="125">
        <f>VLOOKUP(C2977, PA!A:M, 13, FALSE)</f>
        <v>0.25</v>
      </c>
    </row>
    <row r="2978" spans="1:12" x14ac:dyDescent="0.25">
      <c r="A2978" s="78">
        <v>46193</v>
      </c>
      <c r="B2978" s="68">
        <v>9</v>
      </c>
      <c r="C2978" s="33" t="s">
        <v>880</v>
      </c>
      <c r="D2978" s="30">
        <v>1</v>
      </c>
      <c r="E2978" s="30">
        <v>45</v>
      </c>
      <c r="F2978" s="30">
        <f t="shared" si="95"/>
        <v>45</v>
      </c>
      <c r="G2978" s="30" t="s">
        <v>9</v>
      </c>
      <c r="J2978" s="30" t="s">
        <v>391</v>
      </c>
      <c r="K2978" s="125">
        <f>VLOOKUP(C2978, PA!A:M, 13, FALSE)</f>
        <v>0.15384615384615385</v>
      </c>
    </row>
    <row r="2979" spans="1:12" x14ac:dyDescent="0.25">
      <c r="A2979" s="78">
        <v>46193</v>
      </c>
      <c r="B2979" s="68">
        <v>1</v>
      </c>
      <c r="C2979" s="33" t="s">
        <v>734</v>
      </c>
      <c r="D2979" s="30">
        <v>1.2</v>
      </c>
      <c r="E2979" s="30">
        <v>49</v>
      </c>
      <c r="F2979" s="30">
        <f t="shared" si="95"/>
        <v>58.8</v>
      </c>
      <c r="G2979" s="30" t="s">
        <v>9</v>
      </c>
      <c r="J2979" s="30" t="s">
        <v>391</v>
      </c>
      <c r="K2979" s="125">
        <f>VLOOKUP(C2979, PA!A:M, 13, FALSE)</f>
        <v>0.15044247787610623</v>
      </c>
    </row>
    <row r="2980" spans="1:12" ht="30" x14ac:dyDescent="0.25">
      <c r="A2980" s="78">
        <v>46193</v>
      </c>
      <c r="B2980" s="68">
        <v>1</v>
      </c>
      <c r="C2980" s="33" t="s">
        <v>526</v>
      </c>
      <c r="D2980" s="30">
        <v>1</v>
      </c>
      <c r="E2980" s="30">
        <v>65</v>
      </c>
      <c r="F2980" s="30">
        <f t="shared" si="95"/>
        <v>65</v>
      </c>
      <c r="G2980" s="30" t="s">
        <v>9</v>
      </c>
      <c r="J2980" s="30" t="s">
        <v>391</v>
      </c>
      <c r="K2980" s="125">
        <f>VLOOKUP(C2980, PA!A:M, 13, FALSE)</f>
        <v>0.25</v>
      </c>
    </row>
    <row r="2981" spans="1:12" x14ac:dyDescent="0.25">
      <c r="A2981" s="78">
        <v>46193</v>
      </c>
      <c r="B2981" s="68">
        <v>1</v>
      </c>
      <c r="C2981" s="33" t="s">
        <v>641</v>
      </c>
      <c r="D2981" s="30">
        <v>1</v>
      </c>
      <c r="E2981" s="30">
        <v>205</v>
      </c>
      <c r="F2981" s="30">
        <f t="shared" si="95"/>
        <v>205</v>
      </c>
      <c r="G2981" s="30" t="s">
        <v>9</v>
      </c>
      <c r="J2981" s="30" t="s">
        <v>391</v>
      </c>
      <c r="K2981" s="125">
        <f>VLOOKUP(C2981, PA!A:M, 13, FALSE)</f>
        <v>7.8947368421052627E-2</v>
      </c>
    </row>
    <row r="2982" spans="1:12" x14ac:dyDescent="0.25">
      <c r="A2982" s="78">
        <v>46193</v>
      </c>
      <c r="B2982" s="68">
        <v>1</v>
      </c>
      <c r="C2982" s="33" t="s">
        <v>922</v>
      </c>
      <c r="D2982" s="30">
        <v>1</v>
      </c>
      <c r="E2982" s="30">
        <v>59</v>
      </c>
      <c r="F2982" s="30">
        <f t="shared" si="95"/>
        <v>59</v>
      </c>
      <c r="G2982" s="30" t="s">
        <v>9</v>
      </c>
      <c r="J2982" s="30" t="s">
        <v>391</v>
      </c>
      <c r="K2982" s="125">
        <f>VLOOKUP(C2982, PA!A:M, 13, FALSE)</f>
        <v>9.2592592592592587E-2</v>
      </c>
    </row>
    <row r="2983" spans="1:12" x14ac:dyDescent="0.25">
      <c r="A2983" s="78">
        <v>46193</v>
      </c>
      <c r="B2983" s="68">
        <v>1</v>
      </c>
      <c r="C2983" s="33" t="s">
        <v>835</v>
      </c>
      <c r="D2983" s="30">
        <v>1</v>
      </c>
      <c r="E2983" s="30">
        <v>99</v>
      </c>
      <c r="F2983" s="30">
        <f t="shared" si="95"/>
        <v>99</v>
      </c>
      <c r="G2983" s="30" t="s">
        <v>9</v>
      </c>
      <c r="J2983" s="30" t="s">
        <v>391</v>
      </c>
      <c r="K2983" s="125">
        <f>VLOOKUP(C2983, PA!A:M, 13, FALSE)</f>
        <v>0.25</v>
      </c>
    </row>
    <row r="2984" spans="1:12" x14ac:dyDescent="0.25">
      <c r="A2984" s="78">
        <v>46193</v>
      </c>
      <c r="B2984" s="139"/>
      <c r="C2984" s="150"/>
      <c r="D2984" s="62"/>
      <c r="E2984" s="62"/>
      <c r="F2984" s="62"/>
      <c r="G2984" s="62"/>
      <c r="H2984" s="139"/>
      <c r="I2984" s="145">
        <f>SUM(F2963:F2984)</f>
        <v>866.3</v>
      </c>
      <c r="J2984" s="62"/>
      <c r="K2984" s="62"/>
      <c r="L2984" s="123">
        <f>AVERAGE(K2963:K2973)</f>
        <v>0.26257901059245431</v>
      </c>
    </row>
    <row r="2985" spans="1:12" x14ac:dyDescent="0.25">
      <c r="A2985" s="78">
        <v>46193</v>
      </c>
      <c r="B2985" s="68">
        <v>10</v>
      </c>
      <c r="C2985" s="33" t="s">
        <v>751</v>
      </c>
      <c r="D2985" s="30">
        <v>1</v>
      </c>
      <c r="E2985" s="30">
        <v>100</v>
      </c>
      <c r="F2985" s="30">
        <f t="shared" ref="F2985:F3018" si="96">E2985*D2985</f>
        <v>100</v>
      </c>
      <c r="G2985" s="30" t="s">
        <v>10</v>
      </c>
      <c r="J2985" s="30" t="s">
        <v>392</v>
      </c>
      <c r="K2985" s="125">
        <f>IFERROR(VLOOKUP(C2985, PA!A:M, 13, FALSE),0)</f>
        <v>0.1111111111111111</v>
      </c>
      <c r="L2985" s="137">
        <f>K2985/(1+K2985)</f>
        <v>9.9999999999999992E-2</v>
      </c>
    </row>
    <row r="2986" spans="1:12" x14ac:dyDescent="0.25">
      <c r="A2986" s="78">
        <v>46193</v>
      </c>
      <c r="B2986" s="68">
        <v>6</v>
      </c>
      <c r="C2986" s="33" t="s">
        <v>915</v>
      </c>
      <c r="D2986" s="30">
        <v>3</v>
      </c>
      <c r="E2986" s="30">
        <v>10</v>
      </c>
      <c r="F2986" s="30">
        <f t="shared" si="96"/>
        <v>30</v>
      </c>
      <c r="G2986" s="30" t="s">
        <v>9</v>
      </c>
      <c r="J2986" s="30" t="s">
        <v>392</v>
      </c>
      <c r="K2986" s="125">
        <f>IFERROR(VLOOKUP(C2986, PA!A:M, 13, FALSE),0)</f>
        <v>7.692307692307683E-2</v>
      </c>
      <c r="L2986" s="137">
        <f t="shared" ref="L2986:L3018" si="97">K2986/(1+K2986)</f>
        <v>7.1428571428571341E-2</v>
      </c>
    </row>
    <row r="2987" spans="1:12" x14ac:dyDescent="0.25">
      <c r="A2987" s="78">
        <v>46193</v>
      </c>
      <c r="B2987" s="68">
        <v>6</v>
      </c>
      <c r="C2987" s="33" t="s">
        <v>667</v>
      </c>
      <c r="D2987" s="30">
        <v>4</v>
      </c>
      <c r="E2987" s="30">
        <v>5</v>
      </c>
      <c r="F2987" s="30">
        <f t="shared" si="96"/>
        <v>20</v>
      </c>
      <c r="G2987" s="30" t="s">
        <v>9</v>
      </c>
      <c r="J2987" s="30" t="s">
        <v>392</v>
      </c>
      <c r="K2987" s="125">
        <f>IFERROR(VLOOKUP(C2987, PA!A:M, 13, FALSE),0)</f>
        <v>0.1111111111111111</v>
      </c>
      <c r="L2987" s="137">
        <f t="shared" si="97"/>
        <v>9.9999999999999992E-2</v>
      </c>
    </row>
    <row r="2988" spans="1:12" x14ac:dyDescent="0.25">
      <c r="A2988" s="78">
        <v>46193</v>
      </c>
      <c r="B2988" s="68">
        <v>11</v>
      </c>
      <c r="C2988" s="33" t="s">
        <v>578</v>
      </c>
      <c r="D2988" s="30">
        <v>2</v>
      </c>
      <c r="E2988" s="30">
        <v>5</v>
      </c>
      <c r="F2988" s="30">
        <f t="shared" si="96"/>
        <v>10</v>
      </c>
      <c r="G2988" s="30" t="s">
        <v>9</v>
      </c>
      <c r="J2988" s="30" t="s">
        <v>392</v>
      </c>
      <c r="K2988" s="125">
        <f>IFERROR(VLOOKUP(C2988, PA!A:M, 13, FALSE),0)</f>
        <v>0.25</v>
      </c>
      <c r="L2988" s="137">
        <f t="shared" si="97"/>
        <v>0.2</v>
      </c>
    </row>
    <row r="2989" spans="1:12" x14ac:dyDescent="0.25">
      <c r="A2989" s="78">
        <v>46193</v>
      </c>
      <c r="B2989" s="68">
        <v>12</v>
      </c>
      <c r="C2989" s="33" t="s">
        <v>753</v>
      </c>
      <c r="D2989" s="30">
        <v>3</v>
      </c>
      <c r="E2989" s="30">
        <v>10</v>
      </c>
      <c r="F2989" s="30">
        <f t="shared" si="96"/>
        <v>30</v>
      </c>
      <c r="G2989" s="30" t="s">
        <v>9</v>
      </c>
      <c r="J2989" s="30" t="s">
        <v>392</v>
      </c>
      <c r="K2989" s="125">
        <f>IFERROR(VLOOKUP(C2989, PA!A:M, 13, FALSE),0)</f>
        <v>0.22448979591836743</v>
      </c>
      <c r="L2989" s="137">
        <f t="shared" si="97"/>
        <v>0.1833333333333334</v>
      </c>
    </row>
    <row r="2990" spans="1:12" x14ac:dyDescent="0.25">
      <c r="A2990" s="78">
        <v>46193</v>
      </c>
      <c r="B2990" s="68">
        <v>12</v>
      </c>
      <c r="C2990" s="33" t="s">
        <v>946</v>
      </c>
      <c r="D2990" s="30">
        <v>1</v>
      </c>
      <c r="E2990" s="30">
        <v>40</v>
      </c>
      <c r="F2990" s="30">
        <f t="shared" si="96"/>
        <v>40</v>
      </c>
      <c r="G2990" s="30" t="s">
        <v>9</v>
      </c>
      <c r="J2990" s="30" t="s">
        <v>392</v>
      </c>
      <c r="K2990" s="125">
        <f>IFERROR(VLOOKUP(C2990, PA!A:M, 13, FALSE),0)</f>
        <v>0</v>
      </c>
      <c r="L2990" s="137">
        <f t="shared" si="97"/>
        <v>0</v>
      </c>
    </row>
    <row r="2991" spans="1:12" x14ac:dyDescent="0.25">
      <c r="A2991" s="78">
        <v>46193</v>
      </c>
      <c r="B2991" s="68">
        <v>12</v>
      </c>
      <c r="C2991" s="33" t="s">
        <v>565</v>
      </c>
      <c r="D2991" s="30">
        <v>1</v>
      </c>
      <c r="E2991" s="30">
        <v>10</v>
      </c>
      <c r="F2991" s="30">
        <f t="shared" si="96"/>
        <v>10</v>
      </c>
      <c r="G2991" s="30" t="s">
        <v>9</v>
      </c>
      <c r="J2991" s="30" t="s">
        <v>392</v>
      </c>
      <c r="K2991" s="125">
        <f>IFERROR(VLOOKUP(C2991, PA!A:M, 13, FALSE),0)</f>
        <v>0.10091743119266047</v>
      </c>
      <c r="L2991" s="137">
        <f t="shared" si="97"/>
        <v>9.1666666666666605E-2</v>
      </c>
    </row>
    <row r="2992" spans="1:12" x14ac:dyDescent="0.25">
      <c r="A2992" s="78">
        <v>46193</v>
      </c>
      <c r="B2992" s="68">
        <v>13</v>
      </c>
      <c r="C2992" s="33" t="s">
        <v>435</v>
      </c>
      <c r="D2992" s="30">
        <v>25</v>
      </c>
      <c r="E2992" s="30">
        <v>1</v>
      </c>
      <c r="F2992" s="30">
        <f t="shared" si="96"/>
        <v>25</v>
      </c>
      <c r="G2992" s="30" t="s">
        <v>9</v>
      </c>
      <c r="J2992" s="30" t="s">
        <v>392</v>
      </c>
      <c r="K2992" s="125">
        <f>IFERROR(VLOOKUP(C2992, PA!A:M, 13, FALSE),0)</f>
        <v>0.17370892018779346</v>
      </c>
      <c r="L2992" s="137">
        <f t="shared" si="97"/>
        <v>0.14800000000000002</v>
      </c>
    </row>
    <row r="2993" spans="1:12" x14ac:dyDescent="0.25">
      <c r="A2993" s="78">
        <v>46193</v>
      </c>
      <c r="B2993" s="68">
        <v>13</v>
      </c>
      <c r="C2993" s="33" t="s">
        <v>951</v>
      </c>
      <c r="D2993" s="30">
        <v>25</v>
      </c>
      <c r="E2993" s="30">
        <v>1</v>
      </c>
      <c r="F2993" s="30">
        <f t="shared" si="96"/>
        <v>25</v>
      </c>
      <c r="G2993" s="30" t="s">
        <v>9</v>
      </c>
      <c r="J2993" s="30" t="s">
        <v>392</v>
      </c>
      <c r="K2993" s="125">
        <f>IFERROR(VLOOKUP(C2993, PA!A:M, 13, FALSE),0)</f>
        <v>0.17241379310344832</v>
      </c>
      <c r="L2993" s="137">
        <f t="shared" si="97"/>
        <v>0.14705882352941177</v>
      </c>
    </row>
    <row r="2994" spans="1:12" x14ac:dyDescent="0.25">
      <c r="A2994" s="78">
        <v>46193</v>
      </c>
      <c r="B2994" s="68">
        <v>14</v>
      </c>
      <c r="C2994" s="33" t="str">
        <f>PA!A234</f>
        <v>WHOLE LONG LOT 1</v>
      </c>
      <c r="D2994" s="30">
        <v>7.0000000000000001E-3</v>
      </c>
      <c r="E2994" s="30">
        <v>1450</v>
      </c>
      <c r="F2994" s="30">
        <f t="shared" si="96"/>
        <v>10.15</v>
      </c>
      <c r="G2994" s="30" t="s">
        <v>9</v>
      </c>
      <c r="J2994" s="30" t="s">
        <v>392</v>
      </c>
      <c r="K2994" s="125">
        <f>IFERROR(VLOOKUP(C2994, PA!A:M, 13, FALSE),0)</f>
        <v>0.20833333333333334</v>
      </c>
      <c r="L2994" s="137">
        <f t="shared" si="97"/>
        <v>0.17241379310344829</v>
      </c>
    </row>
    <row r="2995" spans="1:12" x14ac:dyDescent="0.25">
      <c r="A2995" s="78">
        <v>46193</v>
      </c>
      <c r="B2995" s="68">
        <v>14</v>
      </c>
      <c r="C2995" s="33" t="s">
        <v>715</v>
      </c>
      <c r="D2995" s="30">
        <v>1</v>
      </c>
      <c r="E2995" s="30">
        <v>120</v>
      </c>
      <c r="F2995" s="30">
        <f t="shared" si="96"/>
        <v>120</v>
      </c>
      <c r="G2995" s="30" t="s">
        <v>9</v>
      </c>
      <c r="J2995" s="30" t="s">
        <v>392</v>
      </c>
      <c r="K2995" s="125">
        <f>IFERROR(VLOOKUP(C2995, PA!A:M, 13, FALSE),0)</f>
        <v>0.14285714285714285</v>
      </c>
      <c r="L2995" s="137">
        <f t="shared" si="97"/>
        <v>0.125</v>
      </c>
    </row>
    <row r="2996" spans="1:12" x14ac:dyDescent="0.25">
      <c r="A2996" s="78">
        <v>46193</v>
      </c>
      <c r="B2996" s="68">
        <v>14</v>
      </c>
      <c r="C2996" s="33" t="s">
        <v>542</v>
      </c>
      <c r="D2996" s="30">
        <v>0.5</v>
      </c>
      <c r="E2996" s="30">
        <v>95</v>
      </c>
      <c r="F2996" s="30">
        <f t="shared" si="96"/>
        <v>47.5</v>
      </c>
      <c r="G2996" s="30" t="s">
        <v>9</v>
      </c>
      <c r="J2996" s="30" t="s">
        <v>392</v>
      </c>
      <c r="K2996" s="125">
        <f>IFERROR(VLOOKUP(C2996, PA!A:M, 13, FALSE),0)</f>
        <v>0.11764705882352941</v>
      </c>
      <c r="L2996" s="137">
        <f t="shared" si="97"/>
        <v>0.10526315789473684</v>
      </c>
    </row>
    <row r="2997" spans="1:12" x14ac:dyDescent="0.25">
      <c r="A2997" s="78">
        <v>46193</v>
      </c>
      <c r="B2997" s="68">
        <v>14</v>
      </c>
      <c r="C2997" s="33" t="s">
        <v>571</v>
      </c>
      <c r="D2997" s="30">
        <v>2</v>
      </c>
      <c r="E2997" s="30">
        <v>20</v>
      </c>
      <c r="F2997" s="30">
        <f t="shared" si="96"/>
        <v>40</v>
      </c>
      <c r="G2997" s="30" t="s">
        <v>9</v>
      </c>
      <c r="J2997" s="30" t="s">
        <v>392</v>
      </c>
      <c r="K2997" s="125">
        <f>IFERROR(VLOOKUP(C2997, PA!A:M, 13, FALSE),0)</f>
        <v>0.25</v>
      </c>
      <c r="L2997" s="137">
        <f t="shared" si="97"/>
        <v>0.2</v>
      </c>
    </row>
    <row r="2998" spans="1:12" x14ac:dyDescent="0.25">
      <c r="A2998" s="78">
        <v>46193</v>
      </c>
      <c r="B2998" s="68">
        <v>14</v>
      </c>
      <c r="C2998" s="33" t="s">
        <v>761</v>
      </c>
      <c r="D2998" s="30">
        <v>1</v>
      </c>
      <c r="E2998" s="30">
        <v>45</v>
      </c>
      <c r="F2998" s="30">
        <f t="shared" si="96"/>
        <v>45</v>
      </c>
      <c r="G2998" s="30" t="s">
        <v>9</v>
      </c>
      <c r="J2998" s="30" t="s">
        <v>392</v>
      </c>
      <c r="K2998" s="125">
        <f>IFERROR(VLOOKUP(C2998, PA!A:M, 13, FALSE),0)</f>
        <v>0.14893617021276603</v>
      </c>
      <c r="L2998" s="137">
        <f t="shared" si="97"/>
        <v>0.12962962962962968</v>
      </c>
    </row>
    <row r="2999" spans="1:12" x14ac:dyDescent="0.25">
      <c r="A2999" s="78">
        <v>46193</v>
      </c>
      <c r="B2999" s="68">
        <v>6</v>
      </c>
      <c r="C2999" s="33" t="s">
        <v>807</v>
      </c>
      <c r="D2999" s="30">
        <v>0.28599999999999998</v>
      </c>
      <c r="E2999" s="30">
        <v>70</v>
      </c>
      <c r="F2999" s="30">
        <f t="shared" si="96"/>
        <v>20.02</v>
      </c>
      <c r="G2999" s="30" t="s">
        <v>9</v>
      </c>
      <c r="J2999" s="30" t="s">
        <v>392</v>
      </c>
      <c r="K2999" s="125">
        <f>IFERROR(VLOOKUP(C2999, PA!A:M, 13, FALSE),0)</f>
        <v>0.2068269230769231</v>
      </c>
      <c r="L2999" s="137">
        <f t="shared" si="97"/>
        <v>0.17138076647279105</v>
      </c>
    </row>
    <row r="3000" spans="1:12" ht="30" x14ac:dyDescent="0.25">
      <c r="A3000" s="78">
        <v>46193</v>
      </c>
      <c r="B3000" s="68">
        <v>15</v>
      </c>
      <c r="C3000" s="33" t="s">
        <v>961</v>
      </c>
      <c r="D3000" s="30">
        <v>1</v>
      </c>
      <c r="E3000" s="30">
        <v>10</v>
      </c>
      <c r="F3000" s="30">
        <f t="shared" si="96"/>
        <v>10</v>
      </c>
      <c r="G3000" s="30" t="s">
        <v>9</v>
      </c>
      <c r="J3000" s="30" t="s">
        <v>392</v>
      </c>
      <c r="K3000" s="125">
        <f>IFERROR(VLOOKUP(C3000, PA!A:M, 13, FALSE),0)</f>
        <v>0.1111111111111111</v>
      </c>
      <c r="L3000" s="137">
        <f t="shared" si="97"/>
        <v>9.9999999999999992E-2</v>
      </c>
    </row>
    <row r="3001" spans="1:12" x14ac:dyDescent="0.25">
      <c r="A3001" s="78">
        <v>46193</v>
      </c>
      <c r="B3001" s="68">
        <v>15</v>
      </c>
      <c r="C3001" s="70" t="s">
        <v>530</v>
      </c>
      <c r="D3001" s="30">
        <v>1</v>
      </c>
      <c r="E3001" s="30">
        <v>10</v>
      </c>
      <c r="F3001" s="30">
        <f t="shared" si="96"/>
        <v>10</v>
      </c>
      <c r="G3001" s="30" t="s">
        <v>9</v>
      </c>
      <c r="J3001" s="30" t="s">
        <v>392</v>
      </c>
      <c r="K3001" s="125">
        <f>IFERROR(VLOOKUP(C3001, PA!A:M, 13, FALSE),0)</f>
        <v>0.19999999999999993</v>
      </c>
      <c r="L3001" s="137">
        <f t="shared" si="97"/>
        <v>0.1666666666666666</v>
      </c>
    </row>
    <row r="3002" spans="1:12" x14ac:dyDescent="0.25">
      <c r="A3002" s="78">
        <v>46193</v>
      </c>
      <c r="B3002" s="68">
        <v>16</v>
      </c>
      <c r="C3002" s="33" t="s">
        <v>497</v>
      </c>
      <c r="D3002" s="30">
        <v>1</v>
      </c>
      <c r="E3002" s="30">
        <v>35</v>
      </c>
      <c r="F3002" s="30">
        <f t="shared" si="96"/>
        <v>35</v>
      </c>
      <c r="G3002" s="30" t="s">
        <v>9</v>
      </c>
      <c r="J3002" s="30" t="s">
        <v>392</v>
      </c>
      <c r="K3002" s="125">
        <f>IFERROR(VLOOKUP(C3002, PA!A:M, 13, FALSE),0)</f>
        <v>0.4</v>
      </c>
      <c r="L3002" s="137">
        <f t="shared" si="97"/>
        <v>0.28571428571428575</v>
      </c>
    </row>
    <row r="3003" spans="1:12" x14ac:dyDescent="0.25">
      <c r="A3003" s="78">
        <v>46193</v>
      </c>
      <c r="B3003" s="68">
        <v>16</v>
      </c>
      <c r="C3003" s="33" t="s">
        <v>892</v>
      </c>
      <c r="D3003" s="30">
        <v>2</v>
      </c>
      <c r="E3003" s="30">
        <v>10</v>
      </c>
      <c r="F3003" s="30">
        <f t="shared" si="96"/>
        <v>20</v>
      </c>
      <c r="G3003" s="30" t="s">
        <v>9</v>
      </c>
      <c r="J3003" s="30" t="s">
        <v>392</v>
      </c>
      <c r="K3003" s="125">
        <f>IFERROR(VLOOKUP(C3003, PA!A:M, 13, FALSE),0)</f>
        <v>9.9999999999999908E-2</v>
      </c>
      <c r="L3003" s="137">
        <f t="shared" si="97"/>
        <v>9.0909090909090842E-2</v>
      </c>
    </row>
    <row r="3004" spans="1:12" x14ac:dyDescent="0.25">
      <c r="A3004" s="78">
        <v>46193</v>
      </c>
      <c r="B3004" s="68">
        <v>16</v>
      </c>
      <c r="C3004" s="33" t="s">
        <v>524</v>
      </c>
      <c r="D3004" s="30">
        <v>5</v>
      </c>
      <c r="E3004" s="30">
        <v>1</v>
      </c>
      <c r="F3004" s="30">
        <f t="shared" si="96"/>
        <v>5</v>
      </c>
      <c r="G3004" s="30" t="s">
        <v>9</v>
      </c>
      <c r="J3004" s="30" t="s">
        <v>392</v>
      </c>
      <c r="K3004" s="125">
        <f>IFERROR(VLOOKUP(C3004, PA!A:M, 13, FALSE),0)</f>
        <v>0.11111111111111108</v>
      </c>
      <c r="L3004" s="137">
        <f t="shared" si="97"/>
        <v>9.9999999999999964E-2</v>
      </c>
    </row>
    <row r="3005" spans="1:12" x14ac:dyDescent="0.25">
      <c r="A3005" s="78">
        <v>46193</v>
      </c>
      <c r="B3005" s="68">
        <v>17</v>
      </c>
      <c r="C3005" s="33" t="s">
        <v>619</v>
      </c>
      <c r="D3005" s="30">
        <v>4</v>
      </c>
      <c r="E3005" s="30">
        <v>10</v>
      </c>
      <c r="F3005" s="30">
        <f t="shared" si="96"/>
        <v>40</v>
      </c>
      <c r="G3005" s="30" t="s">
        <v>10</v>
      </c>
      <c r="J3005" s="30" t="s">
        <v>392</v>
      </c>
      <c r="K3005" s="125">
        <f>IFERROR(VLOOKUP(C3005, PA!A:M, 13, FALSE),0)</f>
        <v>5.2631578947368418E-2</v>
      </c>
      <c r="L3005" s="137">
        <f t="shared" si="97"/>
        <v>0.05</v>
      </c>
    </row>
    <row r="3006" spans="1:12" x14ac:dyDescent="0.25">
      <c r="A3006" s="78">
        <v>46193</v>
      </c>
      <c r="B3006" s="68">
        <v>18</v>
      </c>
      <c r="C3006" s="33" t="s">
        <v>289</v>
      </c>
      <c r="D3006" s="30">
        <v>1</v>
      </c>
      <c r="E3006" s="30">
        <v>110</v>
      </c>
      <c r="F3006" s="30">
        <f t="shared" si="96"/>
        <v>110</v>
      </c>
      <c r="G3006" s="30" t="s">
        <v>9</v>
      </c>
      <c r="J3006" s="30" t="s">
        <v>392</v>
      </c>
      <c r="K3006" s="125">
        <f>IFERROR(VLOOKUP(C3006, PA!A:M, 13, FALSE),0)</f>
        <v>0.15789473684210525</v>
      </c>
      <c r="L3006" s="137">
        <f t="shared" si="97"/>
        <v>0.13636363636363635</v>
      </c>
    </row>
    <row r="3007" spans="1:12" x14ac:dyDescent="0.25">
      <c r="A3007" s="78">
        <v>46193</v>
      </c>
      <c r="B3007" s="68">
        <v>19</v>
      </c>
      <c r="C3007" s="33" t="s">
        <v>964</v>
      </c>
      <c r="D3007" s="30">
        <v>2</v>
      </c>
      <c r="E3007" s="30">
        <v>10</v>
      </c>
      <c r="F3007" s="30">
        <f t="shared" si="96"/>
        <v>20</v>
      </c>
      <c r="G3007" s="30" t="s">
        <v>10</v>
      </c>
      <c r="J3007" s="30" t="s">
        <v>392</v>
      </c>
      <c r="K3007" s="125">
        <f>IFERROR(VLOOKUP(C3007, PA!A:M, 13, FALSE),0)</f>
        <v>0.14285714285714285</v>
      </c>
      <c r="L3007" s="137">
        <f t="shared" si="97"/>
        <v>0.125</v>
      </c>
    </row>
    <row r="3008" spans="1:12" x14ac:dyDescent="0.25">
      <c r="A3008" s="78">
        <v>46193</v>
      </c>
      <c r="B3008" s="68">
        <v>20</v>
      </c>
      <c r="C3008" s="33" t="s">
        <v>763</v>
      </c>
      <c r="D3008" s="30">
        <v>2</v>
      </c>
      <c r="E3008" s="30">
        <v>5</v>
      </c>
      <c r="F3008" s="30">
        <f t="shared" si="96"/>
        <v>10</v>
      </c>
      <c r="G3008" s="30" t="s">
        <v>10</v>
      </c>
      <c r="J3008" s="30" t="s">
        <v>392</v>
      </c>
      <c r="K3008" s="125">
        <f>IFERROR(VLOOKUP(C3008, PA!A:M, 13, FALSE),0)</f>
        <v>9.0909090909090981E-2</v>
      </c>
      <c r="L3008" s="137">
        <f t="shared" si="97"/>
        <v>8.3333333333333384E-2</v>
      </c>
    </row>
    <row r="3009" spans="1:12" x14ac:dyDescent="0.25">
      <c r="A3009" s="78">
        <v>46193</v>
      </c>
      <c r="B3009" s="68">
        <v>20</v>
      </c>
      <c r="C3009" s="33" t="s">
        <v>971</v>
      </c>
      <c r="D3009" s="30">
        <v>1</v>
      </c>
      <c r="E3009" s="30">
        <v>10</v>
      </c>
      <c r="F3009" s="30">
        <f t="shared" si="96"/>
        <v>10</v>
      </c>
      <c r="G3009" s="30" t="s">
        <v>10</v>
      </c>
      <c r="J3009" s="30" t="s">
        <v>392</v>
      </c>
      <c r="K3009" s="125">
        <f>IFERROR(VLOOKUP(C3009, PA!A:M, 13, FALSE),0)</f>
        <v>0.17647058823529413</v>
      </c>
      <c r="L3009" s="137">
        <f t="shared" si="97"/>
        <v>0.15</v>
      </c>
    </row>
    <row r="3010" spans="1:12" x14ac:dyDescent="0.25">
      <c r="A3010" s="78">
        <v>46193</v>
      </c>
      <c r="B3010" s="68">
        <v>20</v>
      </c>
      <c r="C3010" s="33" t="s">
        <v>921</v>
      </c>
      <c r="D3010" s="30">
        <v>1</v>
      </c>
      <c r="E3010" s="30">
        <v>10</v>
      </c>
      <c r="F3010" s="30">
        <f t="shared" si="96"/>
        <v>10</v>
      </c>
      <c r="G3010" s="30" t="s">
        <v>10</v>
      </c>
      <c r="J3010" s="30" t="s">
        <v>392</v>
      </c>
      <c r="K3010" s="125">
        <f>IFERROR(VLOOKUP(C3010, PA!A:M, 13, FALSE),0)</f>
        <v>0</v>
      </c>
      <c r="L3010" s="137">
        <f t="shared" si="97"/>
        <v>0</v>
      </c>
    </row>
    <row r="3011" spans="1:12" x14ac:dyDescent="0.25">
      <c r="A3011" s="78">
        <v>46193</v>
      </c>
      <c r="B3011" s="68">
        <v>21</v>
      </c>
      <c r="C3011" s="33" t="s">
        <v>923</v>
      </c>
      <c r="D3011" s="30">
        <v>1</v>
      </c>
      <c r="E3011" s="30">
        <v>30</v>
      </c>
      <c r="F3011" s="30">
        <f t="shared" si="96"/>
        <v>30</v>
      </c>
      <c r="G3011" s="30" t="s">
        <v>9</v>
      </c>
      <c r="J3011" s="30" t="s">
        <v>392</v>
      </c>
      <c r="K3011" s="125">
        <f>IFERROR(VLOOKUP(C3011, PA!A:M, 13, FALSE),0)</f>
        <v>0.15384615384615385</v>
      </c>
      <c r="L3011" s="137">
        <f t="shared" si="97"/>
        <v>0.13333333333333336</v>
      </c>
    </row>
    <row r="3012" spans="1:12" x14ac:dyDescent="0.25">
      <c r="A3012" s="78">
        <v>46193</v>
      </c>
      <c r="B3012" s="68">
        <v>21</v>
      </c>
      <c r="C3012" s="33" t="s">
        <v>684</v>
      </c>
      <c r="D3012" s="30">
        <v>4</v>
      </c>
      <c r="E3012" s="30">
        <v>9.5</v>
      </c>
      <c r="F3012" s="30">
        <f t="shared" si="96"/>
        <v>38</v>
      </c>
      <c r="G3012" s="30" t="s">
        <v>9</v>
      </c>
      <c r="J3012" s="30" t="s">
        <v>392</v>
      </c>
      <c r="K3012" s="125">
        <f>IFERROR(VLOOKUP(C3012, PA!A:M, 13, FALSE),0)</f>
        <v>4.7409040793825769E-2</v>
      </c>
      <c r="L3012" s="137">
        <f t="shared" si="97"/>
        <v>4.5263157894736818E-2</v>
      </c>
    </row>
    <row r="3013" spans="1:12" x14ac:dyDescent="0.25">
      <c r="A3013" s="78">
        <v>46193</v>
      </c>
      <c r="B3013" s="68">
        <v>21</v>
      </c>
      <c r="C3013" s="33" t="s">
        <v>605</v>
      </c>
      <c r="D3013" s="30">
        <v>1</v>
      </c>
      <c r="E3013" s="30">
        <v>199</v>
      </c>
      <c r="F3013" s="30">
        <f t="shared" si="96"/>
        <v>199</v>
      </c>
      <c r="G3013" s="30" t="s">
        <v>9</v>
      </c>
      <c r="J3013" s="30" t="s">
        <v>392</v>
      </c>
      <c r="K3013" s="125">
        <f>IFERROR(VLOOKUP(C3013, PA!A:M, 13, FALSE),0)</f>
        <v>3.6458333333333336E-2</v>
      </c>
      <c r="L3013" s="137">
        <f t="shared" si="97"/>
        <v>3.5175879396984931E-2</v>
      </c>
    </row>
    <row r="3014" spans="1:12" x14ac:dyDescent="0.25">
      <c r="A3014" s="78">
        <v>46193</v>
      </c>
      <c r="B3014" s="68">
        <v>21</v>
      </c>
      <c r="C3014" s="33" t="s">
        <v>640</v>
      </c>
      <c r="D3014" s="30">
        <v>2</v>
      </c>
      <c r="E3014" s="30">
        <v>5</v>
      </c>
      <c r="F3014" s="30">
        <f t="shared" si="96"/>
        <v>10</v>
      </c>
      <c r="G3014" s="30" t="s">
        <v>9</v>
      </c>
      <c r="J3014" s="30" t="s">
        <v>392</v>
      </c>
      <c r="K3014" s="125">
        <f>IFERROR(VLOOKUP(C3014, PA!A:M, 13, FALSE),0)</f>
        <v>7.1428571428571355E-2</v>
      </c>
      <c r="L3014" s="137">
        <f t="shared" si="97"/>
        <v>6.6666666666666596E-2</v>
      </c>
    </row>
    <row r="3015" spans="1:12" x14ac:dyDescent="0.25">
      <c r="A3015" s="78">
        <v>46193</v>
      </c>
      <c r="B3015" s="68">
        <v>21</v>
      </c>
      <c r="C3015" s="33" t="s">
        <v>524</v>
      </c>
      <c r="D3015" s="30">
        <v>2</v>
      </c>
      <c r="E3015" s="30">
        <v>1</v>
      </c>
      <c r="F3015" s="30">
        <f t="shared" si="96"/>
        <v>2</v>
      </c>
      <c r="G3015" s="30" t="s">
        <v>9</v>
      </c>
      <c r="J3015" s="30" t="s">
        <v>392</v>
      </c>
      <c r="K3015" s="125">
        <f>IFERROR(VLOOKUP(C3015, PA!A:M, 13, FALSE),0)</f>
        <v>0.11111111111111108</v>
      </c>
      <c r="L3015" s="137">
        <f t="shared" si="97"/>
        <v>9.9999999999999964E-2</v>
      </c>
    </row>
    <row r="3016" spans="1:12" x14ac:dyDescent="0.25">
      <c r="A3016" s="78">
        <v>46193</v>
      </c>
      <c r="B3016" s="68">
        <v>21</v>
      </c>
      <c r="C3016" s="33" t="s">
        <v>891</v>
      </c>
      <c r="D3016" s="30">
        <v>1</v>
      </c>
      <c r="E3016" s="30">
        <v>1</v>
      </c>
      <c r="F3016" s="30">
        <f t="shared" si="96"/>
        <v>1</v>
      </c>
      <c r="G3016" s="30" t="s">
        <v>9</v>
      </c>
      <c r="J3016" s="30" t="s">
        <v>392</v>
      </c>
      <c r="K3016" s="125">
        <f>IFERROR(VLOOKUP(C3016, PA!A:M, 13, FALSE),0)</f>
        <v>0.1304347826086957</v>
      </c>
      <c r="L3016" s="137">
        <f t="shared" si="97"/>
        <v>0.11538461538461542</v>
      </c>
    </row>
    <row r="3017" spans="1:12" x14ac:dyDescent="0.25">
      <c r="A3017" s="78">
        <v>46194</v>
      </c>
      <c r="B3017" s="68">
        <v>12</v>
      </c>
      <c r="C3017" s="33" t="s">
        <v>565</v>
      </c>
      <c r="D3017" s="30">
        <v>6</v>
      </c>
      <c r="E3017" s="30">
        <v>10</v>
      </c>
      <c r="F3017" s="30">
        <f t="shared" si="96"/>
        <v>60</v>
      </c>
      <c r="G3017" s="30" t="s">
        <v>9</v>
      </c>
      <c r="J3017" s="30" t="s">
        <v>392</v>
      </c>
      <c r="K3017" s="125">
        <f>IFERROR(VLOOKUP(C3017, PA!A:M, 13, FALSE),0)</f>
        <v>0.10091743119266047</v>
      </c>
      <c r="L3017" s="137">
        <f t="shared" si="97"/>
        <v>9.1666666666666605E-2</v>
      </c>
    </row>
    <row r="3018" spans="1:12" x14ac:dyDescent="0.25">
      <c r="A3018" s="78">
        <v>46195</v>
      </c>
      <c r="B3018" s="68">
        <v>12</v>
      </c>
      <c r="C3018" s="33" t="s">
        <v>946</v>
      </c>
      <c r="D3018" s="30">
        <v>1</v>
      </c>
      <c r="E3018" s="30">
        <v>40</v>
      </c>
      <c r="F3018" s="30">
        <f t="shared" si="96"/>
        <v>40</v>
      </c>
      <c r="G3018" s="30" t="s">
        <v>9</v>
      </c>
      <c r="J3018" s="30" t="s">
        <v>392</v>
      </c>
      <c r="K3018" s="125">
        <f>IFERROR(VLOOKUP(C3018, PA!A:M, 13, FALSE),0)</f>
        <v>0</v>
      </c>
      <c r="L3018" s="137">
        <f t="shared" si="97"/>
        <v>0</v>
      </c>
    </row>
    <row r="3019" spans="1:12" x14ac:dyDescent="0.25">
      <c r="A3019" s="78">
        <v>46193</v>
      </c>
      <c r="B3019" s="139"/>
      <c r="C3019" s="150"/>
      <c r="D3019" s="62"/>
      <c r="E3019" s="62"/>
      <c r="F3019" s="62"/>
      <c r="G3019" s="62"/>
      <c r="H3019" s="139"/>
      <c r="I3019" s="145">
        <f>SUMIF(G2985:G3019, "&lt;&gt;UPI", F2985:F3019)</f>
        <v>1042.67</v>
      </c>
      <c r="J3019" s="62"/>
      <c r="K3019" s="123">
        <f>AVERAGE(K2985:K3007)</f>
        <v>0.15525571950956965</v>
      </c>
      <c r="L3019" s="154">
        <f>AVERAGE(L2985:L3018)</f>
        <v>0.11237211983495896</v>
      </c>
    </row>
    <row r="3020" spans="1:12" s="69" customFormat="1" ht="18" customHeight="1" x14ac:dyDescent="0.3">
      <c r="A3020" s="146">
        <v>46193</v>
      </c>
      <c r="B3020" s="147" t="s">
        <v>987</v>
      </c>
      <c r="C3020" s="148">
        <f>MAX(B2963:B3019)</f>
        <v>21</v>
      </c>
      <c r="D3020" s="147" t="s">
        <v>988</v>
      </c>
      <c r="E3020" s="149">
        <f>SUMIF(G2963:G3019,"UPI",F2963:F3019)</f>
        <v>190</v>
      </c>
      <c r="F3020" s="250" t="s">
        <v>437</v>
      </c>
      <c r="G3020" s="251"/>
      <c r="H3020" s="252"/>
      <c r="I3020" s="275">
        <f>SUM(F2963:F3019)</f>
        <v>2098.9700000000003</v>
      </c>
      <c r="J3020" s="276"/>
      <c r="K3020" s="276"/>
      <c r="L3020" s="277"/>
    </row>
    <row r="3021" spans="1:12" x14ac:dyDescent="0.25">
      <c r="A3021" s="78">
        <v>46194</v>
      </c>
      <c r="B3021" s="68">
        <v>1</v>
      </c>
      <c r="C3021" s="33" t="s">
        <v>783</v>
      </c>
      <c r="D3021" s="30">
        <v>1</v>
      </c>
      <c r="E3021" s="30">
        <v>10</v>
      </c>
      <c r="F3021" s="30">
        <f>E3021*D3021</f>
        <v>10</v>
      </c>
      <c r="G3021" s="30" t="s">
        <v>10</v>
      </c>
      <c r="J3021" s="30" t="s">
        <v>391</v>
      </c>
      <c r="K3021" s="125">
        <f>IFERROR(VLOOKUP(C3021, PA!A:M, 13, FALSE),0)</f>
        <v>0.19999999999999993</v>
      </c>
      <c r="L3021" s="137">
        <f>K3021/(1+K3021)</f>
        <v>0.1666666666666666</v>
      </c>
    </row>
    <row r="3022" spans="1:12" x14ac:dyDescent="0.25">
      <c r="A3022" s="78">
        <v>46194</v>
      </c>
      <c r="B3022" s="68">
        <v>2</v>
      </c>
      <c r="C3022" s="70" t="s">
        <v>558</v>
      </c>
      <c r="D3022" s="30">
        <v>1</v>
      </c>
      <c r="E3022" s="30">
        <v>10</v>
      </c>
      <c r="F3022" s="30">
        <f t="shared" ref="F3022:F3031" si="98">E3022*D3022</f>
        <v>10</v>
      </c>
      <c r="G3022" s="30" t="s">
        <v>9</v>
      </c>
      <c r="J3022" s="30" t="s">
        <v>391</v>
      </c>
      <c r="K3022" s="125">
        <f>IFERROR(VLOOKUP(C3022, PA!A:M, 13, FALSE),0)</f>
        <v>0.1111111111111111</v>
      </c>
      <c r="L3022" s="137">
        <f t="shared" ref="L3022:L3080" si="99">K3022/(1+K3022)</f>
        <v>9.9999999999999992E-2</v>
      </c>
    </row>
    <row r="3023" spans="1:12" ht="30" x14ac:dyDescent="0.25">
      <c r="A3023" s="78">
        <v>46194</v>
      </c>
      <c r="B3023" s="68">
        <v>3</v>
      </c>
      <c r="C3023" s="33" t="s">
        <v>854</v>
      </c>
      <c r="D3023" s="30">
        <v>1</v>
      </c>
      <c r="E3023" s="30">
        <v>40</v>
      </c>
      <c r="F3023" s="30">
        <f t="shared" si="98"/>
        <v>40</v>
      </c>
      <c r="G3023" s="30" t="s">
        <v>9</v>
      </c>
      <c r="J3023" s="30" t="s">
        <v>391</v>
      </c>
      <c r="K3023" s="125">
        <f>IFERROR(VLOOKUP(C3023, PA!A:M, 13, FALSE),0)</f>
        <v>6.6666666666666666E-2</v>
      </c>
      <c r="L3023" s="137">
        <f t="shared" si="99"/>
        <v>6.25E-2</v>
      </c>
    </row>
    <row r="3024" spans="1:12" x14ac:dyDescent="0.25">
      <c r="A3024" s="78">
        <v>46194</v>
      </c>
      <c r="B3024" s="68">
        <v>4</v>
      </c>
      <c r="C3024" s="19" t="s">
        <v>989</v>
      </c>
      <c r="D3024" s="30">
        <v>32</v>
      </c>
      <c r="E3024" s="30">
        <v>6.5</v>
      </c>
      <c r="F3024" s="30">
        <f t="shared" si="98"/>
        <v>208</v>
      </c>
      <c r="G3024" s="30" t="s">
        <v>10</v>
      </c>
      <c r="J3024" s="30" t="s">
        <v>391</v>
      </c>
      <c r="K3024" s="125">
        <f>IFERROR(VLOOKUP(C3024, PA!A:M, 13, FALSE),0)</f>
        <v>9.4736842105263161E-2</v>
      </c>
      <c r="L3024" s="137">
        <f t="shared" si="99"/>
        <v>8.6538461538461536E-2</v>
      </c>
    </row>
    <row r="3025" spans="1:12" x14ac:dyDescent="0.25">
      <c r="A3025" s="78">
        <v>46194</v>
      </c>
      <c r="B3025" s="68">
        <v>5</v>
      </c>
      <c r="C3025" s="33" t="s">
        <v>968</v>
      </c>
      <c r="D3025" s="30">
        <v>0.25</v>
      </c>
      <c r="E3025" s="30">
        <v>58</v>
      </c>
      <c r="F3025" s="30">
        <f t="shared" si="98"/>
        <v>14.5</v>
      </c>
      <c r="G3025" s="30" t="s">
        <v>9</v>
      </c>
      <c r="J3025" s="30" t="s">
        <v>391</v>
      </c>
      <c r="K3025" s="125">
        <f>IFERROR(VLOOKUP(C3025, PA!A:M, 13, FALSE),0)</f>
        <v>0.16</v>
      </c>
      <c r="L3025" s="137">
        <f t="shared" si="99"/>
        <v>0.13793103448275865</v>
      </c>
    </row>
    <row r="3026" spans="1:12" x14ac:dyDescent="0.25">
      <c r="A3026" s="78">
        <v>46194</v>
      </c>
      <c r="B3026" s="68">
        <v>6</v>
      </c>
      <c r="C3026" s="33" t="s">
        <v>684</v>
      </c>
      <c r="D3026" s="30">
        <v>1</v>
      </c>
      <c r="E3026" s="30">
        <v>10</v>
      </c>
      <c r="F3026" s="30">
        <f t="shared" si="98"/>
        <v>10</v>
      </c>
      <c r="G3026" s="30" t="s">
        <v>9</v>
      </c>
      <c r="J3026" s="30" t="s">
        <v>391</v>
      </c>
      <c r="K3026" s="125">
        <f>IFERROR(VLOOKUP(C3026, PA!A:M, 13, FALSE),0)</f>
        <v>4.7409040793825769E-2</v>
      </c>
      <c r="L3026" s="137">
        <f t="shared" si="99"/>
        <v>4.5263157894736818E-2</v>
      </c>
    </row>
    <row r="3027" spans="1:12" x14ac:dyDescent="0.25">
      <c r="A3027" s="78">
        <v>46194</v>
      </c>
      <c r="B3027" s="68">
        <v>6</v>
      </c>
      <c r="C3027" s="33" t="s">
        <v>651</v>
      </c>
      <c r="D3027" s="30">
        <v>1</v>
      </c>
      <c r="E3027" s="30">
        <v>9</v>
      </c>
      <c r="F3027" s="30">
        <f t="shared" si="98"/>
        <v>9</v>
      </c>
      <c r="G3027" s="30" t="s">
        <v>9</v>
      </c>
      <c r="J3027" s="30" t="s">
        <v>391</v>
      </c>
      <c r="K3027" s="125">
        <f>IFERROR(VLOOKUP(C3027, PA!A:M, 13, FALSE),0)</f>
        <v>0.17493472584856395</v>
      </c>
      <c r="L3027" s="137">
        <f t="shared" si="99"/>
        <v>0.1488888888888889</v>
      </c>
    </row>
    <row r="3028" spans="1:12" x14ac:dyDescent="0.25">
      <c r="A3028" s="78">
        <v>46194</v>
      </c>
      <c r="B3028" s="68">
        <v>6</v>
      </c>
      <c r="C3028" s="33" t="s">
        <v>375</v>
      </c>
      <c r="D3028" s="30">
        <v>1</v>
      </c>
      <c r="E3028" s="30">
        <v>1</v>
      </c>
      <c r="F3028" s="30">
        <f t="shared" si="98"/>
        <v>1</v>
      </c>
      <c r="G3028" s="30" t="s">
        <v>9</v>
      </c>
      <c r="J3028" s="30" t="s">
        <v>391</v>
      </c>
      <c r="K3028" s="125">
        <f>IFERROR(VLOOKUP(C3028, PA!A:M, 13, FALSE),0)</f>
        <v>0.14285714285714285</v>
      </c>
      <c r="L3028" s="137">
        <f t="shared" si="99"/>
        <v>0.125</v>
      </c>
    </row>
    <row r="3029" spans="1:12" x14ac:dyDescent="0.25">
      <c r="A3029" s="78">
        <v>46194</v>
      </c>
      <c r="B3029" s="68">
        <v>7</v>
      </c>
      <c r="C3029" s="33" t="s">
        <v>651</v>
      </c>
      <c r="D3029" s="30">
        <v>4</v>
      </c>
      <c r="E3029" s="30">
        <v>9</v>
      </c>
      <c r="F3029" s="30">
        <f t="shared" si="98"/>
        <v>36</v>
      </c>
      <c r="G3029" s="30" t="s">
        <v>10</v>
      </c>
      <c r="J3029" s="30" t="s">
        <v>391</v>
      </c>
      <c r="K3029" s="125">
        <f>IFERROR(VLOOKUP(C3029, PA!A:M, 13, FALSE),0)</f>
        <v>0.17493472584856395</v>
      </c>
      <c r="L3029" s="137">
        <f t="shared" si="99"/>
        <v>0.1488888888888889</v>
      </c>
    </row>
    <row r="3030" spans="1:12" x14ac:dyDescent="0.25">
      <c r="A3030" s="78">
        <v>46194</v>
      </c>
      <c r="B3030" s="68">
        <v>7</v>
      </c>
      <c r="C3030" s="33" t="s">
        <v>927</v>
      </c>
      <c r="D3030" s="30">
        <v>1</v>
      </c>
      <c r="E3030" s="30">
        <v>20</v>
      </c>
      <c r="F3030" s="30">
        <f t="shared" si="98"/>
        <v>20</v>
      </c>
      <c r="G3030" s="30" t="s">
        <v>9</v>
      </c>
      <c r="J3030" s="30" t="s">
        <v>391</v>
      </c>
      <c r="K3030" s="125">
        <f>IFERROR(VLOOKUP(C3030, PA!A:M, 13, FALSE),0)</f>
        <v>0.1111111111111111</v>
      </c>
      <c r="L3030" s="137">
        <f t="shared" si="99"/>
        <v>9.9999999999999992E-2</v>
      </c>
    </row>
    <row r="3031" spans="1:12" x14ac:dyDescent="0.25">
      <c r="A3031" s="78">
        <v>46194</v>
      </c>
      <c r="B3031" s="68">
        <v>7</v>
      </c>
      <c r="C3031" s="33" t="s">
        <v>938</v>
      </c>
      <c r="D3031" s="30">
        <v>1</v>
      </c>
      <c r="E3031" s="30">
        <v>20</v>
      </c>
      <c r="F3031" s="30">
        <f t="shared" si="98"/>
        <v>20</v>
      </c>
      <c r="G3031" s="30" t="s">
        <v>9</v>
      </c>
      <c r="J3031" s="30" t="s">
        <v>391</v>
      </c>
      <c r="K3031" s="125">
        <f>IFERROR(VLOOKUP(C3031, PA!A:M, 13, FALSE),0)</f>
        <v>0.1111111111111111</v>
      </c>
      <c r="L3031" s="137">
        <f t="shared" si="99"/>
        <v>9.9999999999999992E-2</v>
      </c>
    </row>
    <row r="3032" spans="1:12" x14ac:dyDescent="0.25">
      <c r="A3032" s="78">
        <v>46194</v>
      </c>
      <c r="B3032" s="139"/>
      <c r="C3032" s="150"/>
      <c r="D3032" s="62"/>
      <c r="E3032" s="62"/>
      <c r="F3032" s="62"/>
      <c r="G3032" s="62"/>
      <c r="H3032" s="139"/>
      <c r="I3032" s="139">
        <f>SUMIF(G3021:G3032, "&lt;&gt;UPI",F3021:F3032)</f>
        <v>124.5</v>
      </c>
      <c r="J3032" s="62"/>
      <c r="K3032" s="123">
        <f>AVERAGE(K3021:K3031)</f>
        <v>0.12680658885939636</v>
      </c>
      <c r="L3032" s="123">
        <f>AVERAGE(L3021:L3031)</f>
        <v>0.11106155439640014</v>
      </c>
    </row>
    <row r="3033" spans="1:12" ht="30" x14ac:dyDescent="0.25">
      <c r="A3033" s="78">
        <v>46194</v>
      </c>
      <c r="B3033" s="68">
        <v>8</v>
      </c>
      <c r="C3033" s="33" t="s">
        <v>961</v>
      </c>
      <c r="D3033" s="30">
        <v>1</v>
      </c>
      <c r="E3033" s="30">
        <v>10</v>
      </c>
      <c r="F3033" s="30">
        <f t="shared" ref="F3033:F3073" si="100">E3033*D3033</f>
        <v>10</v>
      </c>
      <c r="G3033" s="30" t="s">
        <v>9</v>
      </c>
      <c r="J3033" s="30" t="s">
        <v>392</v>
      </c>
      <c r="K3033" s="125">
        <f>IFERROR(VLOOKUP(C3033, PA!A:M, 13, FALSE),0)</f>
        <v>0.1111111111111111</v>
      </c>
      <c r="L3033" s="137">
        <f t="shared" si="99"/>
        <v>9.9999999999999992E-2</v>
      </c>
    </row>
    <row r="3034" spans="1:12" x14ac:dyDescent="0.25">
      <c r="A3034" s="78">
        <v>46194</v>
      </c>
      <c r="B3034" s="68">
        <v>8</v>
      </c>
      <c r="C3034" s="33" t="s">
        <v>962</v>
      </c>
      <c r="D3034" s="30">
        <v>2</v>
      </c>
      <c r="E3034" s="30">
        <v>5</v>
      </c>
      <c r="F3034" s="30">
        <f t="shared" si="100"/>
        <v>10</v>
      </c>
      <c r="G3034" s="30" t="s">
        <v>9</v>
      </c>
      <c r="J3034" s="30" t="s">
        <v>392</v>
      </c>
      <c r="K3034" s="125">
        <f>IFERROR(VLOOKUP(C3034, PA!A:M, 13, FALSE),0)</f>
        <v>0.1111111111111111</v>
      </c>
      <c r="L3034" s="137">
        <f t="shared" si="99"/>
        <v>9.9999999999999992E-2</v>
      </c>
    </row>
    <row r="3035" spans="1:12" x14ac:dyDescent="0.25">
      <c r="A3035" s="78">
        <v>46194</v>
      </c>
      <c r="B3035" s="68">
        <v>8</v>
      </c>
      <c r="C3035" s="33" t="s">
        <v>619</v>
      </c>
      <c r="D3035" s="30">
        <v>1</v>
      </c>
      <c r="E3035" s="30">
        <v>10</v>
      </c>
      <c r="F3035" s="30">
        <f t="shared" si="100"/>
        <v>10</v>
      </c>
      <c r="G3035" s="30" t="s">
        <v>9</v>
      </c>
      <c r="J3035" s="30" t="s">
        <v>392</v>
      </c>
      <c r="K3035" s="125">
        <f>IFERROR(VLOOKUP(C3035, PA!A:M, 13, FALSE),0)</f>
        <v>5.2631578947368418E-2</v>
      </c>
      <c r="L3035" s="137">
        <f t="shared" si="99"/>
        <v>0.05</v>
      </c>
    </row>
    <row r="3036" spans="1:12" x14ac:dyDescent="0.25">
      <c r="A3036" s="78">
        <v>46194</v>
      </c>
      <c r="B3036" s="68">
        <v>8</v>
      </c>
      <c r="C3036" s="19" t="s">
        <v>805</v>
      </c>
      <c r="D3036" s="30">
        <v>2</v>
      </c>
      <c r="E3036" s="30">
        <v>55</v>
      </c>
      <c r="F3036" s="30">
        <f t="shared" si="100"/>
        <v>110</v>
      </c>
      <c r="G3036" s="30" t="s">
        <v>9</v>
      </c>
      <c r="J3036" s="30" t="s">
        <v>392</v>
      </c>
      <c r="K3036" s="125">
        <f>IFERROR(VLOOKUP(C3036, PA!A:M, 13, FALSE),0)</f>
        <v>3.7924151696606831E-2</v>
      </c>
      <c r="L3036" s="137">
        <f t="shared" si="99"/>
        <v>3.6538461538461575E-2</v>
      </c>
    </row>
    <row r="3037" spans="1:12" x14ac:dyDescent="0.25">
      <c r="A3037" s="78">
        <v>46194</v>
      </c>
      <c r="B3037" s="68">
        <v>9</v>
      </c>
      <c r="C3037" s="33" t="s">
        <v>565</v>
      </c>
      <c r="D3037" s="30">
        <v>3</v>
      </c>
      <c r="E3037" s="30">
        <v>10</v>
      </c>
      <c r="F3037" s="30">
        <f t="shared" si="100"/>
        <v>30</v>
      </c>
      <c r="G3037" s="30" t="s">
        <v>10</v>
      </c>
      <c r="J3037" s="30" t="s">
        <v>392</v>
      </c>
      <c r="K3037" s="125">
        <f>IFERROR(VLOOKUP(C3037, PA!A:M, 13, FALSE),0)</f>
        <v>0.10091743119266047</v>
      </c>
      <c r="L3037" s="137">
        <f t="shared" si="99"/>
        <v>9.1666666666666605E-2</v>
      </c>
    </row>
    <row r="3038" spans="1:12" x14ac:dyDescent="0.25">
      <c r="A3038" s="78">
        <v>46194</v>
      </c>
      <c r="B3038" s="68">
        <v>9</v>
      </c>
      <c r="C3038" s="33" t="s">
        <v>856</v>
      </c>
      <c r="D3038" s="30">
        <v>1</v>
      </c>
      <c r="E3038" s="30">
        <v>10</v>
      </c>
      <c r="F3038" s="30">
        <f t="shared" si="100"/>
        <v>10</v>
      </c>
      <c r="G3038" s="30" t="s">
        <v>10</v>
      </c>
      <c r="J3038" s="30" t="s">
        <v>392</v>
      </c>
      <c r="K3038" s="125">
        <f>IFERROR(VLOOKUP(C3038, PA!A:M, 13, FALSE),0)</f>
        <v>9.0909090909090981E-2</v>
      </c>
      <c r="L3038" s="137">
        <f t="shared" si="99"/>
        <v>8.3333333333333384E-2</v>
      </c>
    </row>
    <row r="3039" spans="1:12" x14ac:dyDescent="0.25">
      <c r="A3039" s="78">
        <v>46194</v>
      </c>
      <c r="B3039" s="68">
        <v>10</v>
      </c>
      <c r="C3039" s="33" t="s">
        <v>946</v>
      </c>
      <c r="D3039" s="30">
        <v>1</v>
      </c>
      <c r="E3039" s="30">
        <v>40</v>
      </c>
      <c r="F3039" s="30">
        <f t="shared" si="100"/>
        <v>40</v>
      </c>
      <c r="G3039" s="30" t="s">
        <v>9</v>
      </c>
      <c r="J3039" s="30" t="s">
        <v>392</v>
      </c>
      <c r="K3039" s="125">
        <f>IFERROR(VLOOKUP(C3039, PA!A:M, 13, FALSE),0)</f>
        <v>0</v>
      </c>
      <c r="L3039" s="137">
        <f t="shared" si="99"/>
        <v>0</v>
      </c>
    </row>
    <row r="3040" spans="1:12" x14ac:dyDescent="0.25">
      <c r="A3040" s="78">
        <v>46194</v>
      </c>
      <c r="B3040" s="68">
        <v>10</v>
      </c>
      <c r="C3040" s="33" t="s">
        <v>151</v>
      </c>
      <c r="D3040" s="30">
        <v>1</v>
      </c>
      <c r="E3040" s="30">
        <v>15</v>
      </c>
      <c r="F3040" s="30">
        <f t="shared" si="100"/>
        <v>15</v>
      </c>
      <c r="G3040" s="30" t="s">
        <v>9</v>
      </c>
      <c r="J3040" s="30" t="s">
        <v>392</v>
      </c>
      <c r="K3040" s="125">
        <f>IFERROR(VLOOKUP(C3040, PA!A:M, 13, FALSE),0)</f>
        <v>0.41242937853107342</v>
      </c>
      <c r="L3040" s="137">
        <f t="shared" si="99"/>
        <v>0.29199999999999998</v>
      </c>
    </row>
    <row r="3041" spans="1:12" x14ac:dyDescent="0.25">
      <c r="A3041" s="78">
        <v>46194</v>
      </c>
      <c r="B3041" s="68">
        <v>10</v>
      </c>
      <c r="C3041" s="33" t="s">
        <v>763</v>
      </c>
      <c r="D3041" s="30">
        <v>1</v>
      </c>
      <c r="E3041" s="30">
        <v>5</v>
      </c>
      <c r="F3041" s="30">
        <f t="shared" si="100"/>
        <v>5</v>
      </c>
      <c r="G3041" s="30" t="s">
        <v>9</v>
      </c>
      <c r="J3041" s="30" t="s">
        <v>392</v>
      </c>
      <c r="K3041" s="125">
        <f>IFERROR(VLOOKUP(C3041, PA!A:M, 13, FALSE),0)</f>
        <v>9.0909090909090981E-2</v>
      </c>
      <c r="L3041" s="137">
        <f t="shared" si="99"/>
        <v>8.3333333333333384E-2</v>
      </c>
    </row>
    <row r="3042" spans="1:12" ht="30" x14ac:dyDescent="0.25">
      <c r="A3042" s="78">
        <v>46194</v>
      </c>
      <c r="B3042" s="68">
        <v>11</v>
      </c>
      <c r="C3042" s="33" t="s">
        <v>575</v>
      </c>
      <c r="D3042" s="30">
        <v>1</v>
      </c>
      <c r="E3042" s="30">
        <v>20</v>
      </c>
      <c r="F3042" s="30">
        <f t="shared" si="100"/>
        <v>20</v>
      </c>
      <c r="G3042" s="30" t="s">
        <v>9</v>
      </c>
      <c r="J3042" s="30" t="s">
        <v>392</v>
      </c>
      <c r="K3042" s="125">
        <f>IFERROR(VLOOKUP(C3042, PA!A:M, 13, FALSE),0)</f>
        <v>0.11627906976744179</v>
      </c>
      <c r="L3042" s="137">
        <f t="shared" si="99"/>
        <v>0.1041666666666666</v>
      </c>
    </row>
    <row r="3043" spans="1:12" x14ac:dyDescent="0.25">
      <c r="A3043" s="78">
        <v>46194</v>
      </c>
      <c r="B3043" s="68">
        <v>11</v>
      </c>
      <c r="C3043" s="33" t="s">
        <v>541</v>
      </c>
      <c r="D3043" s="30">
        <v>0.28599999999999998</v>
      </c>
      <c r="E3043" s="30">
        <v>70</v>
      </c>
      <c r="F3043" s="30">
        <f t="shared" si="100"/>
        <v>20.02</v>
      </c>
      <c r="G3043" s="30" t="s">
        <v>9</v>
      </c>
      <c r="J3043" s="30" t="s">
        <v>392</v>
      </c>
      <c r="K3043" s="125">
        <f>IFERROR(VLOOKUP(C3043, PA!A:M, 13, FALSE),0)</f>
        <v>0.19844357976653701</v>
      </c>
      <c r="L3043" s="137">
        <f t="shared" si="99"/>
        <v>0.16558441558441564</v>
      </c>
    </row>
    <row r="3044" spans="1:12" x14ac:dyDescent="0.25">
      <c r="A3044" s="78">
        <v>46194</v>
      </c>
      <c r="B3044" s="68">
        <v>11</v>
      </c>
      <c r="C3044" s="33" t="s">
        <v>923</v>
      </c>
      <c r="D3044" s="30">
        <v>1</v>
      </c>
      <c r="E3044" s="30">
        <v>30</v>
      </c>
      <c r="F3044" s="30">
        <f t="shared" si="100"/>
        <v>30</v>
      </c>
      <c r="G3044" s="30" t="s">
        <v>9</v>
      </c>
      <c r="J3044" s="30" t="s">
        <v>392</v>
      </c>
      <c r="K3044" s="125">
        <f>IFERROR(VLOOKUP(C3044, PA!A:M, 13, FALSE),0)</f>
        <v>0.15384615384615385</v>
      </c>
      <c r="L3044" s="137">
        <f t="shared" si="99"/>
        <v>0.13333333333333336</v>
      </c>
    </row>
    <row r="3045" spans="1:12" x14ac:dyDescent="0.25">
      <c r="A3045" s="78">
        <v>46194</v>
      </c>
      <c r="B3045" s="68">
        <v>11</v>
      </c>
      <c r="C3045" s="33" t="s">
        <v>497</v>
      </c>
      <c r="D3045" s="30">
        <v>1</v>
      </c>
      <c r="E3045" s="30">
        <v>35</v>
      </c>
      <c r="F3045" s="30">
        <f t="shared" si="100"/>
        <v>35</v>
      </c>
      <c r="G3045" s="30" t="s">
        <v>9</v>
      </c>
      <c r="J3045" s="30" t="s">
        <v>392</v>
      </c>
      <c r="K3045" s="125">
        <f>IFERROR(VLOOKUP(C3045, PA!A:M, 13, FALSE),0)</f>
        <v>0.4</v>
      </c>
      <c r="L3045" s="137">
        <f t="shared" si="99"/>
        <v>0.28571428571428575</v>
      </c>
    </row>
    <row r="3046" spans="1:12" x14ac:dyDescent="0.25">
      <c r="A3046" s="78">
        <v>46194</v>
      </c>
      <c r="B3046" s="68">
        <v>11</v>
      </c>
      <c r="C3046" s="33" t="s">
        <v>524</v>
      </c>
      <c r="D3046" s="30">
        <v>2</v>
      </c>
      <c r="E3046" s="30">
        <v>1</v>
      </c>
      <c r="F3046" s="30">
        <f t="shared" si="100"/>
        <v>2</v>
      </c>
      <c r="G3046" s="30" t="s">
        <v>9</v>
      </c>
      <c r="J3046" s="30" t="s">
        <v>392</v>
      </c>
      <c r="K3046" s="125">
        <f>IFERROR(VLOOKUP(C3046, PA!A:M, 13, FALSE),0)</f>
        <v>0.11111111111111108</v>
      </c>
      <c r="L3046" s="137">
        <f t="shared" si="99"/>
        <v>9.9999999999999964E-2</v>
      </c>
    </row>
    <row r="3047" spans="1:12" x14ac:dyDescent="0.25">
      <c r="A3047" s="78">
        <v>46194</v>
      </c>
      <c r="B3047" s="68">
        <v>12</v>
      </c>
      <c r="C3047" s="33" t="s">
        <v>541</v>
      </c>
      <c r="D3047" s="30">
        <v>0.5</v>
      </c>
      <c r="E3047" s="30">
        <v>70</v>
      </c>
      <c r="F3047" s="30">
        <f t="shared" si="100"/>
        <v>35</v>
      </c>
      <c r="G3047" s="30" t="s">
        <v>9</v>
      </c>
      <c r="J3047" s="30" t="s">
        <v>392</v>
      </c>
      <c r="K3047" s="125">
        <f>IFERROR(VLOOKUP(C3047, PA!A:M, 13, FALSE),0)</f>
        <v>0.19844357976653701</v>
      </c>
      <c r="L3047" s="137">
        <f t="shared" si="99"/>
        <v>0.16558441558441564</v>
      </c>
    </row>
    <row r="3048" spans="1:12" x14ac:dyDescent="0.25">
      <c r="A3048" s="78">
        <v>46194</v>
      </c>
      <c r="B3048" s="68">
        <v>12</v>
      </c>
      <c r="C3048" s="33" t="s">
        <v>822</v>
      </c>
      <c r="D3048" s="30">
        <v>0.5</v>
      </c>
      <c r="E3048" s="30">
        <v>30</v>
      </c>
      <c r="F3048" s="30">
        <f t="shared" si="100"/>
        <v>15</v>
      </c>
      <c r="G3048" s="30" t="s">
        <v>9</v>
      </c>
      <c r="J3048" s="30" t="s">
        <v>392</v>
      </c>
      <c r="K3048" s="125">
        <f>IFERROR(VLOOKUP(C3048, PA!A:M, 13, FALSE),0)</f>
        <v>7.1428571428571425E-2</v>
      </c>
      <c r="L3048" s="137">
        <f t="shared" si="99"/>
        <v>6.6666666666666666E-2</v>
      </c>
    </row>
    <row r="3049" spans="1:12" x14ac:dyDescent="0.25">
      <c r="A3049" s="78">
        <v>46194</v>
      </c>
      <c r="B3049" s="68">
        <v>12</v>
      </c>
      <c r="C3049" s="33" t="s">
        <v>73</v>
      </c>
      <c r="D3049" s="30">
        <v>1</v>
      </c>
      <c r="E3049" s="30">
        <v>10</v>
      </c>
      <c r="F3049" s="30">
        <f t="shared" si="100"/>
        <v>10</v>
      </c>
      <c r="G3049" s="30" t="s">
        <v>9</v>
      </c>
      <c r="J3049" s="30" t="s">
        <v>392</v>
      </c>
      <c r="K3049" s="125">
        <f>IFERROR(VLOOKUP(C3049, PA!A:M, 13, FALSE),0)</f>
        <v>0.33333333333333331</v>
      </c>
      <c r="L3049" s="137">
        <f t="shared" si="99"/>
        <v>0.25</v>
      </c>
    </row>
    <row r="3050" spans="1:12" x14ac:dyDescent="0.25">
      <c r="A3050" s="78">
        <v>46194</v>
      </c>
      <c r="B3050" s="68">
        <v>13</v>
      </c>
      <c r="C3050" s="33" t="s">
        <v>684</v>
      </c>
      <c r="D3050" s="30">
        <v>4</v>
      </c>
      <c r="E3050" s="30">
        <v>9.5</v>
      </c>
      <c r="F3050" s="30">
        <f t="shared" si="100"/>
        <v>38</v>
      </c>
      <c r="G3050" s="30" t="s">
        <v>9</v>
      </c>
      <c r="J3050" s="30" t="s">
        <v>392</v>
      </c>
      <c r="K3050" s="125">
        <f>IFERROR(VLOOKUP(C3050, PA!A:M, 13, FALSE),0)</f>
        <v>4.7409040793825769E-2</v>
      </c>
      <c r="L3050" s="137">
        <f t="shared" si="99"/>
        <v>4.5263157894736818E-2</v>
      </c>
    </row>
    <row r="3051" spans="1:12" x14ac:dyDescent="0.25">
      <c r="A3051" s="78">
        <v>46194</v>
      </c>
      <c r="B3051" s="68">
        <v>13</v>
      </c>
      <c r="C3051" s="70" t="s">
        <v>558</v>
      </c>
      <c r="D3051" s="30">
        <v>1</v>
      </c>
      <c r="E3051" s="30">
        <v>10</v>
      </c>
      <c r="F3051" s="30">
        <f t="shared" si="100"/>
        <v>10</v>
      </c>
      <c r="G3051" s="30" t="s">
        <v>9</v>
      </c>
      <c r="J3051" s="30" t="s">
        <v>392</v>
      </c>
      <c r="K3051" s="125">
        <f>IFERROR(VLOOKUP(C3051, PA!A:M, 13, FALSE),0)</f>
        <v>0.1111111111111111</v>
      </c>
      <c r="L3051" s="137">
        <f t="shared" si="99"/>
        <v>9.9999999999999992E-2</v>
      </c>
    </row>
    <row r="3052" spans="1:12" x14ac:dyDescent="0.25">
      <c r="A3052" s="78">
        <v>46194</v>
      </c>
      <c r="B3052" s="68">
        <v>13</v>
      </c>
      <c r="C3052" s="33" t="s">
        <v>375</v>
      </c>
      <c r="D3052" s="30">
        <v>2</v>
      </c>
      <c r="E3052" s="30">
        <v>1</v>
      </c>
      <c r="F3052" s="30">
        <f t="shared" si="100"/>
        <v>2</v>
      </c>
      <c r="G3052" s="30" t="s">
        <v>9</v>
      </c>
      <c r="J3052" s="30" t="s">
        <v>392</v>
      </c>
      <c r="K3052" s="125">
        <f>IFERROR(VLOOKUP(C3052, PA!A:M, 13, FALSE),0)</f>
        <v>0.14285714285714285</v>
      </c>
      <c r="L3052" s="137">
        <f t="shared" si="99"/>
        <v>0.125</v>
      </c>
    </row>
    <row r="3053" spans="1:12" x14ac:dyDescent="0.25">
      <c r="A3053" s="78">
        <v>46194</v>
      </c>
      <c r="B3053" s="68">
        <v>14</v>
      </c>
      <c r="C3053" s="33" t="s">
        <v>860</v>
      </c>
      <c r="D3053" s="30">
        <v>4</v>
      </c>
      <c r="E3053" s="30">
        <v>5</v>
      </c>
      <c r="F3053" s="30">
        <f t="shared" si="100"/>
        <v>20</v>
      </c>
      <c r="G3053" s="30" t="s">
        <v>9</v>
      </c>
      <c r="J3053" s="30" t="s">
        <v>392</v>
      </c>
      <c r="K3053" s="125">
        <f>IFERROR(VLOOKUP(C3053, PA!A:M, 13, FALSE),0)</f>
        <v>0.1111111111111111</v>
      </c>
      <c r="L3053" s="137">
        <f t="shared" si="99"/>
        <v>9.9999999999999992E-2</v>
      </c>
    </row>
    <row r="3054" spans="1:12" x14ac:dyDescent="0.25">
      <c r="A3054" s="78">
        <v>46194</v>
      </c>
      <c r="B3054" s="68">
        <v>14</v>
      </c>
      <c r="C3054" s="33" t="s">
        <v>651</v>
      </c>
      <c r="D3054" s="30">
        <v>2</v>
      </c>
      <c r="E3054" s="30">
        <v>9</v>
      </c>
      <c r="F3054" s="30">
        <f t="shared" si="100"/>
        <v>18</v>
      </c>
      <c r="G3054" s="30" t="s">
        <v>9</v>
      </c>
      <c r="J3054" s="30" t="s">
        <v>392</v>
      </c>
      <c r="K3054" s="125">
        <f>IFERROR(VLOOKUP(C3054, PA!A:M, 13, FALSE),0)</f>
        <v>0.17493472584856395</v>
      </c>
      <c r="L3054" s="137">
        <f t="shared" si="99"/>
        <v>0.1488888888888889</v>
      </c>
    </row>
    <row r="3055" spans="1:12" x14ac:dyDescent="0.25">
      <c r="A3055" s="78">
        <v>46194</v>
      </c>
      <c r="B3055" s="68">
        <v>14</v>
      </c>
      <c r="C3055" s="33" t="s">
        <v>375</v>
      </c>
      <c r="D3055" s="30">
        <v>2</v>
      </c>
      <c r="E3055" s="30">
        <v>1</v>
      </c>
      <c r="F3055" s="30">
        <f t="shared" si="100"/>
        <v>2</v>
      </c>
      <c r="G3055" s="30" t="s">
        <v>9</v>
      </c>
      <c r="J3055" s="30" t="s">
        <v>392</v>
      </c>
      <c r="K3055" s="125">
        <f>IFERROR(VLOOKUP(C3055, PA!A:M, 13, FALSE),0)</f>
        <v>0.14285714285714285</v>
      </c>
      <c r="L3055" s="137">
        <f t="shared" si="99"/>
        <v>0.125</v>
      </c>
    </row>
    <row r="3056" spans="1:12" x14ac:dyDescent="0.25">
      <c r="A3056" s="78">
        <v>46194</v>
      </c>
      <c r="B3056" s="68">
        <v>15</v>
      </c>
      <c r="C3056" s="33" t="s">
        <v>578</v>
      </c>
      <c r="D3056" s="30">
        <v>2</v>
      </c>
      <c r="E3056" s="30">
        <v>5</v>
      </c>
      <c r="F3056" s="30">
        <f t="shared" si="100"/>
        <v>10</v>
      </c>
      <c r="G3056" s="30" t="s">
        <v>9</v>
      </c>
      <c r="J3056" s="30" t="s">
        <v>392</v>
      </c>
      <c r="K3056" s="125">
        <f>IFERROR(VLOOKUP(C3056, PA!A:M, 13, FALSE),0)</f>
        <v>0.25</v>
      </c>
      <c r="L3056" s="137">
        <f t="shared" si="99"/>
        <v>0.2</v>
      </c>
    </row>
    <row r="3057" spans="1:12" x14ac:dyDescent="0.25">
      <c r="A3057" s="78">
        <v>46194</v>
      </c>
      <c r="B3057" s="68">
        <v>15</v>
      </c>
      <c r="C3057" s="33" t="s">
        <v>565</v>
      </c>
      <c r="D3057" s="30">
        <v>1</v>
      </c>
      <c r="E3057" s="30">
        <v>10</v>
      </c>
      <c r="F3057" s="30">
        <f t="shared" si="100"/>
        <v>10</v>
      </c>
      <c r="G3057" s="30" t="s">
        <v>9</v>
      </c>
      <c r="J3057" s="30" t="s">
        <v>392</v>
      </c>
      <c r="K3057" s="125">
        <f>IFERROR(VLOOKUP(C3057, PA!A:M, 13, FALSE),0)</f>
        <v>0.10091743119266047</v>
      </c>
      <c r="L3057" s="137">
        <f t="shared" si="99"/>
        <v>9.1666666666666605E-2</v>
      </c>
    </row>
    <row r="3058" spans="1:12" x14ac:dyDescent="0.25">
      <c r="A3058" s="78">
        <v>46194</v>
      </c>
      <c r="B3058" s="68">
        <v>15</v>
      </c>
      <c r="C3058" s="33" t="s">
        <v>856</v>
      </c>
      <c r="D3058" s="30">
        <v>1</v>
      </c>
      <c r="E3058" s="30">
        <v>10</v>
      </c>
      <c r="F3058" s="30">
        <f t="shared" si="100"/>
        <v>10</v>
      </c>
      <c r="G3058" s="30" t="s">
        <v>9</v>
      </c>
      <c r="J3058" s="30" t="s">
        <v>392</v>
      </c>
      <c r="K3058" s="125">
        <f>IFERROR(VLOOKUP(C3058, PA!A:M, 13, FALSE),0)</f>
        <v>9.0909090909090981E-2</v>
      </c>
      <c r="L3058" s="137">
        <f t="shared" si="99"/>
        <v>8.3333333333333384E-2</v>
      </c>
    </row>
    <row r="3059" spans="1:12" ht="30" x14ac:dyDescent="0.25">
      <c r="A3059" s="78">
        <v>46194</v>
      </c>
      <c r="B3059" s="68">
        <v>15</v>
      </c>
      <c r="C3059" s="33" t="s">
        <v>936</v>
      </c>
      <c r="D3059" s="30">
        <v>1</v>
      </c>
      <c r="E3059" s="30">
        <v>20</v>
      </c>
      <c r="F3059" s="30">
        <f t="shared" si="100"/>
        <v>20</v>
      </c>
      <c r="G3059" s="30" t="s">
        <v>9</v>
      </c>
      <c r="J3059" s="30" t="s">
        <v>392</v>
      </c>
      <c r="K3059" s="125">
        <f>IFERROR(VLOOKUP(C3059, PA!A:M, 13, FALSE),0)</f>
        <v>5.2631578947368418E-2</v>
      </c>
      <c r="L3059" s="137">
        <f t="shared" si="99"/>
        <v>0.05</v>
      </c>
    </row>
    <row r="3060" spans="1:12" x14ac:dyDescent="0.25">
      <c r="A3060" s="78">
        <v>46194</v>
      </c>
      <c r="B3060" s="68">
        <v>15</v>
      </c>
      <c r="C3060" s="33" t="s">
        <v>519</v>
      </c>
      <c r="D3060" s="30">
        <v>2</v>
      </c>
      <c r="E3060" s="30">
        <v>10</v>
      </c>
      <c r="F3060" s="30">
        <f t="shared" si="100"/>
        <v>20</v>
      </c>
      <c r="G3060" s="30" t="s">
        <v>9</v>
      </c>
      <c r="J3060" s="30" t="s">
        <v>392</v>
      </c>
      <c r="K3060" s="125">
        <f>IFERROR(VLOOKUP(C3060, PA!A:M, 13, FALSE),0)</f>
        <v>0.14285714285714285</v>
      </c>
      <c r="L3060" s="137">
        <f t="shared" si="99"/>
        <v>0.125</v>
      </c>
    </row>
    <row r="3061" spans="1:12" x14ac:dyDescent="0.25">
      <c r="A3061" s="78">
        <v>46194</v>
      </c>
      <c r="B3061" s="68">
        <v>15</v>
      </c>
      <c r="C3061" s="33" t="s">
        <v>669</v>
      </c>
      <c r="D3061" s="30">
        <v>2</v>
      </c>
      <c r="E3061" s="30">
        <v>5</v>
      </c>
      <c r="F3061" s="30">
        <f t="shared" si="100"/>
        <v>10</v>
      </c>
      <c r="G3061" s="30" t="s">
        <v>9</v>
      </c>
      <c r="J3061" s="30" t="s">
        <v>392</v>
      </c>
      <c r="K3061" s="125">
        <f>IFERROR(VLOOKUP(C3061, PA!A:M, 13, FALSE),0)</f>
        <v>4.1666666666666706E-2</v>
      </c>
      <c r="L3061" s="137">
        <f t="shared" si="99"/>
        <v>4.0000000000000036E-2</v>
      </c>
    </row>
    <row r="3062" spans="1:12" x14ac:dyDescent="0.25">
      <c r="A3062" s="78">
        <v>46194</v>
      </c>
      <c r="B3062" s="68">
        <v>16</v>
      </c>
      <c r="C3062" s="33" t="s">
        <v>768</v>
      </c>
      <c r="D3062" s="30">
        <v>1</v>
      </c>
      <c r="E3062" s="30">
        <v>10</v>
      </c>
      <c r="F3062" s="30">
        <f t="shared" si="100"/>
        <v>10</v>
      </c>
      <c r="G3062" s="30" t="s">
        <v>9</v>
      </c>
      <c r="J3062" s="30" t="s">
        <v>392</v>
      </c>
      <c r="K3062" s="125">
        <f>IFERROR(VLOOKUP(C3062, PA!A:M, 13, FALSE),0)</f>
        <v>0.1111111111111111</v>
      </c>
      <c r="L3062" s="137">
        <f t="shared" si="99"/>
        <v>9.9999999999999992E-2</v>
      </c>
    </row>
    <row r="3063" spans="1:12" x14ac:dyDescent="0.25">
      <c r="A3063" s="78">
        <v>46194</v>
      </c>
      <c r="B3063" s="68">
        <v>16</v>
      </c>
      <c r="C3063" s="33" t="s">
        <v>705</v>
      </c>
      <c r="D3063" s="30">
        <v>1</v>
      </c>
      <c r="E3063" s="30">
        <v>10</v>
      </c>
      <c r="F3063" s="30">
        <f t="shared" si="100"/>
        <v>10</v>
      </c>
      <c r="G3063" s="30" t="s">
        <v>9</v>
      </c>
      <c r="J3063" s="30" t="s">
        <v>392</v>
      </c>
      <c r="K3063" s="125">
        <f>IFERROR(VLOOKUP(C3063, PA!A:M, 13, FALSE),0)</f>
        <v>9.0909090909090981E-2</v>
      </c>
      <c r="L3063" s="137">
        <f t="shared" si="99"/>
        <v>8.3333333333333384E-2</v>
      </c>
    </row>
    <row r="3064" spans="1:12" x14ac:dyDescent="0.25">
      <c r="A3064" s="78">
        <v>46194</v>
      </c>
      <c r="B3064" s="68">
        <v>17</v>
      </c>
      <c r="C3064" s="33" t="s">
        <v>684</v>
      </c>
      <c r="D3064" s="30">
        <v>2</v>
      </c>
      <c r="E3064" s="30">
        <v>10</v>
      </c>
      <c r="F3064" s="30">
        <f t="shared" si="100"/>
        <v>20</v>
      </c>
      <c r="G3064" s="30" t="s">
        <v>9</v>
      </c>
      <c r="J3064" s="30" t="s">
        <v>392</v>
      </c>
      <c r="K3064" s="125">
        <f>IFERROR(VLOOKUP(C3064, PA!A:M, 13, FALSE),0)</f>
        <v>4.7409040793825769E-2</v>
      </c>
      <c r="L3064" s="137">
        <f t="shared" si="99"/>
        <v>4.5263157894736818E-2</v>
      </c>
    </row>
    <row r="3065" spans="1:12" x14ac:dyDescent="0.25">
      <c r="A3065" s="78">
        <v>46194</v>
      </c>
      <c r="B3065" s="68">
        <v>18</v>
      </c>
      <c r="C3065" s="33" t="s">
        <v>946</v>
      </c>
      <c r="D3065" s="30">
        <v>1</v>
      </c>
      <c r="E3065" s="30">
        <v>40</v>
      </c>
      <c r="F3065" s="30">
        <f t="shared" si="100"/>
        <v>40</v>
      </c>
      <c r="G3065" s="30" t="s">
        <v>9</v>
      </c>
      <c r="J3065" s="30" t="s">
        <v>392</v>
      </c>
      <c r="K3065" s="125">
        <f>IFERROR(VLOOKUP(C3065, PA!A:M, 13, FALSE),0)</f>
        <v>0</v>
      </c>
      <c r="L3065" s="137">
        <f t="shared" si="99"/>
        <v>0</v>
      </c>
    </row>
    <row r="3066" spans="1:12" x14ac:dyDescent="0.25">
      <c r="A3066" s="78">
        <v>46194</v>
      </c>
      <c r="B3066" s="68">
        <v>18</v>
      </c>
      <c r="C3066" s="33" t="s">
        <v>684</v>
      </c>
      <c r="D3066" s="30">
        <v>2</v>
      </c>
      <c r="E3066" s="30">
        <v>10</v>
      </c>
      <c r="F3066" s="30">
        <f t="shared" si="100"/>
        <v>20</v>
      </c>
      <c r="G3066" s="30" t="s">
        <v>9</v>
      </c>
      <c r="J3066" s="30" t="s">
        <v>392</v>
      </c>
      <c r="K3066" s="125">
        <f>IFERROR(VLOOKUP(C3066, PA!A:M, 13, FALSE),0)</f>
        <v>4.7409040793825769E-2</v>
      </c>
      <c r="L3066" s="137">
        <f t="shared" si="99"/>
        <v>4.5263157894736818E-2</v>
      </c>
    </row>
    <row r="3067" spans="1:12" x14ac:dyDescent="0.25">
      <c r="A3067" s="78">
        <v>46194</v>
      </c>
      <c r="B3067" s="68">
        <v>18</v>
      </c>
      <c r="C3067" s="33" t="s">
        <v>885</v>
      </c>
      <c r="D3067" s="30">
        <v>1</v>
      </c>
      <c r="E3067" s="30">
        <v>30</v>
      </c>
      <c r="F3067" s="30">
        <f t="shared" si="100"/>
        <v>30</v>
      </c>
      <c r="G3067" s="30" t="s">
        <v>9</v>
      </c>
      <c r="J3067" s="30" t="s">
        <v>392</v>
      </c>
      <c r="K3067" s="125">
        <f>IFERROR(VLOOKUP(C3067, PA!A:M, 13, FALSE),0)</f>
        <v>0.1111111111111111</v>
      </c>
      <c r="L3067" s="137">
        <f t="shared" si="99"/>
        <v>9.9999999999999992E-2</v>
      </c>
    </row>
    <row r="3068" spans="1:12" x14ac:dyDescent="0.25">
      <c r="A3068" s="78">
        <v>46194</v>
      </c>
      <c r="B3068" s="68">
        <v>19</v>
      </c>
      <c r="C3068" s="33" t="s">
        <v>565</v>
      </c>
      <c r="D3068" s="30">
        <v>1</v>
      </c>
      <c r="E3068" s="30">
        <v>10</v>
      </c>
      <c r="F3068" s="30">
        <f t="shared" si="100"/>
        <v>10</v>
      </c>
      <c r="G3068" s="30" t="s">
        <v>10</v>
      </c>
      <c r="J3068" s="30" t="s">
        <v>392</v>
      </c>
      <c r="K3068" s="125">
        <f>IFERROR(VLOOKUP(C3068, PA!A:M, 13, FALSE),0)</f>
        <v>0.10091743119266047</v>
      </c>
      <c r="L3068" s="137">
        <f t="shared" si="99"/>
        <v>9.1666666666666605E-2</v>
      </c>
    </row>
    <row r="3069" spans="1:12" x14ac:dyDescent="0.25">
      <c r="A3069" s="78">
        <v>46194</v>
      </c>
      <c r="B3069" s="68">
        <v>19</v>
      </c>
      <c r="C3069" s="33" t="s">
        <v>705</v>
      </c>
      <c r="D3069" s="30">
        <v>2</v>
      </c>
      <c r="E3069" s="30">
        <v>10</v>
      </c>
      <c r="F3069" s="30">
        <f t="shared" si="100"/>
        <v>20</v>
      </c>
      <c r="G3069" s="30" t="s">
        <v>10</v>
      </c>
      <c r="J3069" s="30" t="s">
        <v>392</v>
      </c>
      <c r="K3069" s="125">
        <f>IFERROR(VLOOKUP(C3069, PA!A:M, 13, FALSE),0)</f>
        <v>9.0909090909090981E-2</v>
      </c>
      <c r="L3069" s="137">
        <f t="shared" si="99"/>
        <v>8.3333333333333384E-2</v>
      </c>
    </row>
    <row r="3070" spans="1:12" x14ac:dyDescent="0.25">
      <c r="A3070" s="78">
        <v>46194</v>
      </c>
      <c r="B3070" s="68">
        <v>19</v>
      </c>
      <c r="C3070" s="33" t="s">
        <v>684</v>
      </c>
      <c r="D3070" s="30">
        <v>2</v>
      </c>
      <c r="E3070" s="30">
        <v>10</v>
      </c>
      <c r="F3070" s="30">
        <f t="shared" si="100"/>
        <v>20</v>
      </c>
      <c r="G3070" s="30" t="s">
        <v>10</v>
      </c>
      <c r="J3070" s="30" t="s">
        <v>392</v>
      </c>
      <c r="K3070" s="125">
        <f>IFERROR(VLOOKUP(C3070, PA!A:M, 13, FALSE),0)</f>
        <v>4.7409040793825769E-2</v>
      </c>
      <c r="L3070" s="137">
        <f t="shared" si="99"/>
        <v>4.5263157894736818E-2</v>
      </c>
    </row>
    <row r="3071" spans="1:12" x14ac:dyDescent="0.25">
      <c r="A3071" s="78">
        <v>46194</v>
      </c>
      <c r="B3071" s="68">
        <v>19</v>
      </c>
      <c r="C3071" s="33" t="s">
        <v>499</v>
      </c>
      <c r="D3071" s="30">
        <v>1</v>
      </c>
      <c r="E3071" s="30">
        <v>20</v>
      </c>
      <c r="F3071" s="30">
        <f t="shared" si="100"/>
        <v>20</v>
      </c>
      <c r="G3071" s="30" t="s">
        <v>10</v>
      </c>
      <c r="J3071" s="30" t="s">
        <v>392</v>
      </c>
      <c r="K3071" s="125">
        <f>IFERROR(VLOOKUP(C3071, PA!A:M, 13, FALSE),0)</f>
        <v>0.6</v>
      </c>
      <c r="L3071" s="137">
        <f t="shared" si="99"/>
        <v>0.37499999999999994</v>
      </c>
    </row>
    <row r="3072" spans="1:12" x14ac:dyDescent="0.25">
      <c r="A3072" s="78">
        <v>46194</v>
      </c>
      <c r="B3072" s="68">
        <v>20</v>
      </c>
      <c r="C3072" s="33" t="s">
        <v>565</v>
      </c>
      <c r="D3072" s="30">
        <v>2</v>
      </c>
      <c r="E3072" s="30">
        <v>10</v>
      </c>
      <c r="F3072" s="30">
        <f t="shared" si="100"/>
        <v>20</v>
      </c>
      <c r="G3072" s="30" t="s">
        <v>9</v>
      </c>
      <c r="J3072" s="30" t="s">
        <v>392</v>
      </c>
      <c r="K3072" s="125">
        <f>IFERROR(VLOOKUP(C3072, PA!A:M, 13, FALSE),0)</f>
        <v>0.10091743119266047</v>
      </c>
      <c r="L3072" s="137">
        <f t="shared" si="99"/>
        <v>9.1666666666666605E-2</v>
      </c>
    </row>
    <row r="3073" spans="1:12" x14ac:dyDescent="0.25">
      <c r="A3073" s="78">
        <v>46194</v>
      </c>
      <c r="B3073" s="68">
        <v>20</v>
      </c>
      <c r="C3073" s="33" t="s">
        <v>667</v>
      </c>
      <c r="D3073" s="30">
        <v>4</v>
      </c>
      <c r="E3073" s="30">
        <v>5</v>
      </c>
      <c r="F3073" s="30">
        <f t="shared" si="100"/>
        <v>20</v>
      </c>
      <c r="G3073" s="30" t="s">
        <v>9</v>
      </c>
      <c r="J3073" s="30" t="s">
        <v>392</v>
      </c>
      <c r="K3073" s="125">
        <f>IFERROR(VLOOKUP(C3073, PA!A:M, 13, FALSE),0)</f>
        <v>0.1111111111111111</v>
      </c>
      <c r="L3073" s="137">
        <f t="shared" si="99"/>
        <v>9.9999999999999992E-2</v>
      </c>
    </row>
    <row r="3074" spans="1:12" x14ac:dyDescent="0.25">
      <c r="A3074" s="78">
        <v>46194</v>
      </c>
      <c r="B3074" s="68">
        <v>21</v>
      </c>
      <c r="C3074" s="33" t="s">
        <v>565</v>
      </c>
      <c r="D3074" s="30">
        <v>1</v>
      </c>
      <c r="E3074" s="30">
        <v>10</v>
      </c>
      <c r="F3074" s="30">
        <f t="shared" ref="F3074:F3080" si="101">E3074*D3074</f>
        <v>10</v>
      </c>
      <c r="G3074" s="30" t="s">
        <v>9</v>
      </c>
      <c r="J3074" s="30" t="s">
        <v>392</v>
      </c>
      <c r="K3074" s="125">
        <f>IFERROR(VLOOKUP(C3074, PA!A:M, 13, FALSE),0)</f>
        <v>0.10091743119266047</v>
      </c>
      <c r="L3074" s="137">
        <f t="shared" si="99"/>
        <v>9.1666666666666605E-2</v>
      </c>
    </row>
    <row r="3075" spans="1:12" x14ac:dyDescent="0.25">
      <c r="A3075" s="78">
        <v>46194</v>
      </c>
      <c r="B3075" s="68">
        <v>22</v>
      </c>
      <c r="C3075" s="33" t="s">
        <v>822</v>
      </c>
      <c r="D3075" s="30">
        <v>1</v>
      </c>
      <c r="E3075" s="30">
        <v>30</v>
      </c>
      <c r="F3075" s="30">
        <f t="shared" si="101"/>
        <v>30</v>
      </c>
      <c r="G3075" s="30" t="s">
        <v>9</v>
      </c>
      <c r="J3075" s="30" t="s">
        <v>392</v>
      </c>
      <c r="K3075" s="125">
        <f>IFERROR(VLOOKUP(C3075, PA!A:M, 13, FALSE),0)</f>
        <v>7.1428571428571425E-2</v>
      </c>
      <c r="L3075" s="137">
        <f t="shared" si="99"/>
        <v>6.6666666666666666E-2</v>
      </c>
    </row>
    <row r="3076" spans="1:12" x14ac:dyDescent="0.25">
      <c r="A3076" s="78">
        <v>46194</v>
      </c>
      <c r="B3076" s="68">
        <v>23</v>
      </c>
      <c r="C3076" s="33" t="s">
        <v>858</v>
      </c>
      <c r="D3076" s="30">
        <v>2</v>
      </c>
      <c r="E3076" s="30">
        <v>10</v>
      </c>
      <c r="F3076" s="30">
        <f t="shared" si="101"/>
        <v>20</v>
      </c>
      <c r="G3076" s="30" t="s">
        <v>9</v>
      </c>
      <c r="J3076" s="30" t="s">
        <v>392</v>
      </c>
      <c r="K3076" s="125">
        <f>IFERROR(VLOOKUP(C3076, PA!A:M, 13, FALSE),0)</f>
        <v>9.0909090909090981E-2</v>
      </c>
      <c r="L3076" s="137">
        <f t="shared" si="99"/>
        <v>8.3333333333333384E-2</v>
      </c>
    </row>
    <row r="3077" spans="1:12" x14ac:dyDescent="0.25">
      <c r="A3077" s="78">
        <v>46194</v>
      </c>
      <c r="B3077" s="68">
        <v>24</v>
      </c>
      <c r="C3077" s="33" t="s">
        <v>780</v>
      </c>
      <c r="D3077" s="30">
        <v>0.2</v>
      </c>
      <c r="E3077" s="30">
        <v>150</v>
      </c>
      <c r="F3077" s="30">
        <f t="shared" si="101"/>
        <v>30</v>
      </c>
      <c r="G3077" s="30" t="s">
        <v>10</v>
      </c>
      <c r="J3077" s="30" t="s">
        <v>392</v>
      </c>
      <c r="K3077" s="125">
        <f>IFERROR(VLOOKUP(C3077, PA!A:M, 13, FALSE),0)</f>
        <v>0.66666666666666663</v>
      </c>
      <c r="L3077" s="137">
        <f t="shared" si="99"/>
        <v>0.4</v>
      </c>
    </row>
    <row r="3078" spans="1:12" x14ac:dyDescent="0.25">
      <c r="A3078" s="78">
        <v>46194</v>
      </c>
      <c r="B3078" s="68">
        <v>24</v>
      </c>
      <c r="C3078" s="33" t="s">
        <v>822</v>
      </c>
      <c r="D3078" s="30">
        <v>0.5</v>
      </c>
      <c r="E3078" s="30">
        <v>30</v>
      </c>
      <c r="F3078" s="30">
        <f t="shared" si="101"/>
        <v>15</v>
      </c>
      <c r="G3078" s="30" t="s">
        <v>10</v>
      </c>
      <c r="J3078" s="30" t="s">
        <v>392</v>
      </c>
      <c r="K3078" s="125">
        <f>IFERROR(VLOOKUP(C3078, PA!A:M, 13, FALSE),0)</f>
        <v>7.1428571428571425E-2</v>
      </c>
      <c r="L3078" s="137">
        <f t="shared" si="99"/>
        <v>6.6666666666666666E-2</v>
      </c>
    </row>
    <row r="3079" spans="1:12" x14ac:dyDescent="0.25">
      <c r="A3079" s="78">
        <v>46194</v>
      </c>
      <c r="B3079" s="68">
        <v>25</v>
      </c>
      <c r="C3079" s="159" t="s">
        <v>532</v>
      </c>
      <c r="D3079" s="30">
        <v>1</v>
      </c>
      <c r="E3079" s="30">
        <v>5</v>
      </c>
      <c r="F3079" s="30">
        <f t="shared" si="101"/>
        <v>5</v>
      </c>
      <c r="G3079" s="30" t="s">
        <v>10</v>
      </c>
      <c r="J3079" s="30" t="s">
        <v>392</v>
      </c>
      <c r="K3079" s="125">
        <f>IFERROR(VLOOKUP(C3079, PA!A:M, 13, FALSE),0)</f>
        <v>0.10294117647058826</v>
      </c>
      <c r="L3079" s="137">
        <f t="shared" si="99"/>
        <v>9.3333333333333351E-2</v>
      </c>
    </row>
    <row r="3080" spans="1:12" x14ac:dyDescent="0.25">
      <c r="A3080" s="78">
        <v>46194</v>
      </c>
      <c r="B3080" s="68">
        <v>25</v>
      </c>
      <c r="C3080" s="33" t="s">
        <v>639</v>
      </c>
      <c r="D3080" s="30">
        <v>2</v>
      </c>
      <c r="E3080" s="30">
        <v>2</v>
      </c>
      <c r="F3080" s="30">
        <f t="shared" si="101"/>
        <v>4</v>
      </c>
      <c r="G3080" s="30" t="s">
        <v>10</v>
      </c>
      <c r="J3080" s="30" t="s">
        <v>392</v>
      </c>
      <c r="K3080" s="125">
        <f>IFERROR(VLOOKUP(C3080, PA!A:M, 13, FALSE),0)</f>
        <v>0.19999999999999996</v>
      </c>
      <c r="L3080" s="137">
        <f t="shared" si="99"/>
        <v>0.16666666666666663</v>
      </c>
    </row>
    <row r="3081" spans="1:12" x14ac:dyDescent="0.25">
      <c r="A3081" s="151"/>
      <c r="B3081" s="139"/>
      <c r="C3081" s="150"/>
      <c r="D3081" s="62"/>
      <c r="E3081" s="62"/>
      <c r="F3081" s="62"/>
      <c r="G3081" s="62"/>
      <c r="H3081" s="139"/>
      <c r="I3081" s="139">
        <f>SUMIF(G3033:G3081, "&lt;&gt;UPI",F3033:F3081)</f>
        <v>767.02</v>
      </c>
      <c r="J3081" s="62"/>
      <c r="K3081" s="123">
        <f>AVERAGE(K3033:K3080)</f>
        <v>0.14090824034571015</v>
      </c>
      <c r="L3081" s="154">
        <f>AVERAGE(L3033:L3080)</f>
        <v>0.11398325900464058</v>
      </c>
    </row>
    <row r="3082" spans="1:12" s="69" customFormat="1" ht="18" customHeight="1" x14ac:dyDescent="0.3">
      <c r="A3082" s="146"/>
      <c r="B3082" s="147" t="s">
        <v>987</v>
      </c>
      <c r="C3082" s="148">
        <f>MAX(B3021:B3081)</f>
        <v>25</v>
      </c>
      <c r="D3082" s="147" t="s">
        <v>988</v>
      </c>
      <c r="E3082" s="149">
        <f>SUMIF(G3021:G3081,"UPI",F3021:F3081)</f>
        <v>418</v>
      </c>
      <c r="F3082" s="227" t="s">
        <v>437</v>
      </c>
      <c r="G3082" s="228"/>
      <c r="H3082" s="229"/>
      <c r="I3082" s="247">
        <f>SUM(F3021:F3081)</f>
        <v>1309.52</v>
      </c>
      <c r="J3082" s="248"/>
      <c r="K3082" s="248"/>
      <c r="L3082" s="249"/>
    </row>
    <row r="3083" spans="1:12" x14ac:dyDescent="0.25">
      <c r="A3083" s="78">
        <v>46195</v>
      </c>
      <c r="B3083" s="68">
        <v>1</v>
      </c>
      <c r="C3083" s="33" t="s">
        <v>726</v>
      </c>
      <c r="D3083" s="30">
        <v>1</v>
      </c>
      <c r="E3083" s="30">
        <v>100</v>
      </c>
      <c r="F3083" s="30">
        <f>E3083*D3083</f>
        <v>100</v>
      </c>
      <c r="G3083" s="30" t="s">
        <v>9</v>
      </c>
      <c r="J3083" s="30" t="s">
        <v>391</v>
      </c>
      <c r="K3083" s="125">
        <f>IFERROR(VLOOKUP(C3083, PA!A:M, 13, FALSE),0)</f>
        <v>0.22222222222222221</v>
      </c>
      <c r="L3083" s="137">
        <f t="shared" ref="L3083:L3099" si="102">K3083/(1+K3083)</f>
        <v>0.1818181818181818</v>
      </c>
    </row>
    <row r="3084" spans="1:12" ht="30" x14ac:dyDescent="0.25">
      <c r="A3084" s="78">
        <v>46195</v>
      </c>
      <c r="B3084" s="68">
        <v>1</v>
      </c>
      <c r="C3084" s="33" t="s">
        <v>766</v>
      </c>
      <c r="D3084" s="30">
        <v>1</v>
      </c>
      <c r="E3084" s="30">
        <v>72</v>
      </c>
      <c r="F3084" s="30">
        <f t="shared" ref="F3084:F3099" si="103">E3084*D3084</f>
        <v>72</v>
      </c>
      <c r="G3084" s="30" t="s">
        <v>9</v>
      </c>
      <c r="J3084" s="30" t="s">
        <v>391</v>
      </c>
      <c r="K3084" s="125">
        <f>IFERROR(VLOOKUP(C3084, PA!A:M, 13, FALSE),0)</f>
        <v>7.9999999999999918E-2</v>
      </c>
      <c r="L3084" s="137">
        <f t="shared" si="102"/>
        <v>7.4074074074074014E-2</v>
      </c>
    </row>
    <row r="3085" spans="1:12" x14ac:dyDescent="0.25">
      <c r="A3085" s="78">
        <v>46195</v>
      </c>
      <c r="B3085" s="68">
        <v>2</v>
      </c>
      <c r="C3085" s="33" t="s">
        <v>807</v>
      </c>
      <c r="D3085" s="30">
        <v>1</v>
      </c>
      <c r="E3085" s="30">
        <v>69</v>
      </c>
      <c r="F3085" s="30">
        <f t="shared" si="103"/>
        <v>69</v>
      </c>
      <c r="G3085" s="30" t="s">
        <v>10</v>
      </c>
      <c r="J3085" s="30" t="s">
        <v>391</v>
      </c>
      <c r="K3085" s="125">
        <f>IFERROR(VLOOKUP(C3085, PA!A:M, 13, FALSE),0)</f>
        <v>0.2068269230769231</v>
      </c>
      <c r="L3085" s="137">
        <f t="shared" si="102"/>
        <v>0.17138076647279105</v>
      </c>
    </row>
    <row r="3086" spans="1:12" x14ac:dyDescent="0.25">
      <c r="A3086" s="78">
        <v>46195</v>
      </c>
      <c r="B3086" s="68">
        <v>2</v>
      </c>
      <c r="C3086" s="33" t="s">
        <v>716</v>
      </c>
      <c r="D3086" s="30">
        <v>1</v>
      </c>
      <c r="E3086" s="30">
        <v>57</v>
      </c>
      <c r="F3086" s="30">
        <f t="shared" si="103"/>
        <v>57</v>
      </c>
      <c r="G3086" s="30" t="s">
        <v>10</v>
      </c>
      <c r="J3086" s="30" t="s">
        <v>391</v>
      </c>
      <c r="K3086" s="125">
        <f>IFERROR(VLOOKUP(C3086, PA!A:M, 13, FALSE),0)</f>
        <v>0.16</v>
      </c>
      <c r="L3086" s="137">
        <f t="shared" si="102"/>
        <v>0.13793103448275865</v>
      </c>
    </row>
    <row r="3087" spans="1:12" x14ac:dyDescent="0.25">
      <c r="A3087" s="78">
        <v>46195</v>
      </c>
      <c r="B3087" s="68">
        <v>1</v>
      </c>
      <c r="C3087" s="33" t="s">
        <v>518</v>
      </c>
      <c r="D3087" s="30">
        <v>1</v>
      </c>
      <c r="E3087" s="30">
        <v>69</v>
      </c>
      <c r="F3087" s="30">
        <f t="shared" si="103"/>
        <v>69</v>
      </c>
      <c r="G3087" s="30" t="s">
        <v>9</v>
      </c>
      <c r="J3087" s="30" t="s">
        <v>391</v>
      </c>
      <c r="K3087" s="125">
        <f>IFERROR(VLOOKUP(C3087, PA!A:M, 13, FALSE),0)</f>
        <v>7.6923076923076927E-2</v>
      </c>
      <c r="L3087" s="137">
        <f t="shared" si="102"/>
        <v>7.1428571428571438E-2</v>
      </c>
    </row>
    <row r="3088" spans="1:12" ht="30" x14ac:dyDescent="0.25">
      <c r="A3088" s="78">
        <v>46195</v>
      </c>
      <c r="B3088" s="68">
        <v>1</v>
      </c>
      <c r="C3088" s="33" t="s">
        <v>363</v>
      </c>
      <c r="D3088" s="30">
        <v>2</v>
      </c>
      <c r="E3088" s="30">
        <v>4.5</v>
      </c>
      <c r="F3088" s="30">
        <f t="shared" si="103"/>
        <v>9</v>
      </c>
      <c r="G3088" s="30" t="s">
        <v>9</v>
      </c>
      <c r="J3088" s="30" t="s">
        <v>391</v>
      </c>
      <c r="K3088" s="125">
        <f>IFERROR(VLOOKUP(C3088, PA!A:M, 13, FALSE),0)</f>
        <v>5.2631578947368418E-2</v>
      </c>
      <c r="L3088" s="137">
        <f t="shared" si="102"/>
        <v>0.05</v>
      </c>
    </row>
    <row r="3089" spans="1:12" x14ac:dyDescent="0.25">
      <c r="A3089" s="78">
        <v>46195</v>
      </c>
      <c r="B3089" s="68">
        <v>2</v>
      </c>
      <c r="C3089" s="33" t="s">
        <v>772</v>
      </c>
      <c r="D3089" s="30">
        <v>1</v>
      </c>
      <c r="E3089" s="30">
        <v>20</v>
      </c>
      <c r="F3089" s="30">
        <f t="shared" si="103"/>
        <v>20</v>
      </c>
      <c r="G3089" s="30" t="s">
        <v>10</v>
      </c>
      <c r="J3089" s="30" t="s">
        <v>391</v>
      </c>
      <c r="K3089" s="125">
        <f>IFERROR(VLOOKUP(C3089, PA!A:M, 13, FALSE),0)</f>
        <v>0.1111111111111111</v>
      </c>
      <c r="L3089" s="137">
        <f t="shared" si="102"/>
        <v>9.9999999999999992E-2</v>
      </c>
    </row>
    <row r="3090" spans="1:12" ht="30" x14ac:dyDescent="0.25">
      <c r="A3090" s="78">
        <v>46195</v>
      </c>
      <c r="B3090" s="68">
        <v>3</v>
      </c>
      <c r="C3090" s="33" t="s">
        <v>363</v>
      </c>
      <c r="D3090" s="30">
        <v>1</v>
      </c>
      <c r="E3090" s="30">
        <v>5</v>
      </c>
      <c r="F3090" s="30">
        <f t="shared" si="103"/>
        <v>5</v>
      </c>
      <c r="G3090" s="30" t="s">
        <v>9</v>
      </c>
      <c r="J3090" s="30" t="s">
        <v>391</v>
      </c>
      <c r="K3090" s="125">
        <f>IFERROR(VLOOKUP(C3090, PA!A:M, 13, FALSE),0)</f>
        <v>5.2631578947368418E-2</v>
      </c>
      <c r="L3090" s="137">
        <f t="shared" si="102"/>
        <v>0.05</v>
      </c>
    </row>
    <row r="3091" spans="1:12" x14ac:dyDescent="0.25">
      <c r="A3091" s="78">
        <v>46195</v>
      </c>
      <c r="B3091" s="68">
        <v>3</v>
      </c>
      <c r="C3091" s="159" t="s">
        <v>535</v>
      </c>
      <c r="D3091" s="30">
        <v>1</v>
      </c>
      <c r="E3091" s="30">
        <v>10</v>
      </c>
      <c r="F3091" s="30">
        <f t="shared" si="103"/>
        <v>10</v>
      </c>
      <c r="G3091" s="30" t="s">
        <v>9</v>
      </c>
      <c r="J3091" s="30" t="s">
        <v>391</v>
      </c>
      <c r="K3091" s="125">
        <f>IFERROR(VLOOKUP(C3091, PA!A:M, 13, FALSE),0)</f>
        <v>9.0909090909090981E-2</v>
      </c>
      <c r="L3091" s="137">
        <f t="shared" si="102"/>
        <v>8.3333333333333384E-2</v>
      </c>
    </row>
    <row r="3092" spans="1:12" x14ac:dyDescent="0.25">
      <c r="A3092" s="78">
        <v>46195</v>
      </c>
      <c r="B3092" s="68">
        <v>4</v>
      </c>
      <c r="C3092" s="33" t="s">
        <v>709</v>
      </c>
      <c r="D3092" s="30">
        <v>1</v>
      </c>
      <c r="E3092" s="30">
        <v>10</v>
      </c>
      <c r="F3092" s="30">
        <f t="shared" si="103"/>
        <v>10</v>
      </c>
      <c r="G3092" s="30" t="s">
        <v>9</v>
      </c>
      <c r="J3092" s="30" t="s">
        <v>391</v>
      </c>
      <c r="K3092" s="125">
        <f>IFERROR(VLOOKUP(C3092, PA!A:M, 13, FALSE),0)</f>
        <v>0.3636363636363637</v>
      </c>
      <c r="L3092" s="137">
        <f t="shared" si="102"/>
        <v>0.26666666666666672</v>
      </c>
    </row>
    <row r="3093" spans="1:12" x14ac:dyDescent="0.25">
      <c r="A3093" s="78">
        <v>46195</v>
      </c>
      <c r="B3093" s="68">
        <v>5</v>
      </c>
      <c r="C3093" s="33" t="s">
        <v>134</v>
      </c>
      <c r="D3093" s="30">
        <v>1</v>
      </c>
      <c r="E3093" s="30">
        <v>28</v>
      </c>
      <c r="F3093" s="30">
        <f t="shared" si="103"/>
        <v>28</v>
      </c>
      <c r="G3093" s="30" t="s">
        <v>10</v>
      </c>
      <c r="J3093" s="30" t="s">
        <v>391</v>
      </c>
      <c r="K3093" s="125">
        <f>IFERROR(VLOOKUP(C3093, PA!A:M, 13, FALSE),0)</f>
        <v>0.16666666666666666</v>
      </c>
      <c r="L3093" s="137">
        <f t="shared" si="102"/>
        <v>0.14285714285714285</v>
      </c>
    </row>
    <row r="3094" spans="1:12" x14ac:dyDescent="0.25">
      <c r="A3094" s="78">
        <v>46195</v>
      </c>
      <c r="B3094" s="68">
        <v>2</v>
      </c>
      <c r="C3094" s="33" t="s">
        <v>946</v>
      </c>
      <c r="D3094" s="30">
        <v>1</v>
      </c>
      <c r="E3094" s="30">
        <v>40</v>
      </c>
      <c r="F3094" s="30">
        <f t="shared" si="103"/>
        <v>40</v>
      </c>
      <c r="G3094" s="30" t="s">
        <v>10</v>
      </c>
      <c r="J3094" s="30" t="s">
        <v>391</v>
      </c>
      <c r="K3094" s="125">
        <f>IFERROR(VLOOKUP(C3094, PA!A:M, 13, FALSE),0)</f>
        <v>0</v>
      </c>
      <c r="L3094" s="137">
        <f t="shared" si="102"/>
        <v>0</v>
      </c>
    </row>
    <row r="3095" spans="1:12" x14ac:dyDescent="0.25">
      <c r="A3095" s="78">
        <v>46195</v>
      </c>
      <c r="B3095" s="68">
        <v>6</v>
      </c>
      <c r="C3095" s="33" t="s">
        <v>888</v>
      </c>
      <c r="D3095" s="30">
        <v>1</v>
      </c>
      <c r="E3095" s="30">
        <v>35</v>
      </c>
      <c r="F3095" s="30">
        <f t="shared" si="103"/>
        <v>35</v>
      </c>
      <c r="G3095" s="30" t="s">
        <v>9</v>
      </c>
      <c r="J3095" s="30" t="s">
        <v>391</v>
      </c>
      <c r="K3095" s="125">
        <f>IFERROR(VLOOKUP(C3095, PA!A:M, 13, FALSE),0)</f>
        <v>9.375E-2</v>
      </c>
      <c r="L3095" s="137">
        <f t="shared" si="102"/>
        <v>8.5714285714285715E-2</v>
      </c>
    </row>
    <row r="3096" spans="1:12" x14ac:dyDescent="0.25">
      <c r="A3096" s="78">
        <v>46195</v>
      </c>
      <c r="B3096" s="68">
        <v>6</v>
      </c>
      <c r="C3096" s="159" t="s">
        <v>532</v>
      </c>
      <c r="D3096" s="30">
        <v>1</v>
      </c>
      <c r="E3096" s="30">
        <v>5</v>
      </c>
      <c r="F3096" s="30">
        <f t="shared" si="103"/>
        <v>5</v>
      </c>
      <c r="G3096" s="30" t="s">
        <v>9</v>
      </c>
      <c r="J3096" s="30" t="s">
        <v>391</v>
      </c>
      <c r="K3096" s="125">
        <f>IFERROR(VLOOKUP(C3096, PA!A:M, 13, FALSE),0)</f>
        <v>0.10294117647058826</v>
      </c>
      <c r="L3096" s="137">
        <f t="shared" si="102"/>
        <v>9.3333333333333351E-2</v>
      </c>
    </row>
    <row r="3097" spans="1:12" x14ac:dyDescent="0.25">
      <c r="A3097" s="78">
        <v>46195</v>
      </c>
      <c r="B3097" s="68">
        <v>7</v>
      </c>
      <c r="C3097" s="33" t="s">
        <v>684</v>
      </c>
      <c r="D3097" s="30">
        <v>4</v>
      </c>
      <c r="E3097" s="30">
        <v>9.5</v>
      </c>
      <c r="F3097" s="30">
        <f t="shared" si="103"/>
        <v>38</v>
      </c>
      <c r="G3097" s="30" t="s">
        <v>9</v>
      </c>
      <c r="J3097" s="30" t="s">
        <v>391</v>
      </c>
      <c r="K3097" s="125">
        <f>IFERROR(VLOOKUP(C3097, PA!A:M, 13, FALSE),0)</f>
        <v>4.7409040793825769E-2</v>
      </c>
      <c r="L3097" s="137">
        <f t="shared" si="102"/>
        <v>4.5263157894736818E-2</v>
      </c>
    </row>
    <row r="3098" spans="1:12" x14ac:dyDescent="0.25">
      <c r="A3098" s="78">
        <v>46195</v>
      </c>
      <c r="B3098" s="68">
        <v>7</v>
      </c>
      <c r="C3098" s="159" t="s">
        <v>651</v>
      </c>
      <c r="D3098" s="30">
        <v>8</v>
      </c>
      <c r="E3098" s="30">
        <v>8.75</v>
      </c>
      <c r="F3098" s="30">
        <f t="shared" si="103"/>
        <v>70</v>
      </c>
      <c r="G3098" s="30" t="s">
        <v>9</v>
      </c>
      <c r="J3098" s="30" t="s">
        <v>391</v>
      </c>
      <c r="K3098" s="125">
        <f>IFERROR(VLOOKUP(C3098, PA!A:M, 13, FALSE),0)</f>
        <v>0.17493472584856395</v>
      </c>
      <c r="L3098" s="137">
        <f t="shared" si="102"/>
        <v>0.1488888888888889</v>
      </c>
    </row>
    <row r="3099" spans="1:12" x14ac:dyDescent="0.25">
      <c r="A3099" s="78">
        <v>46195</v>
      </c>
      <c r="B3099" s="68">
        <v>8</v>
      </c>
      <c r="C3099" s="33" t="s">
        <v>680</v>
      </c>
      <c r="D3099" s="30">
        <v>1</v>
      </c>
      <c r="E3099" s="30">
        <v>10</v>
      </c>
      <c r="F3099" s="30">
        <f t="shared" si="103"/>
        <v>10</v>
      </c>
      <c r="G3099" s="30" t="s">
        <v>9</v>
      </c>
      <c r="J3099" s="30" t="s">
        <v>391</v>
      </c>
      <c r="K3099" s="125">
        <f>IFERROR(VLOOKUP(C3099, PA!A:M, 13, FALSE),0)</f>
        <v>9.170305676855893E-2</v>
      </c>
      <c r="L3099" s="137">
        <f t="shared" si="102"/>
        <v>8.3999999999999991E-2</v>
      </c>
    </row>
    <row r="3100" spans="1:12" x14ac:dyDescent="0.25">
      <c r="A3100" s="78">
        <v>46195</v>
      </c>
      <c r="B3100" s="139"/>
      <c r="C3100" s="150"/>
      <c r="D3100" s="62"/>
      <c r="E3100" s="62"/>
      <c r="F3100" s="62"/>
      <c r="G3100" s="62"/>
      <c r="H3100" s="139"/>
      <c r="I3100" s="139">
        <f>SUMIF(G3083:G3099, "&lt;&gt;UPI",F3083:F3099)</f>
        <v>433</v>
      </c>
      <c r="J3100" s="62"/>
      <c r="K3100" s="62">
        <f>AVERAGE(K3083:K3099)</f>
        <v>0.1231939183718664</v>
      </c>
      <c r="L3100" s="154">
        <f>AVERAGE(L3083:L3099)</f>
        <v>0.10509937864498616</v>
      </c>
    </row>
    <row r="3101" spans="1:12" x14ac:dyDescent="0.25">
      <c r="A3101" s="78">
        <v>46195</v>
      </c>
      <c r="K3101" s="125">
        <f>IFERROR(VLOOKUP(C3101, PA!A:M, 13, FALSE),0)</f>
        <v>0</v>
      </c>
      <c r="L3101" s="137">
        <f>K3101/(1+K3101)</f>
        <v>0</v>
      </c>
    </row>
    <row r="3102" spans="1:12" x14ac:dyDescent="0.25">
      <c r="A3102" s="151"/>
      <c r="B3102" s="139"/>
      <c r="C3102" s="150"/>
      <c r="D3102" s="62"/>
      <c r="E3102" s="62"/>
      <c r="F3102" s="62"/>
      <c r="G3102" s="62"/>
      <c r="H3102" s="139"/>
      <c r="I3102" s="139">
        <f>SUMIF(G3101:G3101, "&lt;&gt;UPI",F3101:F3101)</f>
        <v>0</v>
      </c>
      <c r="J3102" s="62"/>
      <c r="K3102" s="62">
        <f>AVERAGE(K3101:K3101)</f>
        <v>0</v>
      </c>
      <c r="L3102" s="154">
        <f>AVERAGE(L3101:L3101)</f>
        <v>0</v>
      </c>
    </row>
    <row r="3103" spans="1:12" s="69" customFormat="1" ht="18.75" x14ac:dyDescent="0.3">
      <c r="A3103" s="146"/>
      <c r="B3103" s="147" t="s">
        <v>987</v>
      </c>
      <c r="C3103" s="148">
        <f>MAX(B3083:B3102)</f>
        <v>8</v>
      </c>
      <c r="D3103" s="147" t="s">
        <v>988</v>
      </c>
      <c r="E3103" s="147">
        <f>SUMIF(G3083:G3102,"UPI",F3083:F3102)</f>
        <v>214</v>
      </c>
      <c r="F3103" s="247" t="s">
        <v>437</v>
      </c>
      <c r="G3103" s="248"/>
      <c r="H3103" s="249"/>
      <c r="I3103" s="247">
        <f>SUM(F3083:F3102)</f>
        <v>647</v>
      </c>
      <c r="J3103" s="248"/>
      <c r="K3103" s="248"/>
      <c r="L3103" s="249"/>
    </row>
    <row r="3104" spans="1:12" ht="30" x14ac:dyDescent="0.25">
      <c r="A3104" s="78">
        <v>46196</v>
      </c>
      <c r="B3104" s="68">
        <v>1</v>
      </c>
      <c r="C3104" s="33" t="s">
        <v>961</v>
      </c>
      <c r="D3104" s="30">
        <v>1</v>
      </c>
      <c r="E3104" s="30">
        <v>10</v>
      </c>
      <c r="F3104" s="30">
        <f>E3104*D3104</f>
        <v>10</v>
      </c>
      <c r="G3104" s="30" t="s">
        <v>9</v>
      </c>
      <c r="J3104" s="30" t="s">
        <v>392</v>
      </c>
      <c r="K3104" s="125">
        <f>IFERROR(VLOOKUP(C3104, PA!A:M, 13, FALSE),0)</f>
        <v>0.1111111111111111</v>
      </c>
      <c r="L3104" s="137">
        <f t="shared" ref="L3104:L3144" si="104">K3104/(1+K3104)</f>
        <v>9.9999999999999992E-2</v>
      </c>
    </row>
    <row r="3105" spans="1:12" x14ac:dyDescent="0.25">
      <c r="A3105" s="78">
        <v>46196</v>
      </c>
      <c r="B3105" s="68">
        <v>1</v>
      </c>
      <c r="C3105" s="70" t="s">
        <v>530</v>
      </c>
      <c r="D3105" s="30">
        <v>1</v>
      </c>
      <c r="E3105" s="30">
        <v>10</v>
      </c>
      <c r="F3105" s="30">
        <f t="shared" ref="F3105:F3144" si="105">E3105*D3105</f>
        <v>10</v>
      </c>
      <c r="G3105" s="30" t="s">
        <v>9</v>
      </c>
      <c r="J3105" s="30" t="s">
        <v>392</v>
      </c>
      <c r="K3105" s="125">
        <f>IFERROR(VLOOKUP(C3105, PA!A:M, 13, FALSE),0)</f>
        <v>0.19999999999999993</v>
      </c>
      <c r="L3105" s="137">
        <f t="shared" si="104"/>
        <v>0.1666666666666666</v>
      </c>
    </row>
    <row r="3106" spans="1:12" x14ac:dyDescent="0.25">
      <c r="A3106" s="78">
        <v>46196</v>
      </c>
      <c r="B3106" s="68">
        <v>2</v>
      </c>
      <c r="C3106" s="33" t="s">
        <v>946</v>
      </c>
      <c r="D3106" s="30">
        <v>1</v>
      </c>
      <c r="E3106" s="30">
        <v>40</v>
      </c>
      <c r="F3106" s="30">
        <f t="shared" si="105"/>
        <v>40</v>
      </c>
      <c r="G3106" s="30" t="s">
        <v>9</v>
      </c>
      <c r="J3106" s="30" t="s">
        <v>392</v>
      </c>
      <c r="K3106" s="125">
        <f>IFERROR(VLOOKUP(C3106, PA!A:M, 13, FALSE),0)</f>
        <v>0</v>
      </c>
      <c r="L3106" s="137">
        <f t="shared" si="104"/>
        <v>0</v>
      </c>
    </row>
    <row r="3107" spans="1:12" x14ac:dyDescent="0.25">
      <c r="A3107" s="78">
        <v>46196</v>
      </c>
      <c r="B3107" s="68">
        <v>2</v>
      </c>
      <c r="C3107" s="33" t="s">
        <v>696</v>
      </c>
      <c r="D3107" s="30">
        <v>1</v>
      </c>
      <c r="E3107" s="30">
        <v>40</v>
      </c>
      <c r="F3107" s="30">
        <f t="shared" si="105"/>
        <v>40</v>
      </c>
      <c r="G3107" s="30" t="s">
        <v>9</v>
      </c>
      <c r="J3107" s="30" t="s">
        <v>392</v>
      </c>
      <c r="K3107" s="125">
        <f>IFERROR(VLOOKUP(C3107, PA!A:M, 13, FALSE),0)</f>
        <v>8.1081081081081086E-2</v>
      </c>
      <c r="L3107" s="137">
        <f t="shared" si="104"/>
        <v>7.4999999999999997E-2</v>
      </c>
    </row>
    <row r="3108" spans="1:12" x14ac:dyDescent="0.25">
      <c r="A3108" s="78">
        <v>46196</v>
      </c>
      <c r="B3108" s="68">
        <v>2</v>
      </c>
      <c r="C3108" s="33" t="s">
        <v>912</v>
      </c>
      <c r="D3108" s="30">
        <v>1</v>
      </c>
      <c r="E3108" s="30">
        <v>10</v>
      </c>
      <c r="F3108" s="30">
        <f t="shared" si="105"/>
        <v>10</v>
      </c>
      <c r="G3108" s="30" t="s">
        <v>9</v>
      </c>
      <c r="J3108" s="30" t="s">
        <v>392</v>
      </c>
      <c r="K3108" s="125">
        <f>IFERROR(VLOOKUP(C3108, PA!A:M, 13, FALSE),0)</f>
        <v>9.0909090909090981E-2</v>
      </c>
      <c r="L3108" s="137">
        <f t="shared" si="104"/>
        <v>8.3333333333333384E-2</v>
      </c>
    </row>
    <row r="3109" spans="1:12" x14ac:dyDescent="0.25">
      <c r="A3109" s="78">
        <v>46196</v>
      </c>
      <c r="B3109" s="68">
        <v>2</v>
      </c>
      <c r="C3109" s="33" t="s">
        <v>884</v>
      </c>
      <c r="D3109" s="30">
        <v>1</v>
      </c>
      <c r="E3109" s="30">
        <v>10</v>
      </c>
      <c r="F3109" s="30">
        <f t="shared" si="105"/>
        <v>10</v>
      </c>
      <c r="G3109" s="30" t="s">
        <v>9</v>
      </c>
      <c r="J3109" s="30" t="s">
        <v>392</v>
      </c>
      <c r="K3109" s="125">
        <f>IFERROR(VLOOKUP(C3109, PA!A:M, 13, FALSE),0)</f>
        <v>0.1111111111111111</v>
      </c>
      <c r="L3109" s="137">
        <f t="shared" si="104"/>
        <v>9.9999999999999992E-2</v>
      </c>
    </row>
    <row r="3110" spans="1:12" x14ac:dyDescent="0.25">
      <c r="A3110" s="78">
        <v>46196</v>
      </c>
      <c r="B3110" s="68">
        <v>2</v>
      </c>
      <c r="C3110" s="33" t="s">
        <v>959</v>
      </c>
      <c r="D3110" s="30">
        <v>1</v>
      </c>
      <c r="E3110" s="30">
        <v>40</v>
      </c>
      <c r="F3110" s="30">
        <f t="shared" si="105"/>
        <v>40</v>
      </c>
      <c r="G3110" s="30" t="s">
        <v>9</v>
      </c>
      <c r="J3110" s="30" t="s">
        <v>392</v>
      </c>
      <c r="K3110" s="125">
        <f>IFERROR(VLOOKUP(C3110, PA!A:M, 13, FALSE),0)</f>
        <v>1</v>
      </c>
      <c r="L3110" s="137">
        <f t="shared" si="104"/>
        <v>0.5</v>
      </c>
    </row>
    <row r="3111" spans="1:12" x14ac:dyDescent="0.25">
      <c r="A3111" s="78">
        <v>46196</v>
      </c>
      <c r="B3111" s="68">
        <v>2</v>
      </c>
      <c r="C3111" s="33" t="s">
        <v>19</v>
      </c>
      <c r="D3111" s="30">
        <v>1</v>
      </c>
      <c r="E3111" s="30">
        <v>10</v>
      </c>
      <c r="F3111" s="30">
        <f t="shared" si="105"/>
        <v>10</v>
      </c>
      <c r="G3111" s="30" t="s">
        <v>9</v>
      </c>
      <c r="J3111" s="30" t="s">
        <v>392</v>
      </c>
      <c r="K3111" s="125">
        <f>IFERROR(VLOOKUP(C3111, PA!A:M, 13, FALSE),0)</f>
        <v>0.1111111111111111</v>
      </c>
      <c r="L3111" s="137">
        <f t="shared" si="104"/>
        <v>9.9999999999999992E-2</v>
      </c>
    </row>
    <row r="3112" spans="1:12" x14ac:dyDescent="0.25">
      <c r="A3112" s="78">
        <v>46196</v>
      </c>
      <c r="B3112" s="68">
        <v>2</v>
      </c>
      <c r="C3112" s="33" t="s">
        <v>767</v>
      </c>
      <c r="D3112" s="30">
        <v>1</v>
      </c>
      <c r="E3112" s="30">
        <v>10</v>
      </c>
      <c r="F3112" s="30">
        <f t="shared" si="105"/>
        <v>10</v>
      </c>
      <c r="G3112" s="30" t="s">
        <v>9</v>
      </c>
      <c r="J3112" s="30" t="s">
        <v>392</v>
      </c>
      <c r="K3112" s="125">
        <f>IFERROR(VLOOKUP(C3112, PA!A:M, 13, FALSE),0)</f>
        <v>0.1111111111111111</v>
      </c>
      <c r="L3112" s="137">
        <f t="shared" si="104"/>
        <v>9.9999999999999992E-2</v>
      </c>
    </row>
    <row r="3113" spans="1:12" x14ac:dyDescent="0.25">
      <c r="A3113" s="78">
        <v>46196</v>
      </c>
      <c r="B3113" s="68">
        <v>3</v>
      </c>
      <c r="C3113" s="33" t="s">
        <v>946</v>
      </c>
      <c r="D3113" s="30">
        <v>1</v>
      </c>
      <c r="E3113" s="30">
        <v>40</v>
      </c>
      <c r="F3113" s="30">
        <f t="shared" si="105"/>
        <v>40</v>
      </c>
      <c r="G3113" s="30" t="s">
        <v>9</v>
      </c>
      <c r="J3113" s="30" t="s">
        <v>392</v>
      </c>
      <c r="K3113" s="125">
        <f>IFERROR(VLOOKUP(C3113, PA!A:M, 13, FALSE),0)</f>
        <v>0</v>
      </c>
      <c r="L3113" s="137">
        <f t="shared" si="104"/>
        <v>0</v>
      </c>
    </row>
    <row r="3114" spans="1:12" x14ac:dyDescent="0.25">
      <c r="A3114" s="78">
        <v>46196</v>
      </c>
      <c r="B3114" s="68">
        <v>3</v>
      </c>
      <c r="C3114" s="33" t="s">
        <v>591</v>
      </c>
      <c r="D3114" s="30">
        <v>0.25</v>
      </c>
      <c r="E3114" s="30">
        <v>180</v>
      </c>
      <c r="F3114" s="30">
        <f t="shared" si="105"/>
        <v>45</v>
      </c>
      <c r="G3114" s="30" t="s">
        <v>9</v>
      </c>
      <c r="J3114" s="30" t="s">
        <v>392</v>
      </c>
      <c r="K3114" s="125">
        <f>IFERROR(VLOOKUP(C3114, PA!A:M, 13, FALSE),0)</f>
        <v>0.125</v>
      </c>
      <c r="L3114" s="137">
        <f t="shared" si="104"/>
        <v>0.1111111111111111</v>
      </c>
    </row>
    <row r="3115" spans="1:12" x14ac:dyDescent="0.25">
      <c r="A3115" s="78">
        <v>46196</v>
      </c>
      <c r="B3115" s="68">
        <v>3</v>
      </c>
      <c r="C3115" s="33" t="s">
        <v>968</v>
      </c>
      <c r="D3115" s="30">
        <v>0.25</v>
      </c>
      <c r="E3115" s="30">
        <v>58</v>
      </c>
      <c r="F3115" s="30">
        <f t="shared" si="105"/>
        <v>14.5</v>
      </c>
      <c r="G3115" s="30" t="s">
        <v>9</v>
      </c>
      <c r="J3115" s="30" t="s">
        <v>392</v>
      </c>
      <c r="K3115" s="125">
        <f>IFERROR(VLOOKUP(C3115, PA!A:M, 13, FALSE),0)</f>
        <v>0.16</v>
      </c>
      <c r="L3115" s="137">
        <f t="shared" si="104"/>
        <v>0.13793103448275865</v>
      </c>
    </row>
    <row r="3116" spans="1:12" x14ac:dyDescent="0.25">
      <c r="A3116" s="78">
        <v>46196</v>
      </c>
      <c r="B3116" s="68">
        <v>3</v>
      </c>
      <c r="C3116" s="33" t="s">
        <v>565</v>
      </c>
      <c r="D3116" s="30">
        <v>1</v>
      </c>
      <c r="E3116" s="30">
        <v>10</v>
      </c>
      <c r="F3116" s="30">
        <f t="shared" si="105"/>
        <v>10</v>
      </c>
      <c r="G3116" s="30" t="s">
        <v>9</v>
      </c>
      <c r="J3116" s="30" t="s">
        <v>392</v>
      </c>
      <c r="K3116" s="125">
        <f>IFERROR(VLOOKUP(C3116, PA!A:M, 13, FALSE),0)</f>
        <v>0.10091743119266047</v>
      </c>
      <c r="L3116" s="137">
        <f t="shared" si="104"/>
        <v>9.1666666666666605E-2</v>
      </c>
    </row>
    <row r="3117" spans="1:12" x14ac:dyDescent="0.25">
      <c r="A3117" s="78">
        <v>46196</v>
      </c>
      <c r="B3117" s="68">
        <v>4</v>
      </c>
      <c r="C3117" s="33" t="s">
        <v>669</v>
      </c>
      <c r="D3117" s="30">
        <v>4</v>
      </c>
      <c r="E3117" s="30">
        <v>5</v>
      </c>
      <c r="F3117" s="30">
        <f t="shared" si="105"/>
        <v>20</v>
      </c>
      <c r="G3117" s="30" t="s">
        <v>10</v>
      </c>
      <c r="J3117" s="30" t="s">
        <v>392</v>
      </c>
      <c r="K3117" s="125">
        <f>IFERROR(VLOOKUP(C3117, PA!A:M, 13, FALSE),0)</f>
        <v>4.1666666666666706E-2</v>
      </c>
      <c r="L3117" s="137">
        <f t="shared" si="104"/>
        <v>4.0000000000000036E-2</v>
      </c>
    </row>
    <row r="3118" spans="1:12" x14ac:dyDescent="0.25">
      <c r="A3118" s="78">
        <v>46196</v>
      </c>
      <c r="B3118" s="68">
        <v>4</v>
      </c>
      <c r="C3118" s="33" t="s">
        <v>891</v>
      </c>
      <c r="D3118" s="30">
        <v>10</v>
      </c>
      <c r="E3118" s="30">
        <v>1</v>
      </c>
      <c r="F3118" s="30">
        <f t="shared" si="105"/>
        <v>10</v>
      </c>
      <c r="G3118" s="30" t="s">
        <v>10</v>
      </c>
      <c r="J3118" s="30" t="s">
        <v>392</v>
      </c>
      <c r="K3118" s="125">
        <f>IFERROR(VLOOKUP(C3118, PA!A:M, 13, FALSE),0)</f>
        <v>0.1304347826086957</v>
      </c>
      <c r="L3118" s="137">
        <f t="shared" si="104"/>
        <v>0.11538461538461542</v>
      </c>
    </row>
    <row r="3119" spans="1:12" x14ac:dyDescent="0.25">
      <c r="A3119" s="78">
        <v>46196</v>
      </c>
      <c r="B3119" s="68">
        <v>5</v>
      </c>
      <c r="C3119" s="33" t="s">
        <v>541</v>
      </c>
      <c r="D3119" s="30">
        <v>0.25</v>
      </c>
      <c r="E3119" s="30">
        <v>70</v>
      </c>
      <c r="F3119" s="30">
        <f t="shared" si="105"/>
        <v>17.5</v>
      </c>
      <c r="G3119" s="30" t="s">
        <v>9</v>
      </c>
      <c r="J3119" s="30" t="s">
        <v>392</v>
      </c>
      <c r="K3119" s="125">
        <f>IFERROR(VLOOKUP(C3119, PA!A:M, 13, FALSE),0)</f>
        <v>0.19844357976653701</v>
      </c>
      <c r="L3119" s="137">
        <f t="shared" si="104"/>
        <v>0.16558441558441564</v>
      </c>
    </row>
    <row r="3120" spans="1:12" ht="30" x14ac:dyDescent="0.25">
      <c r="A3120" s="78">
        <v>46196</v>
      </c>
      <c r="B3120" s="68">
        <v>5</v>
      </c>
      <c r="C3120" s="33" t="s">
        <v>97</v>
      </c>
      <c r="D3120" s="30">
        <v>1</v>
      </c>
      <c r="E3120" s="30">
        <v>35</v>
      </c>
      <c r="F3120" s="30">
        <f t="shared" si="105"/>
        <v>35</v>
      </c>
      <c r="G3120" s="30" t="s">
        <v>9</v>
      </c>
      <c r="J3120" s="30" t="s">
        <v>392</v>
      </c>
      <c r="K3120" s="125">
        <f>IFERROR(VLOOKUP(C3120, PA!A:M, 13, FALSE),0)</f>
        <v>0.25</v>
      </c>
      <c r="L3120" s="137">
        <f t="shared" si="104"/>
        <v>0.2</v>
      </c>
    </row>
    <row r="3121" spans="1:12" x14ac:dyDescent="0.25">
      <c r="A3121" s="78">
        <v>46196</v>
      </c>
      <c r="B3121" s="68">
        <v>6</v>
      </c>
      <c r="C3121" s="33" t="s">
        <v>913</v>
      </c>
      <c r="D3121" s="30">
        <v>2</v>
      </c>
      <c r="E3121" s="30">
        <v>35</v>
      </c>
      <c r="F3121" s="30">
        <f t="shared" si="105"/>
        <v>70</v>
      </c>
      <c r="G3121" s="30" t="s">
        <v>9</v>
      </c>
      <c r="J3121" s="30" t="s">
        <v>392</v>
      </c>
      <c r="K3121" s="125">
        <f>IFERROR(VLOOKUP(C3121, PA!A:M, 13, FALSE),0)</f>
        <v>7.6923076923076927E-2</v>
      </c>
      <c r="L3121" s="137">
        <f t="shared" si="104"/>
        <v>7.1428571428571438E-2</v>
      </c>
    </row>
    <row r="3122" spans="1:12" x14ac:dyDescent="0.25">
      <c r="A3122" s="78">
        <v>46196</v>
      </c>
      <c r="B3122" s="68">
        <v>6</v>
      </c>
      <c r="C3122" s="33" t="s">
        <v>858</v>
      </c>
      <c r="D3122" s="30">
        <v>2</v>
      </c>
      <c r="E3122" s="30">
        <v>10</v>
      </c>
      <c r="F3122" s="30">
        <f t="shared" si="105"/>
        <v>20</v>
      </c>
      <c r="G3122" s="30" t="s">
        <v>9</v>
      </c>
      <c r="J3122" s="30" t="s">
        <v>392</v>
      </c>
      <c r="K3122" s="125">
        <f>IFERROR(VLOOKUP(C3122, PA!A:M, 13, FALSE),0)</f>
        <v>9.0909090909090981E-2</v>
      </c>
      <c r="L3122" s="137">
        <f t="shared" si="104"/>
        <v>8.3333333333333384E-2</v>
      </c>
    </row>
    <row r="3123" spans="1:12" x14ac:dyDescent="0.25">
      <c r="A3123" s="78">
        <v>46196</v>
      </c>
      <c r="B3123" s="68">
        <v>7</v>
      </c>
      <c r="C3123" s="33" t="s">
        <v>651</v>
      </c>
      <c r="D3123" s="30">
        <v>9</v>
      </c>
      <c r="E3123" s="30">
        <v>8.75</v>
      </c>
      <c r="F3123" s="30">
        <f t="shared" si="105"/>
        <v>78.75</v>
      </c>
      <c r="G3123" s="30" t="s">
        <v>9</v>
      </c>
      <c r="J3123" s="30" t="s">
        <v>392</v>
      </c>
      <c r="K3123" s="125">
        <f>IFERROR(VLOOKUP(C3123, PA!A:M, 13, FALSE),0)</f>
        <v>0.17493472584856395</v>
      </c>
      <c r="L3123" s="137">
        <f t="shared" si="104"/>
        <v>0.1488888888888889</v>
      </c>
    </row>
    <row r="3124" spans="1:12" x14ac:dyDescent="0.25">
      <c r="A3124" s="78">
        <v>46196</v>
      </c>
      <c r="B3124" s="68">
        <v>7</v>
      </c>
      <c r="C3124" s="33" t="s">
        <v>946</v>
      </c>
      <c r="D3124" s="30">
        <v>1</v>
      </c>
      <c r="E3124" s="30">
        <v>40</v>
      </c>
      <c r="F3124" s="30">
        <f t="shared" si="105"/>
        <v>40</v>
      </c>
      <c r="G3124" s="30" t="s">
        <v>10</v>
      </c>
      <c r="J3124" s="30" t="s">
        <v>392</v>
      </c>
      <c r="K3124" s="125">
        <f>IFERROR(VLOOKUP(C3124, PA!A:M, 13, FALSE),0)</f>
        <v>0</v>
      </c>
      <c r="L3124" s="137">
        <f t="shared" si="104"/>
        <v>0</v>
      </c>
    </row>
    <row r="3125" spans="1:12" x14ac:dyDescent="0.25">
      <c r="A3125" s="78">
        <v>46196</v>
      </c>
      <c r="B3125" s="68">
        <v>7</v>
      </c>
      <c r="C3125" s="33" t="s">
        <v>968</v>
      </c>
      <c r="D3125" s="30">
        <v>0.34300000000000003</v>
      </c>
      <c r="E3125" s="30">
        <v>58</v>
      </c>
      <c r="F3125" s="30">
        <f t="shared" si="105"/>
        <v>19.894000000000002</v>
      </c>
      <c r="G3125" s="30" t="s">
        <v>9</v>
      </c>
      <c r="J3125" s="30" t="s">
        <v>392</v>
      </c>
      <c r="K3125" s="125">
        <f>IFERROR(VLOOKUP(C3125, PA!A:M, 13, FALSE),0)</f>
        <v>0.16</v>
      </c>
      <c r="L3125" s="137">
        <f t="shared" si="104"/>
        <v>0.13793103448275865</v>
      </c>
    </row>
    <row r="3126" spans="1:12" x14ac:dyDescent="0.25">
      <c r="A3126" s="78">
        <v>46196</v>
      </c>
      <c r="B3126" s="68">
        <v>8</v>
      </c>
      <c r="C3126" s="33" t="s">
        <v>565</v>
      </c>
      <c r="D3126" s="30">
        <v>2</v>
      </c>
      <c r="E3126" s="30">
        <v>10</v>
      </c>
      <c r="F3126" s="30">
        <f t="shared" si="105"/>
        <v>20</v>
      </c>
      <c r="G3126" s="30" t="s">
        <v>10</v>
      </c>
      <c r="J3126" s="30" t="s">
        <v>392</v>
      </c>
      <c r="K3126" s="125">
        <f>IFERROR(VLOOKUP(C3126, PA!A:M, 13, FALSE),0)</f>
        <v>0.10091743119266047</v>
      </c>
      <c r="L3126" s="137">
        <f t="shared" si="104"/>
        <v>9.1666666666666605E-2</v>
      </c>
    </row>
    <row r="3127" spans="1:12" x14ac:dyDescent="0.25">
      <c r="A3127" s="78">
        <v>46196</v>
      </c>
      <c r="B3127" s="68">
        <v>8</v>
      </c>
      <c r="C3127" s="33" t="s">
        <v>947</v>
      </c>
      <c r="D3127" s="30">
        <v>1</v>
      </c>
      <c r="E3127" s="30">
        <v>20</v>
      </c>
      <c r="F3127" s="30">
        <f t="shared" si="105"/>
        <v>20</v>
      </c>
      <c r="G3127" s="30" t="s">
        <v>9</v>
      </c>
      <c r="J3127" s="30" t="s">
        <v>392</v>
      </c>
      <c r="K3127" s="125">
        <f>IFERROR(VLOOKUP(C3127, PA!A:M, 13, FALSE),0)</f>
        <v>0.13207547169811312</v>
      </c>
      <c r="L3127" s="137">
        <f t="shared" si="104"/>
        <v>0.1166666666666666</v>
      </c>
    </row>
    <row r="3128" spans="1:12" x14ac:dyDescent="0.25">
      <c r="A3128" s="78">
        <v>46196</v>
      </c>
      <c r="B3128" s="68">
        <v>8</v>
      </c>
      <c r="C3128" s="159" t="s">
        <v>535</v>
      </c>
      <c r="D3128" s="30">
        <v>1</v>
      </c>
      <c r="E3128" s="30">
        <v>10</v>
      </c>
      <c r="F3128" s="30">
        <f t="shared" si="105"/>
        <v>10</v>
      </c>
      <c r="G3128" s="30" t="s">
        <v>10</v>
      </c>
      <c r="J3128" s="30" t="s">
        <v>392</v>
      </c>
      <c r="K3128" s="125">
        <f>IFERROR(VLOOKUP(C3128, PA!A:M, 13, FALSE),0)</f>
        <v>9.0909090909090981E-2</v>
      </c>
      <c r="L3128" s="137">
        <f t="shared" si="104"/>
        <v>8.3333333333333384E-2</v>
      </c>
    </row>
    <row r="3129" spans="1:12" x14ac:dyDescent="0.25">
      <c r="A3129" s="78">
        <v>46196</v>
      </c>
      <c r="B3129" s="68">
        <v>9</v>
      </c>
      <c r="C3129" s="33" t="s">
        <v>578</v>
      </c>
      <c r="D3129" s="30">
        <v>1</v>
      </c>
      <c r="E3129" s="30">
        <v>5</v>
      </c>
      <c r="F3129" s="30">
        <f t="shared" si="105"/>
        <v>5</v>
      </c>
      <c r="G3129" s="30" t="s">
        <v>9</v>
      </c>
      <c r="J3129" s="30" t="s">
        <v>392</v>
      </c>
      <c r="K3129" s="125">
        <f>IFERROR(VLOOKUP(C3129, PA!A:M, 13, FALSE),0)</f>
        <v>0.25</v>
      </c>
      <c r="L3129" s="137">
        <f t="shared" si="104"/>
        <v>0.2</v>
      </c>
    </row>
    <row r="3130" spans="1:12" x14ac:dyDescent="0.25">
      <c r="A3130" s="78">
        <v>46196</v>
      </c>
      <c r="B3130" s="68">
        <v>9</v>
      </c>
      <c r="C3130" s="33" t="s">
        <v>68</v>
      </c>
      <c r="D3130" s="30">
        <v>1</v>
      </c>
      <c r="E3130" s="30">
        <v>10</v>
      </c>
      <c r="F3130" s="30">
        <f t="shared" si="105"/>
        <v>10</v>
      </c>
      <c r="G3130" s="30" t="s">
        <v>9</v>
      </c>
      <c r="J3130" s="30" t="s">
        <v>392</v>
      </c>
      <c r="K3130" s="125">
        <f>IFERROR(VLOOKUP(C3130, PA!A:M, 13, FALSE),0)</f>
        <v>0.25</v>
      </c>
      <c r="L3130" s="137">
        <f t="shared" si="104"/>
        <v>0.2</v>
      </c>
    </row>
    <row r="3131" spans="1:12" x14ac:dyDescent="0.25">
      <c r="A3131" s="78">
        <v>46196</v>
      </c>
      <c r="B3131" s="68">
        <v>9</v>
      </c>
      <c r="C3131" s="33" t="s">
        <v>524</v>
      </c>
      <c r="D3131" s="30">
        <v>5</v>
      </c>
      <c r="E3131" s="30">
        <v>1</v>
      </c>
      <c r="F3131" s="30">
        <f t="shared" si="105"/>
        <v>5</v>
      </c>
      <c r="G3131" s="30" t="s">
        <v>9</v>
      </c>
      <c r="J3131" s="30" t="s">
        <v>392</v>
      </c>
      <c r="K3131" s="125">
        <f>IFERROR(VLOOKUP(C3131, PA!A:M, 13, FALSE),0)</f>
        <v>0.11111111111111108</v>
      </c>
      <c r="L3131" s="137">
        <f t="shared" si="104"/>
        <v>9.9999999999999964E-2</v>
      </c>
    </row>
    <row r="3132" spans="1:12" ht="30" x14ac:dyDescent="0.25">
      <c r="A3132" s="78">
        <v>46196</v>
      </c>
      <c r="B3132" s="68">
        <v>10</v>
      </c>
      <c r="C3132" s="33" t="s">
        <v>840</v>
      </c>
      <c r="D3132" s="30">
        <v>1</v>
      </c>
      <c r="E3132" s="30">
        <v>50</v>
      </c>
      <c r="F3132" s="30">
        <f t="shared" si="105"/>
        <v>50</v>
      </c>
      <c r="G3132" s="30" t="s">
        <v>10</v>
      </c>
      <c r="J3132" s="30" t="s">
        <v>392</v>
      </c>
      <c r="K3132" s="125">
        <f>IFERROR(VLOOKUP(C3132, PA!A:M, 13, FALSE),0)</f>
        <v>0.25</v>
      </c>
      <c r="L3132" s="137">
        <f t="shared" si="104"/>
        <v>0.2</v>
      </c>
    </row>
    <row r="3133" spans="1:12" x14ac:dyDescent="0.25">
      <c r="A3133" s="78">
        <v>46196</v>
      </c>
      <c r="B3133" s="68">
        <v>10</v>
      </c>
      <c r="C3133" s="33" t="s">
        <v>740</v>
      </c>
      <c r="D3133" s="30">
        <v>1</v>
      </c>
      <c r="E3133" s="30">
        <v>10</v>
      </c>
      <c r="F3133" s="30">
        <f t="shared" si="105"/>
        <v>10</v>
      </c>
      <c r="G3133" s="30" t="s">
        <v>10</v>
      </c>
      <c r="J3133" s="30" t="s">
        <v>392</v>
      </c>
      <c r="K3133" s="125">
        <f>IFERROR(VLOOKUP(C3133, PA!A:M, 13, FALSE),0)</f>
        <v>0.22448979591836743</v>
      </c>
      <c r="L3133" s="137">
        <f t="shared" si="104"/>
        <v>0.1833333333333334</v>
      </c>
    </row>
    <row r="3134" spans="1:12" x14ac:dyDescent="0.25">
      <c r="A3134" s="78">
        <v>46196</v>
      </c>
      <c r="B3134" s="68">
        <v>4</v>
      </c>
      <c r="C3134" s="33" t="s">
        <v>990</v>
      </c>
      <c r="D3134" s="30">
        <v>1</v>
      </c>
      <c r="E3134" s="30">
        <v>150</v>
      </c>
      <c r="F3134" s="30">
        <f t="shared" si="105"/>
        <v>150</v>
      </c>
      <c r="G3134" s="30" t="s">
        <v>10</v>
      </c>
      <c r="J3134" s="30" t="s">
        <v>392</v>
      </c>
      <c r="K3134" s="125">
        <f>IFERROR(VLOOKUP(C3134, PA!A:M, 13, FALSE),0)</f>
        <v>7.1428571428571425E-2</v>
      </c>
      <c r="L3134" s="137">
        <f t="shared" si="104"/>
        <v>6.6666666666666666E-2</v>
      </c>
    </row>
    <row r="3135" spans="1:12" x14ac:dyDescent="0.25">
      <c r="A3135" s="78">
        <v>46196</v>
      </c>
      <c r="B3135" s="68">
        <v>11</v>
      </c>
      <c r="C3135" s="33" t="s">
        <v>652</v>
      </c>
      <c r="D3135" s="30">
        <v>1</v>
      </c>
      <c r="E3135" s="30">
        <v>20</v>
      </c>
      <c r="F3135" s="30">
        <f t="shared" si="105"/>
        <v>20</v>
      </c>
      <c r="G3135" s="30" t="s">
        <v>10</v>
      </c>
      <c r="J3135" s="30" t="s">
        <v>392</v>
      </c>
      <c r="K3135" s="125">
        <f>IFERROR(VLOOKUP(C3135, PA!A:M, 13, FALSE),0)</f>
        <v>0.1111111111111111</v>
      </c>
      <c r="L3135" s="137">
        <f t="shared" si="104"/>
        <v>9.9999999999999992E-2</v>
      </c>
    </row>
    <row r="3136" spans="1:12" x14ac:dyDescent="0.25">
      <c r="A3136" s="78">
        <v>46196</v>
      </c>
      <c r="B3136" s="68">
        <v>12</v>
      </c>
      <c r="C3136" s="33" t="s">
        <v>922</v>
      </c>
      <c r="D3136" s="30">
        <v>1</v>
      </c>
      <c r="E3136" s="30">
        <v>59</v>
      </c>
      <c r="F3136" s="30">
        <f t="shared" si="105"/>
        <v>59</v>
      </c>
      <c r="G3136" s="30" t="s">
        <v>10</v>
      </c>
      <c r="J3136" s="30" t="s">
        <v>392</v>
      </c>
      <c r="K3136" s="125">
        <f>IFERROR(VLOOKUP(C3136, PA!A:M, 13, FALSE),0)</f>
        <v>9.2592592592592587E-2</v>
      </c>
      <c r="L3136" s="137">
        <f t="shared" si="104"/>
        <v>8.4745762711864403E-2</v>
      </c>
    </row>
    <row r="3137" spans="1:12" x14ac:dyDescent="0.25">
      <c r="A3137" s="78">
        <v>46196</v>
      </c>
      <c r="B3137" s="68">
        <v>12</v>
      </c>
      <c r="C3137" s="33" t="str">
        <f>PA!A231</f>
        <v>WHOLE JEERA LOT 1</v>
      </c>
      <c r="D3137" s="30">
        <v>0.05</v>
      </c>
      <c r="E3137" s="30">
        <v>420</v>
      </c>
      <c r="F3137" s="30">
        <f t="shared" si="105"/>
        <v>21</v>
      </c>
      <c r="G3137" s="30" t="s">
        <v>10</v>
      </c>
      <c r="J3137" s="30" t="s">
        <v>392</v>
      </c>
      <c r="K3137" s="125">
        <f>IFERROR(VLOOKUP(C3137, PA!A:M, 13, FALSE),0)</f>
        <v>0.05</v>
      </c>
      <c r="L3137" s="137">
        <f t="shared" si="104"/>
        <v>4.7619047619047616E-2</v>
      </c>
    </row>
    <row r="3138" spans="1:12" x14ac:dyDescent="0.25">
      <c r="A3138" s="78">
        <v>46196</v>
      </c>
      <c r="B3138" s="68">
        <v>12</v>
      </c>
      <c r="C3138" s="33" t="s">
        <v>542</v>
      </c>
      <c r="D3138" s="30">
        <v>0.25</v>
      </c>
      <c r="E3138" s="30">
        <v>95</v>
      </c>
      <c r="F3138" s="30">
        <f t="shared" si="105"/>
        <v>23.75</v>
      </c>
      <c r="G3138" s="30" t="s">
        <v>10</v>
      </c>
      <c r="J3138" s="30" t="s">
        <v>392</v>
      </c>
      <c r="K3138" s="125">
        <f>IFERROR(VLOOKUP(C3138, PA!A:M, 13, FALSE),0)</f>
        <v>0.11764705882352941</v>
      </c>
      <c r="L3138" s="137">
        <f t="shared" si="104"/>
        <v>0.10526315789473684</v>
      </c>
    </row>
    <row r="3139" spans="1:12" ht="30" x14ac:dyDescent="0.25">
      <c r="A3139" s="78">
        <v>46196</v>
      </c>
      <c r="B3139" s="68">
        <v>12</v>
      </c>
      <c r="C3139" s="33" t="s">
        <v>361</v>
      </c>
      <c r="D3139" s="30">
        <v>1</v>
      </c>
      <c r="E3139" s="30">
        <v>10</v>
      </c>
      <c r="F3139" s="30">
        <f t="shared" si="105"/>
        <v>10</v>
      </c>
      <c r="G3139" s="30" t="s">
        <v>10</v>
      </c>
      <c r="J3139" s="30" t="s">
        <v>392</v>
      </c>
      <c r="K3139" s="125">
        <f>IFERROR(VLOOKUP(C3139, PA!A:M, 13, FALSE),0)</f>
        <v>0.19999999999999993</v>
      </c>
      <c r="L3139" s="137">
        <f t="shared" si="104"/>
        <v>0.1666666666666666</v>
      </c>
    </row>
    <row r="3140" spans="1:12" x14ac:dyDescent="0.25">
      <c r="A3140" s="78">
        <v>46196</v>
      </c>
      <c r="B3140" s="68">
        <v>12</v>
      </c>
      <c r="C3140" s="33" t="s">
        <v>886</v>
      </c>
      <c r="D3140" s="30">
        <v>1</v>
      </c>
      <c r="E3140" s="30">
        <v>10</v>
      </c>
      <c r="F3140" s="30">
        <f t="shared" si="105"/>
        <v>10</v>
      </c>
      <c r="G3140" s="30" t="s">
        <v>10</v>
      </c>
      <c r="J3140" s="30" t="s">
        <v>392</v>
      </c>
      <c r="K3140" s="125">
        <f>IFERROR(VLOOKUP(C3140, PA!A:M, 13, FALSE),0)</f>
        <v>0.1111111111111111</v>
      </c>
      <c r="L3140" s="137">
        <f t="shared" si="104"/>
        <v>9.9999999999999992E-2</v>
      </c>
    </row>
    <row r="3141" spans="1:12" x14ac:dyDescent="0.25">
      <c r="A3141" s="78">
        <v>46196</v>
      </c>
      <c r="B3141" s="68">
        <v>12</v>
      </c>
      <c r="C3141" s="33" t="s">
        <v>921</v>
      </c>
      <c r="D3141" s="30">
        <v>1</v>
      </c>
      <c r="E3141" s="30">
        <v>10</v>
      </c>
      <c r="F3141" s="30">
        <f t="shared" si="105"/>
        <v>10</v>
      </c>
      <c r="G3141" s="30" t="s">
        <v>10</v>
      </c>
      <c r="J3141" s="30" t="s">
        <v>392</v>
      </c>
      <c r="K3141" s="125">
        <f>IFERROR(VLOOKUP(C3141, PA!A:M, 13, FALSE),0)</f>
        <v>0</v>
      </c>
      <c r="L3141" s="137">
        <f t="shared" si="104"/>
        <v>0</v>
      </c>
    </row>
    <row r="3142" spans="1:12" x14ac:dyDescent="0.25">
      <c r="A3142" s="78">
        <v>46196</v>
      </c>
      <c r="B3142" s="68">
        <v>13</v>
      </c>
      <c r="C3142" s="33" t="s">
        <v>891</v>
      </c>
      <c r="D3142" s="30">
        <v>3</v>
      </c>
      <c r="E3142" s="30">
        <v>1</v>
      </c>
      <c r="F3142" s="30">
        <f t="shared" si="105"/>
        <v>3</v>
      </c>
      <c r="G3142" s="30" t="s">
        <v>10</v>
      </c>
      <c r="J3142" s="30" t="s">
        <v>392</v>
      </c>
      <c r="K3142" s="125">
        <f>IFERROR(VLOOKUP(C3142, PA!A:M, 13, FALSE),0)</f>
        <v>0.1304347826086957</v>
      </c>
      <c r="L3142" s="137">
        <f t="shared" si="104"/>
        <v>0.11538461538461542</v>
      </c>
    </row>
    <row r="3143" spans="1:12" ht="30" x14ac:dyDescent="0.25">
      <c r="A3143" s="78">
        <v>46196</v>
      </c>
      <c r="B3143" s="68">
        <v>3</v>
      </c>
      <c r="C3143" s="33" t="s">
        <v>621</v>
      </c>
      <c r="D3143" s="30">
        <v>1</v>
      </c>
      <c r="E3143" s="30">
        <v>75</v>
      </c>
      <c r="F3143" s="30">
        <f t="shared" si="105"/>
        <v>75</v>
      </c>
      <c r="G3143" s="30" t="s">
        <v>9</v>
      </c>
      <c r="J3143" s="30" t="s">
        <v>392</v>
      </c>
      <c r="K3143" s="125">
        <f>IFERROR(VLOOKUP(C3143, PA!A:M, 13, FALSE),0)</f>
        <v>7.1428571428571425E-2</v>
      </c>
      <c r="L3143" s="137">
        <f t="shared" si="104"/>
        <v>6.6666666666666666E-2</v>
      </c>
    </row>
    <row r="3144" spans="1:12" x14ac:dyDescent="0.25">
      <c r="A3144" s="78">
        <v>46196</v>
      </c>
      <c r="B3144" s="68">
        <v>14</v>
      </c>
      <c r="C3144" s="33" t="s">
        <v>869</v>
      </c>
      <c r="D3144" s="30">
        <v>1</v>
      </c>
      <c r="E3144" s="30">
        <v>25</v>
      </c>
      <c r="F3144" s="30">
        <f t="shared" si="105"/>
        <v>25</v>
      </c>
      <c r="G3144" s="30" t="s">
        <v>9</v>
      </c>
      <c r="J3144" s="30" t="s">
        <v>392</v>
      </c>
      <c r="K3144" s="125">
        <f>IFERROR(VLOOKUP(C3144, PA!A:M, 13, FALSE),0)</f>
        <v>0.19047619047619047</v>
      </c>
      <c r="L3144" s="137">
        <f t="shared" si="104"/>
        <v>0.16</v>
      </c>
    </row>
    <row r="3145" spans="1:12" s="62" customFormat="1" x14ac:dyDescent="0.25">
      <c r="A3145" s="151">
        <v>46196</v>
      </c>
      <c r="B3145" s="139"/>
      <c r="C3145" s="150"/>
      <c r="H3145" s="139"/>
      <c r="I3145" s="139">
        <f>SUMIF(G3104:G3145, "&lt;&gt;UPI",F3104:F3145)</f>
        <v>670.64400000000001</v>
      </c>
      <c r="K3145" s="62">
        <f>AVERAGE(K3104:K3144)</f>
        <v>0.1434487039209664</v>
      </c>
      <c r="L3145" s="154">
        <f>AVERAGE(L3104:L3144)</f>
        <v>0.11503103060910698</v>
      </c>
    </row>
    <row r="3146" spans="1:12" ht="18.75" x14ac:dyDescent="0.3">
      <c r="A3146" s="79"/>
      <c r="B3146" s="147" t="s">
        <v>987</v>
      </c>
      <c r="C3146" s="169">
        <f>MAX(B3104:B3145)</f>
        <v>14</v>
      </c>
      <c r="D3146" s="147" t="s">
        <v>988</v>
      </c>
      <c r="E3146" s="170">
        <f>SUMIF(G3104:G3145,"UPI",F3104:F3145)</f>
        <v>466.75</v>
      </c>
      <c r="F3146" s="247" t="s">
        <v>437</v>
      </c>
      <c r="G3146" s="248"/>
      <c r="H3146" s="249"/>
      <c r="I3146" s="271">
        <f>SUM(F3104:F3145)</f>
        <v>1137.394</v>
      </c>
      <c r="J3146" s="272"/>
      <c r="K3146" s="272"/>
      <c r="L3146" s="273"/>
    </row>
    <row r="3147" spans="1:12" x14ac:dyDescent="0.25">
      <c r="A3147" s="78">
        <v>46197</v>
      </c>
      <c r="B3147" s="68">
        <v>1</v>
      </c>
      <c r="C3147" s="33" t="s">
        <v>605</v>
      </c>
      <c r="D3147" s="30">
        <v>1</v>
      </c>
      <c r="E3147" s="30">
        <v>199</v>
      </c>
      <c r="F3147" s="30">
        <f>E3147*D3147</f>
        <v>199</v>
      </c>
      <c r="G3147" s="30" t="s">
        <v>9</v>
      </c>
      <c r="J3147" s="30" t="s">
        <v>391</v>
      </c>
      <c r="K3147" s="125">
        <f>IFERROR(VLOOKUP(C3147, PA!A:M, 13, FALSE),0)</f>
        <v>3.6458333333333336E-2</v>
      </c>
      <c r="L3147" s="137">
        <f>K3147/(1+K3147)</f>
        <v>3.5175879396984931E-2</v>
      </c>
    </row>
    <row r="3148" spans="1:12" x14ac:dyDescent="0.25">
      <c r="A3148" s="78">
        <v>46197</v>
      </c>
      <c r="B3148" s="68">
        <v>2</v>
      </c>
      <c r="C3148" s="33" t="s">
        <v>107</v>
      </c>
      <c r="D3148" s="30">
        <v>1</v>
      </c>
      <c r="E3148" s="30">
        <v>128</v>
      </c>
      <c r="F3148" s="30">
        <f>E3148*D3148</f>
        <v>128</v>
      </c>
      <c r="G3148" s="30" t="s">
        <v>10</v>
      </c>
      <c r="J3148" s="30" t="s">
        <v>391</v>
      </c>
      <c r="K3148" s="125">
        <f>IFERROR(VLOOKUP(C3148, PA!A:M, 13, FALSE),0)</f>
        <v>0.14285714285714285</v>
      </c>
      <c r="L3148" s="137">
        <f>K3148/(1+K3148)</f>
        <v>0.125</v>
      </c>
    </row>
    <row r="3149" spans="1:12" x14ac:dyDescent="0.25">
      <c r="A3149" s="78">
        <v>46197</v>
      </c>
      <c r="B3149" s="68">
        <v>2</v>
      </c>
      <c r="C3149" s="33" t="s">
        <v>708</v>
      </c>
      <c r="D3149" s="30">
        <v>2</v>
      </c>
      <c r="E3149" s="30">
        <v>5</v>
      </c>
      <c r="F3149" s="30">
        <f>E3149*D3149</f>
        <v>10</v>
      </c>
      <c r="G3149" s="30" t="s">
        <v>10</v>
      </c>
      <c r="J3149" s="30" t="s">
        <v>391</v>
      </c>
      <c r="K3149" s="125">
        <f>IFERROR(VLOOKUP(C3149, PA!A:M, 13, FALSE),0)</f>
        <v>0.15384615384615394</v>
      </c>
      <c r="L3149" s="137">
        <f>K3149/(1+K3149)</f>
        <v>0.13333333333333339</v>
      </c>
    </row>
    <row r="3150" spans="1:12" x14ac:dyDescent="0.25">
      <c r="A3150" s="78">
        <v>46197</v>
      </c>
      <c r="I3150" s="68">
        <f>SUMIF(G3147:G3150, "&lt;&gt;UPI",F3147:F3150)</f>
        <v>199</v>
      </c>
      <c r="J3150" s="30" t="s">
        <v>391</v>
      </c>
      <c r="K3150" s="30">
        <f>AVERAGE(K3147:K3149)</f>
        <v>0.11105387667887671</v>
      </c>
      <c r="L3150" s="172">
        <f>AVERAGE(L3147:L3149)</f>
        <v>9.7836404243439437E-2</v>
      </c>
    </row>
    <row r="3151" spans="1:12" x14ac:dyDescent="0.25">
      <c r="A3151" s="78">
        <v>46197</v>
      </c>
      <c r="B3151" s="139"/>
      <c r="C3151" s="150"/>
      <c r="D3151" s="62"/>
      <c r="E3151" s="62"/>
      <c r="F3151" s="62"/>
      <c r="G3151" s="62"/>
      <c r="H3151" s="139"/>
      <c r="I3151" s="139">
        <f>SUMIF(G3147:G3150, "&lt;&gt;UPI",F3147:F3150)</f>
        <v>199</v>
      </c>
      <c r="J3151" s="62"/>
      <c r="K3151" s="62">
        <f>AVERAGE(K3147:K3150)</f>
        <v>0.11105387667887671</v>
      </c>
      <c r="L3151" s="154">
        <f>AVERAGE(L3147:L3150)</f>
        <v>9.7836404243439437E-2</v>
      </c>
    </row>
    <row r="3152" spans="1:12" x14ac:dyDescent="0.25">
      <c r="A3152" s="78">
        <v>46197</v>
      </c>
      <c r="B3152" s="68">
        <v>3</v>
      </c>
      <c r="C3152" s="33" t="s">
        <v>347</v>
      </c>
      <c r="D3152" s="30">
        <v>1</v>
      </c>
      <c r="E3152" s="30">
        <v>10</v>
      </c>
      <c r="F3152" s="30">
        <f>E3152*D3152</f>
        <v>10</v>
      </c>
      <c r="G3152" s="30" t="s">
        <v>9</v>
      </c>
      <c r="J3152" s="30" t="s">
        <v>392</v>
      </c>
      <c r="K3152" s="125">
        <f>IFERROR(VLOOKUP(C3152, PA!A:M, 13, FALSE),0)</f>
        <v>4.7619047619047672E-2</v>
      </c>
      <c r="L3152" s="137">
        <f t="shared" ref="L3152:L3215" si="106">K3152/(1+K3152)</f>
        <v>4.5454545454545504E-2</v>
      </c>
    </row>
    <row r="3153" spans="1:12" ht="30" x14ac:dyDescent="0.25">
      <c r="A3153" s="78">
        <v>46197</v>
      </c>
      <c r="B3153" s="68">
        <v>3</v>
      </c>
      <c r="C3153" s="33" t="s">
        <v>961</v>
      </c>
      <c r="D3153" s="30">
        <v>1</v>
      </c>
      <c r="E3153" s="30">
        <v>10</v>
      </c>
      <c r="F3153" s="30">
        <f t="shared" ref="F3153:F3228" si="107">E3153*D3153</f>
        <v>10</v>
      </c>
      <c r="G3153" s="30" t="s">
        <v>9</v>
      </c>
      <c r="J3153" s="30" t="s">
        <v>392</v>
      </c>
      <c r="K3153" s="125">
        <f>IFERROR(VLOOKUP(C3153, PA!A:M, 13, FALSE),0)</f>
        <v>0.1111111111111111</v>
      </c>
      <c r="L3153" s="137">
        <f t="shared" si="106"/>
        <v>9.9999999999999992E-2</v>
      </c>
    </row>
    <row r="3154" spans="1:12" x14ac:dyDescent="0.25">
      <c r="A3154" s="78">
        <v>46197</v>
      </c>
      <c r="B3154" s="68">
        <v>3</v>
      </c>
      <c r="C3154" s="33" t="s">
        <v>963</v>
      </c>
      <c r="D3154" s="30">
        <v>2</v>
      </c>
      <c r="E3154" s="30">
        <v>5</v>
      </c>
      <c r="F3154" s="30">
        <f t="shared" si="107"/>
        <v>10</v>
      </c>
      <c r="G3154" s="30" t="s">
        <v>9</v>
      </c>
      <c r="J3154" s="30" t="s">
        <v>392</v>
      </c>
      <c r="K3154" s="125">
        <f>IFERROR(VLOOKUP(C3154, PA!A:M, 13, FALSE),0)</f>
        <v>0.1111111111111111</v>
      </c>
      <c r="L3154" s="137">
        <f t="shared" si="106"/>
        <v>9.9999999999999992E-2</v>
      </c>
    </row>
    <row r="3155" spans="1:12" x14ac:dyDescent="0.25">
      <c r="A3155" s="78">
        <v>46197</v>
      </c>
      <c r="B3155" s="68">
        <v>3</v>
      </c>
      <c r="C3155" s="33" t="s">
        <v>912</v>
      </c>
      <c r="D3155" s="30">
        <v>1</v>
      </c>
      <c r="E3155" s="30">
        <v>10</v>
      </c>
      <c r="F3155" s="30">
        <f t="shared" si="107"/>
        <v>10</v>
      </c>
      <c r="G3155" s="30" t="s">
        <v>9</v>
      </c>
      <c r="J3155" s="30" t="s">
        <v>392</v>
      </c>
      <c r="K3155" s="125">
        <f>IFERROR(VLOOKUP(C3155, PA!A:M, 13, FALSE),0)</f>
        <v>9.0909090909090981E-2</v>
      </c>
      <c r="L3155" s="137">
        <f t="shared" si="106"/>
        <v>8.3333333333333384E-2</v>
      </c>
    </row>
    <row r="3156" spans="1:12" x14ac:dyDescent="0.25">
      <c r="A3156" s="78">
        <v>46197</v>
      </c>
      <c r="B3156" s="68">
        <v>4</v>
      </c>
      <c r="C3156" s="70" t="s">
        <v>530</v>
      </c>
      <c r="D3156" s="30">
        <v>1</v>
      </c>
      <c r="E3156" s="30">
        <v>10</v>
      </c>
      <c r="F3156" s="30">
        <f t="shared" si="107"/>
        <v>10</v>
      </c>
      <c r="G3156" s="30" t="s">
        <v>9</v>
      </c>
      <c r="J3156" s="30" t="s">
        <v>392</v>
      </c>
      <c r="K3156" s="125">
        <f>IFERROR(VLOOKUP(C3156, PA!A:M, 13, FALSE),0)</f>
        <v>0.19999999999999993</v>
      </c>
      <c r="L3156" s="137">
        <f t="shared" si="106"/>
        <v>0.1666666666666666</v>
      </c>
    </row>
    <row r="3157" spans="1:12" x14ac:dyDescent="0.25">
      <c r="A3157" s="78">
        <v>46197</v>
      </c>
      <c r="B3157" s="68">
        <v>5</v>
      </c>
      <c r="C3157" s="33" t="s">
        <v>669</v>
      </c>
      <c r="D3157" s="30">
        <v>2</v>
      </c>
      <c r="E3157" s="30">
        <v>5</v>
      </c>
      <c r="F3157" s="30">
        <f t="shared" si="107"/>
        <v>10</v>
      </c>
      <c r="G3157" s="30" t="s">
        <v>9</v>
      </c>
      <c r="J3157" s="30" t="s">
        <v>392</v>
      </c>
      <c r="K3157" s="125">
        <f>IFERROR(VLOOKUP(C3157, PA!A:M, 13, FALSE),0)</f>
        <v>4.1666666666666706E-2</v>
      </c>
      <c r="L3157" s="137">
        <f t="shared" si="106"/>
        <v>4.0000000000000036E-2</v>
      </c>
    </row>
    <row r="3158" spans="1:12" x14ac:dyDescent="0.25">
      <c r="A3158" s="78">
        <v>46197</v>
      </c>
      <c r="B3158" s="68">
        <v>6</v>
      </c>
      <c r="C3158" s="33" t="s">
        <v>445</v>
      </c>
      <c r="D3158" s="30">
        <v>1</v>
      </c>
      <c r="E3158" s="30">
        <v>10</v>
      </c>
      <c r="F3158" s="30">
        <f t="shared" si="107"/>
        <v>10</v>
      </c>
      <c r="G3158" s="30" t="s">
        <v>9</v>
      </c>
      <c r="J3158" s="30" t="s">
        <v>392</v>
      </c>
      <c r="K3158" s="125">
        <f>IFERROR(VLOOKUP(C3158, PA!A:M, 13, FALSE),0)</f>
        <v>0.6</v>
      </c>
      <c r="L3158" s="137">
        <f t="shared" si="106"/>
        <v>0.37499999999999994</v>
      </c>
    </row>
    <row r="3159" spans="1:12" x14ac:dyDescent="0.25">
      <c r="A3159" s="78">
        <v>46197</v>
      </c>
      <c r="B3159" s="68">
        <v>6</v>
      </c>
      <c r="C3159" s="33" t="s">
        <v>915</v>
      </c>
      <c r="D3159" s="30">
        <v>2</v>
      </c>
      <c r="E3159" s="30">
        <v>10</v>
      </c>
      <c r="F3159" s="30">
        <f t="shared" si="107"/>
        <v>20</v>
      </c>
      <c r="G3159" s="30" t="s">
        <v>9</v>
      </c>
      <c r="J3159" s="30" t="s">
        <v>392</v>
      </c>
      <c r="K3159" s="125">
        <f>IFERROR(VLOOKUP(C3159, PA!A:M, 13, FALSE),0)</f>
        <v>7.692307692307683E-2</v>
      </c>
      <c r="L3159" s="137">
        <f t="shared" si="106"/>
        <v>7.1428571428571341E-2</v>
      </c>
    </row>
    <row r="3160" spans="1:12" x14ac:dyDescent="0.25">
      <c r="A3160" s="78">
        <v>46197</v>
      </c>
      <c r="B3160" s="68">
        <v>6</v>
      </c>
      <c r="C3160" s="33" t="s">
        <v>578</v>
      </c>
      <c r="D3160" s="30">
        <v>2</v>
      </c>
      <c r="E3160" s="30">
        <v>5</v>
      </c>
      <c r="F3160" s="30">
        <f t="shared" si="107"/>
        <v>10</v>
      </c>
      <c r="G3160" s="30" t="s">
        <v>9</v>
      </c>
      <c r="J3160" s="30" t="s">
        <v>392</v>
      </c>
      <c r="K3160" s="125">
        <f>IFERROR(VLOOKUP(C3160, PA!A:M, 13, FALSE),0)</f>
        <v>0.25</v>
      </c>
      <c r="L3160" s="137">
        <f t="shared" si="106"/>
        <v>0.2</v>
      </c>
    </row>
    <row r="3161" spans="1:12" x14ac:dyDescent="0.25">
      <c r="A3161" s="78">
        <v>46197</v>
      </c>
      <c r="B3161" s="68">
        <v>7</v>
      </c>
      <c r="C3161" s="33" t="s">
        <v>781</v>
      </c>
      <c r="D3161" s="30">
        <v>2.5000000000000001E-2</v>
      </c>
      <c r="E3161" s="30">
        <v>200</v>
      </c>
      <c r="F3161" s="30">
        <f t="shared" si="107"/>
        <v>5</v>
      </c>
      <c r="G3161" s="30" t="s">
        <v>9</v>
      </c>
      <c r="J3161" s="30" t="s">
        <v>392</v>
      </c>
      <c r="K3161" s="125">
        <f>IFERROR(VLOOKUP(C3161, PA!A:M, 13, FALSE),0)</f>
        <v>0.42857142857142855</v>
      </c>
      <c r="L3161" s="137">
        <f t="shared" si="106"/>
        <v>0.3</v>
      </c>
    </row>
    <row r="3162" spans="1:12" x14ac:dyDescent="0.25">
      <c r="A3162" s="78">
        <v>46197</v>
      </c>
      <c r="B3162" s="68">
        <v>7</v>
      </c>
      <c r="C3162" s="33" t="s">
        <v>780</v>
      </c>
      <c r="D3162" s="30">
        <v>0.03</v>
      </c>
      <c r="E3162" s="30">
        <v>150</v>
      </c>
      <c r="F3162" s="30">
        <f t="shared" si="107"/>
        <v>4.5</v>
      </c>
      <c r="G3162" s="30" t="s">
        <v>9</v>
      </c>
      <c r="J3162" s="30" t="s">
        <v>392</v>
      </c>
      <c r="K3162" s="125">
        <f>IFERROR(VLOOKUP(C3162, PA!A:M, 13, FALSE),0)</f>
        <v>0.66666666666666663</v>
      </c>
      <c r="L3162" s="137">
        <f t="shared" si="106"/>
        <v>0.4</v>
      </c>
    </row>
    <row r="3163" spans="1:12" x14ac:dyDescent="0.25">
      <c r="A3163" s="78">
        <v>46197</v>
      </c>
      <c r="B3163" s="68">
        <v>8</v>
      </c>
      <c r="C3163" s="33" t="s">
        <v>921</v>
      </c>
      <c r="D3163" s="30">
        <v>2</v>
      </c>
      <c r="E3163" s="30">
        <v>10</v>
      </c>
      <c r="F3163" s="30">
        <f t="shared" si="107"/>
        <v>20</v>
      </c>
      <c r="G3163" s="30" t="s">
        <v>9</v>
      </c>
      <c r="J3163" s="30" t="s">
        <v>392</v>
      </c>
      <c r="K3163" s="125">
        <f>IFERROR(VLOOKUP(C3163, PA!A:M, 13, FALSE),0)</f>
        <v>0</v>
      </c>
      <c r="L3163" s="137">
        <f t="shared" si="106"/>
        <v>0</v>
      </c>
    </row>
    <row r="3164" spans="1:12" x14ac:dyDescent="0.25">
      <c r="A3164" s="78">
        <v>46197</v>
      </c>
      <c r="B3164" s="68">
        <v>8</v>
      </c>
      <c r="C3164" s="33" t="s">
        <v>938</v>
      </c>
      <c r="D3164" s="30">
        <v>1</v>
      </c>
      <c r="E3164" s="30">
        <v>20</v>
      </c>
      <c r="F3164" s="30">
        <f t="shared" si="107"/>
        <v>20</v>
      </c>
      <c r="G3164" s="30" t="s">
        <v>9</v>
      </c>
      <c r="J3164" s="30" t="s">
        <v>392</v>
      </c>
      <c r="K3164" s="125">
        <f>IFERROR(VLOOKUP(C3164, PA!A:M, 13, FALSE),0)</f>
        <v>0.1111111111111111</v>
      </c>
      <c r="L3164" s="137">
        <f t="shared" si="106"/>
        <v>9.9999999999999992E-2</v>
      </c>
    </row>
    <row r="3165" spans="1:12" x14ac:dyDescent="0.25">
      <c r="A3165" s="78">
        <v>46197</v>
      </c>
      <c r="B3165" s="68">
        <v>8</v>
      </c>
      <c r="C3165" s="33" t="s">
        <v>553</v>
      </c>
      <c r="D3165" s="30">
        <v>2</v>
      </c>
      <c r="E3165" s="30">
        <v>5</v>
      </c>
      <c r="F3165" s="30">
        <f t="shared" si="107"/>
        <v>10</v>
      </c>
      <c r="G3165" s="30" t="s">
        <v>9</v>
      </c>
      <c r="J3165" s="30" t="s">
        <v>392</v>
      </c>
      <c r="K3165" s="125">
        <f>IFERROR(VLOOKUP(C3165, PA!A:M, 13, FALSE),0)</f>
        <v>0.1111111111111111</v>
      </c>
      <c r="L3165" s="137">
        <f t="shared" si="106"/>
        <v>9.9999999999999992E-2</v>
      </c>
    </row>
    <row r="3166" spans="1:12" x14ac:dyDescent="0.25">
      <c r="A3166" s="78">
        <v>46197</v>
      </c>
      <c r="B3166" s="68">
        <v>7</v>
      </c>
      <c r="C3166" s="33" t="s">
        <v>348</v>
      </c>
      <c r="D3166" s="30">
        <v>2</v>
      </c>
      <c r="E3166" s="30">
        <v>1</v>
      </c>
      <c r="F3166" s="30">
        <f t="shared" si="107"/>
        <v>2</v>
      </c>
      <c r="G3166" s="30" t="s">
        <v>10</v>
      </c>
      <c r="J3166" s="30" t="s">
        <v>392</v>
      </c>
      <c r="K3166" s="125">
        <f>IFERROR(VLOOKUP(C3166, PA!A:M, 13, FALSE),0)</f>
        <v>5.0000000000000058E-2</v>
      </c>
      <c r="L3166" s="137">
        <f t="shared" si="106"/>
        <v>4.7619047619047672E-2</v>
      </c>
    </row>
    <row r="3167" spans="1:12" x14ac:dyDescent="0.25">
      <c r="A3167" s="78">
        <v>46197</v>
      </c>
      <c r="B3167" s="68">
        <v>1</v>
      </c>
      <c r="C3167" s="33" t="s">
        <v>822</v>
      </c>
      <c r="D3167" s="30">
        <v>1.9</v>
      </c>
      <c r="E3167" s="30">
        <v>29</v>
      </c>
      <c r="F3167" s="30">
        <f t="shared" si="107"/>
        <v>55.099999999999994</v>
      </c>
      <c r="G3167" s="30" t="s">
        <v>9</v>
      </c>
      <c r="J3167" s="30" t="s">
        <v>392</v>
      </c>
      <c r="K3167" s="125">
        <f>IFERROR(VLOOKUP(C3167, PA!A:M, 13, FALSE),0)</f>
        <v>7.1428571428571425E-2</v>
      </c>
      <c r="L3167" s="137">
        <f t="shared" si="106"/>
        <v>6.6666666666666666E-2</v>
      </c>
    </row>
    <row r="3168" spans="1:12" x14ac:dyDescent="0.25">
      <c r="A3168" s="78">
        <v>46197</v>
      </c>
      <c r="B3168" s="68">
        <v>1</v>
      </c>
      <c r="C3168" s="33" t="s">
        <v>781</v>
      </c>
      <c r="D3168" s="30">
        <v>0.22</v>
      </c>
      <c r="E3168" s="30">
        <v>200</v>
      </c>
      <c r="F3168" s="30">
        <f t="shared" si="107"/>
        <v>44</v>
      </c>
      <c r="G3168" s="30" t="s">
        <v>9</v>
      </c>
      <c r="J3168" s="30" t="s">
        <v>392</v>
      </c>
      <c r="K3168" s="125">
        <f>IFERROR(VLOOKUP(C3168, PA!A:M, 13, FALSE),0)</f>
        <v>0.42857142857142855</v>
      </c>
      <c r="L3168" s="137">
        <f t="shared" si="106"/>
        <v>0.3</v>
      </c>
    </row>
    <row r="3169" spans="1:12" x14ac:dyDescent="0.25">
      <c r="A3169" s="78">
        <v>46197</v>
      </c>
      <c r="B3169" s="68">
        <v>1</v>
      </c>
      <c r="C3169" s="33" t="s">
        <v>780</v>
      </c>
      <c r="D3169" s="30">
        <v>0.1</v>
      </c>
      <c r="E3169" s="30">
        <v>150</v>
      </c>
      <c r="F3169" s="30">
        <f t="shared" si="107"/>
        <v>15</v>
      </c>
      <c r="G3169" s="30" t="s">
        <v>9</v>
      </c>
      <c r="J3169" s="30" t="s">
        <v>392</v>
      </c>
      <c r="K3169" s="125">
        <f>IFERROR(VLOOKUP(C3169, PA!A:M, 13, FALSE),0)</f>
        <v>0.66666666666666663</v>
      </c>
      <c r="L3169" s="137">
        <f t="shared" si="106"/>
        <v>0.4</v>
      </c>
    </row>
    <row r="3170" spans="1:12" x14ac:dyDescent="0.25">
      <c r="A3170" s="78">
        <v>46197</v>
      </c>
      <c r="B3170" s="68">
        <v>9</v>
      </c>
      <c r="C3170" s="70" t="s">
        <v>733</v>
      </c>
      <c r="D3170" s="30">
        <v>3</v>
      </c>
      <c r="E3170" s="30">
        <v>55</v>
      </c>
      <c r="F3170" s="30">
        <f t="shared" si="107"/>
        <v>165</v>
      </c>
      <c r="G3170" s="30" t="s">
        <v>9</v>
      </c>
      <c r="J3170" s="30" t="s">
        <v>392</v>
      </c>
      <c r="K3170" s="125">
        <f>IFERROR(VLOOKUP(C3170, PA!A:M, 13, FALSE),0)</f>
        <v>0.11718749999999994</v>
      </c>
      <c r="L3170" s="137">
        <f t="shared" si="106"/>
        <v>0.10489510489510484</v>
      </c>
    </row>
    <row r="3171" spans="1:12" ht="30" x14ac:dyDescent="0.25">
      <c r="A3171" s="78">
        <v>46197</v>
      </c>
      <c r="B3171" s="68">
        <v>9</v>
      </c>
      <c r="C3171" s="33" t="s">
        <v>509</v>
      </c>
      <c r="D3171" s="30">
        <v>0.5</v>
      </c>
      <c r="E3171" s="30">
        <v>160</v>
      </c>
      <c r="F3171" s="30">
        <f t="shared" si="107"/>
        <v>80</v>
      </c>
      <c r="G3171" s="30" t="s">
        <v>9</v>
      </c>
      <c r="J3171" s="30" t="s">
        <v>392</v>
      </c>
      <c r="K3171" s="125">
        <f>IFERROR(VLOOKUP(C3171, PA!A:M, 13, FALSE),0)</f>
        <v>0.125</v>
      </c>
      <c r="L3171" s="137">
        <f t="shared" si="106"/>
        <v>0.1111111111111111</v>
      </c>
    </row>
    <row r="3172" spans="1:12" x14ac:dyDescent="0.25">
      <c r="A3172" s="78">
        <v>46197</v>
      </c>
      <c r="B3172" s="68">
        <v>9</v>
      </c>
      <c r="C3172" s="33" t="s">
        <v>964</v>
      </c>
      <c r="D3172" s="30">
        <v>1</v>
      </c>
      <c r="E3172" s="30">
        <v>10</v>
      </c>
      <c r="F3172" s="30">
        <f t="shared" si="107"/>
        <v>10</v>
      </c>
      <c r="G3172" s="30" t="s">
        <v>9</v>
      </c>
      <c r="J3172" s="30" t="s">
        <v>392</v>
      </c>
      <c r="K3172" s="125">
        <f>IFERROR(VLOOKUP(C3172, PA!A:M, 13, FALSE),0)</f>
        <v>0.14285714285714285</v>
      </c>
      <c r="L3172" s="137">
        <f t="shared" si="106"/>
        <v>0.125</v>
      </c>
    </row>
    <row r="3173" spans="1:12" x14ac:dyDescent="0.25">
      <c r="A3173" s="78">
        <v>46197</v>
      </c>
      <c r="B3173" s="68">
        <v>9</v>
      </c>
      <c r="C3173" s="33" t="s">
        <v>896</v>
      </c>
      <c r="D3173" s="30">
        <v>0.19</v>
      </c>
      <c r="E3173" s="30">
        <v>110</v>
      </c>
      <c r="F3173" s="30">
        <f t="shared" si="107"/>
        <v>20.9</v>
      </c>
      <c r="G3173" s="30" t="s">
        <v>9</v>
      </c>
      <c r="J3173" s="30" t="s">
        <v>392</v>
      </c>
      <c r="K3173" s="125">
        <f>IFERROR(VLOOKUP(C3173, PA!A:M, 13, FALSE),0)</f>
        <v>0.22222222222222221</v>
      </c>
      <c r="L3173" s="137">
        <f t="shared" si="106"/>
        <v>0.1818181818181818</v>
      </c>
    </row>
    <row r="3174" spans="1:12" x14ac:dyDescent="0.25">
      <c r="A3174" s="78">
        <v>46197</v>
      </c>
      <c r="B3174" s="68">
        <v>9</v>
      </c>
      <c r="C3174" s="33" t="s">
        <v>652</v>
      </c>
      <c r="D3174" s="30">
        <v>1</v>
      </c>
      <c r="E3174" s="30">
        <v>20</v>
      </c>
      <c r="F3174" s="30">
        <f t="shared" si="107"/>
        <v>20</v>
      </c>
      <c r="G3174" s="30" t="s">
        <v>9</v>
      </c>
      <c r="J3174" s="30" t="s">
        <v>392</v>
      </c>
      <c r="K3174" s="125">
        <f>IFERROR(VLOOKUP(C3174, PA!A:M, 13, FALSE),0)</f>
        <v>0.1111111111111111</v>
      </c>
      <c r="L3174" s="137">
        <f t="shared" si="106"/>
        <v>9.9999999999999992E-2</v>
      </c>
    </row>
    <row r="3175" spans="1:12" x14ac:dyDescent="0.25">
      <c r="A3175" s="78">
        <v>46197</v>
      </c>
      <c r="B3175" s="68">
        <v>10</v>
      </c>
      <c r="C3175" s="159" t="s">
        <v>535</v>
      </c>
      <c r="D3175" s="30">
        <v>3</v>
      </c>
      <c r="E3175" s="30">
        <v>10</v>
      </c>
      <c r="F3175" s="30">
        <f t="shared" si="107"/>
        <v>30</v>
      </c>
      <c r="G3175" s="30" t="s">
        <v>9</v>
      </c>
      <c r="J3175" s="30" t="s">
        <v>392</v>
      </c>
      <c r="K3175" s="125">
        <f>IFERROR(VLOOKUP(C3175, PA!A:M, 13, FALSE),0)</f>
        <v>9.0909090909090981E-2</v>
      </c>
      <c r="L3175" s="137">
        <f t="shared" si="106"/>
        <v>8.3333333333333384E-2</v>
      </c>
    </row>
    <row r="3176" spans="1:12" x14ac:dyDescent="0.25">
      <c r="A3176" s="78">
        <v>46197</v>
      </c>
      <c r="B3176" s="68">
        <v>10</v>
      </c>
      <c r="C3176" s="33" t="s">
        <v>565</v>
      </c>
      <c r="D3176" s="30">
        <v>2</v>
      </c>
      <c r="E3176" s="30">
        <v>10</v>
      </c>
      <c r="F3176" s="30">
        <f t="shared" si="107"/>
        <v>20</v>
      </c>
      <c r="G3176" s="30" t="s">
        <v>9</v>
      </c>
      <c r="J3176" s="30" t="s">
        <v>392</v>
      </c>
      <c r="K3176" s="125">
        <f>IFERROR(VLOOKUP(C3176, PA!A:M, 13, FALSE),0)</f>
        <v>0.10091743119266047</v>
      </c>
      <c r="L3176" s="137">
        <f t="shared" si="106"/>
        <v>9.1666666666666605E-2</v>
      </c>
    </row>
    <row r="3177" spans="1:12" ht="30" x14ac:dyDescent="0.25">
      <c r="A3177" s="78">
        <v>46197</v>
      </c>
      <c r="B3177" s="68">
        <v>10</v>
      </c>
      <c r="C3177" s="33" t="s">
        <v>577</v>
      </c>
      <c r="D3177" s="30">
        <v>2</v>
      </c>
      <c r="E3177" s="30">
        <v>5</v>
      </c>
      <c r="F3177" s="30">
        <f t="shared" si="107"/>
        <v>10</v>
      </c>
      <c r="G3177" s="30" t="s">
        <v>9</v>
      </c>
      <c r="J3177" s="30" t="s">
        <v>392</v>
      </c>
      <c r="K3177" s="125">
        <f>IFERROR(VLOOKUP(C3177, PA!A:M, 13, FALSE),0)</f>
        <v>0.25</v>
      </c>
      <c r="L3177" s="137">
        <f t="shared" si="106"/>
        <v>0.2</v>
      </c>
    </row>
    <row r="3178" spans="1:12" x14ac:dyDescent="0.25">
      <c r="A3178" s="78">
        <v>46197</v>
      </c>
      <c r="B3178" s="68">
        <v>10</v>
      </c>
      <c r="C3178" s="33" t="s">
        <v>820</v>
      </c>
      <c r="D3178" s="30">
        <v>1</v>
      </c>
      <c r="E3178" s="30">
        <v>56</v>
      </c>
      <c r="F3178" s="30">
        <f t="shared" si="107"/>
        <v>56</v>
      </c>
      <c r="G3178" s="30" t="s">
        <v>9</v>
      </c>
      <c r="J3178" s="30" t="s">
        <v>392</v>
      </c>
      <c r="K3178" s="125">
        <f>IFERROR(VLOOKUP(C3178, PA!A:M, 13, FALSE),0)</f>
        <v>6.1224489795918366E-2</v>
      </c>
      <c r="L3178" s="137">
        <f t="shared" si="106"/>
        <v>5.7692307692307689E-2</v>
      </c>
    </row>
    <row r="3179" spans="1:12" x14ac:dyDescent="0.25">
      <c r="A3179" s="78">
        <v>46197</v>
      </c>
      <c r="B3179" s="68">
        <v>10</v>
      </c>
      <c r="C3179" s="33" t="s">
        <v>912</v>
      </c>
      <c r="D3179" s="30">
        <v>1</v>
      </c>
      <c r="E3179" s="30">
        <v>10</v>
      </c>
      <c r="F3179" s="30">
        <f t="shared" si="107"/>
        <v>10</v>
      </c>
      <c r="G3179" s="30" t="s">
        <v>9</v>
      </c>
      <c r="J3179" s="30" t="s">
        <v>392</v>
      </c>
      <c r="K3179" s="125">
        <f>IFERROR(VLOOKUP(C3179, PA!A:M, 13, FALSE),0)</f>
        <v>9.0909090909090981E-2</v>
      </c>
      <c r="L3179" s="137">
        <f t="shared" si="106"/>
        <v>8.3333333333333384E-2</v>
      </c>
    </row>
    <row r="3180" spans="1:12" x14ac:dyDescent="0.25">
      <c r="A3180" s="78">
        <v>46197</v>
      </c>
      <c r="B3180" s="68">
        <v>10</v>
      </c>
      <c r="C3180" s="33" t="s">
        <v>670</v>
      </c>
      <c r="D3180" s="30">
        <v>1</v>
      </c>
      <c r="E3180" s="30">
        <v>10</v>
      </c>
      <c r="F3180" s="30">
        <f t="shared" si="107"/>
        <v>10</v>
      </c>
      <c r="G3180" s="30" t="s">
        <v>9</v>
      </c>
      <c r="J3180" s="30" t="s">
        <v>392</v>
      </c>
      <c r="K3180" s="125">
        <f>IFERROR(VLOOKUP(C3180, PA!A:M, 13, FALSE),0)</f>
        <v>0.1111111111111111</v>
      </c>
      <c r="L3180" s="137">
        <f t="shared" si="106"/>
        <v>9.9999999999999992E-2</v>
      </c>
    </row>
    <row r="3181" spans="1:12" x14ac:dyDescent="0.25">
      <c r="A3181" s="78">
        <v>46197</v>
      </c>
      <c r="B3181" s="68">
        <v>11</v>
      </c>
      <c r="C3181" s="33" t="s">
        <v>797</v>
      </c>
      <c r="D3181" s="30">
        <v>1</v>
      </c>
      <c r="E3181" s="30">
        <v>115</v>
      </c>
      <c r="F3181" s="30">
        <f t="shared" si="107"/>
        <v>115</v>
      </c>
      <c r="G3181" s="30" t="s">
        <v>9</v>
      </c>
      <c r="J3181" s="30" t="s">
        <v>392</v>
      </c>
      <c r="K3181" s="125">
        <f>IFERROR(VLOOKUP(C3181, PA!A:M, 13, FALSE),0)</f>
        <v>0.1111111111111111</v>
      </c>
      <c r="L3181" s="137">
        <f t="shared" si="106"/>
        <v>9.9999999999999992E-2</v>
      </c>
    </row>
    <row r="3182" spans="1:12" x14ac:dyDescent="0.25">
      <c r="A3182" s="78">
        <v>46197</v>
      </c>
      <c r="B3182" s="68">
        <v>11</v>
      </c>
      <c r="C3182" s="33" t="s">
        <v>946</v>
      </c>
      <c r="D3182" s="30">
        <v>1</v>
      </c>
      <c r="E3182" s="30">
        <v>40</v>
      </c>
      <c r="F3182" s="30">
        <f t="shared" si="107"/>
        <v>40</v>
      </c>
      <c r="G3182" s="30" t="s">
        <v>9</v>
      </c>
      <c r="J3182" s="30" t="s">
        <v>392</v>
      </c>
      <c r="K3182" s="125">
        <f>IFERROR(VLOOKUP(C3182, PA!A:M, 13, FALSE),0)</f>
        <v>0</v>
      </c>
      <c r="L3182" s="137">
        <f t="shared" si="106"/>
        <v>0</v>
      </c>
    </row>
    <row r="3183" spans="1:12" x14ac:dyDescent="0.25">
      <c r="A3183" s="78">
        <v>46197</v>
      </c>
      <c r="B3183" s="68">
        <v>11</v>
      </c>
      <c r="C3183" s="33" t="s">
        <v>847</v>
      </c>
      <c r="D3183" s="30">
        <v>1</v>
      </c>
      <c r="E3183" s="30">
        <v>80</v>
      </c>
      <c r="F3183" s="30">
        <f t="shared" si="107"/>
        <v>80</v>
      </c>
      <c r="G3183" s="30" t="s">
        <v>9</v>
      </c>
      <c r="J3183" s="30" t="s">
        <v>392</v>
      </c>
      <c r="K3183" s="125">
        <f>IFERROR(VLOOKUP(C3183, PA!A:M, 13, FALSE),0)</f>
        <v>0.28571428571428564</v>
      </c>
      <c r="L3183" s="137">
        <f t="shared" si="106"/>
        <v>0.22222222222222218</v>
      </c>
    </row>
    <row r="3184" spans="1:12" x14ac:dyDescent="0.25">
      <c r="A3184" s="78">
        <v>46197</v>
      </c>
      <c r="B3184" s="68">
        <v>11</v>
      </c>
      <c r="C3184" s="33" t="s">
        <v>347</v>
      </c>
      <c r="D3184" s="30">
        <v>2</v>
      </c>
      <c r="E3184" s="30">
        <v>10</v>
      </c>
      <c r="F3184" s="30">
        <f t="shared" si="107"/>
        <v>20</v>
      </c>
      <c r="G3184" s="30" t="s">
        <v>9</v>
      </c>
      <c r="J3184" s="30" t="s">
        <v>392</v>
      </c>
      <c r="K3184" s="125">
        <f>IFERROR(VLOOKUP(C3184, PA!A:M, 13, FALSE),0)</f>
        <v>4.7619047619047672E-2</v>
      </c>
      <c r="L3184" s="137">
        <f t="shared" si="106"/>
        <v>4.5454545454545504E-2</v>
      </c>
    </row>
    <row r="3185" spans="1:12" x14ac:dyDescent="0.25">
      <c r="A3185" s="78">
        <v>46197</v>
      </c>
      <c r="B3185" s="68">
        <v>11</v>
      </c>
      <c r="C3185" s="33" t="s">
        <v>892</v>
      </c>
      <c r="D3185" s="30">
        <v>1</v>
      </c>
      <c r="E3185" s="30">
        <v>10</v>
      </c>
      <c r="F3185" s="30">
        <f t="shared" si="107"/>
        <v>10</v>
      </c>
      <c r="G3185" s="30" t="s">
        <v>9</v>
      </c>
      <c r="J3185" s="30" t="s">
        <v>392</v>
      </c>
      <c r="K3185" s="125">
        <f>IFERROR(VLOOKUP(C3185, PA!A:M, 13, FALSE),0)</f>
        <v>9.9999999999999908E-2</v>
      </c>
      <c r="L3185" s="137">
        <f t="shared" si="106"/>
        <v>9.0909090909090842E-2</v>
      </c>
    </row>
    <row r="3186" spans="1:12" x14ac:dyDescent="0.25">
      <c r="A3186" s="78">
        <v>46197</v>
      </c>
      <c r="B3186" s="68">
        <v>11</v>
      </c>
      <c r="C3186" s="33" t="s">
        <v>684</v>
      </c>
      <c r="D3186" s="30">
        <v>4</v>
      </c>
      <c r="E3186" s="30">
        <v>9.5</v>
      </c>
      <c r="F3186" s="30">
        <f t="shared" si="107"/>
        <v>38</v>
      </c>
      <c r="G3186" s="30" t="s">
        <v>9</v>
      </c>
      <c r="J3186" s="30" t="s">
        <v>392</v>
      </c>
      <c r="K3186" s="125">
        <f>IFERROR(VLOOKUP(C3186, PA!A:M, 13, FALSE),0)</f>
        <v>4.7409040793825769E-2</v>
      </c>
      <c r="L3186" s="137">
        <f t="shared" si="106"/>
        <v>4.5263157894736818E-2</v>
      </c>
    </row>
    <row r="3187" spans="1:12" x14ac:dyDescent="0.25">
      <c r="A3187" s="78">
        <v>46197</v>
      </c>
      <c r="B3187" s="68">
        <v>11</v>
      </c>
      <c r="C3187" s="33" t="s">
        <v>347</v>
      </c>
      <c r="D3187" s="30">
        <v>2</v>
      </c>
      <c r="E3187" s="30">
        <v>10</v>
      </c>
      <c r="F3187" s="30">
        <f t="shared" si="107"/>
        <v>20</v>
      </c>
      <c r="G3187" s="30" t="s">
        <v>9</v>
      </c>
      <c r="J3187" s="30" t="s">
        <v>392</v>
      </c>
      <c r="K3187" s="125">
        <f>IFERROR(VLOOKUP(C3187, PA!A:M, 13, FALSE),0)</f>
        <v>4.7619047619047672E-2</v>
      </c>
      <c r="L3187" s="137">
        <f t="shared" si="106"/>
        <v>4.5454545454545504E-2</v>
      </c>
    </row>
    <row r="3188" spans="1:12" x14ac:dyDescent="0.25">
      <c r="A3188" s="78">
        <v>46197</v>
      </c>
      <c r="B3188" s="68">
        <v>11</v>
      </c>
      <c r="C3188" s="33" t="s">
        <v>159</v>
      </c>
      <c r="D3188" s="30">
        <v>0.19</v>
      </c>
      <c r="E3188" s="30">
        <v>160</v>
      </c>
      <c r="F3188" s="30">
        <f t="shared" si="107"/>
        <v>30.4</v>
      </c>
      <c r="G3188" s="30" t="s">
        <v>9</v>
      </c>
      <c r="J3188" s="30" t="s">
        <v>392</v>
      </c>
      <c r="K3188" s="125">
        <f>IFERROR(VLOOKUP(C3188, PA!A:M, 13, FALSE),0)</f>
        <v>0.15671641791044777</v>
      </c>
      <c r="L3188" s="137">
        <f t="shared" si="106"/>
        <v>0.13548387096774192</v>
      </c>
    </row>
    <row r="3189" spans="1:12" x14ac:dyDescent="0.25">
      <c r="A3189" s="78">
        <v>46197</v>
      </c>
      <c r="B3189" s="68">
        <v>11</v>
      </c>
      <c r="C3189" s="33" t="s">
        <v>930</v>
      </c>
      <c r="D3189" s="30">
        <v>1</v>
      </c>
      <c r="E3189" s="30">
        <v>60</v>
      </c>
      <c r="F3189" s="30">
        <f t="shared" si="107"/>
        <v>60</v>
      </c>
      <c r="G3189" s="30" t="s">
        <v>9</v>
      </c>
      <c r="J3189" s="30" t="s">
        <v>392</v>
      </c>
      <c r="K3189" s="125">
        <f>IFERROR(VLOOKUP(C3189, PA!A:M, 13, FALSE),0)</f>
        <v>3.5714285714285712E-2</v>
      </c>
      <c r="L3189" s="137">
        <f t="shared" si="106"/>
        <v>3.4482758620689648E-2</v>
      </c>
    </row>
    <row r="3190" spans="1:12" x14ac:dyDescent="0.25">
      <c r="A3190" s="78">
        <v>46197</v>
      </c>
      <c r="B3190" s="68">
        <v>11</v>
      </c>
      <c r="C3190" s="33" t="s">
        <v>968</v>
      </c>
      <c r="D3190" s="30">
        <v>0.35</v>
      </c>
      <c r="E3190" s="30">
        <v>58</v>
      </c>
      <c r="F3190" s="30">
        <f t="shared" si="107"/>
        <v>20.299999999999997</v>
      </c>
      <c r="G3190" s="30" t="s">
        <v>9</v>
      </c>
      <c r="J3190" s="30" t="s">
        <v>392</v>
      </c>
      <c r="K3190" s="125">
        <f>IFERROR(VLOOKUP(C3190, PA!A:M, 13, FALSE),0)</f>
        <v>0.16</v>
      </c>
      <c r="L3190" s="137">
        <f t="shared" si="106"/>
        <v>0.13793103448275865</v>
      </c>
    </row>
    <row r="3191" spans="1:12" x14ac:dyDescent="0.25">
      <c r="A3191" s="78">
        <v>46197</v>
      </c>
      <c r="B3191" s="68">
        <v>11</v>
      </c>
      <c r="C3191" s="33" t="s">
        <v>736</v>
      </c>
      <c r="D3191" s="30">
        <v>1</v>
      </c>
      <c r="E3191" s="30">
        <v>60</v>
      </c>
      <c r="F3191" s="30">
        <f t="shared" si="107"/>
        <v>60</v>
      </c>
      <c r="G3191" s="30" t="s">
        <v>9</v>
      </c>
      <c r="J3191" s="30" t="s">
        <v>392</v>
      </c>
      <c r="K3191" s="125">
        <f>IFERROR(VLOOKUP(C3191, PA!A:M, 13, FALSE),0)</f>
        <v>0.1</v>
      </c>
      <c r="L3191" s="137">
        <f t="shared" si="106"/>
        <v>9.0909090909090912E-2</v>
      </c>
    </row>
    <row r="3192" spans="1:12" x14ac:dyDescent="0.25">
      <c r="A3192" s="78">
        <v>46197</v>
      </c>
      <c r="B3192" s="68">
        <v>11</v>
      </c>
      <c r="C3192" s="33" t="s">
        <v>524</v>
      </c>
      <c r="D3192" s="30">
        <v>1</v>
      </c>
      <c r="E3192" s="30">
        <v>1</v>
      </c>
      <c r="F3192" s="30">
        <f t="shared" si="107"/>
        <v>1</v>
      </c>
      <c r="G3192" s="30" t="s">
        <v>9</v>
      </c>
      <c r="J3192" s="30" t="s">
        <v>392</v>
      </c>
      <c r="K3192" s="125">
        <f>IFERROR(VLOOKUP(C3192, PA!A:M, 13, FALSE),0)</f>
        <v>0.11111111111111108</v>
      </c>
      <c r="L3192" s="137">
        <f t="shared" si="106"/>
        <v>9.9999999999999964E-2</v>
      </c>
    </row>
    <row r="3193" spans="1:12" x14ac:dyDescent="0.25">
      <c r="A3193" s="78">
        <v>46197</v>
      </c>
      <c r="B3193" s="68">
        <v>12</v>
      </c>
      <c r="C3193" s="33" t="s">
        <v>946</v>
      </c>
      <c r="D3193" s="30">
        <v>1</v>
      </c>
      <c r="E3193" s="30">
        <v>40</v>
      </c>
      <c r="F3193" s="30">
        <f t="shared" si="107"/>
        <v>40</v>
      </c>
      <c r="G3193" s="30" t="s">
        <v>9</v>
      </c>
      <c r="J3193" s="30" t="s">
        <v>392</v>
      </c>
      <c r="K3193" s="125">
        <f>IFERROR(VLOOKUP(C3193, PA!A:M, 13, FALSE),0)</f>
        <v>0</v>
      </c>
      <c r="L3193" s="137">
        <f t="shared" si="106"/>
        <v>0</v>
      </c>
    </row>
    <row r="3194" spans="1:12" x14ac:dyDescent="0.25">
      <c r="A3194" s="78">
        <v>46197</v>
      </c>
      <c r="B3194" s="68">
        <v>10</v>
      </c>
      <c r="C3194" s="33" t="s">
        <v>404</v>
      </c>
      <c r="D3194" s="30">
        <v>1</v>
      </c>
      <c r="E3194" s="30">
        <v>25</v>
      </c>
      <c r="F3194" s="30">
        <f t="shared" si="107"/>
        <v>25</v>
      </c>
      <c r="G3194" s="30" t="s">
        <v>9</v>
      </c>
      <c r="J3194" s="30" t="s">
        <v>392</v>
      </c>
      <c r="K3194" s="125">
        <f>IFERROR(VLOOKUP(C3194, PA!A:M, 13, FALSE),0)</f>
        <v>0.25</v>
      </c>
      <c r="L3194" s="137">
        <f t="shared" si="106"/>
        <v>0.2</v>
      </c>
    </row>
    <row r="3195" spans="1:12" ht="30" x14ac:dyDescent="0.25">
      <c r="A3195" s="78">
        <v>46197</v>
      </c>
      <c r="B3195" s="68">
        <v>10</v>
      </c>
      <c r="C3195" s="70" t="s">
        <v>589</v>
      </c>
      <c r="D3195" s="30">
        <v>0.5</v>
      </c>
      <c r="E3195" s="30">
        <v>160</v>
      </c>
      <c r="F3195" s="30">
        <f t="shared" si="107"/>
        <v>80</v>
      </c>
      <c r="G3195" s="30" t="s">
        <v>9</v>
      </c>
      <c r="J3195" s="30" t="s">
        <v>392</v>
      </c>
      <c r="K3195" s="125">
        <f>IFERROR(VLOOKUP(C3195, PA!A:M, 13, FALSE),0)</f>
        <v>0.125</v>
      </c>
      <c r="L3195" s="137">
        <f t="shared" si="106"/>
        <v>0.1111111111111111</v>
      </c>
    </row>
    <row r="3196" spans="1:12" x14ac:dyDescent="0.25">
      <c r="A3196" s="78">
        <v>46197</v>
      </c>
      <c r="B3196" s="68">
        <v>10</v>
      </c>
      <c r="C3196" s="70" t="s">
        <v>719</v>
      </c>
      <c r="D3196" s="30">
        <v>1</v>
      </c>
      <c r="E3196" s="30">
        <v>45</v>
      </c>
      <c r="F3196" s="30">
        <f t="shared" si="107"/>
        <v>45</v>
      </c>
      <c r="G3196" s="30" t="s">
        <v>9</v>
      </c>
      <c r="J3196" s="30" t="s">
        <v>392</v>
      </c>
      <c r="K3196" s="125">
        <f>IFERROR(VLOOKUP(C3196, PA!A:M, 13, FALSE),0)</f>
        <v>0.18421052631578946</v>
      </c>
      <c r="L3196" s="137">
        <f t="shared" si="106"/>
        <v>0.15555555555555556</v>
      </c>
    </row>
    <row r="3197" spans="1:12" x14ac:dyDescent="0.25">
      <c r="A3197" s="78">
        <v>46197</v>
      </c>
      <c r="B3197" s="68">
        <v>10</v>
      </c>
      <c r="C3197" s="33" t="s">
        <v>616</v>
      </c>
      <c r="D3197" s="30">
        <v>1</v>
      </c>
      <c r="E3197" s="30">
        <v>50</v>
      </c>
      <c r="F3197" s="30">
        <f t="shared" si="107"/>
        <v>50</v>
      </c>
      <c r="G3197" s="30" t="s">
        <v>9</v>
      </c>
      <c r="J3197" s="30" t="s">
        <v>392</v>
      </c>
      <c r="K3197" s="125">
        <f>IFERROR(VLOOKUP(C3197, PA!A:M, 13, FALSE),0)</f>
        <v>0.30434782608695643</v>
      </c>
      <c r="L3197" s="137">
        <f t="shared" si="106"/>
        <v>0.23333333333333325</v>
      </c>
    </row>
    <row r="3198" spans="1:12" x14ac:dyDescent="0.25">
      <c r="A3198" s="78">
        <v>46197</v>
      </c>
      <c r="B3198" s="68">
        <v>10</v>
      </c>
      <c r="C3198" s="33" t="s">
        <v>718</v>
      </c>
      <c r="D3198" s="30">
        <v>1</v>
      </c>
      <c r="E3198" s="30">
        <v>160</v>
      </c>
      <c r="F3198" s="30">
        <f t="shared" si="107"/>
        <v>160</v>
      </c>
      <c r="G3198" s="30" t="s">
        <v>9</v>
      </c>
      <c r="J3198" s="30" t="s">
        <v>392</v>
      </c>
      <c r="K3198" s="125">
        <f>IFERROR(VLOOKUP(C3198, PA!A:M, 13, FALSE),0)</f>
        <v>0.14285714285714285</v>
      </c>
      <c r="L3198" s="137">
        <f t="shared" si="106"/>
        <v>0.125</v>
      </c>
    </row>
    <row r="3199" spans="1:12" x14ac:dyDescent="0.25">
      <c r="A3199" s="78">
        <v>46197</v>
      </c>
      <c r="B3199" s="68">
        <v>13</v>
      </c>
      <c r="C3199" s="159" t="s">
        <v>535</v>
      </c>
      <c r="D3199" s="30">
        <v>1</v>
      </c>
      <c r="E3199" s="30">
        <v>10</v>
      </c>
      <c r="F3199" s="30">
        <f t="shared" si="107"/>
        <v>10</v>
      </c>
      <c r="G3199" s="30" t="s">
        <v>9</v>
      </c>
      <c r="J3199" s="30" t="s">
        <v>392</v>
      </c>
      <c r="K3199" s="125">
        <f>IFERROR(VLOOKUP(C3199, PA!A:M, 13, FALSE),0)</f>
        <v>9.0909090909090981E-2</v>
      </c>
      <c r="L3199" s="137">
        <f t="shared" si="106"/>
        <v>8.3333333333333384E-2</v>
      </c>
    </row>
    <row r="3200" spans="1:12" x14ac:dyDescent="0.25">
      <c r="A3200" s="78">
        <v>46197</v>
      </c>
      <c r="B3200" s="68">
        <v>14</v>
      </c>
      <c r="C3200" s="33" t="s">
        <v>627</v>
      </c>
      <c r="D3200" s="30">
        <v>1</v>
      </c>
      <c r="E3200" s="30">
        <v>35</v>
      </c>
      <c r="F3200" s="30">
        <f t="shared" si="107"/>
        <v>35</v>
      </c>
      <c r="G3200" s="30" t="s">
        <v>9</v>
      </c>
      <c r="J3200" s="30" t="s">
        <v>392</v>
      </c>
      <c r="K3200" s="125">
        <f>IFERROR(VLOOKUP(C3200, PA!A:M, 13, FALSE),0)</f>
        <v>0.25</v>
      </c>
      <c r="L3200" s="137">
        <f t="shared" si="106"/>
        <v>0.2</v>
      </c>
    </row>
    <row r="3201" spans="1:12" x14ac:dyDescent="0.25">
      <c r="A3201" s="78">
        <v>46197</v>
      </c>
      <c r="B3201" s="68">
        <v>14</v>
      </c>
      <c r="C3201" s="33" t="s">
        <v>912</v>
      </c>
      <c r="D3201" s="30">
        <v>1</v>
      </c>
      <c r="E3201" s="30">
        <v>10</v>
      </c>
      <c r="F3201" s="30">
        <f t="shared" si="107"/>
        <v>10</v>
      </c>
      <c r="G3201" s="30" t="s">
        <v>9</v>
      </c>
      <c r="J3201" s="30" t="s">
        <v>392</v>
      </c>
      <c r="K3201" s="125">
        <f>IFERROR(VLOOKUP(C3201, PA!A:M, 13, FALSE),0)</f>
        <v>9.0909090909090981E-2</v>
      </c>
      <c r="L3201" s="137">
        <f t="shared" si="106"/>
        <v>8.3333333333333384E-2</v>
      </c>
    </row>
    <row r="3202" spans="1:12" x14ac:dyDescent="0.25">
      <c r="A3202" s="78">
        <v>46197</v>
      </c>
      <c r="B3202" s="68">
        <v>14</v>
      </c>
      <c r="C3202" s="33" t="s">
        <v>670</v>
      </c>
      <c r="D3202" s="30">
        <v>1</v>
      </c>
      <c r="E3202" s="30">
        <v>10</v>
      </c>
      <c r="F3202" s="30">
        <f t="shared" si="107"/>
        <v>10</v>
      </c>
      <c r="G3202" s="30" t="s">
        <v>9</v>
      </c>
      <c r="J3202" s="30" t="s">
        <v>392</v>
      </c>
      <c r="K3202" s="125">
        <f>IFERROR(VLOOKUP(C3202, PA!A:M, 13, FALSE),0)</f>
        <v>0.1111111111111111</v>
      </c>
      <c r="L3202" s="137">
        <f t="shared" si="106"/>
        <v>9.9999999999999992E-2</v>
      </c>
    </row>
    <row r="3203" spans="1:12" x14ac:dyDescent="0.25">
      <c r="A3203" s="78">
        <v>46197</v>
      </c>
      <c r="B3203" s="68">
        <v>15</v>
      </c>
      <c r="C3203" s="33" t="s">
        <v>542</v>
      </c>
      <c r="D3203" s="30">
        <v>0.105</v>
      </c>
      <c r="E3203" s="30">
        <v>95</v>
      </c>
      <c r="F3203" s="30">
        <f t="shared" si="107"/>
        <v>9.9749999999999996</v>
      </c>
      <c r="G3203" s="30" t="s">
        <v>9</v>
      </c>
      <c r="J3203" s="30" t="s">
        <v>392</v>
      </c>
      <c r="K3203" s="125">
        <f>IFERROR(VLOOKUP(C3203, PA!A:M, 13, FALSE),0)</f>
        <v>0.11764705882352941</v>
      </c>
      <c r="L3203" s="137">
        <f t="shared" si="106"/>
        <v>0.10526315789473684</v>
      </c>
    </row>
    <row r="3204" spans="1:12" x14ac:dyDescent="0.25">
      <c r="A3204" s="78">
        <v>46197</v>
      </c>
      <c r="B3204" s="68">
        <v>15</v>
      </c>
      <c r="C3204" s="33" t="s">
        <v>896</v>
      </c>
      <c r="D3204" s="30">
        <v>0.09</v>
      </c>
      <c r="E3204" s="30">
        <v>110</v>
      </c>
      <c r="F3204" s="30">
        <f t="shared" si="107"/>
        <v>9.9</v>
      </c>
      <c r="G3204" s="30" t="s">
        <v>9</v>
      </c>
      <c r="J3204" s="30" t="s">
        <v>392</v>
      </c>
      <c r="K3204" s="125">
        <f>IFERROR(VLOOKUP(C3204, PA!A:M, 13, FALSE),0)</f>
        <v>0.22222222222222221</v>
      </c>
      <c r="L3204" s="137">
        <f t="shared" si="106"/>
        <v>0.1818181818181818</v>
      </c>
    </row>
    <row r="3205" spans="1:12" x14ac:dyDescent="0.25">
      <c r="A3205" s="78">
        <v>46197</v>
      </c>
      <c r="B3205" s="68">
        <v>15</v>
      </c>
      <c r="C3205" s="33" t="s">
        <v>73</v>
      </c>
      <c r="D3205" s="30">
        <v>1</v>
      </c>
      <c r="E3205" s="30">
        <v>10</v>
      </c>
      <c r="F3205" s="30">
        <f t="shared" si="107"/>
        <v>10</v>
      </c>
      <c r="G3205" s="30" t="s">
        <v>9</v>
      </c>
      <c r="J3205" s="30" t="s">
        <v>392</v>
      </c>
      <c r="K3205" s="125">
        <f>IFERROR(VLOOKUP(C3205, PA!A:M, 13, FALSE),0)</f>
        <v>0.33333333333333331</v>
      </c>
      <c r="L3205" s="137">
        <f t="shared" si="106"/>
        <v>0.25</v>
      </c>
    </row>
    <row r="3206" spans="1:12" x14ac:dyDescent="0.25">
      <c r="A3206" s="78">
        <v>46197</v>
      </c>
      <c r="B3206" s="68">
        <v>15</v>
      </c>
      <c r="C3206" s="33" t="s">
        <v>545</v>
      </c>
      <c r="D3206" s="30">
        <v>1</v>
      </c>
      <c r="E3206" s="30">
        <v>30</v>
      </c>
      <c r="F3206" s="30">
        <f t="shared" si="107"/>
        <v>30</v>
      </c>
      <c r="G3206" s="30" t="s">
        <v>9</v>
      </c>
      <c r="J3206" s="30" t="s">
        <v>392</v>
      </c>
      <c r="K3206" s="125">
        <f>IFERROR(VLOOKUP(C3206, PA!A:M, 13, FALSE),0)</f>
        <v>0.2</v>
      </c>
      <c r="L3206" s="137">
        <f t="shared" si="106"/>
        <v>0.16666666666666669</v>
      </c>
    </row>
    <row r="3207" spans="1:12" x14ac:dyDescent="0.25">
      <c r="A3207" s="78">
        <v>46197</v>
      </c>
      <c r="B3207" s="68">
        <v>16</v>
      </c>
      <c r="C3207" s="33" t="s">
        <v>565</v>
      </c>
      <c r="D3207" s="30">
        <v>1</v>
      </c>
      <c r="E3207" s="30">
        <v>10</v>
      </c>
      <c r="F3207" s="30">
        <f t="shared" si="107"/>
        <v>10</v>
      </c>
      <c r="G3207" s="30" t="s">
        <v>9</v>
      </c>
      <c r="J3207" s="30" t="s">
        <v>392</v>
      </c>
      <c r="K3207" s="125">
        <f>IFERROR(VLOOKUP(C3207, PA!A:M, 13, FALSE),0)</f>
        <v>0.10091743119266047</v>
      </c>
      <c r="L3207" s="137">
        <f t="shared" si="106"/>
        <v>9.1666666666666605E-2</v>
      </c>
    </row>
    <row r="3208" spans="1:12" x14ac:dyDescent="0.25">
      <c r="A3208" s="78">
        <v>46197</v>
      </c>
      <c r="B3208" s="68">
        <v>17</v>
      </c>
      <c r="C3208" s="33" t="s">
        <v>523</v>
      </c>
      <c r="D3208" s="30">
        <v>0.11</v>
      </c>
      <c r="E3208" s="30">
        <v>280</v>
      </c>
      <c r="F3208" s="30">
        <f t="shared" si="107"/>
        <v>30.8</v>
      </c>
      <c r="G3208" s="30" t="s">
        <v>9</v>
      </c>
      <c r="J3208" s="30" t="s">
        <v>392</v>
      </c>
      <c r="K3208" s="125">
        <f>IFERROR(VLOOKUP(C3208, PA!A:M, 13, FALSE),0)</f>
        <v>0.16666666666666666</v>
      </c>
      <c r="L3208" s="137">
        <f t="shared" si="106"/>
        <v>0.14285714285714285</v>
      </c>
    </row>
    <row r="3209" spans="1:12" x14ac:dyDescent="0.25">
      <c r="A3209" s="78">
        <v>46197</v>
      </c>
      <c r="B3209" s="68">
        <v>18</v>
      </c>
      <c r="C3209" s="33" t="s">
        <v>645</v>
      </c>
      <c r="D3209" s="30">
        <v>1</v>
      </c>
      <c r="E3209" s="30">
        <v>10</v>
      </c>
      <c r="F3209" s="30">
        <f t="shared" si="107"/>
        <v>10</v>
      </c>
      <c r="G3209" s="30" t="s">
        <v>9</v>
      </c>
      <c r="J3209" s="30" t="s">
        <v>392</v>
      </c>
      <c r="K3209" s="125">
        <f>IFERROR(VLOOKUP(C3209, PA!A:M, 13, FALSE),0)</f>
        <v>9.0909090909090981E-2</v>
      </c>
      <c r="L3209" s="137">
        <f t="shared" si="106"/>
        <v>8.3333333333333384E-2</v>
      </c>
    </row>
    <row r="3210" spans="1:12" ht="30" x14ac:dyDescent="0.25">
      <c r="A3210" s="78">
        <v>46197</v>
      </c>
      <c r="B3210" s="68">
        <v>18</v>
      </c>
      <c r="C3210" s="33" t="s">
        <v>361</v>
      </c>
      <c r="D3210" s="30">
        <v>1</v>
      </c>
      <c r="E3210" s="30">
        <v>10</v>
      </c>
      <c r="F3210" s="30">
        <f t="shared" si="107"/>
        <v>10</v>
      </c>
      <c r="G3210" s="30" t="s">
        <v>9</v>
      </c>
      <c r="J3210" s="30" t="s">
        <v>392</v>
      </c>
      <c r="K3210" s="125">
        <f>IFERROR(VLOOKUP(C3210, PA!A:M, 13, FALSE),0)</f>
        <v>0.19999999999999993</v>
      </c>
      <c r="L3210" s="137">
        <f t="shared" si="106"/>
        <v>0.1666666666666666</v>
      </c>
    </row>
    <row r="3211" spans="1:12" x14ac:dyDescent="0.25">
      <c r="A3211" s="78">
        <v>46197</v>
      </c>
      <c r="B3211" s="68">
        <v>18</v>
      </c>
      <c r="C3211" s="33" t="s">
        <v>912</v>
      </c>
      <c r="D3211" s="30">
        <v>1</v>
      </c>
      <c r="E3211" s="30">
        <v>10</v>
      </c>
      <c r="F3211" s="30">
        <f t="shared" si="107"/>
        <v>10</v>
      </c>
      <c r="G3211" s="30" t="s">
        <v>9</v>
      </c>
      <c r="J3211" s="30" t="s">
        <v>392</v>
      </c>
      <c r="K3211" s="125">
        <f>IFERROR(VLOOKUP(C3211, PA!A:M, 13, FALSE),0)</f>
        <v>9.0909090909090981E-2</v>
      </c>
      <c r="L3211" s="137">
        <f t="shared" si="106"/>
        <v>8.3333333333333384E-2</v>
      </c>
    </row>
    <row r="3212" spans="1:12" x14ac:dyDescent="0.25">
      <c r="A3212" s="78">
        <v>46197</v>
      </c>
      <c r="B3212" s="68">
        <v>18</v>
      </c>
      <c r="C3212" s="159" t="s">
        <v>535</v>
      </c>
      <c r="D3212" s="30">
        <v>1</v>
      </c>
      <c r="E3212" s="30">
        <v>10</v>
      </c>
      <c r="F3212" s="30">
        <f t="shared" si="107"/>
        <v>10</v>
      </c>
      <c r="G3212" s="30" t="s">
        <v>9</v>
      </c>
      <c r="J3212" s="30" t="s">
        <v>392</v>
      </c>
      <c r="K3212" s="125">
        <f>IFERROR(VLOOKUP(C3212, PA!A:M, 13, FALSE),0)</f>
        <v>9.0909090909090981E-2</v>
      </c>
      <c r="L3212" s="137">
        <f t="shared" si="106"/>
        <v>8.3333333333333384E-2</v>
      </c>
    </row>
    <row r="3213" spans="1:12" x14ac:dyDescent="0.25">
      <c r="A3213" s="78">
        <v>46197</v>
      </c>
      <c r="B3213" s="68">
        <v>1</v>
      </c>
      <c r="C3213" s="70" t="s">
        <v>733</v>
      </c>
      <c r="D3213" s="30">
        <v>2</v>
      </c>
      <c r="E3213" s="30">
        <v>55</v>
      </c>
      <c r="F3213" s="30">
        <f t="shared" si="107"/>
        <v>110</v>
      </c>
      <c r="G3213" s="30" t="s">
        <v>9</v>
      </c>
      <c r="J3213" s="30" t="s">
        <v>392</v>
      </c>
      <c r="K3213" s="125">
        <f>IFERROR(VLOOKUP(C3213, PA!A:M, 13, FALSE),0)</f>
        <v>0.11718749999999994</v>
      </c>
      <c r="L3213" s="137">
        <f t="shared" si="106"/>
        <v>0.10489510489510484</v>
      </c>
    </row>
    <row r="3214" spans="1:12" ht="30" x14ac:dyDescent="0.25">
      <c r="A3214" s="78">
        <v>46197</v>
      </c>
      <c r="B3214" s="68">
        <v>1</v>
      </c>
      <c r="C3214" s="70" t="s">
        <v>377</v>
      </c>
      <c r="D3214" s="30">
        <v>3</v>
      </c>
      <c r="E3214" s="30">
        <v>10</v>
      </c>
      <c r="F3214" s="30">
        <f t="shared" si="107"/>
        <v>30</v>
      </c>
      <c r="G3214" s="30" t="s">
        <v>9</v>
      </c>
      <c r="J3214" s="30" t="s">
        <v>392</v>
      </c>
      <c r="K3214" s="125">
        <f>IFERROR(VLOOKUP(C3214, PA!A:M, 13, FALSE),0)</f>
        <v>0.20048019207683071</v>
      </c>
      <c r="L3214" s="137">
        <f t="shared" si="106"/>
        <v>0.16699999999999998</v>
      </c>
    </row>
    <row r="3215" spans="1:12" x14ac:dyDescent="0.25">
      <c r="A3215" s="78">
        <v>46197</v>
      </c>
      <c r="B3215" s="68">
        <v>2</v>
      </c>
      <c r="C3215" s="19" t="s">
        <v>993</v>
      </c>
      <c r="D3215" s="30">
        <v>30</v>
      </c>
      <c r="E3215" s="30">
        <v>8.3000000000000007</v>
      </c>
      <c r="F3215" s="30">
        <f t="shared" si="107"/>
        <v>249.00000000000003</v>
      </c>
      <c r="G3215" s="30" t="s">
        <v>9</v>
      </c>
      <c r="J3215" s="30" t="s">
        <v>392</v>
      </c>
      <c r="K3215" s="125">
        <f>IFERROR(VLOOKUP(C3215, PA!A:M, 13, FALSE),0)</f>
        <v>3.7500000000000089E-2</v>
      </c>
      <c r="L3215" s="137">
        <f t="shared" si="106"/>
        <v>3.6144578313253094E-2</v>
      </c>
    </row>
    <row r="3216" spans="1:12" ht="30" x14ac:dyDescent="0.25">
      <c r="A3216" s="78">
        <v>46197</v>
      </c>
      <c r="B3216" s="68">
        <v>1</v>
      </c>
      <c r="C3216" s="33" t="s">
        <v>799</v>
      </c>
      <c r="D3216" s="30">
        <v>1</v>
      </c>
      <c r="E3216" s="30">
        <v>55</v>
      </c>
      <c r="F3216" s="30">
        <f t="shared" si="107"/>
        <v>55</v>
      </c>
      <c r="G3216" s="30" t="s">
        <v>9</v>
      </c>
      <c r="J3216" s="30" t="s">
        <v>392</v>
      </c>
      <c r="K3216" s="125">
        <f>IFERROR(VLOOKUP(C3216, PA!A:M, 13, FALSE),0)</f>
        <v>0.1</v>
      </c>
      <c r="L3216" s="137">
        <f t="shared" ref="L3216:L3228" si="108">K3216/(1+K3216)</f>
        <v>9.0909090909090912E-2</v>
      </c>
    </row>
    <row r="3217" spans="1:12" x14ac:dyDescent="0.25">
      <c r="A3217" s="78">
        <v>46197</v>
      </c>
      <c r="B3217" s="68">
        <v>1</v>
      </c>
      <c r="C3217" s="33" t="s">
        <v>709</v>
      </c>
      <c r="D3217" s="30">
        <v>6</v>
      </c>
      <c r="E3217" s="30">
        <v>10</v>
      </c>
      <c r="F3217" s="30">
        <f t="shared" si="107"/>
        <v>60</v>
      </c>
      <c r="G3217" s="30" t="s">
        <v>9</v>
      </c>
      <c r="J3217" s="30" t="s">
        <v>392</v>
      </c>
      <c r="K3217" s="125">
        <f>IFERROR(VLOOKUP(C3217, PA!A:M, 13, FALSE),0)</f>
        <v>0.3636363636363637</v>
      </c>
      <c r="L3217" s="137">
        <f t="shared" si="108"/>
        <v>0.26666666666666672</v>
      </c>
    </row>
    <row r="3218" spans="1:12" x14ac:dyDescent="0.25">
      <c r="A3218" s="78">
        <v>46197</v>
      </c>
      <c r="B3218" s="68">
        <v>1</v>
      </c>
      <c r="C3218" s="70" t="s">
        <v>719</v>
      </c>
      <c r="D3218" s="30">
        <v>1</v>
      </c>
      <c r="E3218" s="30">
        <v>42</v>
      </c>
      <c r="F3218" s="30">
        <f t="shared" si="107"/>
        <v>42</v>
      </c>
      <c r="G3218" s="30" t="s">
        <v>9</v>
      </c>
      <c r="J3218" s="30" t="s">
        <v>392</v>
      </c>
      <c r="K3218" s="125">
        <f>IFERROR(VLOOKUP(C3218, PA!A:M, 13, FALSE),0)</f>
        <v>0.18421052631578946</v>
      </c>
      <c r="L3218" s="137">
        <f t="shared" si="108"/>
        <v>0.15555555555555556</v>
      </c>
    </row>
    <row r="3219" spans="1:12" x14ac:dyDescent="0.25">
      <c r="A3219" s="78">
        <v>46197</v>
      </c>
      <c r="B3219" s="68">
        <v>1</v>
      </c>
      <c r="C3219" s="33" t="s">
        <v>962</v>
      </c>
      <c r="D3219" s="30">
        <v>3</v>
      </c>
      <c r="E3219" s="30">
        <v>5</v>
      </c>
      <c r="F3219" s="30">
        <f t="shared" si="107"/>
        <v>15</v>
      </c>
      <c r="G3219" s="30" t="s">
        <v>9</v>
      </c>
      <c r="J3219" s="30" t="s">
        <v>392</v>
      </c>
      <c r="K3219" s="125">
        <f>IFERROR(VLOOKUP(C3219, PA!A:M, 13, FALSE),0)</f>
        <v>0.1111111111111111</v>
      </c>
      <c r="L3219" s="137">
        <f t="shared" si="108"/>
        <v>9.9999999999999992E-2</v>
      </c>
    </row>
    <row r="3220" spans="1:12" ht="30" x14ac:dyDescent="0.25">
      <c r="A3220" s="78">
        <v>46197</v>
      </c>
      <c r="B3220" s="68">
        <v>1</v>
      </c>
      <c r="C3220" s="33" t="s">
        <v>961</v>
      </c>
      <c r="D3220" s="30">
        <v>3</v>
      </c>
      <c r="E3220" s="30">
        <v>10</v>
      </c>
      <c r="F3220" s="30">
        <f t="shared" si="107"/>
        <v>30</v>
      </c>
      <c r="G3220" s="30" t="s">
        <v>9</v>
      </c>
      <c r="J3220" s="30" t="s">
        <v>392</v>
      </c>
      <c r="K3220" s="125">
        <f>IFERROR(VLOOKUP(C3220, PA!A:M, 13, FALSE),0)</f>
        <v>0.1111111111111111</v>
      </c>
      <c r="L3220" s="137">
        <f t="shared" si="108"/>
        <v>9.9999999999999992E-2</v>
      </c>
    </row>
    <row r="3221" spans="1:12" x14ac:dyDescent="0.25">
      <c r="A3221" s="78">
        <v>46197</v>
      </c>
      <c r="B3221" s="68">
        <v>1</v>
      </c>
      <c r="C3221" s="33" t="s">
        <v>565</v>
      </c>
      <c r="D3221" s="30">
        <v>1</v>
      </c>
      <c r="E3221" s="30">
        <v>10</v>
      </c>
      <c r="F3221" s="30">
        <f t="shared" si="107"/>
        <v>10</v>
      </c>
      <c r="G3221" s="30" t="s">
        <v>9</v>
      </c>
      <c r="J3221" s="30" t="s">
        <v>392</v>
      </c>
      <c r="K3221" s="125">
        <f>IFERROR(VLOOKUP(C3221, PA!A:M, 13, FALSE),0)</f>
        <v>0.10091743119266047</v>
      </c>
      <c r="L3221" s="137">
        <f t="shared" si="108"/>
        <v>9.1666666666666605E-2</v>
      </c>
    </row>
    <row r="3222" spans="1:12" x14ac:dyDescent="0.25">
      <c r="A3222" s="78">
        <v>46197</v>
      </c>
      <c r="B3222" s="68">
        <v>1</v>
      </c>
      <c r="C3222" s="33" t="s">
        <v>909</v>
      </c>
      <c r="D3222" s="30">
        <v>1</v>
      </c>
      <c r="E3222" s="30">
        <v>30</v>
      </c>
      <c r="F3222" s="30">
        <f t="shared" si="107"/>
        <v>30</v>
      </c>
      <c r="G3222" s="30" t="s">
        <v>9</v>
      </c>
      <c r="J3222" s="30" t="s">
        <v>392</v>
      </c>
      <c r="K3222" s="125">
        <f>IFERROR(VLOOKUP(C3222, PA!A:M, 13, FALSE),0)</f>
        <v>7.1428571428571425E-2</v>
      </c>
      <c r="L3222" s="137">
        <f t="shared" si="108"/>
        <v>6.6666666666666666E-2</v>
      </c>
    </row>
    <row r="3223" spans="1:12" x14ac:dyDescent="0.25">
      <c r="A3223" s="78">
        <v>46197</v>
      </c>
      <c r="B3223" s="68">
        <v>1</v>
      </c>
      <c r="C3223" s="33" t="s">
        <v>372</v>
      </c>
      <c r="D3223" s="30">
        <v>1</v>
      </c>
      <c r="E3223" s="30">
        <v>45</v>
      </c>
      <c r="F3223" s="30">
        <f t="shared" si="107"/>
        <v>45</v>
      </c>
      <c r="G3223" s="30" t="s">
        <v>9</v>
      </c>
      <c r="J3223" s="30" t="s">
        <v>392</v>
      </c>
      <c r="K3223" s="125">
        <f>IFERROR(VLOOKUP(C3223, PA!A:M, 13, FALSE),0)</f>
        <v>7.1428571428571425E-2</v>
      </c>
      <c r="L3223" s="137">
        <f t="shared" si="108"/>
        <v>6.6666666666666666E-2</v>
      </c>
    </row>
    <row r="3224" spans="1:12" ht="30" x14ac:dyDescent="0.25">
      <c r="A3224" s="78">
        <v>46197</v>
      </c>
      <c r="B3224" s="68">
        <v>1</v>
      </c>
      <c r="C3224" s="33" t="s">
        <v>599</v>
      </c>
      <c r="D3224" s="30">
        <v>1</v>
      </c>
      <c r="E3224" s="30">
        <v>185</v>
      </c>
      <c r="F3224" s="30">
        <f t="shared" si="107"/>
        <v>185</v>
      </c>
      <c r="G3224" s="30" t="s">
        <v>9</v>
      </c>
      <c r="J3224" s="30" t="s">
        <v>392</v>
      </c>
      <c r="K3224" s="125">
        <f>IFERROR(VLOOKUP(C3224, PA!A:M, 13, FALSE),0)</f>
        <v>3.9325842696629212E-2</v>
      </c>
      <c r="L3224" s="137">
        <f t="shared" si="108"/>
        <v>3.783783783783784E-2</v>
      </c>
    </row>
    <row r="3225" spans="1:12" x14ac:dyDescent="0.25">
      <c r="A3225" s="78">
        <v>46197</v>
      </c>
      <c r="B3225" s="68">
        <v>1</v>
      </c>
      <c r="C3225" s="33" t="s">
        <v>829</v>
      </c>
      <c r="D3225" s="30">
        <v>1</v>
      </c>
      <c r="E3225" s="30">
        <v>195</v>
      </c>
      <c r="F3225" s="30">
        <f t="shared" si="107"/>
        <v>195</v>
      </c>
      <c r="G3225" s="30" t="s">
        <v>9</v>
      </c>
      <c r="J3225" s="30" t="s">
        <v>392</v>
      </c>
      <c r="K3225" s="125">
        <f>IFERROR(VLOOKUP(C3225, PA!A:M, 13, FALSE),0)</f>
        <v>2.6315789473684209E-2</v>
      </c>
      <c r="L3225" s="137">
        <f t="shared" si="108"/>
        <v>2.5641025641025637E-2</v>
      </c>
    </row>
    <row r="3226" spans="1:12" x14ac:dyDescent="0.25">
      <c r="A3226" s="78">
        <v>46197</v>
      </c>
      <c r="B3226" s="68">
        <v>1</v>
      </c>
      <c r="C3226" s="33" t="s">
        <v>107</v>
      </c>
      <c r="D3226" s="30">
        <v>1</v>
      </c>
      <c r="E3226" s="30">
        <v>128</v>
      </c>
      <c r="F3226" s="30">
        <f t="shared" si="107"/>
        <v>128</v>
      </c>
      <c r="G3226" s="30" t="s">
        <v>9</v>
      </c>
      <c r="J3226" s="30" t="s">
        <v>392</v>
      </c>
      <c r="K3226" s="125">
        <f>IFERROR(VLOOKUP(C3226, PA!A:M, 13, FALSE),0)</f>
        <v>0.14285714285714285</v>
      </c>
      <c r="L3226" s="137">
        <f t="shared" si="108"/>
        <v>0.125</v>
      </c>
    </row>
    <row r="3227" spans="1:12" x14ac:dyDescent="0.25">
      <c r="A3227" s="78">
        <v>46197</v>
      </c>
      <c r="B3227" s="68">
        <v>1</v>
      </c>
      <c r="C3227" s="70" t="s">
        <v>805</v>
      </c>
      <c r="D3227" s="30">
        <v>6</v>
      </c>
      <c r="E3227" s="30">
        <v>53</v>
      </c>
      <c r="F3227" s="30">
        <f t="shared" si="107"/>
        <v>318</v>
      </c>
      <c r="G3227" s="30" t="s">
        <v>9</v>
      </c>
      <c r="J3227" s="30" t="s">
        <v>392</v>
      </c>
      <c r="K3227" s="125">
        <f>IFERROR(VLOOKUP(C3227, PA!A:M, 13, FALSE),0)</f>
        <v>3.7924151696606831E-2</v>
      </c>
      <c r="L3227" s="137">
        <f t="shared" si="108"/>
        <v>3.6538461538461575E-2</v>
      </c>
    </row>
    <row r="3228" spans="1:12" x14ac:dyDescent="0.25">
      <c r="A3228" s="78">
        <v>46197</v>
      </c>
      <c r="B3228" s="68">
        <v>1</v>
      </c>
      <c r="C3228" s="159" t="s">
        <v>532</v>
      </c>
      <c r="D3228" s="30">
        <v>4</v>
      </c>
      <c r="E3228" s="30">
        <v>5</v>
      </c>
      <c r="F3228" s="30">
        <f t="shared" si="107"/>
        <v>20</v>
      </c>
      <c r="G3228" s="30" t="s">
        <v>9</v>
      </c>
      <c r="J3228" s="30" t="s">
        <v>392</v>
      </c>
      <c r="K3228" s="125">
        <f>IFERROR(VLOOKUP(C3228, PA!A:M, 13, FALSE),0)</f>
        <v>0.10294117647058826</v>
      </c>
      <c r="L3228" s="137">
        <f t="shared" si="108"/>
        <v>9.3333333333333351E-2</v>
      </c>
    </row>
    <row r="3229" spans="1:12" x14ac:dyDescent="0.25">
      <c r="A3229" s="151">
        <v>46197</v>
      </c>
      <c r="B3229" s="139"/>
      <c r="C3229" s="173"/>
      <c r="D3229" s="62"/>
      <c r="E3229" s="62"/>
      <c r="F3229" s="62"/>
      <c r="G3229" s="62"/>
      <c r="H3229" s="139"/>
      <c r="I3229" s="139">
        <f>SUMIF(G3152:G3229, "&lt;&gt;UPI",F3152:F3229)</f>
        <v>3327.875</v>
      </c>
      <c r="J3229" s="62"/>
      <c r="K3229" s="62"/>
      <c r="L3229" s="154">
        <f>AVERAGE(L3147:L3228)</f>
        <v>0.12052973185461643</v>
      </c>
    </row>
    <row r="3230" spans="1:12" s="69" customFormat="1" ht="18.75" x14ac:dyDescent="0.3">
      <c r="A3230" s="146"/>
      <c r="B3230" s="147" t="s">
        <v>987</v>
      </c>
      <c r="C3230" s="148">
        <f>MAX(B3147:B3228)</f>
        <v>18</v>
      </c>
      <c r="D3230" s="147" t="s">
        <v>988</v>
      </c>
      <c r="E3230" s="147">
        <f>SUMIF(G3147:G3229,"UPI",F3147:F3229)</f>
        <v>140</v>
      </c>
      <c r="F3230" s="227" t="s">
        <v>437</v>
      </c>
      <c r="G3230" s="228"/>
      <c r="H3230" s="229"/>
      <c r="I3230" s="227">
        <f>SUM(F3147:F3229)</f>
        <v>3666.875</v>
      </c>
      <c r="J3230" s="228"/>
      <c r="K3230" s="228"/>
      <c r="L3230" s="229"/>
    </row>
    <row r="3231" spans="1:12" s="62" customFormat="1" x14ac:dyDescent="0.25">
      <c r="A3231" s="151">
        <v>46198</v>
      </c>
      <c r="B3231" s="139"/>
      <c r="C3231" s="150"/>
      <c r="H3231" s="139"/>
      <c r="I3231" s="139"/>
    </row>
    <row r="3232" spans="1:12" s="69" customFormat="1" ht="18.75" x14ac:dyDescent="0.3">
      <c r="A3232" s="146"/>
      <c r="B3232" s="147" t="s">
        <v>987</v>
      </c>
      <c r="C3232" s="148">
        <v>0</v>
      </c>
      <c r="D3232" s="147" t="s">
        <v>988</v>
      </c>
      <c r="E3232" s="147">
        <v>0</v>
      </c>
      <c r="F3232" s="227" t="s">
        <v>437</v>
      </c>
      <c r="G3232" s="228"/>
      <c r="H3232" s="229"/>
      <c r="I3232" s="227">
        <v>0</v>
      </c>
      <c r="J3232" s="228"/>
      <c r="K3232" s="228"/>
      <c r="L3232" s="229"/>
    </row>
    <row r="3233" spans="1:12" s="62" customFormat="1" x14ac:dyDescent="0.25">
      <c r="A3233" s="151">
        <v>46199</v>
      </c>
      <c r="B3233" s="139"/>
      <c r="C3233" s="150"/>
      <c r="H3233" s="139"/>
      <c r="I3233" s="139"/>
    </row>
    <row r="3234" spans="1:12" s="69" customFormat="1" ht="18.75" x14ac:dyDescent="0.3">
      <c r="A3234" s="146"/>
      <c r="B3234" s="147" t="s">
        <v>987</v>
      </c>
      <c r="C3234" s="148">
        <v>0</v>
      </c>
      <c r="D3234" s="147" t="s">
        <v>988</v>
      </c>
      <c r="E3234" s="147">
        <v>0</v>
      </c>
      <c r="F3234" s="227" t="s">
        <v>437</v>
      </c>
      <c r="G3234" s="228"/>
      <c r="H3234" s="229"/>
      <c r="I3234" s="227">
        <v>0</v>
      </c>
      <c r="J3234" s="228"/>
      <c r="K3234" s="228"/>
      <c r="L3234" s="229"/>
    </row>
    <row r="3235" spans="1:12" s="62" customFormat="1" x14ac:dyDescent="0.25">
      <c r="A3235" s="151">
        <v>46200</v>
      </c>
      <c r="B3235" s="139"/>
      <c r="C3235" s="150"/>
      <c r="H3235" s="139"/>
      <c r="I3235" s="139"/>
    </row>
    <row r="3236" spans="1:12" s="69" customFormat="1" ht="18.75" x14ac:dyDescent="0.3">
      <c r="A3236" s="146"/>
      <c r="B3236" s="147" t="s">
        <v>987</v>
      </c>
      <c r="C3236" s="148">
        <v>0</v>
      </c>
      <c r="D3236" s="147" t="s">
        <v>988</v>
      </c>
      <c r="E3236" s="147">
        <v>0</v>
      </c>
      <c r="F3236" s="227" t="s">
        <v>437</v>
      </c>
      <c r="G3236" s="228"/>
      <c r="H3236" s="229"/>
      <c r="I3236" s="227">
        <v>0</v>
      </c>
      <c r="J3236" s="228"/>
      <c r="K3236" s="228"/>
      <c r="L3236" s="229"/>
    </row>
    <row r="3237" spans="1:12" s="62" customFormat="1" x14ac:dyDescent="0.25">
      <c r="A3237" s="151">
        <v>46201</v>
      </c>
      <c r="B3237" s="139"/>
      <c r="C3237" s="150"/>
      <c r="H3237" s="139"/>
      <c r="I3237" s="139"/>
    </row>
    <row r="3238" spans="1:12" s="69" customFormat="1" ht="18.75" x14ac:dyDescent="0.3">
      <c r="A3238" s="146"/>
      <c r="B3238" s="147" t="s">
        <v>987</v>
      </c>
      <c r="C3238" s="148">
        <v>0</v>
      </c>
      <c r="D3238" s="147" t="s">
        <v>988</v>
      </c>
      <c r="E3238" s="147">
        <v>0</v>
      </c>
      <c r="F3238" s="227" t="s">
        <v>437</v>
      </c>
      <c r="G3238" s="228"/>
      <c r="H3238" s="229"/>
      <c r="I3238" s="227">
        <v>0</v>
      </c>
      <c r="J3238" s="228"/>
      <c r="K3238" s="228"/>
      <c r="L3238" s="229"/>
    </row>
    <row r="3239" spans="1:12" s="62" customFormat="1" x14ac:dyDescent="0.25">
      <c r="A3239" s="151">
        <v>46202</v>
      </c>
      <c r="B3239" s="139"/>
      <c r="C3239" s="150"/>
      <c r="H3239" s="139"/>
      <c r="I3239" s="139"/>
    </row>
    <row r="3240" spans="1:12" s="69" customFormat="1" ht="18.75" x14ac:dyDescent="0.3">
      <c r="A3240" s="146"/>
      <c r="B3240" s="147" t="s">
        <v>987</v>
      </c>
      <c r="C3240" s="148">
        <v>0</v>
      </c>
      <c r="D3240" s="147" t="s">
        <v>988</v>
      </c>
      <c r="E3240" s="147">
        <v>0</v>
      </c>
      <c r="F3240" s="227" t="s">
        <v>437</v>
      </c>
      <c r="G3240" s="228"/>
      <c r="H3240" s="229"/>
      <c r="I3240" s="227">
        <v>0</v>
      </c>
      <c r="J3240" s="228"/>
      <c r="K3240" s="228"/>
      <c r="L3240" s="229"/>
    </row>
    <row r="3241" spans="1:12" x14ac:dyDescent="0.25">
      <c r="A3241" s="78">
        <v>46203</v>
      </c>
      <c r="B3241" s="68">
        <v>1</v>
      </c>
      <c r="C3241" s="33" t="s">
        <v>523</v>
      </c>
      <c r="D3241" s="30">
        <v>0.11</v>
      </c>
      <c r="E3241" s="30">
        <v>280</v>
      </c>
      <c r="F3241" s="30">
        <f>E3241*D3241</f>
        <v>30.8</v>
      </c>
      <c r="G3241" s="30" t="s">
        <v>10</v>
      </c>
      <c r="J3241" s="30" t="s">
        <v>392</v>
      </c>
      <c r="K3241" s="125">
        <f>IFERROR(VLOOKUP(C3241, PA!A:M, 13, FALSE),0)</f>
        <v>0.16666666666666666</v>
      </c>
      <c r="L3241" s="137">
        <f t="shared" ref="L3241:L3305" si="109">K3241/(1+K3241)</f>
        <v>0.14285714285714285</v>
      </c>
    </row>
    <row r="3242" spans="1:12" x14ac:dyDescent="0.25">
      <c r="A3242" s="78">
        <v>46203</v>
      </c>
      <c r="B3242" s="68">
        <v>1</v>
      </c>
      <c r="C3242" s="33" t="s">
        <v>321</v>
      </c>
      <c r="D3242" s="30">
        <v>1</v>
      </c>
      <c r="E3242" s="30">
        <v>105</v>
      </c>
      <c r="F3242" s="30">
        <f t="shared" ref="F3242:F3278" si="110">E3242*D3242</f>
        <v>105</v>
      </c>
      <c r="G3242" s="30" t="s">
        <v>10</v>
      </c>
      <c r="J3242" s="30" t="s">
        <v>392</v>
      </c>
      <c r="K3242" s="125">
        <f>IFERROR(VLOOKUP(C3242, PA!A:M, 13, FALSE),0)</f>
        <v>8.247422680412371E-2</v>
      </c>
      <c r="L3242" s="137">
        <f t="shared" si="109"/>
        <v>7.6190476190476197E-2</v>
      </c>
    </row>
    <row r="3243" spans="1:12" x14ac:dyDescent="0.25">
      <c r="A3243" s="78">
        <v>46203</v>
      </c>
      <c r="B3243" s="68">
        <v>1</v>
      </c>
      <c r="C3243" s="33" t="s">
        <v>84</v>
      </c>
      <c r="D3243" s="30">
        <v>1</v>
      </c>
      <c r="E3243" s="30">
        <v>45</v>
      </c>
      <c r="F3243" s="30">
        <f t="shared" si="110"/>
        <v>45</v>
      </c>
      <c r="G3243" s="30" t="s">
        <v>10</v>
      </c>
      <c r="J3243" s="30" t="s">
        <v>392</v>
      </c>
      <c r="K3243" s="125">
        <f>IFERROR(VLOOKUP(C3243, PA!A:M, 13, FALSE),0)</f>
        <v>7.1428571428571425E-2</v>
      </c>
      <c r="L3243" s="137">
        <f t="shared" si="109"/>
        <v>6.6666666666666666E-2</v>
      </c>
    </row>
    <row r="3244" spans="1:12" x14ac:dyDescent="0.25">
      <c r="A3244" s="78">
        <v>46203</v>
      </c>
      <c r="B3244" s="68">
        <v>2</v>
      </c>
      <c r="C3244" s="33" t="s">
        <v>588</v>
      </c>
      <c r="D3244" s="30">
        <v>5.1999999999999998E-2</v>
      </c>
      <c r="E3244" s="30">
        <v>190</v>
      </c>
      <c r="F3244" s="30">
        <f t="shared" si="110"/>
        <v>9.879999999999999</v>
      </c>
      <c r="G3244" s="30" t="s">
        <v>10</v>
      </c>
      <c r="J3244" s="30" t="s">
        <v>392</v>
      </c>
      <c r="K3244" s="125">
        <f>IFERROR(VLOOKUP(C3244, PA!A:M, 13, FALSE),0)</f>
        <v>0.1875</v>
      </c>
      <c r="L3244" s="137">
        <f t="shared" si="109"/>
        <v>0.15789473684210525</v>
      </c>
    </row>
    <row r="3245" spans="1:12" x14ac:dyDescent="0.25">
      <c r="A3245" s="78">
        <v>46203</v>
      </c>
      <c r="B3245" s="68">
        <v>3</v>
      </c>
      <c r="C3245" s="33" t="s">
        <v>108</v>
      </c>
      <c r="D3245" s="30">
        <v>1</v>
      </c>
      <c r="E3245" s="30">
        <v>24</v>
      </c>
      <c r="F3245" s="30">
        <f t="shared" si="110"/>
        <v>24</v>
      </c>
      <c r="G3245" s="30" t="s">
        <v>9</v>
      </c>
      <c r="J3245" s="30" t="s">
        <v>392</v>
      </c>
      <c r="K3245" s="125">
        <f>IFERROR(VLOOKUP(C3245, PA!A:M, 13, FALSE),0)</f>
        <v>9.0909090909090912E-2</v>
      </c>
      <c r="L3245" s="137">
        <f t="shared" si="109"/>
        <v>8.3333333333333343E-2</v>
      </c>
    </row>
    <row r="3246" spans="1:12" x14ac:dyDescent="0.25">
      <c r="A3246" s="78">
        <v>46203</v>
      </c>
      <c r="B3246" s="68">
        <v>4</v>
      </c>
      <c r="C3246" s="33" t="s">
        <v>712</v>
      </c>
      <c r="D3246" s="30">
        <v>1</v>
      </c>
      <c r="E3246" s="30">
        <v>82</v>
      </c>
      <c r="F3246" s="30">
        <f t="shared" si="110"/>
        <v>82</v>
      </c>
      <c r="G3246" s="30" t="s">
        <v>9</v>
      </c>
      <c r="J3246" s="30" t="s">
        <v>392</v>
      </c>
      <c r="K3246" s="125">
        <f>IFERROR(VLOOKUP(C3246, PA!A:M, 13, FALSE),0)</f>
        <v>7.1428571428571355E-2</v>
      </c>
      <c r="L3246" s="137">
        <f t="shared" si="109"/>
        <v>6.6666666666666596E-2</v>
      </c>
    </row>
    <row r="3247" spans="1:12" ht="30" x14ac:dyDescent="0.25">
      <c r="A3247" s="78">
        <v>46203</v>
      </c>
      <c r="B3247" s="68">
        <v>4</v>
      </c>
      <c r="C3247" s="33" t="s">
        <v>935</v>
      </c>
      <c r="D3247" s="30">
        <v>1</v>
      </c>
      <c r="E3247" s="30">
        <v>30</v>
      </c>
      <c r="F3247" s="30">
        <f t="shared" si="110"/>
        <v>30</v>
      </c>
      <c r="G3247" s="30" t="s">
        <v>9</v>
      </c>
      <c r="J3247" s="30" t="s">
        <v>392</v>
      </c>
      <c r="K3247" s="125">
        <f>IFERROR(VLOOKUP(C3247, PA!A:M, 13, FALSE),0)</f>
        <v>7.1428571428571425E-2</v>
      </c>
      <c r="L3247" s="137">
        <f t="shared" si="109"/>
        <v>6.6666666666666666E-2</v>
      </c>
    </row>
    <row r="3248" spans="1:12" x14ac:dyDescent="0.25">
      <c r="A3248" s="78">
        <v>46203</v>
      </c>
      <c r="B3248" s="68">
        <v>4</v>
      </c>
      <c r="C3248" s="33" t="s">
        <v>571</v>
      </c>
      <c r="D3248" s="30">
        <v>2</v>
      </c>
      <c r="E3248" s="30">
        <v>20</v>
      </c>
      <c r="F3248" s="30">
        <f t="shared" si="110"/>
        <v>40</v>
      </c>
      <c r="G3248" s="30" t="s">
        <v>9</v>
      </c>
      <c r="J3248" s="30" t="s">
        <v>392</v>
      </c>
      <c r="K3248" s="125">
        <f>IFERROR(VLOOKUP(C3248, PA!A:M, 13, FALSE),0)</f>
        <v>0.25</v>
      </c>
      <c r="L3248" s="137">
        <f t="shared" si="109"/>
        <v>0.2</v>
      </c>
    </row>
    <row r="3249" spans="1:12" x14ac:dyDescent="0.25">
      <c r="A3249" s="78">
        <v>46203</v>
      </c>
      <c r="B3249" s="68">
        <v>4</v>
      </c>
      <c r="C3249" s="33" t="s">
        <v>878</v>
      </c>
      <c r="D3249" s="30">
        <v>1</v>
      </c>
      <c r="E3249" s="30">
        <v>82</v>
      </c>
      <c r="F3249" s="30">
        <f t="shared" si="110"/>
        <v>82</v>
      </c>
      <c r="G3249" s="30" t="s">
        <v>9</v>
      </c>
      <c r="J3249" s="30" t="s">
        <v>392</v>
      </c>
      <c r="K3249" s="125">
        <f>IFERROR(VLOOKUP(C3249, PA!A:M, 13, FALSE),0)</f>
        <v>0.13333333333333333</v>
      </c>
      <c r="L3249" s="137">
        <f t="shared" si="109"/>
        <v>0.11764705882352941</v>
      </c>
    </row>
    <row r="3250" spans="1:12" x14ac:dyDescent="0.25">
      <c r="A3250" s="78">
        <v>46203</v>
      </c>
      <c r="B3250" s="68">
        <v>4</v>
      </c>
      <c r="C3250" s="33" t="s">
        <v>896</v>
      </c>
      <c r="D3250" s="30">
        <v>0.25</v>
      </c>
      <c r="E3250" s="30">
        <v>110</v>
      </c>
      <c r="F3250" s="30">
        <f t="shared" si="110"/>
        <v>27.5</v>
      </c>
      <c r="G3250" s="30" t="s">
        <v>9</v>
      </c>
      <c r="J3250" s="30" t="s">
        <v>392</v>
      </c>
      <c r="K3250" s="125">
        <f>IFERROR(VLOOKUP(C3250, PA!A:M, 13, FALSE),0)</f>
        <v>0.22222222222222221</v>
      </c>
      <c r="L3250" s="137">
        <f t="shared" si="109"/>
        <v>0.1818181818181818</v>
      </c>
    </row>
    <row r="3251" spans="1:12" x14ac:dyDescent="0.25">
      <c r="A3251" s="78">
        <v>46203</v>
      </c>
      <c r="B3251" s="68">
        <v>5</v>
      </c>
      <c r="C3251" s="70" t="s">
        <v>724</v>
      </c>
      <c r="D3251" s="30">
        <v>2</v>
      </c>
      <c r="E3251" s="30">
        <v>10</v>
      </c>
      <c r="F3251" s="30">
        <f t="shared" si="110"/>
        <v>20</v>
      </c>
      <c r="G3251" s="30" t="s">
        <v>9</v>
      </c>
      <c r="J3251" s="30" t="s">
        <v>392</v>
      </c>
      <c r="K3251" s="125">
        <f>IFERROR(VLOOKUP(C3251, PA!A:M, 13, FALSE),0)</f>
        <v>0.17647058823529413</v>
      </c>
      <c r="L3251" s="137">
        <f t="shared" si="109"/>
        <v>0.15</v>
      </c>
    </row>
    <row r="3252" spans="1:12" x14ac:dyDescent="0.25">
      <c r="A3252" s="78">
        <v>46203</v>
      </c>
      <c r="B3252" s="68">
        <v>4</v>
      </c>
      <c r="C3252" s="33" t="s">
        <v>922</v>
      </c>
      <c r="D3252" s="30">
        <v>1</v>
      </c>
      <c r="E3252" s="30">
        <v>58</v>
      </c>
      <c r="F3252" s="30">
        <f t="shared" si="110"/>
        <v>58</v>
      </c>
      <c r="G3252" s="30" t="s">
        <v>9</v>
      </c>
      <c r="J3252" s="30" t="s">
        <v>392</v>
      </c>
      <c r="K3252" s="125">
        <f>IFERROR(VLOOKUP(C3252, PA!A:M, 13, FALSE),0)</f>
        <v>9.2592592592592587E-2</v>
      </c>
      <c r="L3252" s="137">
        <f t="shared" si="109"/>
        <v>8.4745762711864403E-2</v>
      </c>
    </row>
    <row r="3253" spans="1:12" x14ac:dyDescent="0.25">
      <c r="A3253" s="78">
        <v>46203</v>
      </c>
      <c r="B3253" s="68">
        <v>6</v>
      </c>
      <c r="C3253" s="33" t="s">
        <v>971</v>
      </c>
      <c r="D3253" s="30">
        <v>3</v>
      </c>
      <c r="E3253" s="30">
        <v>10</v>
      </c>
      <c r="F3253" s="30">
        <f t="shared" si="110"/>
        <v>30</v>
      </c>
      <c r="G3253" s="30" t="s">
        <v>9</v>
      </c>
      <c r="J3253" s="30" t="s">
        <v>392</v>
      </c>
      <c r="K3253" s="125">
        <f>IFERROR(VLOOKUP(C3253, PA!A:M, 13, FALSE),0)</f>
        <v>0.17647058823529413</v>
      </c>
      <c r="L3253" s="137">
        <f t="shared" si="109"/>
        <v>0.15</v>
      </c>
    </row>
    <row r="3254" spans="1:12" x14ac:dyDescent="0.25">
      <c r="A3254" s="78">
        <v>46203</v>
      </c>
      <c r="B3254" s="68">
        <v>7</v>
      </c>
      <c r="C3254" s="33" t="s">
        <v>947</v>
      </c>
      <c r="D3254" s="30">
        <v>1</v>
      </c>
      <c r="E3254" s="30">
        <v>20</v>
      </c>
      <c r="F3254" s="30">
        <f t="shared" si="110"/>
        <v>20</v>
      </c>
      <c r="G3254" s="30" t="s">
        <v>9</v>
      </c>
      <c r="J3254" s="30" t="s">
        <v>392</v>
      </c>
      <c r="K3254" s="125">
        <f>IFERROR(VLOOKUP(C3254, PA!A:M, 13, FALSE),0)</f>
        <v>0.13207547169811312</v>
      </c>
      <c r="L3254" s="137">
        <f t="shared" si="109"/>
        <v>0.1166666666666666</v>
      </c>
    </row>
    <row r="3255" spans="1:12" ht="30" x14ac:dyDescent="0.25">
      <c r="A3255" s="78">
        <v>46203</v>
      </c>
      <c r="B3255" s="68">
        <v>6</v>
      </c>
      <c r="C3255" s="33" t="s">
        <v>97</v>
      </c>
      <c r="D3255" s="30">
        <v>1</v>
      </c>
      <c r="E3255" s="30">
        <v>35</v>
      </c>
      <c r="F3255" s="30">
        <f t="shared" si="110"/>
        <v>35</v>
      </c>
      <c r="G3255" s="30" t="s">
        <v>9</v>
      </c>
      <c r="J3255" s="30" t="s">
        <v>392</v>
      </c>
      <c r="K3255" s="125">
        <f>IFERROR(VLOOKUP(C3255, PA!A:M, 13, FALSE),0)</f>
        <v>0.25</v>
      </c>
      <c r="L3255" s="137">
        <f t="shared" si="109"/>
        <v>0.2</v>
      </c>
    </row>
    <row r="3256" spans="1:12" x14ac:dyDescent="0.25">
      <c r="A3256" s="78">
        <v>46203</v>
      </c>
      <c r="B3256" s="68">
        <v>6</v>
      </c>
      <c r="C3256" s="33" t="s">
        <v>102</v>
      </c>
      <c r="D3256" s="30">
        <v>1</v>
      </c>
      <c r="E3256" s="30">
        <v>25</v>
      </c>
      <c r="F3256" s="30">
        <f t="shared" si="110"/>
        <v>25</v>
      </c>
      <c r="G3256" s="30" t="s">
        <v>9</v>
      </c>
      <c r="J3256" s="30" t="s">
        <v>392</v>
      </c>
      <c r="K3256" s="125">
        <f>IFERROR(VLOOKUP(C3256, PA!A:M, 13, FALSE),0)</f>
        <v>0.32978723404255317</v>
      </c>
      <c r="L3256" s="137">
        <f t="shared" si="109"/>
        <v>0.248</v>
      </c>
    </row>
    <row r="3257" spans="1:12" x14ac:dyDescent="0.25">
      <c r="A3257" s="78">
        <v>46203</v>
      </c>
      <c r="B3257" s="68">
        <v>6</v>
      </c>
      <c r="C3257" s="33" t="s">
        <v>93</v>
      </c>
      <c r="D3257" s="30">
        <v>1</v>
      </c>
      <c r="E3257" s="30">
        <v>35</v>
      </c>
      <c r="F3257" s="30">
        <f t="shared" si="110"/>
        <v>35</v>
      </c>
      <c r="G3257" s="30" t="s">
        <v>9</v>
      </c>
      <c r="J3257" s="30" t="s">
        <v>392</v>
      </c>
      <c r="K3257" s="125">
        <f>IFERROR(VLOOKUP(C3257, PA!A:M, 13, FALSE),0)</f>
        <v>0.29629629629629628</v>
      </c>
      <c r="L3257" s="137">
        <f t="shared" si="109"/>
        <v>0.22857142857142856</v>
      </c>
    </row>
    <row r="3258" spans="1:12" ht="30" x14ac:dyDescent="0.25">
      <c r="A3258" s="78">
        <v>46203</v>
      </c>
      <c r="B3258" s="68">
        <v>6</v>
      </c>
      <c r="C3258" s="33" t="s">
        <v>526</v>
      </c>
      <c r="D3258" s="30">
        <v>1</v>
      </c>
      <c r="E3258" s="30">
        <v>65</v>
      </c>
      <c r="F3258" s="30">
        <f t="shared" si="110"/>
        <v>65</v>
      </c>
      <c r="G3258" s="30" t="s">
        <v>9</v>
      </c>
      <c r="J3258" s="30" t="s">
        <v>392</v>
      </c>
      <c r="K3258" s="125">
        <f>IFERROR(VLOOKUP(C3258, PA!A:M, 13, FALSE),0)</f>
        <v>0.25</v>
      </c>
      <c r="L3258" s="137">
        <f t="shared" si="109"/>
        <v>0.2</v>
      </c>
    </row>
    <row r="3259" spans="1:12" x14ac:dyDescent="0.25">
      <c r="A3259" s="78">
        <v>46203</v>
      </c>
      <c r="B3259" s="68">
        <v>8</v>
      </c>
      <c r="C3259" s="33" t="s">
        <v>25</v>
      </c>
      <c r="D3259" s="30">
        <v>2</v>
      </c>
      <c r="E3259" s="30">
        <v>10</v>
      </c>
      <c r="F3259" s="30">
        <f t="shared" si="110"/>
        <v>20</v>
      </c>
      <c r="G3259" s="30" t="s">
        <v>9</v>
      </c>
      <c r="J3259" s="30" t="s">
        <v>392</v>
      </c>
      <c r="K3259" s="125">
        <f>IFERROR(VLOOKUP(C3259, PA!A:M, 13, FALSE),0)</f>
        <v>0.30434782608695649</v>
      </c>
      <c r="L3259" s="137">
        <f t="shared" si="109"/>
        <v>0.23333333333333331</v>
      </c>
    </row>
    <row r="3260" spans="1:12" x14ac:dyDescent="0.25">
      <c r="A3260" s="78">
        <v>46203</v>
      </c>
      <c r="B3260" s="68">
        <v>9</v>
      </c>
      <c r="C3260" s="33" t="s">
        <v>942</v>
      </c>
      <c r="D3260" s="30">
        <v>2</v>
      </c>
      <c r="E3260" s="30">
        <v>35</v>
      </c>
      <c r="F3260" s="30">
        <f t="shared" si="110"/>
        <v>70</v>
      </c>
      <c r="G3260" s="30" t="s">
        <v>10</v>
      </c>
      <c r="J3260" s="30" t="s">
        <v>392</v>
      </c>
      <c r="K3260" s="125">
        <f>IFERROR(VLOOKUP(C3260, PA!A:M, 13, FALSE),0)</f>
        <v>0.34615384615384615</v>
      </c>
      <c r="L3260" s="137">
        <f t="shared" si="109"/>
        <v>0.25714285714285712</v>
      </c>
    </row>
    <row r="3261" spans="1:12" x14ac:dyDescent="0.25">
      <c r="A3261" s="78">
        <v>46203</v>
      </c>
      <c r="B3261" s="68">
        <v>9</v>
      </c>
      <c r="C3261" s="33" t="s">
        <v>379</v>
      </c>
      <c r="D3261" s="30">
        <v>4</v>
      </c>
      <c r="E3261" s="30">
        <v>5</v>
      </c>
      <c r="F3261" s="30">
        <f t="shared" si="110"/>
        <v>20</v>
      </c>
      <c r="G3261" s="30" t="s">
        <v>10</v>
      </c>
      <c r="J3261" s="30" t="s">
        <v>392</v>
      </c>
      <c r="K3261" s="125">
        <f>IFERROR(VLOOKUP(C3261, PA!A:M, 13, FALSE),0)</f>
        <v>5.8823529411764684E-2</v>
      </c>
      <c r="L3261" s="137">
        <f t="shared" si="109"/>
        <v>5.5555555555555532E-2</v>
      </c>
    </row>
    <row r="3262" spans="1:12" ht="30" x14ac:dyDescent="0.25">
      <c r="A3262" s="78">
        <v>46203</v>
      </c>
      <c r="B3262" s="68">
        <v>10</v>
      </c>
      <c r="C3262" s="33" t="s">
        <v>363</v>
      </c>
      <c r="D3262" s="30">
        <v>1</v>
      </c>
      <c r="E3262" s="30">
        <v>5</v>
      </c>
      <c r="F3262" s="30">
        <f t="shared" si="110"/>
        <v>5</v>
      </c>
      <c r="G3262" s="30" t="s">
        <v>9</v>
      </c>
      <c r="J3262" s="30" t="s">
        <v>392</v>
      </c>
      <c r="K3262" s="125">
        <f>IFERROR(VLOOKUP(C3262, PA!A:M, 13, FALSE),0)</f>
        <v>5.2631578947368418E-2</v>
      </c>
      <c r="L3262" s="137">
        <f t="shared" si="109"/>
        <v>0.05</v>
      </c>
    </row>
    <row r="3263" spans="1:12" ht="30" x14ac:dyDescent="0.25">
      <c r="A3263" s="78">
        <v>46203</v>
      </c>
      <c r="B3263" s="68">
        <v>11</v>
      </c>
      <c r="C3263" s="33" t="s">
        <v>827</v>
      </c>
      <c r="D3263" s="30">
        <v>10</v>
      </c>
      <c r="E3263" s="30">
        <v>1</v>
      </c>
      <c r="F3263" s="30">
        <f t="shared" si="110"/>
        <v>10</v>
      </c>
      <c r="G3263" s="30" t="s">
        <v>10</v>
      </c>
      <c r="J3263" s="30" t="s">
        <v>392</v>
      </c>
      <c r="K3263" s="125">
        <f>IFERROR(VLOOKUP(C3263, PA!A:M, 13, FALSE),0)</f>
        <v>0.14285714285714285</v>
      </c>
      <c r="L3263" s="137">
        <f t="shared" si="109"/>
        <v>0.125</v>
      </c>
    </row>
    <row r="3264" spans="1:12" x14ac:dyDescent="0.25">
      <c r="A3264" s="78">
        <v>46203</v>
      </c>
      <c r="B3264" s="68">
        <v>11</v>
      </c>
      <c r="C3264" s="33" t="s">
        <v>683</v>
      </c>
      <c r="D3264" s="30">
        <v>1</v>
      </c>
      <c r="E3264" s="30">
        <v>10</v>
      </c>
      <c r="F3264" s="30">
        <f t="shared" si="110"/>
        <v>10</v>
      </c>
      <c r="G3264" s="30" t="s">
        <v>10</v>
      </c>
      <c r="J3264" s="30" t="s">
        <v>392</v>
      </c>
      <c r="K3264" s="125">
        <f>IFERROR(VLOOKUP(C3264, PA!A:M, 13, FALSE),0)</f>
        <v>0.42857142857142855</v>
      </c>
      <c r="L3264" s="137">
        <f t="shared" si="109"/>
        <v>0.3</v>
      </c>
    </row>
    <row r="3265" spans="1:12" x14ac:dyDescent="0.25">
      <c r="A3265" s="78">
        <v>46203</v>
      </c>
      <c r="B3265" s="68">
        <v>11</v>
      </c>
      <c r="C3265" s="33" t="s">
        <v>445</v>
      </c>
      <c r="D3265" s="30">
        <v>1</v>
      </c>
      <c r="E3265" s="30">
        <v>10</v>
      </c>
      <c r="F3265" s="30">
        <f t="shared" si="110"/>
        <v>10</v>
      </c>
      <c r="G3265" s="30" t="s">
        <v>10</v>
      </c>
      <c r="J3265" s="30" t="s">
        <v>392</v>
      </c>
      <c r="K3265" s="125">
        <f>IFERROR(VLOOKUP(C3265, PA!A:M, 13, FALSE),0)</f>
        <v>0.6</v>
      </c>
      <c r="L3265" s="137">
        <f t="shared" si="109"/>
        <v>0.37499999999999994</v>
      </c>
    </row>
    <row r="3266" spans="1:12" x14ac:dyDescent="0.25">
      <c r="A3266" s="78">
        <v>46203</v>
      </c>
      <c r="B3266" s="68">
        <v>11</v>
      </c>
      <c r="C3266" s="33" t="s">
        <v>846</v>
      </c>
      <c r="D3266" s="30">
        <v>1</v>
      </c>
      <c r="E3266" s="30">
        <v>10</v>
      </c>
      <c r="F3266" s="30">
        <f t="shared" si="110"/>
        <v>10</v>
      </c>
      <c r="G3266" s="30" t="s">
        <v>10</v>
      </c>
      <c r="J3266" s="30" t="s">
        <v>392</v>
      </c>
      <c r="K3266" s="125">
        <f>IFERROR(VLOOKUP(C3266, PA!A:M, 13, FALSE),0)</f>
        <v>9.0909090909090981E-2</v>
      </c>
      <c r="L3266" s="137">
        <f t="shared" si="109"/>
        <v>8.3333333333333384E-2</v>
      </c>
    </row>
    <row r="3267" spans="1:12" x14ac:dyDescent="0.25">
      <c r="A3267" s="78">
        <v>46203</v>
      </c>
      <c r="B3267" s="68">
        <v>11</v>
      </c>
      <c r="C3267" s="33" t="s">
        <v>747</v>
      </c>
      <c r="D3267" s="30">
        <v>2</v>
      </c>
      <c r="E3267" s="30">
        <v>10</v>
      </c>
      <c r="F3267" s="30">
        <f t="shared" si="110"/>
        <v>20</v>
      </c>
      <c r="G3267" s="30" t="s">
        <v>10</v>
      </c>
      <c r="J3267" s="30" t="s">
        <v>392</v>
      </c>
      <c r="K3267" s="125">
        <f>IFERROR(VLOOKUP(C3267, PA!A:M, 13, FALSE),0)</f>
        <v>9.0909090909090981E-2</v>
      </c>
      <c r="L3267" s="137">
        <f t="shared" si="109"/>
        <v>8.3333333333333384E-2</v>
      </c>
    </row>
    <row r="3268" spans="1:12" x14ac:dyDescent="0.25">
      <c r="A3268" s="78">
        <v>46203</v>
      </c>
      <c r="B3268" s="68">
        <v>11</v>
      </c>
      <c r="C3268" s="33" t="s">
        <v>950</v>
      </c>
      <c r="D3268" s="30">
        <v>163</v>
      </c>
      <c r="E3268" s="30">
        <v>0.92</v>
      </c>
      <c r="F3268" s="30">
        <f t="shared" si="110"/>
        <v>149.96</v>
      </c>
      <c r="G3268" s="30" t="s">
        <v>10</v>
      </c>
      <c r="J3268" s="30" t="s">
        <v>392</v>
      </c>
      <c r="K3268" s="125">
        <f>IFERROR(VLOOKUP(C3268, PA!A:M, 13, FALSE),0)</f>
        <v>0.17241379310344832</v>
      </c>
      <c r="L3268" s="137">
        <f t="shared" si="109"/>
        <v>0.14705882352941177</v>
      </c>
    </row>
    <row r="3269" spans="1:12" x14ac:dyDescent="0.25">
      <c r="A3269" s="78">
        <v>46203</v>
      </c>
      <c r="B3269" s="68">
        <v>11</v>
      </c>
      <c r="C3269" s="33" t="s">
        <v>767</v>
      </c>
      <c r="D3269" s="30">
        <v>2</v>
      </c>
      <c r="E3269" s="30">
        <v>10</v>
      </c>
      <c r="F3269" s="30">
        <f t="shared" si="110"/>
        <v>20</v>
      </c>
      <c r="G3269" s="30" t="s">
        <v>10</v>
      </c>
      <c r="J3269" s="30" t="s">
        <v>392</v>
      </c>
      <c r="K3269" s="125">
        <f>IFERROR(VLOOKUP(C3269, PA!A:M, 13, FALSE),0)</f>
        <v>0.1111111111111111</v>
      </c>
      <c r="L3269" s="137">
        <f t="shared" si="109"/>
        <v>9.9999999999999992E-2</v>
      </c>
    </row>
    <row r="3270" spans="1:12" x14ac:dyDescent="0.25">
      <c r="A3270" s="78">
        <v>46203</v>
      </c>
      <c r="B3270" s="68">
        <v>12</v>
      </c>
      <c r="C3270" s="33" t="s">
        <v>73</v>
      </c>
      <c r="D3270" s="30">
        <v>1</v>
      </c>
      <c r="E3270" s="30">
        <v>10</v>
      </c>
      <c r="F3270" s="30">
        <f t="shared" si="110"/>
        <v>10</v>
      </c>
      <c r="G3270" s="30" t="s">
        <v>9</v>
      </c>
      <c r="J3270" s="30" t="s">
        <v>392</v>
      </c>
      <c r="K3270" s="125">
        <f>IFERROR(VLOOKUP(C3270, PA!A:M, 13, FALSE),0)</f>
        <v>0.33333333333333331</v>
      </c>
      <c r="L3270" s="137">
        <f t="shared" si="109"/>
        <v>0.25</v>
      </c>
    </row>
    <row r="3271" spans="1:12" ht="30" x14ac:dyDescent="0.25">
      <c r="A3271" s="78">
        <v>46203</v>
      </c>
      <c r="B3271" s="68">
        <v>13</v>
      </c>
      <c r="C3271" s="33" t="s">
        <v>961</v>
      </c>
      <c r="D3271" s="30">
        <v>1</v>
      </c>
      <c r="E3271" s="30">
        <v>10</v>
      </c>
      <c r="F3271" s="30">
        <f t="shared" si="110"/>
        <v>10</v>
      </c>
      <c r="G3271" s="30" t="s">
        <v>9</v>
      </c>
      <c r="J3271" s="30" t="s">
        <v>392</v>
      </c>
      <c r="K3271" s="125">
        <f>IFERROR(VLOOKUP(C3271, PA!A:M, 13, FALSE),0)</f>
        <v>0.1111111111111111</v>
      </c>
      <c r="L3271" s="137">
        <f t="shared" si="109"/>
        <v>9.9999999999999992E-2</v>
      </c>
    </row>
    <row r="3272" spans="1:12" x14ac:dyDescent="0.25">
      <c r="A3272" s="78">
        <v>46203</v>
      </c>
      <c r="B3272" s="68">
        <v>12</v>
      </c>
      <c r="C3272" s="70" t="s">
        <v>530</v>
      </c>
      <c r="D3272" s="30">
        <v>1</v>
      </c>
      <c r="E3272" s="30">
        <v>10</v>
      </c>
      <c r="F3272" s="30">
        <f t="shared" si="110"/>
        <v>10</v>
      </c>
      <c r="G3272" s="30" t="s">
        <v>9</v>
      </c>
      <c r="J3272" s="30" t="s">
        <v>392</v>
      </c>
      <c r="K3272" s="125">
        <f>IFERROR(VLOOKUP(C3272, PA!A:M, 13, FALSE),0)</f>
        <v>0.19999999999999993</v>
      </c>
      <c r="L3272" s="137">
        <f t="shared" si="109"/>
        <v>0.1666666666666666</v>
      </c>
    </row>
    <row r="3273" spans="1:12" x14ac:dyDescent="0.25">
      <c r="A3273" s="78">
        <v>46203</v>
      </c>
      <c r="B3273" s="68">
        <v>14</v>
      </c>
      <c r="C3273" s="33" t="s">
        <v>740</v>
      </c>
      <c r="D3273" s="30">
        <v>1</v>
      </c>
      <c r="E3273" s="30">
        <v>10</v>
      </c>
      <c r="F3273" s="30">
        <f t="shared" si="110"/>
        <v>10</v>
      </c>
      <c r="G3273" s="30" t="s">
        <v>9</v>
      </c>
      <c r="J3273" s="30" t="s">
        <v>392</v>
      </c>
      <c r="K3273" s="125">
        <f>IFERROR(VLOOKUP(C3273, PA!A:M, 13, FALSE),0)</f>
        <v>0.22448979591836743</v>
      </c>
      <c r="L3273" s="137">
        <f t="shared" si="109"/>
        <v>0.1833333333333334</v>
      </c>
    </row>
    <row r="3274" spans="1:12" x14ac:dyDescent="0.25">
      <c r="A3274" s="78">
        <v>46203</v>
      </c>
      <c r="B3274" s="68">
        <v>15</v>
      </c>
      <c r="C3274" s="33" t="s">
        <v>946</v>
      </c>
      <c r="D3274" s="30">
        <v>1</v>
      </c>
      <c r="E3274" s="30">
        <v>39</v>
      </c>
      <c r="F3274" s="30">
        <f t="shared" si="110"/>
        <v>39</v>
      </c>
      <c r="G3274" s="30" t="s">
        <v>9</v>
      </c>
      <c r="J3274" s="30" t="s">
        <v>392</v>
      </c>
      <c r="K3274" s="125">
        <f>IFERROR(VLOOKUP(C3274, PA!A:M, 13, FALSE),0)</f>
        <v>0</v>
      </c>
      <c r="L3274" s="137">
        <f t="shared" si="109"/>
        <v>0</v>
      </c>
    </row>
    <row r="3275" spans="1:12" x14ac:dyDescent="0.25">
      <c r="A3275" s="78">
        <v>46203</v>
      </c>
      <c r="B3275" s="68">
        <v>16</v>
      </c>
      <c r="C3275" s="33" t="s">
        <v>873</v>
      </c>
      <c r="D3275" s="30">
        <v>1</v>
      </c>
      <c r="E3275" s="30">
        <v>20</v>
      </c>
      <c r="F3275" s="30">
        <f t="shared" si="110"/>
        <v>20</v>
      </c>
      <c r="G3275" s="30" t="s">
        <v>9</v>
      </c>
      <c r="J3275" s="30" t="s">
        <v>392</v>
      </c>
      <c r="K3275" s="125">
        <f>IFERROR(VLOOKUP(C3275, PA!A:M, 13, FALSE),0)</f>
        <v>5.2631578947368418E-2</v>
      </c>
      <c r="L3275" s="137">
        <f t="shared" si="109"/>
        <v>0.05</v>
      </c>
    </row>
    <row r="3276" spans="1:12" x14ac:dyDescent="0.25">
      <c r="A3276" s="78">
        <v>46203</v>
      </c>
      <c r="B3276" s="68">
        <v>17</v>
      </c>
      <c r="C3276" s="159" t="s">
        <v>700</v>
      </c>
      <c r="D3276" s="30">
        <v>4</v>
      </c>
      <c r="E3276" s="30">
        <v>5</v>
      </c>
      <c r="F3276" s="30">
        <f t="shared" si="110"/>
        <v>20</v>
      </c>
      <c r="G3276" s="30" t="s">
        <v>9</v>
      </c>
      <c r="J3276" s="30" t="s">
        <v>392</v>
      </c>
      <c r="K3276" s="125">
        <f>IFERROR(VLOOKUP(C3276, PA!A:M, 13, FALSE),0)</f>
        <v>9.0909090909090981E-2</v>
      </c>
      <c r="L3276" s="137">
        <f t="shared" si="109"/>
        <v>8.3333333333333384E-2</v>
      </c>
    </row>
    <row r="3277" spans="1:12" x14ac:dyDescent="0.25">
      <c r="A3277" s="78">
        <v>46203</v>
      </c>
      <c r="B3277" s="68">
        <v>18</v>
      </c>
      <c r="C3277" s="33" t="s">
        <v>859</v>
      </c>
      <c r="D3277" s="30">
        <v>1</v>
      </c>
      <c r="E3277" s="30">
        <v>10</v>
      </c>
      <c r="F3277" s="30">
        <f t="shared" si="110"/>
        <v>10</v>
      </c>
      <c r="G3277" s="30" t="s">
        <v>9</v>
      </c>
      <c r="J3277" s="30" t="s">
        <v>392</v>
      </c>
      <c r="K3277" s="125">
        <f>IFERROR(VLOOKUP(C3277, PA!A:M, 13, FALSE),0)</f>
        <v>9.0909090909090981E-2</v>
      </c>
      <c r="L3277" s="137">
        <f t="shared" si="109"/>
        <v>8.3333333333333384E-2</v>
      </c>
    </row>
    <row r="3278" spans="1:12" x14ac:dyDescent="0.25">
      <c r="A3278" s="78">
        <v>46203</v>
      </c>
      <c r="B3278" s="68">
        <v>18</v>
      </c>
      <c r="C3278" s="33" t="s">
        <v>768</v>
      </c>
      <c r="D3278" s="30">
        <v>2</v>
      </c>
      <c r="E3278" s="30">
        <v>10</v>
      </c>
      <c r="F3278" s="30">
        <f t="shared" si="110"/>
        <v>20</v>
      </c>
      <c r="G3278" s="30" t="s">
        <v>9</v>
      </c>
      <c r="J3278" s="30" t="s">
        <v>392</v>
      </c>
      <c r="K3278" s="125">
        <f>IFERROR(VLOOKUP(C3278, PA!A:M, 13, FALSE),0)</f>
        <v>0.1111111111111111</v>
      </c>
      <c r="L3278" s="137">
        <f t="shared" si="109"/>
        <v>9.9999999999999992E-2</v>
      </c>
    </row>
    <row r="3279" spans="1:12" s="62" customFormat="1" x14ac:dyDescent="0.25">
      <c r="A3279" s="151"/>
      <c r="B3279" s="139"/>
      <c r="C3279" s="150"/>
      <c r="F3279" s="174"/>
      <c r="G3279" s="175"/>
      <c r="H3279" s="176"/>
      <c r="I3279" s="177"/>
      <c r="J3279" s="175"/>
      <c r="K3279" s="178"/>
      <c r="L3279" s="179">
        <f>AVERAGE(L3241:L3278)</f>
        <v>0.14116180765024258</v>
      </c>
    </row>
    <row r="3280" spans="1:12" s="69" customFormat="1" ht="18.75" x14ac:dyDescent="0.3">
      <c r="A3280" s="146"/>
      <c r="B3280" s="147" t="s">
        <v>987</v>
      </c>
      <c r="C3280" s="148">
        <f>MAX(B3241:B3278)</f>
        <v>18</v>
      </c>
      <c r="D3280" s="147" t="s">
        <v>988</v>
      </c>
      <c r="E3280" s="147">
        <f>SUMIF(G3241:G3278,"UPI",F3241:F3278)</f>
        <v>510.64</v>
      </c>
      <c r="F3280" s="227" t="s">
        <v>437</v>
      </c>
      <c r="G3280" s="228"/>
      <c r="H3280" s="229"/>
      <c r="I3280" s="227">
        <f>SUM(F3241:F3278)</f>
        <v>1258.1400000000001</v>
      </c>
      <c r="J3280" s="228"/>
      <c r="K3280" s="228"/>
      <c r="L3280" s="229"/>
    </row>
    <row r="3281" spans="1:12" x14ac:dyDescent="0.25">
      <c r="A3281" s="78">
        <v>46204</v>
      </c>
      <c r="B3281" s="68">
        <v>1</v>
      </c>
      <c r="C3281" s="33" t="str">
        <f>PA!A234</f>
        <v>WHOLE LONG LOT 1</v>
      </c>
      <c r="D3281" s="30">
        <v>1.7999999999999999E-2</v>
      </c>
      <c r="E3281" s="30">
        <v>1450</v>
      </c>
      <c r="F3281" s="30">
        <f>E3281*D3281</f>
        <v>26.099999999999998</v>
      </c>
      <c r="G3281" s="30" t="s">
        <v>9</v>
      </c>
      <c r="I3281" s="68" t="s">
        <v>1009</v>
      </c>
      <c r="J3281" s="30" t="s">
        <v>391</v>
      </c>
      <c r="K3281" s="125">
        <f>IFERROR(VLOOKUP(C3281, PA!A:M, 13, FALSE),0)</f>
        <v>0.20833333333333334</v>
      </c>
      <c r="L3281" s="137">
        <f t="shared" si="109"/>
        <v>0.17241379310344829</v>
      </c>
    </row>
    <row r="3282" spans="1:12" x14ac:dyDescent="0.25">
      <c r="A3282" s="78">
        <v>46204</v>
      </c>
      <c r="B3282" s="68">
        <v>1</v>
      </c>
      <c r="C3282" s="33" t="s">
        <v>945</v>
      </c>
      <c r="D3282" s="30">
        <v>0.05</v>
      </c>
      <c r="E3282" s="30">
        <v>900</v>
      </c>
      <c r="F3282" s="30">
        <f t="shared" ref="F3282:F3289" si="111">E3282*D3282</f>
        <v>45</v>
      </c>
      <c r="G3282" s="30" t="s">
        <v>9</v>
      </c>
      <c r="I3282" s="68" t="s">
        <v>1009</v>
      </c>
      <c r="J3282" s="30" t="s">
        <v>391</v>
      </c>
      <c r="K3282" s="125">
        <f>IFERROR(VLOOKUP(C3282, PA!A:M, 13, FALSE),0)</f>
        <v>0.2857142857142857</v>
      </c>
      <c r="L3282" s="137">
        <f t="shared" si="109"/>
        <v>0.22222222222222224</v>
      </c>
    </row>
    <row r="3283" spans="1:12" x14ac:dyDescent="0.25">
      <c r="A3283" s="78">
        <v>46204</v>
      </c>
      <c r="B3283" s="68">
        <v>1</v>
      </c>
      <c r="C3283" s="33" t="s">
        <v>894</v>
      </c>
      <c r="D3283" s="30">
        <v>1.2999999999999999E-2</v>
      </c>
      <c r="E3283" s="30">
        <v>3500</v>
      </c>
      <c r="F3283" s="30">
        <f t="shared" si="111"/>
        <v>45.5</v>
      </c>
      <c r="G3283" s="30" t="s">
        <v>9</v>
      </c>
      <c r="I3283" s="68" t="s">
        <v>1009</v>
      </c>
      <c r="J3283" s="30" t="s">
        <v>391</v>
      </c>
      <c r="K3283" s="125">
        <f>IFERROR(VLOOKUP(C3283, PA!A:M, 13, FALSE),0)</f>
        <v>9.375E-2</v>
      </c>
      <c r="L3283" s="137">
        <f t="shared" si="109"/>
        <v>8.5714285714285715E-2</v>
      </c>
    </row>
    <row r="3284" spans="1:12" x14ac:dyDescent="0.25">
      <c r="A3284" s="78">
        <v>46204</v>
      </c>
      <c r="B3284" s="68">
        <v>1</v>
      </c>
      <c r="C3284" s="33" t="s">
        <v>851</v>
      </c>
      <c r="D3284" s="30">
        <v>1</v>
      </c>
      <c r="E3284" s="30">
        <v>70</v>
      </c>
      <c r="F3284" s="30">
        <f t="shared" si="111"/>
        <v>70</v>
      </c>
      <c r="G3284" s="30" t="s">
        <v>9</v>
      </c>
      <c r="I3284" s="68" t="s">
        <v>1009</v>
      </c>
      <c r="J3284" s="30" t="s">
        <v>391</v>
      </c>
      <c r="K3284" s="125">
        <f>IFERROR(VLOOKUP(C3284, PA!A:M, 13, FALSE),0)</f>
        <v>7.6923076923076927E-2</v>
      </c>
      <c r="L3284" s="137">
        <f t="shared" si="109"/>
        <v>7.1428571428571438E-2</v>
      </c>
    </row>
    <row r="3285" spans="1:12" x14ac:dyDescent="0.25">
      <c r="A3285" s="78">
        <v>46204</v>
      </c>
      <c r="B3285" s="68">
        <v>2</v>
      </c>
      <c r="C3285" s="19" t="s">
        <v>994</v>
      </c>
      <c r="D3285" s="30">
        <v>6</v>
      </c>
      <c r="E3285" s="30">
        <v>9</v>
      </c>
      <c r="F3285" s="30">
        <f t="shared" si="111"/>
        <v>54</v>
      </c>
      <c r="G3285" s="30" t="s">
        <v>10</v>
      </c>
      <c r="I3285" s="68" t="s">
        <v>1010</v>
      </c>
      <c r="J3285" s="30" t="s">
        <v>391</v>
      </c>
      <c r="K3285" s="125">
        <f>IFERROR(VLOOKUP(C3285, PA!A:M, 13, FALSE),0)</f>
        <v>7.9999999999999918E-2</v>
      </c>
      <c r="L3285" s="137">
        <f t="shared" si="109"/>
        <v>7.4074074074074014E-2</v>
      </c>
    </row>
    <row r="3286" spans="1:12" x14ac:dyDescent="0.25">
      <c r="A3286" s="78">
        <v>46204</v>
      </c>
      <c r="B3286" s="68">
        <v>2</v>
      </c>
      <c r="C3286" s="70" t="s">
        <v>667</v>
      </c>
      <c r="D3286" s="30">
        <v>1</v>
      </c>
      <c r="E3286" s="30">
        <v>5</v>
      </c>
      <c r="F3286" s="30">
        <f t="shared" si="111"/>
        <v>5</v>
      </c>
      <c r="G3286" s="30" t="s">
        <v>10</v>
      </c>
      <c r="I3286" s="68" t="s">
        <v>1010</v>
      </c>
      <c r="J3286" s="30" t="s">
        <v>391</v>
      </c>
      <c r="K3286" s="125">
        <f>IFERROR(VLOOKUP(C3286, PA!A:M, 13, FALSE),0)</f>
        <v>0.1111111111111111</v>
      </c>
      <c r="L3286" s="137">
        <f t="shared" si="109"/>
        <v>9.9999999999999992E-2</v>
      </c>
    </row>
    <row r="3287" spans="1:12" x14ac:dyDescent="0.25">
      <c r="A3287" s="78">
        <v>46204</v>
      </c>
      <c r="B3287" s="68">
        <v>2</v>
      </c>
      <c r="C3287" s="33" t="s">
        <v>669</v>
      </c>
      <c r="D3287" s="30">
        <v>1</v>
      </c>
      <c r="E3287" s="30">
        <v>5</v>
      </c>
      <c r="F3287" s="30">
        <f t="shared" si="111"/>
        <v>5</v>
      </c>
      <c r="G3287" s="30" t="s">
        <v>10</v>
      </c>
      <c r="I3287" s="68" t="s">
        <v>1010</v>
      </c>
      <c r="J3287" s="30" t="s">
        <v>391</v>
      </c>
      <c r="K3287" s="125">
        <f>IFERROR(VLOOKUP(C3287, PA!A:M, 13, FALSE),0)</f>
        <v>4.1666666666666706E-2</v>
      </c>
      <c r="L3287" s="137">
        <f t="shared" si="109"/>
        <v>4.0000000000000036E-2</v>
      </c>
    </row>
    <row r="3288" spans="1:12" x14ac:dyDescent="0.25">
      <c r="A3288" s="78">
        <v>46204</v>
      </c>
      <c r="B3288" s="68">
        <v>3</v>
      </c>
      <c r="C3288" s="33" t="s">
        <v>852</v>
      </c>
      <c r="D3288" s="30">
        <v>1</v>
      </c>
      <c r="E3288" s="30">
        <v>105</v>
      </c>
      <c r="F3288" s="30">
        <f t="shared" si="111"/>
        <v>105</v>
      </c>
      <c r="G3288" s="30" t="s">
        <v>9</v>
      </c>
      <c r="I3288" s="68" t="s">
        <v>663</v>
      </c>
      <c r="J3288" s="30" t="s">
        <v>391</v>
      </c>
      <c r="K3288" s="125">
        <f>IFERROR(VLOOKUP(C3288, PA!A:M, 13, FALSE),0)</f>
        <v>7.6923076923076927E-2</v>
      </c>
      <c r="L3288" s="137">
        <f t="shared" si="109"/>
        <v>7.1428571428571438E-2</v>
      </c>
    </row>
    <row r="3289" spans="1:12" x14ac:dyDescent="0.25">
      <c r="A3289" s="78">
        <v>46204</v>
      </c>
      <c r="B3289" s="68">
        <v>4</v>
      </c>
      <c r="C3289" s="33" t="s">
        <v>736</v>
      </c>
      <c r="D3289" s="30">
        <v>1</v>
      </c>
      <c r="E3289" s="30">
        <v>60</v>
      </c>
      <c r="F3289" s="30">
        <f t="shared" si="111"/>
        <v>60</v>
      </c>
      <c r="G3289" s="30" t="s">
        <v>9</v>
      </c>
      <c r="I3289" s="68" t="s">
        <v>1011</v>
      </c>
      <c r="J3289" s="30" t="s">
        <v>391</v>
      </c>
      <c r="K3289" s="125">
        <f>IFERROR(VLOOKUP(C3289, PA!A:M, 13, FALSE),0)</f>
        <v>0.1</v>
      </c>
      <c r="L3289" s="137">
        <f t="shared" si="109"/>
        <v>9.0909090909090912E-2</v>
      </c>
    </row>
    <row r="3290" spans="1:12" s="62" customFormat="1" x14ac:dyDescent="0.25">
      <c r="A3290" s="78">
        <v>46204</v>
      </c>
      <c r="B3290" s="139"/>
      <c r="C3290" s="150"/>
      <c r="H3290" s="139"/>
      <c r="I3290" s="139">
        <f>SUMIF(G3281:G3289, "&lt;&gt;UPI",F3281:F3289)</f>
        <v>351.6</v>
      </c>
      <c r="K3290" s="125">
        <f>IFERROR(VLOOKUP(C3290, PA!A:M, 13, FALSE),0)</f>
        <v>0</v>
      </c>
      <c r="L3290" s="137">
        <f t="shared" si="109"/>
        <v>0</v>
      </c>
    </row>
    <row r="3291" spans="1:12" x14ac:dyDescent="0.25">
      <c r="A3291" s="78">
        <v>46204</v>
      </c>
      <c r="B3291" s="68">
        <v>5</v>
      </c>
      <c r="C3291" s="19" t="s">
        <v>995</v>
      </c>
      <c r="D3291" s="30">
        <v>26</v>
      </c>
      <c r="E3291" s="30">
        <v>55</v>
      </c>
      <c r="F3291" s="30">
        <f t="shared" ref="F3291:F3308" si="112">E3291*D3291</f>
        <v>1430</v>
      </c>
      <c r="G3291" s="30" t="s">
        <v>10</v>
      </c>
      <c r="I3291" s="68" t="s">
        <v>1012</v>
      </c>
      <c r="J3291" s="30" t="s">
        <v>392</v>
      </c>
      <c r="K3291" s="125">
        <f>IFERROR(VLOOKUP(C3291, PA!A:M, 13, FALSE),0)</f>
        <v>2.1428571428571418E-2</v>
      </c>
      <c r="L3291" s="137">
        <f t="shared" si="109"/>
        <v>2.0979020979020969E-2</v>
      </c>
    </row>
    <row r="3292" spans="1:12" x14ac:dyDescent="0.25">
      <c r="A3292" s="78">
        <v>46204</v>
      </c>
      <c r="B3292" s="68">
        <v>5</v>
      </c>
      <c r="C3292" s="33" t="s">
        <v>605</v>
      </c>
      <c r="D3292" s="30">
        <v>2</v>
      </c>
      <c r="E3292" s="30">
        <v>200</v>
      </c>
      <c r="F3292" s="30">
        <f t="shared" si="112"/>
        <v>400</v>
      </c>
      <c r="G3292" s="30" t="s">
        <v>10</v>
      </c>
      <c r="I3292" s="68" t="s">
        <v>1012</v>
      </c>
      <c r="J3292" s="30" t="s">
        <v>392</v>
      </c>
      <c r="K3292" s="125">
        <f>IFERROR(VLOOKUP(C3292, PA!A:M, 13, FALSE),0)</f>
        <v>3.6458333333333336E-2</v>
      </c>
      <c r="L3292" s="137">
        <f t="shared" si="109"/>
        <v>3.5175879396984931E-2</v>
      </c>
    </row>
    <row r="3293" spans="1:12" ht="30" x14ac:dyDescent="0.25">
      <c r="A3293" s="78">
        <v>46204</v>
      </c>
      <c r="B3293" s="68">
        <v>5</v>
      </c>
      <c r="C3293" s="33" t="s">
        <v>689</v>
      </c>
      <c r="D3293" s="30">
        <v>2</v>
      </c>
      <c r="E3293" s="30">
        <v>155</v>
      </c>
      <c r="F3293" s="30">
        <f t="shared" si="112"/>
        <v>310</v>
      </c>
      <c r="G3293" s="30" t="s">
        <v>10</v>
      </c>
      <c r="I3293" s="68" t="s">
        <v>1012</v>
      </c>
      <c r="J3293" s="30" t="s">
        <v>392</v>
      </c>
      <c r="K3293" s="125">
        <f>IFERROR(VLOOKUP(C3293, PA!A:M, 13, FALSE),0)</f>
        <v>5.4421768707482991E-2</v>
      </c>
      <c r="L3293" s="137">
        <f t="shared" si="109"/>
        <v>5.1612903225806445E-2</v>
      </c>
    </row>
    <row r="3294" spans="1:12" x14ac:dyDescent="0.25">
      <c r="A3294" s="78">
        <v>46204</v>
      </c>
      <c r="B3294" s="68">
        <v>5</v>
      </c>
      <c r="C3294" s="33" t="s">
        <v>795</v>
      </c>
      <c r="D3294" s="30">
        <v>2</v>
      </c>
      <c r="E3294" s="30">
        <v>160</v>
      </c>
      <c r="F3294" s="30">
        <f t="shared" si="112"/>
        <v>320</v>
      </c>
      <c r="G3294" s="30" t="s">
        <v>10</v>
      </c>
      <c r="I3294" s="68" t="s">
        <v>1012</v>
      </c>
      <c r="J3294" s="30" t="s">
        <v>392</v>
      </c>
      <c r="K3294" s="125">
        <f>IFERROR(VLOOKUP(C3294, PA!A:M, 13, FALSE),0)</f>
        <v>0.14285714285714285</v>
      </c>
      <c r="L3294" s="137">
        <f t="shared" si="109"/>
        <v>0.125</v>
      </c>
    </row>
    <row r="3295" spans="1:12" x14ac:dyDescent="0.25">
      <c r="A3295" s="78">
        <v>46204</v>
      </c>
      <c r="B3295" s="68">
        <v>5</v>
      </c>
      <c r="C3295" s="33" t="s">
        <v>968</v>
      </c>
      <c r="D3295" s="30">
        <v>2</v>
      </c>
      <c r="E3295" s="30">
        <v>58</v>
      </c>
      <c r="F3295" s="30">
        <f t="shared" si="112"/>
        <v>116</v>
      </c>
      <c r="G3295" s="30" t="s">
        <v>10</v>
      </c>
      <c r="I3295" s="68" t="s">
        <v>1012</v>
      </c>
      <c r="J3295" s="30" t="s">
        <v>392</v>
      </c>
      <c r="K3295" s="125">
        <f>IFERROR(VLOOKUP(C3295, PA!A:M, 13, FALSE),0)</f>
        <v>0.16</v>
      </c>
      <c r="L3295" s="137">
        <f t="shared" si="109"/>
        <v>0.13793103448275865</v>
      </c>
    </row>
    <row r="3296" spans="1:12" x14ac:dyDescent="0.25">
      <c r="A3296" s="78">
        <v>46204</v>
      </c>
      <c r="B3296" s="68">
        <v>5</v>
      </c>
      <c r="C3296" s="33" t="s">
        <v>923</v>
      </c>
      <c r="D3296" s="30">
        <v>1</v>
      </c>
      <c r="E3296" s="30">
        <v>30</v>
      </c>
      <c r="F3296" s="30">
        <f t="shared" si="112"/>
        <v>30</v>
      </c>
      <c r="G3296" s="30" t="s">
        <v>10</v>
      </c>
      <c r="I3296" s="68" t="s">
        <v>1012</v>
      </c>
      <c r="J3296" s="30" t="s">
        <v>392</v>
      </c>
      <c r="K3296" s="125">
        <f>IFERROR(VLOOKUP(C3296, PA!A:M, 13, FALSE),0)</f>
        <v>0.15384615384615385</v>
      </c>
      <c r="L3296" s="137">
        <f t="shared" si="109"/>
        <v>0.13333333333333336</v>
      </c>
    </row>
    <row r="3297" spans="1:12" x14ac:dyDescent="0.25">
      <c r="A3297" s="78">
        <v>46204</v>
      </c>
      <c r="B3297" s="68">
        <v>5</v>
      </c>
      <c r="C3297" s="159" t="s">
        <v>535</v>
      </c>
      <c r="D3297" s="30">
        <v>9</v>
      </c>
      <c r="E3297" s="30">
        <v>10</v>
      </c>
      <c r="F3297" s="30">
        <f t="shared" si="112"/>
        <v>90</v>
      </c>
      <c r="G3297" s="30" t="s">
        <v>10</v>
      </c>
      <c r="I3297" s="68" t="s">
        <v>1012</v>
      </c>
      <c r="J3297" s="30" t="s">
        <v>392</v>
      </c>
      <c r="K3297" s="125">
        <f>IFERROR(VLOOKUP(C3297, PA!A:M, 13, FALSE),0)</f>
        <v>9.0909090909090981E-2</v>
      </c>
      <c r="L3297" s="137">
        <f t="shared" si="109"/>
        <v>8.3333333333333384E-2</v>
      </c>
    </row>
    <row r="3298" spans="1:12" x14ac:dyDescent="0.25">
      <c r="A3298" s="78">
        <v>46204</v>
      </c>
      <c r="B3298" s="68">
        <v>5</v>
      </c>
      <c r="C3298" s="33" t="s">
        <v>673</v>
      </c>
      <c r="D3298" s="30">
        <v>1</v>
      </c>
      <c r="E3298" s="30">
        <v>60</v>
      </c>
      <c r="F3298" s="30">
        <f t="shared" si="112"/>
        <v>60</v>
      </c>
      <c r="G3298" s="30" t="s">
        <v>10</v>
      </c>
      <c r="I3298" s="68" t="s">
        <v>1012</v>
      </c>
      <c r="J3298" s="30" t="s">
        <v>392</v>
      </c>
      <c r="K3298" s="125">
        <f>IFERROR(VLOOKUP(C3298, PA!A:M, 13, FALSE),0)</f>
        <v>9.0909090909090912E-2</v>
      </c>
      <c r="L3298" s="137">
        <f t="shared" si="109"/>
        <v>8.3333333333333343E-2</v>
      </c>
    </row>
    <row r="3299" spans="1:12" x14ac:dyDescent="0.25">
      <c r="A3299" s="78">
        <v>46204</v>
      </c>
      <c r="B3299" s="68">
        <v>5</v>
      </c>
      <c r="C3299" s="19" t="s">
        <v>1000</v>
      </c>
      <c r="D3299" s="30">
        <v>1</v>
      </c>
      <c r="E3299" s="30">
        <v>485</v>
      </c>
      <c r="F3299" s="30">
        <f t="shared" si="112"/>
        <v>485</v>
      </c>
      <c r="G3299" s="30" t="s">
        <v>10</v>
      </c>
      <c r="I3299" s="68" t="s">
        <v>1012</v>
      </c>
      <c r="J3299" s="30" t="s">
        <v>392</v>
      </c>
      <c r="K3299" s="125">
        <f>IFERROR(VLOOKUP(C3299, PA!A:M, 13, FALSE),0)</f>
        <v>0.15751789976133651</v>
      </c>
      <c r="L3299" s="137">
        <f t="shared" si="109"/>
        <v>0.13608247422680414</v>
      </c>
    </row>
    <row r="3300" spans="1:12" x14ac:dyDescent="0.25">
      <c r="A3300" s="78">
        <v>46204</v>
      </c>
      <c r="B3300" s="68">
        <v>5</v>
      </c>
      <c r="C3300" s="19" t="s">
        <v>1001</v>
      </c>
      <c r="D3300" s="30">
        <v>1</v>
      </c>
      <c r="E3300" s="30">
        <v>480</v>
      </c>
      <c r="F3300" s="30">
        <f t="shared" si="112"/>
        <v>480</v>
      </c>
      <c r="G3300" s="30" t="s">
        <v>10</v>
      </c>
      <c r="I3300" s="68" t="s">
        <v>1012</v>
      </c>
      <c r="J3300" s="30" t="s">
        <v>392</v>
      </c>
      <c r="K3300" s="125">
        <f>IFERROR(VLOOKUP(C3300, PA!A:M, 13, FALSE),0)</f>
        <v>0.15942028985507245</v>
      </c>
      <c r="L3300" s="137">
        <f t="shared" si="109"/>
        <v>0.13749999999999998</v>
      </c>
    </row>
    <row r="3301" spans="1:12" x14ac:dyDescent="0.25">
      <c r="A3301" s="78">
        <v>46204</v>
      </c>
      <c r="B3301" s="68">
        <v>5</v>
      </c>
      <c r="C3301" s="159" t="s">
        <v>706</v>
      </c>
      <c r="D3301" s="30">
        <v>4</v>
      </c>
      <c r="E3301" s="30">
        <v>5</v>
      </c>
      <c r="F3301" s="30">
        <f t="shared" si="112"/>
        <v>20</v>
      </c>
      <c r="G3301" s="30" t="s">
        <v>10</v>
      </c>
      <c r="I3301" s="68" t="s">
        <v>1012</v>
      </c>
      <c r="J3301" s="30" t="s">
        <v>392</v>
      </c>
      <c r="K3301" s="125">
        <f>IFERROR(VLOOKUP(C3301, PA!A:M, 13, FALSE),0)</f>
        <v>9.0909090909090981E-2</v>
      </c>
      <c r="L3301" s="137">
        <f t="shared" si="109"/>
        <v>8.3333333333333384E-2</v>
      </c>
    </row>
    <row r="3302" spans="1:12" x14ac:dyDescent="0.25">
      <c r="A3302" s="78">
        <v>46204</v>
      </c>
      <c r="B3302" s="68">
        <v>5</v>
      </c>
      <c r="C3302" s="70" t="s">
        <v>1013</v>
      </c>
      <c r="D3302" s="30">
        <v>1</v>
      </c>
      <c r="E3302" s="30">
        <v>600</v>
      </c>
      <c r="F3302" s="30">
        <f t="shared" si="112"/>
        <v>600</v>
      </c>
      <c r="G3302" s="30" t="s">
        <v>10</v>
      </c>
      <c r="I3302" s="68" t="s">
        <v>1012</v>
      </c>
      <c r="J3302" s="30" t="s">
        <v>392</v>
      </c>
      <c r="K3302" s="125">
        <f>IFERROR(VLOOKUP(C3302, PA!A:M, 13, FALSE),0)</f>
        <v>2.7397260273972601E-2</v>
      </c>
      <c r="L3302" s="137">
        <f t="shared" si="109"/>
        <v>2.6666666666666661E-2</v>
      </c>
    </row>
    <row r="3303" spans="1:12" x14ac:dyDescent="0.25">
      <c r="A3303" s="78">
        <v>46204</v>
      </c>
      <c r="B3303" s="68">
        <v>5</v>
      </c>
      <c r="C3303" s="19" t="s">
        <v>1008</v>
      </c>
      <c r="D3303" s="30">
        <v>24</v>
      </c>
      <c r="E3303" s="30">
        <v>39</v>
      </c>
      <c r="F3303" s="30">
        <f t="shared" si="112"/>
        <v>936</v>
      </c>
      <c r="G3303" s="30" t="s">
        <v>10</v>
      </c>
      <c r="I3303" s="68" t="s">
        <v>1012</v>
      </c>
      <c r="J3303" s="30" t="s">
        <v>392</v>
      </c>
      <c r="K3303" s="125">
        <f>IFERROR(VLOOKUP(C3303, PA!A:M, 13, FALSE),0)</f>
        <v>3.4254143646408775E-2</v>
      </c>
      <c r="L3303" s="137">
        <f t="shared" si="109"/>
        <v>3.3119658119658058E-2</v>
      </c>
    </row>
    <row r="3304" spans="1:12" x14ac:dyDescent="0.25">
      <c r="A3304" s="78">
        <v>46204</v>
      </c>
      <c r="B3304" s="68">
        <v>6</v>
      </c>
      <c r="C3304" s="33" t="s">
        <v>574</v>
      </c>
      <c r="D3304" s="30">
        <v>1</v>
      </c>
      <c r="E3304" s="30">
        <v>10</v>
      </c>
      <c r="F3304" s="30">
        <f t="shared" si="112"/>
        <v>10</v>
      </c>
      <c r="G3304" s="30" t="s">
        <v>10</v>
      </c>
      <c r="I3304" s="68" t="s">
        <v>1014</v>
      </c>
      <c r="J3304" s="30" t="s">
        <v>392</v>
      </c>
      <c r="K3304" s="125">
        <f>IFERROR(VLOOKUP(C3304, PA!A:M, 13, FALSE),0)</f>
        <v>0.49999999999999994</v>
      </c>
      <c r="L3304" s="137">
        <f t="shared" si="109"/>
        <v>0.33333333333333331</v>
      </c>
    </row>
    <row r="3305" spans="1:12" x14ac:dyDescent="0.25">
      <c r="A3305" s="78">
        <v>46204</v>
      </c>
      <c r="B3305" s="68">
        <v>7</v>
      </c>
      <c r="C3305" s="33" t="s">
        <v>25</v>
      </c>
      <c r="D3305" s="30">
        <v>2</v>
      </c>
      <c r="E3305" s="30">
        <v>10</v>
      </c>
      <c r="F3305" s="30">
        <f t="shared" si="112"/>
        <v>20</v>
      </c>
      <c r="G3305" s="30" t="s">
        <v>10</v>
      </c>
      <c r="I3305" s="68" t="s">
        <v>1015</v>
      </c>
      <c r="J3305" s="30" t="s">
        <v>392</v>
      </c>
      <c r="K3305" s="125">
        <f>IFERROR(VLOOKUP(C3305, PA!A:M, 13, FALSE),0)</f>
        <v>0.30434782608695649</v>
      </c>
      <c r="L3305" s="137">
        <f t="shared" si="109"/>
        <v>0.23333333333333331</v>
      </c>
    </row>
    <row r="3306" spans="1:12" x14ac:dyDescent="0.25">
      <c r="A3306" s="78">
        <v>46204</v>
      </c>
      <c r="B3306" s="68">
        <v>1</v>
      </c>
      <c r="C3306" s="33" t="s">
        <v>841</v>
      </c>
      <c r="D3306" s="30">
        <v>0.1</v>
      </c>
      <c r="E3306" s="30">
        <v>120</v>
      </c>
      <c r="F3306" s="30">
        <f t="shared" si="112"/>
        <v>12</v>
      </c>
      <c r="G3306" s="30" t="s">
        <v>10</v>
      </c>
      <c r="I3306" s="68" t="s">
        <v>1009</v>
      </c>
      <c r="J3306" s="30" t="s">
        <v>392</v>
      </c>
      <c r="K3306" s="125">
        <f>IFERROR(VLOOKUP(C3306, PA!A:M, 13, FALSE),0)</f>
        <v>0.2</v>
      </c>
      <c r="L3306" s="137">
        <f>K3306/(1+K3306)</f>
        <v>0.16666666666666669</v>
      </c>
    </row>
    <row r="3307" spans="1:12" x14ac:dyDescent="0.25">
      <c r="A3307" s="78">
        <v>46204</v>
      </c>
      <c r="B3307" s="68">
        <v>1</v>
      </c>
      <c r="C3307" s="33" t="s">
        <v>528</v>
      </c>
      <c r="D3307" s="30">
        <v>0.1</v>
      </c>
      <c r="E3307" s="30">
        <v>200</v>
      </c>
      <c r="F3307" s="30">
        <f t="shared" si="112"/>
        <v>20</v>
      </c>
      <c r="G3307" s="30" t="s">
        <v>10</v>
      </c>
      <c r="I3307" s="68" t="s">
        <v>1009</v>
      </c>
      <c r="J3307" s="30" t="s">
        <v>392</v>
      </c>
      <c r="K3307" s="125">
        <f>IFERROR(VLOOKUP(C3307, PA!A:M, 13, FALSE),0)</f>
        <v>0.42857142857142855</v>
      </c>
      <c r="L3307" s="137">
        <f>K3307/(1+K3307)</f>
        <v>0.3</v>
      </c>
    </row>
    <row r="3308" spans="1:12" x14ac:dyDescent="0.25">
      <c r="A3308" s="78">
        <v>46204</v>
      </c>
      <c r="B3308" s="68">
        <v>1</v>
      </c>
      <c r="C3308" s="33" t="s">
        <v>722</v>
      </c>
      <c r="D3308" s="30">
        <v>0.1</v>
      </c>
      <c r="E3308" s="30">
        <v>380</v>
      </c>
      <c r="F3308" s="30">
        <f t="shared" si="112"/>
        <v>38</v>
      </c>
      <c r="G3308" s="30" t="s">
        <v>10</v>
      </c>
      <c r="I3308" s="68" t="s">
        <v>1009</v>
      </c>
      <c r="J3308" s="30" t="s">
        <v>392</v>
      </c>
      <c r="K3308" s="125">
        <f>IFERROR(VLOOKUP(C3308, PA!A:M, 13, FALSE),0)</f>
        <v>0.26666666666666666</v>
      </c>
      <c r="L3308" s="137">
        <f>K3308/(1+K3308)</f>
        <v>0.2105263157894737</v>
      </c>
    </row>
    <row r="3310" spans="1:12" s="62" customFormat="1" x14ac:dyDescent="0.25">
      <c r="A3310" s="151"/>
      <c r="B3310" s="139"/>
      <c r="C3310" s="150"/>
      <c r="H3310" s="139"/>
      <c r="I3310" s="139">
        <f>SUMIF(G3291:G3308, "&lt;&gt;UPI",F3291:F3308)</f>
        <v>0</v>
      </c>
      <c r="L3310" s="154">
        <f>AVERAGE(L3281:L3308)</f>
        <v>0.11640897244407515</v>
      </c>
    </row>
    <row r="3311" spans="1:12" s="170" customFormat="1" ht="18.75" x14ac:dyDescent="0.3">
      <c r="A3311" s="79"/>
      <c r="B3311" s="147" t="s">
        <v>987</v>
      </c>
      <c r="C3311" s="169">
        <f>MAX(B3281:B3310)</f>
        <v>7</v>
      </c>
      <c r="D3311" s="147" t="s">
        <v>988</v>
      </c>
      <c r="E3311" s="170">
        <f>SUMIF(G3281:G3310,"UPI",F3281:F3310)</f>
        <v>5441</v>
      </c>
      <c r="F3311" s="227" t="s">
        <v>437</v>
      </c>
      <c r="G3311" s="228"/>
      <c r="H3311" s="229"/>
      <c r="I3311" s="232">
        <f>SUM(F3281:F3310)</f>
        <v>5792.6</v>
      </c>
      <c r="J3311" s="233"/>
      <c r="K3311" s="233"/>
      <c r="L3311" s="234"/>
    </row>
    <row r="3312" spans="1:12" x14ac:dyDescent="0.25">
      <c r="A3312" s="78">
        <v>46205</v>
      </c>
      <c r="B3312" s="68">
        <v>1</v>
      </c>
      <c r="C3312" s="159" t="s">
        <v>535</v>
      </c>
      <c r="D3312" s="30">
        <v>1</v>
      </c>
      <c r="E3312" s="30">
        <v>10</v>
      </c>
      <c r="F3312" s="30">
        <f>E3312*D3312</f>
        <v>10</v>
      </c>
      <c r="G3312" s="30" t="s">
        <v>10</v>
      </c>
      <c r="I3312" s="68" t="s">
        <v>1018</v>
      </c>
      <c r="J3312" s="30" t="s">
        <v>392</v>
      </c>
      <c r="K3312" s="125">
        <f>IFERROR(VLOOKUP(C3312, PA!A:M, 13, FALSE),0)</f>
        <v>9.0909090909090981E-2</v>
      </c>
      <c r="L3312" s="137">
        <f t="shared" ref="L3312:L3335" si="113">K3312/(1+K3312)</f>
        <v>8.3333333333333384E-2</v>
      </c>
    </row>
    <row r="3313" spans="1:12" x14ac:dyDescent="0.25">
      <c r="A3313" s="78">
        <v>46205</v>
      </c>
      <c r="B3313" s="68">
        <v>1</v>
      </c>
      <c r="C3313" s="33" t="s">
        <v>565</v>
      </c>
      <c r="D3313" s="30">
        <v>1</v>
      </c>
      <c r="E3313" s="30">
        <v>10</v>
      </c>
      <c r="F3313" s="30">
        <f t="shared" ref="F3313:F3335" si="114">E3313*D3313</f>
        <v>10</v>
      </c>
      <c r="G3313" s="30" t="s">
        <v>10</v>
      </c>
      <c r="I3313" s="68" t="s">
        <v>1018</v>
      </c>
      <c r="J3313" s="30" t="s">
        <v>392</v>
      </c>
      <c r="K3313" s="125">
        <f>IFERROR(VLOOKUP(C3313, PA!A:M, 13, FALSE),0)</f>
        <v>0.10091743119266047</v>
      </c>
      <c r="L3313" s="137">
        <f t="shared" si="113"/>
        <v>9.1666666666666605E-2</v>
      </c>
    </row>
    <row r="3314" spans="1:12" x14ac:dyDescent="0.25">
      <c r="A3314" s="78">
        <v>46205</v>
      </c>
      <c r="B3314" s="68">
        <v>2</v>
      </c>
      <c r="C3314" s="33" t="s">
        <v>565</v>
      </c>
      <c r="D3314" s="30">
        <v>1</v>
      </c>
      <c r="E3314" s="30">
        <v>10</v>
      </c>
      <c r="F3314" s="30">
        <f t="shared" si="114"/>
        <v>10</v>
      </c>
      <c r="G3314" s="30" t="s">
        <v>9</v>
      </c>
      <c r="I3314" s="68" t="s">
        <v>1019</v>
      </c>
      <c r="J3314" s="30" t="s">
        <v>392</v>
      </c>
      <c r="K3314" s="125">
        <f>IFERROR(VLOOKUP(C3314, PA!A:M, 13, FALSE),0)</f>
        <v>0.10091743119266047</v>
      </c>
      <c r="L3314" s="137">
        <f t="shared" si="113"/>
        <v>9.1666666666666605E-2</v>
      </c>
    </row>
    <row r="3315" spans="1:12" x14ac:dyDescent="0.25">
      <c r="A3315" s="78">
        <v>46205</v>
      </c>
      <c r="B3315" s="68">
        <v>2</v>
      </c>
      <c r="C3315" s="33" t="s">
        <v>759</v>
      </c>
      <c r="D3315" s="30">
        <v>2</v>
      </c>
      <c r="E3315" s="30">
        <v>5</v>
      </c>
      <c r="F3315" s="30">
        <f t="shared" si="114"/>
        <v>10</v>
      </c>
      <c r="G3315" s="30" t="s">
        <v>9</v>
      </c>
      <c r="I3315" s="68" t="s">
        <v>1019</v>
      </c>
      <c r="J3315" s="30" t="s">
        <v>392</v>
      </c>
      <c r="K3315" s="125">
        <f>IFERROR(VLOOKUP(C3315, PA!A:M, 13, FALSE),0)</f>
        <v>0.19047619047619044</v>
      </c>
      <c r="L3315" s="137">
        <f t="shared" si="113"/>
        <v>0.15999999999999998</v>
      </c>
    </row>
    <row r="3316" spans="1:12" x14ac:dyDescent="0.25">
      <c r="A3316" s="78">
        <v>46205</v>
      </c>
      <c r="B3316" s="68">
        <v>3</v>
      </c>
      <c r="C3316" s="33" t="s">
        <v>524</v>
      </c>
      <c r="D3316" s="30">
        <v>10</v>
      </c>
      <c r="E3316" s="30">
        <v>1</v>
      </c>
      <c r="F3316" s="30">
        <f t="shared" si="114"/>
        <v>10</v>
      </c>
      <c r="G3316" s="30" t="s">
        <v>9</v>
      </c>
      <c r="J3316" s="30" t="s">
        <v>392</v>
      </c>
      <c r="K3316" s="125">
        <f>IFERROR(VLOOKUP(C3316, PA!A:M, 13, FALSE),0)</f>
        <v>0.11111111111111108</v>
      </c>
      <c r="L3316" s="137">
        <f t="shared" si="113"/>
        <v>9.9999999999999964E-2</v>
      </c>
    </row>
    <row r="3317" spans="1:12" x14ac:dyDescent="0.25">
      <c r="A3317" s="78">
        <v>46205</v>
      </c>
      <c r="B3317" s="68">
        <v>4</v>
      </c>
      <c r="C3317" s="159" t="s">
        <v>535</v>
      </c>
      <c r="D3317" s="30">
        <v>2</v>
      </c>
      <c r="E3317" s="30">
        <v>10</v>
      </c>
      <c r="F3317" s="30">
        <f t="shared" si="114"/>
        <v>20</v>
      </c>
      <c r="G3317" s="30" t="s">
        <v>9</v>
      </c>
      <c r="I3317" s="68" t="s">
        <v>1020</v>
      </c>
      <c r="J3317" s="30" t="s">
        <v>392</v>
      </c>
      <c r="K3317" s="125">
        <f>IFERROR(VLOOKUP(C3317, PA!A:M, 13, FALSE),0)</f>
        <v>9.0909090909090981E-2</v>
      </c>
      <c r="L3317" s="137">
        <f t="shared" si="113"/>
        <v>8.3333333333333384E-2</v>
      </c>
    </row>
    <row r="3318" spans="1:12" x14ac:dyDescent="0.25">
      <c r="A3318" s="78">
        <v>46205</v>
      </c>
      <c r="B3318" s="68">
        <v>5</v>
      </c>
      <c r="C3318" s="33" t="s">
        <v>886</v>
      </c>
      <c r="D3318" s="30">
        <v>5</v>
      </c>
      <c r="E3318" s="30">
        <v>10</v>
      </c>
      <c r="F3318" s="30">
        <f t="shared" si="114"/>
        <v>50</v>
      </c>
      <c r="G3318" s="30" t="s">
        <v>10</v>
      </c>
      <c r="I3318" s="68" t="s">
        <v>1021</v>
      </c>
      <c r="J3318" s="30" t="s">
        <v>392</v>
      </c>
      <c r="K3318" s="125">
        <f>IFERROR(VLOOKUP(C3318, PA!A:M, 13, FALSE),0)</f>
        <v>0.1111111111111111</v>
      </c>
      <c r="L3318" s="137">
        <f t="shared" si="113"/>
        <v>9.9999999999999992E-2</v>
      </c>
    </row>
    <row r="3319" spans="1:12" x14ac:dyDescent="0.25">
      <c r="A3319" s="78">
        <v>46205</v>
      </c>
      <c r="B3319" s="68">
        <v>5</v>
      </c>
      <c r="C3319" s="33" t="s">
        <v>535</v>
      </c>
      <c r="D3319" s="30">
        <v>4</v>
      </c>
      <c r="E3319" s="30">
        <v>10</v>
      </c>
      <c r="F3319" s="30">
        <f t="shared" si="114"/>
        <v>40</v>
      </c>
      <c r="G3319" s="30" t="s">
        <v>10</v>
      </c>
      <c r="I3319" s="68" t="s">
        <v>1021</v>
      </c>
      <c r="J3319" s="30" t="s">
        <v>392</v>
      </c>
      <c r="K3319" s="125">
        <f>IFERROR(VLOOKUP(C3319, PA!A:M, 13, FALSE),0)</f>
        <v>9.0909090909090981E-2</v>
      </c>
      <c r="L3319" s="137">
        <f t="shared" si="113"/>
        <v>8.3333333333333384E-2</v>
      </c>
    </row>
    <row r="3320" spans="1:12" x14ac:dyDescent="0.25">
      <c r="A3320" s="78">
        <v>46205</v>
      </c>
      <c r="B3320" s="68">
        <v>5</v>
      </c>
      <c r="C3320" s="33" t="s">
        <v>913</v>
      </c>
      <c r="D3320" s="30">
        <v>2</v>
      </c>
      <c r="E3320" s="30">
        <v>35</v>
      </c>
      <c r="F3320" s="30">
        <f t="shared" si="114"/>
        <v>70</v>
      </c>
      <c r="G3320" s="30" t="s">
        <v>10</v>
      </c>
      <c r="I3320" s="68" t="s">
        <v>1021</v>
      </c>
      <c r="J3320" s="30" t="s">
        <v>392</v>
      </c>
      <c r="K3320" s="125">
        <f>IFERROR(VLOOKUP(C3320, PA!A:M, 13, FALSE),0)</f>
        <v>7.6923076923076927E-2</v>
      </c>
      <c r="L3320" s="137">
        <f t="shared" si="113"/>
        <v>7.1428571428571438E-2</v>
      </c>
    </row>
    <row r="3321" spans="1:12" x14ac:dyDescent="0.25">
      <c r="A3321" s="78">
        <v>46205</v>
      </c>
      <c r="B3321" s="68">
        <v>5</v>
      </c>
      <c r="C3321" s="33" t="s">
        <v>698</v>
      </c>
      <c r="D3321" s="30">
        <v>1</v>
      </c>
      <c r="E3321" s="30">
        <v>40</v>
      </c>
      <c r="F3321" s="30">
        <f t="shared" si="114"/>
        <v>40</v>
      </c>
      <c r="G3321" s="30" t="s">
        <v>10</v>
      </c>
      <c r="I3321" s="68" t="s">
        <v>1021</v>
      </c>
      <c r="J3321" s="30" t="s">
        <v>392</v>
      </c>
      <c r="K3321" s="125">
        <f>IFERROR(VLOOKUP(C3321, PA!A:M, 13, FALSE),0)</f>
        <v>5.2631578947368418E-2</v>
      </c>
      <c r="L3321" s="137">
        <f t="shared" si="113"/>
        <v>0.05</v>
      </c>
    </row>
    <row r="3322" spans="1:12" x14ac:dyDescent="0.25">
      <c r="A3322" s="78">
        <v>46205</v>
      </c>
      <c r="B3322" s="68">
        <v>5</v>
      </c>
      <c r="C3322" s="33" t="s">
        <v>914</v>
      </c>
      <c r="D3322" s="30">
        <v>1</v>
      </c>
      <c r="E3322" s="30">
        <v>30</v>
      </c>
      <c r="F3322" s="30">
        <f t="shared" si="114"/>
        <v>30</v>
      </c>
      <c r="G3322" s="30" t="s">
        <v>10</v>
      </c>
      <c r="I3322" s="68" t="s">
        <v>1021</v>
      </c>
      <c r="J3322" s="30" t="s">
        <v>392</v>
      </c>
      <c r="K3322" s="125">
        <f>IFERROR(VLOOKUP(C3322, PA!A:M, 13, FALSE),0)</f>
        <v>7.1428571428571425E-2</v>
      </c>
      <c r="L3322" s="137">
        <f t="shared" si="113"/>
        <v>6.6666666666666666E-2</v>
      </c>
    </row>
    <row r="3323" spans="1:12" x14ac:dyDescent="0.25">
      <c r="A3323" s="78">
        <v>46205</v>
      </c>
      <c r="B3323" s="68">
        <v>6</v>
      </c>
      <c r="C3323" s="33" t="s">
        <v>565</v>
      </c>
      <c r="D3323" s="30">
        <v>1</v>
      </c>
      <c r="E3323" s="30">
        <v>10</v>
      </c>
      <c r="F3323" s="30">
        <f t="shared" si="114"/>
        <v>10</v>
      </c>
      <c r="G3323" s="30" t="s">
        <v>9</v>
      </c>
      <c r="I3323" s="68" t="s">
        <v>663</v>
      </c>
      <c r="J3323" s="30" t="s">
        <v>392</v>
      </c>
      <c r="K3323" s="125">
        <f>IFERROR(VLOOKUP(C3323, PA!A:M, 13, FALSE),0)</f>
        <v>0.10091743119266047</v>
      </c>
      <c r="L3323" s="137">
        <f t="shared" si="113"/>
        <v>9.1666666666666605E-2</v>
      </c>
    </row>
    <row r="3324" spans="1:12" x14ac:dyDescent="0.25">
      <c r="A3324" s="78">
        <v>46205</v>
      </c>
      <c r="B3324" s="68">
        <v>5</v>
      </c>
      <c r="C3324" s="33" t="s">
        <v>852</v>
      </c>
      <c r="D3324" s="30">
        <v>1</v>
      </c>
      <c r="E3324" s="30">
        <v>105</v>
      </c>
      <c r="F3324" s="30">
        <f t="shared" si="114"/>
        <v>105</v>
      </c>
      <c r="G3324" s="30" t="s">
        <v>10</v>
      </c>
      <c r="I3324" s="68" t="s">
        <v>1021</v>
      </c>
      <c r="J3324" s="30" t="s">
        <v>392</v>
      </c>
      <c r="K3324" s="125">
        <f>IFERROR(VLOOKUP(C3324, PA!A:M, 13, FALSE),0)</f>
        <v>7.6923076923076927E-2</v>
      </c>
      <c r="L3324" s="137">
        <f t="shared" si="113"/>
        <v>7.1428571428571438E-2</v>
      </c>
    </row>
    <row r="3325" spans="1:12" x14ac:dyDescent="0.25">
      <c r="A3325" s="78">
        <v>46205</v>
      </c>
      <c r="B3325" s="68">
        <v>7</v>
      </c>
      <c r="C3325" s="159" t="s">
        <v>706</v>
      </c>
      <c r="D3325" s="30">
        <v>2</v>
      </c>
      <c r="E3325" s="30">
        <v>5</v>
      </c>
      <c r="F3325" s="30">
        <f t="shared" si="114"/>
        <v>10</v>
      </c>
      <c r="G3325" s="30" t="s">
        <v>10</v>
      </c>
      <c r="J3325" s="30" t="s">
        <v>392</v>
      </c>
      <c r="K3325" s="125">
        <f>IFERROR(VLOOKUP(C3325, PA!A:M, 13, FALSE),0)</f>
        <v>9.0909090909090981E-2</v>
      </c>
      <c r="L3325" s="137">
        <f t="shared" si="113"/>
        <v>8.3333333333333384E-2</v>
      </c>
    </row>
    <row r="3326" spans="1:12" x14ac:dyDescent="0.25">
      <c r="A3326" s="78">
        <v>46205</v>
      </c>
      <c r="B3326" s="68">
        <v>8</v>
      </c>
      <c r="C3326" s="19" t="s">
        <v>554</v>
      </c>
      <c r="D3326" s="30">
        <v>1</v>
      </c>
      <c r="E3326" s="30">
        <v>10</v>
      </c>
      <c r="F3326" s="30">
        <f t="shared" si="114"/>
        <v>10</v>
      </c>
      <c r="G3326" s="30" t="s">
        <v>9</v>
      </c>
      <c r="J3326" s="30" t="s">
        <v>392</v>
      </c>
      <c r="K3326" s="125">
        <f>IFERROR(VLOOKUP(C3326, PA!A:M, 13, FALSE),0)</f>
        <v>0.25</v>
      </c>
      <c r="L3326" s="137">
        <f t="shared" si="113"/>
        <v>0.2</v>
      </c>
    </row>
    <row r="3327" spans="1:12" x14ac:dyDescent="0.25">
      <c r="A3327" s="78">
        <v>46205</v>
      </c>
      <c r="B3327" s="68">
        <v>8</v>
      </c>
      <c r="C3327" s="33" t="s">
        <v>723</v>
      </c>
      <c r="D3327" s="30">
        <v>3.3000000000000002E-2</v>
      </c>
      <c r="E3327" s="30">
        <v>300</v>
      </c>
      <c r="F3327" s="30">
        <f t="shared" si="114"/>
        <v>9.9</v>
      </c>
      <c r="G3327" s="30" t="s">
        <v>9</v>
      </c>
      <c r="J3327" s="30" t="s">
        <v>392</v>
      </c>
      <c r="K3327" s="125">
        <f>IFERROR(VLOOKUP(C3327, PA!A:M, 13, FALSE),0)</f>
        <v>0.15384615384615385</v>
      </c>
      <c r="L3327" s="137">
        <f t="shared" si="113"/>
        <v>0.13333333333333336</v>
      </c>
    </row>
    <row r="3328" spans="1:12" x14ac:dyDescent="0.25">
      <c r="A3328" s="78">
        <v>46205</v>
      </c>
      <c r="B3328" s="68">
        <v>8</v>
      </c>
      <c r="C3328" s="33" t="s">
        <v>395</v>
      </c>
      <c r="D3328" s="30">
        <v>1</v>
      </c>
      <c r="E3328" s="30">
        <v>10</v>
      </c>
      <c r="F3328" s="30">
        <f t="shared" si="114"/>
        <v>10</v>
      </c>
      <c r="G3328" s="30" t="s">
        <v>9</v>
      </c>
      <c r="J3328" s="30" t="s">
        <v>392</v>
      </c>
      <c r="K3328" s="125">
        <f>IFERROR(VLOOKUP(C3328, PA!A:M, 13, FALSE),0)</f>
        <v>0.13636363636363627</v>
      </c>
      <c r="L3328" s="137">
        <f t="shared" si="113"/>
        <v>0.11999999999999993</v>
      </c>
    </row>
    <row r="3329" spans="1:12" x14ac:dyDescent="0.25">
      <c r="A3329" s="78">
        <v>46205</v>
      </c>
      <c r="B3329" s="68">
        <v>9</v>
      </c>
      <c r="C3329" s="33" t="s">
        <v>962</v>
      </c>
      <c r="D3329" s="30">
        <v>1</v>
      </c>
      <c r="E3329" s="30">
        <v>5</v>
      </c>
      <c r="F3329" s="30">
        <f t="shared" si="114"/>
        <v>5</v>
      </c>
      <c r="G3329" s="30" t="s">
        <v>10</v>
      </c>
      <c r="I3329" s="68" t="s">
        <v>1022</v>
      </c>
      <c r="J3329" s="30" t="s">
        <v>392</v>
      </c>
      <c r="K3329" s="125">
        <f>IFERROR(VLOOKUP(C3329, PA!A:M, 13, FALSE),0)</f>
        <v>0.1111111111111111</v>
      </c>
      <c r="L3329" s="137">
        <f t="shared" si="113"/>
        <v>9.9999999999999992E-2</v>
      </c>
    </row>
    <row r="3330" spans="1:12" x14ac:dyDescent="0.25">
      <c r="A3330" s="78">
        <v>46205</v>
      </c>
      <c r="B3330" s="68">
        <v>9</v>
      </c>
      <c r="C3330" s="33" t="s">
        <v>963</v>
      </c>
      <c r="D3330" s="30">
        <v>3</v>
      </c>
      <c r="E3330" s="30">
        <v>5</v>
      </c>
      <c r="F3330" s="30">
        <f t="shared" si="114"/>
        <v>15</v>
      </c>
      <c r="G3330" s="30" t="s">
        <v>10</v>
      </c>
      <c r="I3330" s="68" t="s">
        <v>1022</v>
      </c>
      <c r="J3330" s="30" t="s">
        <v>392</v>
      </c>
      <c r="K3330" s="125">
        <f>IFERROR(VLOOKUP(C3330, PA!A:M, 13, FALSE),0)</f>
        <v>0.1111111111111111</v>
      </c>
      <c r="L3330" s="137">
        <f t="shared" si="113"/>
        <v>9.9999999999999992E-2</v>
      </c>
    </row>
    <row r="3331" spans="1:12" x14ac:dyDescent="0.25">
      <c r="A3331" s="78">
        <v>46205</v>
      </c>
      <c r="B3331" s="68">
        <v>10</v>
      </c>
      <c r="C3331" s="33" t="s">
        <v>58</v>
      </c>
      <c r="D3331" s="30">
        <v>1</v>
      </c>
      <c r="E3331" s="30">
        <v>10</v>
      </c>
      <c r="F3331" s="30">
        <f t="shared" si="114"/>
        <v>10</v>
      </c>
      <c r="G3331" s="30" t="s">
        <v>9</v>
      </c>
      <c r="I3331" s="68" t="s">
        <v>1023</v>
      </c>
      <c r="J3331" s="30" t="s">
        <v>392</v>
      </c>
      <c r="K3331" s="125">
        <f>IFERROR(VLOOKUP(C3331, PA!A:M, 13, FALSE),0)</f>
        <v>0.1111111111111111</v>
      </c>
      <c r="L3331" s="137">
        <f t="shared" si="113"/>
        <v>9.9999999999999992E-2</v>
      </c>
    </row>
    <row r="3332" spans="1:12" x14ac:dyDescent="0.25">
      <c r="A3332" s="78">
        <v>46205</v>
      </c>
      <c r="B3332" s="68">
        <v>10</v>
      </c>
      <c r="C3332" s="33" t="s">
        <v>788</v>
      </c>
      <c r="D3332" s="30">
        <v>1</v>
      </c>
      <c r="E3332" s="30">
        <v>40</v>
      </c>
      <c r="F3332" s="30">
        <f t="shared" si="114"/>
        <v>40</v>
      </c>
      <c r="G3332" s="30" t="s">
        <v>9</v>
      </c>
      <c r="I3332" s="68" t="s">
        <v>1023</v>
      </c>
      <c r="J3332" s="30" t="s">
        <v>392</v>
      </c>
      <c r="K3332" s="125">
        <f>IFERROR(VLOOKUP(C3332, PA!A:M, 13, FALSE),0)</f>
        <v>8.1081081081081086E-2</v>
      </c>
      <c r="L3332" s="137">
        <f t="shared" si="113"/>
        <v>7.4999999999999997E-2</v>
      </c>
    </row>
    <row r="3333" spans="1:12" x14ac:dyDescent="0.25">
      <c r="A3333" s="78">
        <v>46205</v>
      </c>
      <c r="B3333" s="68">
        <v>10</v>
      </c>
      <c r="C3333" s="33" t="s">
        <v>576</v>
      </c>
      <c r="D3333" s="30">
        <v>6</v>
      </c>
      <c r="E3333" s="30">
        <v>5</v>
      </c>
      <c r="F3333" s="30">
        <f t="shared" si="114"/>
        <v>30</v>
      </c>
      <c r="G3333" s="30" t="s">
        <v>9</v>
      </c>
      <c r="I3333" s="68" t="s">
        <v>1023</v>
      </c>
      <c r="J3333" s="30" t="s">
        <v>392</v>
      </c>
      <c r="K3333" s="125">
        <f>IFERROR(VLOOKUP(C3333, PA!A:M, 13, FALSE),0)</f>
        <v>0.25</v>
      </c>
      <c r="L3333" s="137">
        <f t="shared" si="113"/>
        <v>0.2</v>
      </c>
    </row>
    <row r="3334" spans="1:12" x14ac:dyDescent="0.25">
      <c r="A3334" s="78">
        <v>46205</v>
      </c>
      <c r="B3334" s="68">
        <v>5</v>
      </c>
      <c r="C3334" s="33" t="s">
        <v>795</v>
      </c>
      <c r="D3334" s="30">
        <v>0.5</v>
      </c>
      <c r="E3334" s="30">
        <v>160</v>
      </c>
      <c r="F3334" s="30">
        <f t="shared" si="114"/>
        <v>80</v>
      </c>
      <c r="G3334" s="30" t="s">
        <v>9</v>
      </c>
      <c r="I3334" s="68" t="s">
        <v>1021</v>
      </c>
      <c r="J3334" s="30" t="s">
        <v>392</v>
      </c>
      <c r="K3334" s="125">
        <f>IFERROR(VLOOKUP(C3334, PA!A:M, 13, FALSE),0)</f>
        <v>0.14285714285714285</v>
      </c>
      <c r="L3334" s="137">
        <f t="shared" si="113"/>
        <v>0.125</v>
      </c>
    </row>
    <row r="3335" spans="1:12" x14ac:dyDescent="0.25">
      <c r="A3335" s="78">
        <v>46205</v>
      </c>
      <c r="B3335" s="68">
        <v>5</v>
      </c>
      <c r="C3335" s="33" t="s">
        <v>726</v>
      </c>
      <c r="D3335" s="30">
        <v>0.25</v>
      </c>
      <c r="E3335" s="30">
        <v>110</v>
      </c>
      <c r="F3335" s="30">
        <f t="shared" si="114"/>
        <v>27.5</v>
      </c>
      <c r="G3335" s="30" t="s">
        <v>9</v>
      </c>
      <c r="I3335" s="68" t="s">
        <v>1021</v>
      </c>
      <c r="J3335" s="30" t="s">
        <v>392</v>
      </c>
      <c r="K3335" s="125">
        <f>IFERROR(VLOOKUP(C3335, PA!A:M, 13, FALSE),0)</f>
        <v>0.22222222222222221</v>
      </c>
      <c r="L3335" s="137">
        <f t="shared" si="113"/>
        <v>0.1818181818181818</v>
      </c>
    </row>
    <row r="3336" spans="1:12" s="62" customFormat="1" x14ac:dyDescent="0.25">
      <c r="A3336" s="151"/>
      <c r="B3336" s="139"/>
      <c r="C3336" s="150"/>
      <c r="H3336" s="139"/>
      <c r="I3336" s="139">
        <f>SUMIF(G3312:G3336, "&lt;&gt;UPI",F3312:F3336)</f>
        <v>277.39999999999998</v>
      </c>
      <c r="L3336" s="154">
        <f>AVERAGE(L3312:L3335)</f>
        <v>0.10679202741702742</v>
      </c>
    </row>
    <row r="3337" spans="1:12" s="170" customFormat="1" ht="18.75" x14ac:dyDescent="0.3">
      <c r="A3337" s="79"/>
      <c r="B3337" s="147" t="s">
        <v>987</v>
      </c>
      <c r="C3337" s="169">
        <f>MAX(B3312:B3335)</f>
        <v>10</v>
      </c>
      <c r="D3337" s="147" t="s">
        <v>988</v>
      </c>
      <c r="E3337" s="170">
        <f>SUMIF(G3312:G3336,"UPI",F3312:F3336)</f>
        <v>385</v>
      </c>
      <c r="F3337" s="227" t="s">
        <v>437</v>
      </c>
      <c r="G3337" s="228"/>
      <c r="H3337" s="229"/>
      <c r="I3337" s="232">
        <f>SUM(F3312:F3336)</f>
        <v>662.4</v>
      </c>
      <c r="J3337" s="233"/>
      <c r="K3337" s="233"/>
      <c r="L3337" s="234"/>
    </row>
    <row r="3338" spans="1:12" x14ac:dyDescent="0.25">
      <c r="A3338" s="78">
        <v>46206</v>
      </c>
      <c r="B3338" s="68">
        <v>1</v>
      </c>
      <c r="C3338" s="19" t="s">
        <v>1024</v>
      </c>
      <c r="D3338" s="30">
        <v>1</v>
      </c>
      <c r="E3338" s="30">
        <v>20</v>
      </c>
      <c r="F3338" s="30">
        <f>E3338*D3338</f>
        <v>20</v>
      </c>
      <c r="G3338" s="30" t="s">
        <v>9</v>
      </c>
      <c r="I3338" s="68" t="s">
        <v>663</v>
      </c>
      <c r="J3338" s="30" t="s">
        <v>392</v>
      </c>
      <c r="K3338" s="125">
        <f>IFERROR(VLOOKUP(C3338, PA!A:M, 13, FALSE),0)</f>
        <v>0.1111111111111111</v>
      </c>
      <c r="L3338" s="137">
        <f t="shared" ref="L3338:L3346" si="115">K3338/(1+K3338)</f>
        <v>9.9999999999999992E-2</v>
      </c>
    </row>
    <row r="3339" spans="1:12" x14ac:dyDescent="0.25">
      <c r="A3339" s="78">
        <v>46206</v>
      </c>
      <c r="B3339" s="68">
        <v>1</v>
      </c>
      <c r="C3339" s="19" t="s">
        <v>1027</v>
      </c>
      <c r="D3339" s="30">
        <v>0.2</v>
      </c>
      <c r="E3339" s="30">
        <v>180</v>
      </c>
      <c r="F3339" s="30">
        <f t="shared" ref="F3339:F3346" si="116">E3339*D3339</f>
        <v>36</v>
      </c>
      <c r="G3339" s="30" t="s">
        <v>9</v>
      </c>
      <c r="I3339" s="68" t="s">
        <v>663</v>
      </c>
      <c r="J3339" s="30" t="s">
        <v>392</v>
      </c>
      <c r="K3339" s="125">
        <f>IFERROR(VLOOKUP(C3339, PA!A:M, 13, FALSE),0)</f>
        <v>0.2857142857142857</v>
      </c>
      <c r="L3339" s="137">
        <f t="shared" si="115"/>
        <v>0.22222222222222224</v>
      </c>
    </row>
    <row r="3340" spans="1:12" x14ac:dyDescent="0.25">
      <c r="A3340" s="78">
        <v>46206</v>
      </c>
      <c r="B3340" s="68">
        <v>2</v>
      </c>
      <c r="C3340" s="33" t="s">
        <v>134</v>
      </c>
      <c r="D3340" s="30">
        <v>2</v>
      </c>
      <c r="E3340" s="30">
        <v>27</v>
      </c>
      <c r="F3340" s="30">
        <f t="shared" si="116"/>
        <v>54</v>
      </c>
      <c r="G3340" s="30" t="s">
        <v>10</v>
      </c>
      <c r="I3340" s="68" t="s">
        <v>1011</v>
      </c>
      <c r="J3340" s="30" t="s">
        <v>392</v>
      </c>
      <c r="K3340" s="125">
        <f>IFERROR(VLOOKUP(C3340, PA!A:M, 13, FALSE),0)</f>
        <v>0.16666666666666666</v>
      </c>
      <c r="L3340" s="137">
        <f t="shared" si="115"/>
        <v>0.14285714285714285</v>
      </c>
    </row>
    <row r="3341" spans="1:12" x14ac:dyDescent="0.25">
      <c r="A3341" s="78">
        <v>46206</v>
      </c>
      <c r="B3341" s="68">
        <v>3</v>
      </c>
      <c r="C3341" s="33" t="s">
        <v>842</v>
      </c>
      <c r="D3341" s="30">
        <v>1</v>
      </c>
      <c r="E3341" s="30">
        <v>62</v>
      </c>
      <c r="F3341" s="30">
        <f t="shared" si="116"/>
        <v>62</v>
      </c>
      <c r="G3341" s="30" t="s">
        <v>10</v>
      </c>
      <c r="I3341" s="68" t="s">
        <v>1021</v>
      </c>
      <c r="J3341" s="30" t="s">
        <v>392</v>
      </c>
      <c r="K3341" s="125">
        <f>IFERROR(VLOOKUP(C3341, PA!A:M, 13, FALSE),0)</f>
        <v>0.2</v>
      </c>
      <c r="L3341" s="137">
        <f t="shared" si="115"/>
        <v>0.16666666666666669</v>
      </c>
    </row>
    <row r="3342" spans="1:12" ht="30" x14ac:dyDescent="0.25">
      <c r="A3342" s="78">
        <v>46206</v>
      </c>
      <c r="B3342" s="68">
        <v>3</v>
      </c>
      <c r="C3342" s="33" t="s">
        <v>833</v>
      </c>
      <c r="D3342" s="30">
        <v>1</v>
      </c>
      <c r="E3342" s="30">
        <v>82</v>
      </c>
      <c r="F3342" s="30">
        <f t="shared" si="116"/>
        <v>82</v>
      </c>
      <c r="G3342" s="30" t="s">
        <v>10</v>
      </c>
      <c r="I3342" s="68" t="s">
        <v>1021</v>
      </c>
      <c r="J3342" s="30" t="s">
        <v>392</v>
      </c>
      <c r="K3342" s="125">
        <f>IFERROR(VLOOKUP(C3342, PA!A:M, 13, FALSE),0)</f>
        <v>0.23076923076923078</v>
      </c>
      <c r="L3342" s="137">
        <f t="shared" si="115"/>
        <v>0.1875</v>
      </c>
    </row>
    <row r="3343" spans="1:12" x14ac:dyDescent="0.25">
      <c r="A3343" s="78">
        <v>46206</v>
      </c>
      <c r="B3343" s="68">
        <v>3</v>
      </c>
      <c r="C3343" s="19" t="s">
        <v>1024</v>
      </c>
      <c r="D3343" s="30">
        <v>1</v>
      </c>
      <c r="E3343" s="30">
        <v>20</v>
      </c>
      <c r="F3343" s="30">
        <f t="shared" si="116"/>
        <v>20</v>
      </c>
      <c r="G3343" s="30" t="s">
        <v>10</v>
      </c>
      <c r="I3343" s="68" t="s">
        <v>1021</v>
      </c>
      <c r="J3343" s="30" t="s">
        <v>392</v>
      </c>
      <c r="K3343" s="125">
        <f>IFERROR(VLOOKUP(C3343, PA!A:M, 13, FALSE),0)</f>
        <v>0.1111111111111111</v>
      </c>
      <c r="L3343" s="137">
        <f t="shared" si="115"/>
        <v>9.9999999999999992E-2</v>
      </c>
    </row>
    <row r="3344" spans="1:12" x14ac:dyDescent="0.25">
      <c r="A3344" s="78">
        <v>46206</v>
      </c>
      <c r="B3344" s="68">
        <v>3</v>
      </c>
      <c r="C3344" s="33" t="s">
        <v>814</v>
      </c>
      <c r="D3344" s="30">
        <v>0.25</v>
      </c>
      <c r="E3344" s="30">
        <v>60</v>
      </c>
      <c r="F3344" s="30">
        <f t="shared" si="116"/>
        <v>15</v>
      </c>
      <c r="G3344" s="30" t="s">
        <v>10</v>
      </c>
      <c r="I3344" s="68" t="s">
        <v>1021</v>
      </c>
      <c r="J3344" s="30" t="s">
        <v>392</v>
      </c>
      <c r="K3344" s="125">
        <f>IFERROR(VLOOKUP(C3344, PA!A:M, 13, FALSE),0)</f>
        <v>0.2</v>
      </c>
      <c r="L3344" s="137">
        <f t="shared" si="115"/>
        <v>0.16666666666666669</v>
      </c>
    </row>
    <row r="3345" spans="1:12" x14ac:dyDescent="0.25">
      <c r="A3345" s="78">
        <v>46206</v>
      </c>
      <c r="B3345" s="68">
        <v>3</v>
      </c>
      <c r="C3345" s="159" t="s">
        <v>700</v>
      </c>
      <c r="D3345" s="30">
        <v>6</v>
      </c>
      <c r="E3345" s="30">
        <v>5</v>
      </c>
      <c r="F3345" s="30">
        <f t="shared" si="116"/>
        <v>30</v>
      </c>
      <c r="G3345" s="30" t="s">
        <v>10</v>
      </c>
      <c r="I3345" s="68" t="s">
        <v>1021</v>
      </c>
      <c r="J3345" s="30" t="s">
        <v>392</v>
      </c>
      <c r="K3345" s="125">
        <f>IFERROR(VLOOKUP(C3345, PA!A:M, 13, FALSE),0)</f>
        <v>9.0909090909090981E-2</v>
      </c>
      <c r="L3345" s="137">
        <f t="shared" si="115"/>
        <v>8.3333333333333384E-2</v>
      </c>
    </row>
    <row r="3346" spans="1:12" x14ac:dyDescent="0.25">
      <c r="A3346" s="78">
        <v>46206</v>
      </c>
      <c r="B3346" s="68">
        <v>4</v>
      </c>
      <c r="C3346" s="33" t="s">
        <v>541</v>
      </c>
      <c r="D3346" s="30">
        <v>1</v>
      </c>
      <c r="E3346" s="30">
        <v>70</v>
      </c>
      <c r="F3346" s="30">
        <f t="shared" si="116"/>
        <v>70</v>
      </c>
      <c r="G3346" s="30" t="s">
        <v>10</v>
      </c>
      <c r="I3346" s="68" t="s">
        <v>1028</v>
      </c>
      <c r="J3346" s="30" t="s">
        <v>392</v>
      </c>
      <c r="K3346" s="125">
        <f>IFERROR(VLOOKUP(C3346, PA!A:M, 13, FALSE),0)</f>
        <v>0.19844357976653701</v>
      </c>
      <c r="L3346" s="137">
        <f t="shared" si="115"/>
        <v>0.16558441558441564</v>
      </c>
    </row>
    <row r="3347" spans="1:12" s="62" customFormat="1" x14ac:dyDescent="0.25">
      <c r="A3347" s="151">
        <v>46206</v>
      </c>
      <c r="B3347" s="139"/>
      <c r="C3347" s="150"/>
      <c r="H3347" s="139"/>
      <c r="I3347" s="139">
        <f>SUMIF(G3338:G3346, "&lt;&gt;UPI",F3338:F3346)</f>
        <v>56</v>
      </c>
      <c r="L3347" s="154">
        <f>AVERAGE(L3338:L3346)</f>
        <v>0.14831449414782749</v>
      </c>
    </row>
    <row r="3348" spans="1:12" s="170" customFormat="1" ht="18.75" x14ac:dyDescent="0.3">
      <c r="A3348" s="79">
        <v>46206</v>
      </c>
      <c r="B3348" s="147" t="s">
        <v>987</v>
      </c>
      <c r="C3348" s="169">
        <f>MAX(B3338:B3347)</f>
        <v>4</v>
      </c>
      <c r="D3348" s="147" t="s">
        <v>988</v>
      </c>
      <c r="E3348" s="170">
        <f>SUMIF(G3338:G3347,"UPI",F3338:F3347)</f>
        <v>333</v>
      </c>
      <c r="F3348" s="227" t="s">
        <v>437</v>
      </c>
      <c r="G3348" s="228"/>
      <c r="H3348" s="229"/>
      <c r="I3348" s="232">
        <f>SUM(F3338:F3347)</f>
        <v>389</v>
      </c>
      <c r="J3348" s="233"/>
      <c r="K3348" s="233"/>
      <c r="L3348" s="234"/>
    </row>
    <row r="3349" spans="1:12" x14ac:dyDescent="0.25">
      <c r="A3349" s="78">
        <v>46207</v>
      </c>
      <c r="B3349" s="68">
        <v>1</v>
      </c>
      <c r="C3349" s="19" t="s">
        <v>996</v>
      </c>
      <c r="D3349" s="30">
        <v>1</v>
      </c>
      <c r="E3349" s="30">
        <v>30</v>
      </c>
      <c r="F3349" s="30">
        <f>E3349*D3349</f>
        <v>30</v>
      </c>
      <c r="G3349" s="30" t="s">
        <v>10</v>
      </c>
      <c r="I3349" s="68" t="s">
        <v>1014</v>
      </c>
      <c r="J3349" s="30" t="s">
        <v>392</v>
      </c>
      <c r="K3349" s="125">
        <f>IFERROR(VLOOKUP(C3349, PA!A:M, 13, FALSE),0)</f>
        <v>0.30434782608695654</v>
      </c>
      <c r="L3349" s="137">
        <f>K3349/(1+K3349)</f>
        <v>0.23333333333333334</v>
      </c>
    </row>
    <row r="3350" spans="1:12" x14ac:dyDescent="0.25">
      <c r="A3350" s="78">
        <v>46207</v>
      </c>
      <c r="B3350" s="68">
        <v>1</v>
      </c>
      <c r="C3350" s="33" t="s">
        <v>925</v>
      </c>
      <c r="D3350" s="30">
        <v>1</v>
      </c>
      <c r="E3350" s="30">
        <v>15</v>
      </c>
      <c r="F3350" s="30">
        <f>E3350*D3350</f>
        <v>15</v>
      </c>
      <c r="G3350" s="30" t="s">
        <v>10</v>
      </c>
      <c r="I3350" s="68" t="s">
        <v>1014</v>
      </c>
      <c r="J3350" s="30" t="s">
        <v>392</v>
      </c>
      <c r="K3350" s="125">
        <f>IFERROR(VLOOKUP(C3350, PA!A:M, 13, FALSE),0)</f>
        <v>7.1428571428571425E-2</v>
      </c>
      <c r="L3350" s="137">
        <f>K3350/(1+K3350)</f>
        <v>6.6666666666666666E-2</v>
      </c>
    </row>
    <row r="3351" spans="1:12" x14ac:dyDescent="0.25">
      <c r="A3351" s="78">
        <v>46207</v>
      </c>
      <c r="B3351" s="68">
        <v>2</v>
      </c>
      <c r="C3351" s="33" t="s">
        <v>1027</v>
      </c>
      <c r="D3351" s="30">
        <v>0.1</v>
      </c>
      <c r="E3351" s="30">
        <v>200</v>
      </c>
      <c r="F3351" s="30">
        <f>E3351*D3351</f>
        <v>20</v>
      </c>
      <c r="G3351" s="30" t="s">
        <v>10</v>
      </c>
      <c r="I3351" s="68" t="s">
        <v>1029</v>
      </c>
      <c r="J3351" s="30" t="s">
        <v>392</v>
      </c>
      <c r="K3351" s="125">
        <f>IFERROR(VLOOKUP(C3351, PA!A:M, 13, FALSE),0)</f>
        <v>0.2857142857142857</v>
      </c>
      <c r="L3351" s="137">
        <f>K3351/(1+K3351)</f>
        <v>0.22222222222222224</v>
      </c>
    </row>
    <row r="3352" spans="1:12" x14ac:dyDescent="0.25">
      <c r="A3352" s="78">
        <v>46207</v>
      </c>
      <c r="B3352" s="68">
        <v>2</v>
      </c>
      <c r="C3352" s="33" t="s">
        <v>523</v>
      </c>
      <c r="D3352" s="30">
        <v>0.107</v>
      </c>
      <c r="E3352" s="30">
        <v>280</v>
      </c>
      <c r="F3352" s="30">
        <f>E3352*D3352</f>
        <v>29.96</v>
      </c>
      <c r="G3352" s="30" t="s">
        <v>10</v>
      </c>
      <c r="I3352" s="68" t="s">
        <v>1029</v>
      </c>
      <c r="J3352" s="30" t="s">
        <v>392</v>
      </c>
      <c r="K3352" s="125">
        <f>IFERROR(VLOOKUP(C3352, PA!A:M, 13, FALSE),0)</f>
        <v>0.16666666666666666</v>
      </c>
      <c r="L3352" s="137">
        <f>K3352/(1+K3352)</f>
        <v>0.14285714285714285</v>
      </c>
    </row>
    <row r="3353" spans="1:12" x14ac:dyDescent="0.25">
      <c r="A3353" s="78">
        <v>46207</v>
      </c>
      <c r="B3353" s="68">
        <v>3</v>
      </c>
      <c r="C3353" s="33" t="s">
        <v>565</v>
      </c>
      <c r="D3353" s="30">
        <v>1</v>
      </c>
      <c r="E3353" s="30">
        <v>10</v>
      </c>
      <c r="F3353" s="30">
        <f>E3353*D3353</f>
        <v>10</v>
      </c>
      <c r="G3353" s="30" t="s">
        <v>9</v>
      </c>
      <c r="I3353" s="68" t="s">
        <v>663</v>
      </c>
      <c r="J3353" s="30" t="s">
        <v>392</v>
      </c>
      <c r="K3353" s="125">
        <f>IFERROR(VLOOKUP(C3353, PA!A:M, 13, FALSE),0)</f>
        <v>0.10091743119266047</v>
      </c>
      <c r="L3353" s="137">
        <f>K3353/(1+K3353)</f>
        <v>9.1666666666666605E-2</v>
      </c>
    </row>
    <row r="3354" spans="1:12" s="62" customFormat="1" x14ac:dyDescent="0.25">
      <c r="A3354" s="151"/>
      <c r="B3354" s="139"/>
      <c r="C3354" s="150"/>
      <c r="H3354" s="139"/>
      <c r="I3354" s="139">
        <f>SUMIF(G3349:G3353, "&lt;&gt;UPI",F3349:F3353)</f>
        <v>10</v>
      </c>
      <c r="L3354" s="154">
        <f>AVERAGE(L3349:L3353)</f>
        <v>0.15134920634920634</v>
      </c>
    </row>
    <row r="3355" spans="1:12" s="170" customFormat="1" ht="18.75" x14ac:dyDescent="0.3">
      <c r="A3355" s="79"/>
      <c r="B3355" s="147" t="s">
        <v>987</v>
      </c>
      <c r="C3355" s="169">
        <f>MAX(B3345:B3354)</f>
        <v>4</v>
      </c>
      <c r="D3355" s="147" t="s">
        <v>988</v>
      </c>
      <c r="E3355" s="170">
        <f>SUMIF(G3349:G3354,"UPI",F3349:F3354)</f>
        <v>94.960000000000008</v>
      </c>
      <c r="F3355" s="227" t="s">
        <v>437</v>
      </c>
      <c r="G3355" s="228"/>
      <c r="H3355" s="229"/>
      <c r="I3355" s="232">
        <f>SUM(F3349:F3354)</f>
        <v>104.96000000000001</v>
      </c>
      <c r="J3355" s="233"/>
      <c r="K3355" s="233"/>
      <c r="L3355" s="234"/>
    </row>
    <row r="3356" spans="1:12" x14ac:dyDescent="0.25">
      <c r="A3356" s="78">
        <v>46208</v>
      </c>
      <c r="B3356" s="68">
        <v>1</v>
      </c>
      <c r="C3356" s="33" t="s">
        <v>590</v>
      </c>
      <c r="D3356" s="30">
        <v>0.5</v>
      </c>
      <c r="E3356" s="30">
        <v>44</v>
      </c>
      <c r="F3356" s="30">
        <f>E3356*D3356</f>
        <v>22</v>
      </c>
      <c r="G3356" s="30" t="s">
        <v>9</v>
      </c>
      <c r="I3356" s="68" t="s">
        <v>663</v>
      </c>
      <c r="J3356" s="30" t="s">
        <v>391</v>
      </c>
    </row>
    <row r="3357" spans="1:12" x14ac:dyDescent="0.25">
      <c r="A3357" s="78">
        <v>46208</v>
      </c>
      <c r="B3357" s="68">
        <v>1</v>
      </c>
      <c r="C3357" s="19" t="s">
        <v>994</v>
      </c>
      <c r="D3357" s="30">
        <v>30</v>
      </c>
      <c r="E3357" s="30">
        <v>8.68</v>
      </c>
      <c r="F3357" s="30">
        <f t="shared" ref="F3357:F3385" si="117">E3357*D3357</f>
        <v>260.39999999999998</v>
      </c>
      <c r="G3357" s="30" t="s">
        <v>9</v>
      </c>
      <c r="I3357" s="68" t="s">
        <v>663</v>
      </c>
      <c r="J3357" s="30" t="s">
        <v>391</v>
      </c>
    </row>
    <row r="3358" spans="1:12" x14ac:dyDescent="0.25">
      <c r="A3358" s="78">
        <v>46208</v>
      </c>
      <c r="B3358" s="68">
        <v>1</v>
      </c>
      <c r="C3358" s="33" t="s">
        <v>459</v>
      </c>
      <c r="D3358" s="30">
        <v>1</v>
      </c>
      <c r="E3358" s="30">
        <v>45</v>
      </c>
      <c r="F3358" s="30">
        <f t="shared" si="117"/>
        <v>45</v>
      </c>
      <c r="G3358" s="30" t="s">
        <v>9</v>
      </c>
      <c r="I3358" s="68" t="s">
        <v>663</v>
      </c>
      <c r="J3358" s="30" t="s">
        <v>391</v>
      </c>
    </row>
    <row r="3359" spans="1:12" x14ac:dyDescent="0.25">
      <c r="A3359" s="78">
        <v>46208</v>
      </c>
      <c r="B3359" s="68">
        <v>1</v>
      </c>
      <c r="C3359" s="33" t="s">
        <v>708</v>
      </c>
      <c r="D3359" s="30">
        <v>1</v>
      </c>
      <c r="E3359" s="30">
        <v>5</v>
      </c>
      <c r="F3359" s="30">
        <f t="shared" si="117"/>
        <v>5</v>
      </c>
      <c r="G3359" s="30" t="s">
        <v>9</v>
      </c>
      <c r="I3359" s="68" t="s">
        <v>663</v>
      </c>
      <c r="J3359" s="30" t="s">
        <v>391</v>
      </c>
    </row>
    <row r="3360" spans="1:12" x14ac:dyDescent="0.25">
      <c r="A3360" s="78">
        <v>46208</v>
      </c>
      <c r="B3360" s="68">
        <v>2</v>
      </c>
      <c r="C3360" s="33" t="s">
        <v>720</v>
      </c>
      <c r="D3360" s="30">
        <v>0.375</v>
      </c>
      <c r="E3360" s="30">
        <v>135</v>
      </c>
      <c r="F3360" s="30">
        <f t="shared" si="117"/>
        <v>50.625</v>
      </c>
      <c r="G3360" s="30" t="s">
        <v>9</v>
      </c>
      <c r="I3360" s="68" t="s">
        <v>1010</v>
      </c>
      <c r="J3360" s="30" t="s">
        <v>391</v>
      </c>
    </row>
    <row r="3361" spans="1:10" x14ac:dyDescent="0.25">
      <c r="A3361" s="78">
        <v>46208</v>
      </c>
      <c r="B3361" s="68">
        <v>3</v>
      </c>
      <c r="C3361" s="19" t="s">
        <v>1026</v>
      </c>
      <c r="D3361" s="30">
        <v>0.1</v>
      </c>
      <c r="E3361" s="30">
        <v>200</v>
      </c>
      <c r="F3361" s="30">
        <f t="shared" si="117"/>
        <v>20</v>
      </c>
      <c r="G3361" s="30" t="s">
        <v>9</v>
      </c>
      <c r="I3361" s="68" t="s">
        <v>1030</v>
      </c>
      <c r="J3361" s="30" t="s">
        <v>391</v>
      </c>
    </row>
    <row r="3362" spans="1:10" x14ac:dyDescent="0.25">
      <c r="A3362" s="78">
        <v>46208</v>
      </c>
      <c r="B3362" s="68">
        <v>4</v>
      </c>
      <c r="C3362" s="33" t="s">
        <v>684</v>
      </c>
      <c r="D3362" s="30">
        <v>4</v>
      </c>
      <c r="E3362" s="30">
        <v>9.5</v>
      </c>
      <c r="F3362" s="30">
        <f t="shared" si="117"/>
        <v>38</v>
      </c>
      <c r="G3362" s="30" t="s">
        <v>9</v>
      </c>
      <c r="I3362" s="68" t="s">
        <v>1023</v>
      </c>
      <c r="J3362" s="30" t="s">
        <v>391</v>
      </c>
    </row>
    <row r="3363" spans="1:10" x14ac:dyDescent="0.25">
      <c r="A3363" s="78">
        <v>46208</v>
      </c>
      <c r="B3363" s="68">
        <v>4</v>
      </c>
      <c r="C3363" s="19" t="s">
        <v>994</v>
      </c>
      <c r="D3363" s="30">
        <v>2</v>
      </c>
      <c r="E3363" s="30">
        <v>9</v>
      </c>
      <c r="F3363" s="30">
        <f t="shared" si="117"/>
        <v>18</v>
      </c>
      <c r="G3363" s="30" t="s">
        <v>9</v>
      </c>
      <c r="I3363" s="68" t="s">
        <v>1023</v>
      </c>
      <c r="J3363" s="30" t="s">
        <v>391</v>
      </c>
    </row>
    <row r="3364" spans="1:10" x14ac:dyDescent="0.25">
      <c r="A3364" s="78">
        <v>46208</v>
      </c>
      <c r="B3364" s="68">
        <v>4</v>
      </c>
      <c r="C3364" s="19" t="s">
        <v>1025</v>
      </c>
      <c r="D3364" s="30">
        <v>1</v>
      </c>
      <c r="E3364" s="30">
        <v>40</v>
      </c>
      <c r="F3364" s="30">
        <f t="shared" si="117"/>
        <v>40</v>
      </c>
      <c r="G3364" s="30" t="s">
        <v>9</v>
      </c>
      <c r="I3364" s="68" t="s">
        <v>1023</v>
      </c>
      <c r="J3364" s="30" t="s">
        <v>391</v>
      </c>
    </row>
    <row r="3365" spans="1:10" x14ac:dyDescent="0.25">
      <c r="A3365" s="78">
        <v>46208</v>
      </c>
      <c r="B3365" s="68">
        <v>5</v>
      </c>
      <c r="C3365" s="33" t="s">
        <v>964</v>
      </c>
      <c r="D3365" s="30">
        <v>2</v>
      </c>
      <c r="E3365" s="30">
        <v>10</v>
      </c>
      <c r="F3365" s="30">
        <f t="shared" si="117"/>
        <v>20</v>
      </c>
      <c r="G3365" s="30" t="s">
        <v>9</v>
      </c>
      <c r="I3365" s="68" t="s">
        <v>1031</v>
      </c>
      <c r="J3365" s="30" t="s">
        <v>391</v>
      </c>
    </row>
    <row r="3366" spans="1:10" x14ac:dyDescent="0.25">
      <c r="A3366" s="78">
        <v>46208</v>
      </c>
      <c r="B3366" s="68">
        <v>6</v>
      </c>
      <c r="C3366" s="19" t="s">
        <v>994</v>
      </c>
      <c r="D3366" s="30">
        <v>2</v>
      </c>
      <c r="E3366" s="30">
        <v>9</v>
      </c>
      <c r="F3366" s="30">
        <f t="shared" si="117"/>
        <v>18</v>
      </c>
      <c r="G3366" s="30" t="s">
        <v>10</v>
      </c>
      <c r="I3366" s="68" t="s">
        <v>1032</v>
      </c>
      <c r="J3366" s="30" t="s">
        <v>391</v>
      </c>
    </row>
    <row r="3367" spans="1:10" x14ac:dyDescent="0.25">
      <c r="A3367" s="78">
        <v>46208</v>
      </c>
      <c r="B3367" s="68">
        <v>6</v>
      </c>
      <c r="C3367" s="19" t="s">
        <v>1024</v>
      </c>
      <c r="D3367" s="30">
        <v>0.5</v>
      </c>
      <c r="E3367" s="30">
        <v>20</v>
      </c>
      <c r="F3367" s="30">
        <f t="shared" si="117"/>
        <v>10</v>
      </c>
      <c r="G3367" s="30" t="s">
        <v>10</v>
      </c>
      <c r="I3367" s="68" t="s">
        <v>1032</v>
      </c>
      <c r="J3367" s="30" t="s">
        <v>391</v>
      </c>
    </row>
    <row r="3368" spans="1:10" x14ac:dyDescent="0.25">
      <c r="A3368" s="78">
        <v>46208</v>
      </c>
      <c r="B3368" s="68">
        <v>7</v>
      </c>
      <c r="C3368" s="33" t="s">
        <v>395</v>
      </c>
      <c r="D3368" s="30">
        <v>2</v>
      </c>
      <c r="E3368" s="30">
        <v>10</v>
      </c>
      <c r="F3368" s="30">
        <f t="shared" si="117"/>
        <v>20</v>
      </c>
      <c r="G3368" s="30" t="s">
        <v>9</v>
      </c>
      <c r="J3368" s="30" t="s">
        <v>391</v>
      </c>
    </row>
    <row r="3369" spans="1:10" x14ac:dyDescent="0.25">
      <c r="A3369" s="78">
        <v>46208</v>
      </c>
      <c r="B3369" s="68">
        <v>8</v>
      </c>
      <c r="C3369" s="33" t="s">
        <v>395</v>
      </c>
      <c r="D3369" s="30">
        <v>1</v>
      </c>
      <c r="E3369" s="30">
        <v>10</v>
      </c>
      <c r="F3369" s="30">
        <f t="shared" si="117"/>
        <v>10</v>
      </c>
      <c r="G3369" s="30" t="s">
        <v>10</v>
      </c>
      <c r="I3369" s="68" t="s">
        <v>1033</v>
      </c>
      <c r="J3369" s="30" t="s">
        <v>391</v>
      </c>
    </row>
    <row r="3370" spans="1:10" x14ac:dyDescent="0.25">
      <c r="A3370" s="78">
        <v>46208</v>
      </c>
      <c r="B3370" s="68">
        <v>8</v>
      </c>
      <c r="C3370" s="33" t="s">
        <v>845</v>
      </c>
      <c r="D3370" s="30">
        <v>2.1000000000000001E-2</v>
      </c>
      <c r="E3370" s="30">
        <v>420</v>
      </c>
      <c r="F3370" s="30">
        <f t="shared" si="117"/>
        <v>8.82</v>
      </c>
      <c r="G3370" s="30" t="s">
        <v>10</v>
      </c>
      <c r="I3370" s="68" t="s">
        <v>1033</v>
      </c>
      <c r="J3370" s="30" t="s">
        <v>391</v>
      </c>
    </row>
    <row r="3371" spans="1:10" x14ac:dyDescent="0.25">
      <c r="A3371" s="78">
        <v>46208</v>
      </c>
      <c r="B3371" s="68">
        <v>9</v>
      </c>
      <c r="C3371" s="33" t="s">
        <v>946</v>
      </c>
      <c r="D3371" s="30">
        <v>2</v>
      </c>
      <c r="E3371" s="30">
        <v>39</v>
      </c>
      <c r="F3371" s="30">
        <f t="shared" si="117"/>
        <v>78</v>
      </c>
      <c r="G3371" s="30" t="s">
        <v>10</v>
      </c>
      <c r="I3371" s="68" t="s">
        <v>1034</v>
      </c>
      <c r="J3371" s="30" t="s">
        <v>391</v>
      </c>
    </row>
    <row r="3372" spans="1:10" x14ac:dyDescent="0.25">
      <c r="A3372" s="78">
        <v>46208</v>
      </c>
      <c r="B3372" s="68">
        <v>10</v>
      </c>
      <c r="C3372" s="33" t="s">
        <v>565</v>
      </c>
      <c r="D3372" s="30">
        <v>2</v>
      </c>
      <c r="E3372" s="30">
        <v>10</v>
      </c>
      <c r="F3372" s="30">
        <f t="shared" si="117"/>
        <v>20</v>
      </c>
      <c r="G3372" s="30" t="s">
        <v>9</v>
      </c>
      <c r="J3372" s="30" t="s">
        <v>391</v>
      </c>
    </row>
    <row r="3373" spans="1:10" x14ac:dyDescent="0.25">
      <c r="A3373" s="78">
        <v>46208</v>
      </c>
      <c r="B3373" s="68">
        <v>10</v>
      </c>
      <c r="C3373" s="33" t="s">
        <v>859</v>
      </c>
      <c r="D3373" s="30">
        <v>1</v>
      </c>
      <c r="E3373" s="30">
        <v>10</v>
      </c>
      <c r="F3373" s="30">
        <f t="shared" si="117"/>
        <v>10</v>
      </c>
      <c r="G3373" s="30" t="s">
        <v>9</v>
      </c>
      <c r="J3373" s="30" t="s">
        <v>391</v>
      </c>
    </row>
    <row r="3374" spans="1:10" x14ac:dyDescent="0.25">
      <c r="A3374" s="78">
        <v>46208</v>
      </c>
      <c r="B3374" s="68">
        <v>11</v>
      </c>
      <c r="C3374" s="33" t="str">
        <f>PA!A232</f>
        <v>WHOLE MEETHI LOT 1</v>
      </c>
      <c r="D3374" s="30">
        <v>0.1</v>
      </c>
      <c r="E3374" s="30">
        <v>120</v>
      </c>
      <c r="F3374" s="30">
        <f t="shared" si="117"/>
        <v>12</v>
      </c>
      <c r="G3374" s="30" t="s">
        <v>9</v>
      </c>
      <c r="I3374" s="68" t="s">
        <v>1009</v>
      </c>
      <c r="J3374" s="30" t="s">
        <v>391</v>
      </c>
    </row>
    <row r="3375" spans="1:10" x14ac:dyDescent="0.25">
      <c r="A3375" s="78">
        <v>46208</v>
      </c>
      <c r="B3375" s="68">
        <v>11</v>
      </c>
      <c r="C3375" s="33" t="s">
        <v>528</v>
      </c>
      <c r="D3375" s="30">
        <v>0.1</v>
      </c>
      <c r="E3375" s="30">
        <v>200</v>
      </c>
      <c r="F3375" s="30">
        <f t="shared" si="117"/>
        <v>20</v>
      </c>
      <c r="G3375" s="30" t="s">
        <v>9</v>
      </c>
      <c r="I3375" s="68" t="s">
        <v>1009</v>
      </c>
      <c r="J3375" s="30" t="s">
        <v>391</v>
      </c>
    </row>
    <row r="3376" spans="1:10" x14ac:dyDescent="0.25">
      <c r="A3376" s="78">
        <v>46208</v>
      </c>
      <c r="B3376" s="68">
        <v>11</v>
      </c>
      <c r="C3376" s="33" t="s">
        <v>722</v>
      </c>
      <c r="D3376" s="30">
        <v>0.1</v>
      </c>
      <c r="E3376" s="30">
        <v>380</v>
      </c>
      <c r="F3376" s="30">
        <f t="shared" si="117"/>
        <v>38</v>
      </c>
      <c r="G3376" s="30" t="s">
        <v>9</v>
      </c>
      <c r="I3376" s="68" t="s">
        <v>1009</v>
      </c>
      <c r="J3376" s="30" t="s">
        <v>391</v>
      </c>
    </row>
    <row r="3377" spans="1:12" x14ac:dyDescent="0.25">
      <c r="A3377" s="78">
        <v>46208</v>
      </c>
      <c r="B3377" s="68">
        <v>11</v>
      </c>
      <c r="C3377" s="159" t="s">
        <v>532</v>
      </c>
      <c r="D3377" s="30">
        <v>2</v>
      </c>
      <c r="E3377" s="30">
        <v>5</v>
      </c>
      <c r="F3377" s="30">
        <f t="shared" si="117"/>
        <v>10</v>
      </c>
      <c r="G3377" s="30" t="s">
        <v>9</v>
      </c>
      <c r="I3377" s="68" t="s">
        <v>1009</v>
      </c>
      <c r="J3377" s="30" t="s">
        <v>391</v>
      </c>
    </row>
    <row r="3378" spans="1:12" x14ac:dyDescent="0.25">
      <c r="A3378" s="78">
        <v>46208</v>
      </c>
      <c r="B3378" s="68">
        <v>11</v>
      </c>
      <c r="C3378" s="33" t="s">
        <v>619</v>
      </c>
      <c r="D3378" s="30">
        <v>1</v>
      </c>
      <c r="E3378" s="30">
        <v>10</v>
      </c>
      <c r="F3378" s="30">
        <f t="shared" si="117"/>
        <v>10</v>
      </c>
      <c r="G3378" s="30" t="s">
        <v>9</v>
      </c>
      <c r="I3378" s="68" t="s">
        <v>1009</v>
      </c>
      <c r="J3378" s="30" t="s">
        <v>391</v>
      </c>
    </row>
    <row r="3379" spans="1:12" x14ac:dyDescent="0.25">
      <c r="A3379" s="78">
        <v>46208</v>
      </c>
      <c r="B3379" s="68">
        <v>11</v>
      </c>
      <c r="C3379" s="33" t="s">
        <v>133</v>
      </c>
      <c r="D3379" s="30">
        <v>2</v>
      </c>
      <c r="E3379" s="30">
        <v>10</v>
      </c>
      <c r="F3379" s="30">
        <f t="shared" si="117"/>
        <v>20</v>
      </c>
      <c r="G3379" s="30" t="s">
        <v>9</v>
      </c>
      <c r="I3379" s="68" t="s">
        <v>1009</v>
      </c>
      <c r="J3379" s="30" t="s">
        <v>391</v>
      </c>
    </row>
    <row r="3380" spans="1:12" ht="30" x14ac:dyDescent="0.25">
      <c r="A3380" s="78">
        <v>46208</v>
      </c>
      <c r="B3380" s="68">
        <v>4</v>
      </c>
      <c r="C3380" s="33" t="s">
        <v>562</v>
      </c>
      <c r="D3380" s="30">
        <v>10</v>
      </c>
      <c r="E3380" s="30">
        <v>1</v>
      </c>
      <c r="F3380" s="30">
        <f t="shared" si="117"/>
        <v>10</v>
      </c>
      <c r="G3380" s="30" t="s">
        <v>9</v>
      </c>
      <c r="I3380" s="68" t="s">
        <v>1023</v>
      </c>
      <c r="J3380" s="30" t="s">
        <v>391</v>
      </c>
    </row>
    <row r="3381" spans="1:12" x14ac:dyDescent="0.25">
      <c r="A3381" s="78">
        <v>46208</v>
      </c>
      <c r="B3381" s="68">
        <v>12</v>
      </c>
      <c r="C3381" s="33" t="s">
        <v>1035</v>
      </c>
      <c r="D3381" s="30">
        <v>1</v>
      </c>
      <c r="E3381" s="30">
        <v>68</v>
      </c>
      <c r="F3381" s="30">
        <f t="shared" si="117"/>
        <v>68</v>
      </c>
      <c r="G3381" s="30" t="s">
        <v>9</v>
      </c>
      <c r="I3381" s="68" t="s">
        <v>1038</v>
      </c>
      <c r="J3381" s="30" t="s">
        <v>391</v>
      </c>
    </row>
    <row r="3382" spans="1:12" x14ac:dyDescent="0.25">
      <c r="A3382" s="78">
        <v>46208</v>
      </c>
      <c r="B3382" s="68">
        <v>13</v>
      </c>
      <c r="C3382" s="33" t="s">
        <v>135</v>
      </c>
      <c r="D3382" s="30">
        <v>1</v>
      </c>
      <c r="E3382" s="30">
        <v>14</v>
      </c>
      <c r="F3382" s="30">
        <f t="shared" si="117"/>
        <v>14</v>
      </c>
      <c r="G3382" s="30" t="s">
        <v>9</v>
      </c>
      <c r="I3382" s="68" t="s">
        <v>1037</v>
      </c>
      <c r="J3382" s="30" t="s">
        <v>391</v>
      </c>
    </row>
    <row r="3383" spans="1:12" x14ac:dyDescent="0.25">
      <c r="A3383" s="78">
        <v>46208</v>
      </c>
      <c r="B3383" s="68">
        <v>14</v>
      </c>
      <c r="C3383" s="33" t="s">
        <v>134</v>
      </c>
      <c r="D3383" s="30">
        <v>1</v>
      </c>
      <c r="E3383" s="30">
        <v>27</v>
      </c>
      <c r="F3383" s="30">
        <f t="shared" si="117"/>
        <v>27</v>
      </c>
      <c r="G3383" s="30" t="s">
        <v>10</v>
      </c>
      <c r="I3383" s="68" t="s">
        <v>1036</v>
      </c>
      <c r="J3383" s="30" t="s">
        <v>391</v>
      </c>
    </row>
    <row r="3384" spans="1:12" x14ac:dyDescent="0.25">
      <c r="A3384" s="78">
        <v>46208</v>
      </c>
      <c r="B3384" s="68">
        <v>14</v>
      </c>
      <c r="C3384" s="33" t="s">
        <v>565</v>
      </c>
      <c r="D3384" s="30">
        <v>2</v>
      </c>
      <c r="E3384" s="30">
        <v>10</v>
      </c>
      <c r="F3384" s="30">
        <f t="shared" si="117"/>
        <v>20</v>
      </c>
      <c r="G3384" s="30" t="s">
        <v>10</v>
      </c>
      <c r="I3384" s="68" t="s">
        <v>1036</v>
      </c>
      <c r="J3384" s="30" t="s">
        <v>391</v>
      </c>
    </row>
    <row r="3385" spans="1:12" x14ac:dyDescent="0.25">
      <c r="A3385" s="78">
        <v>46208</v>
      </c>
      <c r="B3385" s="68">
        <v>14</v>
      </c>
      <c r="C3385" s="33" t="str">
        <f>PA!A224</f>
        <v>VIVEL  SET PINK</v>
      </c>
      <c r="D3385" s="30">
        <v>1</v>
      </c>
      <c r="E3385" s="30">
        <v>35</v>
      </c>
      <c r="F3385" s="30">
        <f t="shared" si="117"/>
        <v>35</v>
      </c>
      <c r="G3385" s="30" t="s">
        <v>10</v>
      </c>
      <c r="I3385" s="68" t="s">
        <v>1036</v>
      </c>
      <c r="J3385" s="30" t="s">
        <v>391</v>
      </c>
    </row>
    <row r="3386" spans="1:12" s="62" customFormat="1" x14ac:dyDescent="0.25">
      <c r="A3386" s="78">
        <v>46208</v>
      </c>
      <c r="B3386" s="139"/>
      <c r="C3386" s="150"/>
      <c r="H3386" s="139"/>
      <c r="I3386" s="139">
        <f>SUMIF(G3356:G3385, "&lt;&gt;UPI",F3356:F3385)</f>
        <v>771.02499999999998</v>
      </c>
    </row>
    <row r="3387" spans="1:12" s="170" customFormat="1" ht="18.75" x14ac:dyDescent="0.3">
      <c r="A3387" s="79">
        <v>46208</v>
      </c>
      <c r="B3387" s="147" t="s">
        <v>987</v>
      </c>
      <c r="C3387" s="169">
        <f>MAX(B3356:B3386)</f>
        <v>14</v>
      </c>
      <c r="D3387" s="147" t="s">
        <v>988</v>
      </c>
      <c r="E3387" s="170">
        <f>SUMIF(G3356:G3386,"UPI",F3356:F3386)</f>
        <v>206.82</v>
      </c>
      <c r="F3387" s="227" t="s">
        <v>437</v>
      </c>
      <c r="G3387" s="228"/>
      <c r="H3387" s="229"/>
      <c r="I3387" s="232">
        <f>SUM(F3356:F3386)</f>
        <v>977.84500000000003</v>
      </c>
      <c r="J3387" s="233"/>
      <c r="K3387" s="233"/>
      <c r="L3387" s="234"/>
    </row>
    <row r="3388" spans="1:12" ht="30" x14ac:dyDescent="0.25">
      <c r="A3388" s="78">
        <v>46209</v>
      </c>
      <c r="B3388" s="68">
        <v>1</v>
      </c>
      <c r="C3388" s="33" t="s">
        <v>599</v>
      </c>
      <c r="D3388" s="30">
        <v>1</v>
      </c>
      <c r="E3388" s="30">
        <v>185</v>
      </c>
      <c r="F3388" s="30">
        <f>E3388*D3388</f>
        <v>185</v>
      </c>
      <c r="G3388" s="30" t="s">
        <v>9</v>
      </c>
      <c r="J3388" s="30" t="s">
        <v>391</v>
      </c>
    </row>
    <row r="3389" spans="1:12" x14ac:dyDescent="0.25">
      <c r="A3389" s="78">
        <v>46209</v>
      </c>
      <c r="B3389" s="68">
        <v>2</v>
      </c>
      <c r="C3389" s="33" t="s">
        <v>523</v>
      </c>
      <c r="D3389" s="30">
        <v>0.3</v>
      </c>
      <c r="E3389" s="30">
        <v>280</v>
      </c>
      <c r="F3389" s="30">
        <f t="shared" ref="F3389:F3405" si="118">E3389*D3389</f>
        <v>84</v>
      </c>
      <c r="G3389" s="30" t="s">
        <v>9</v>
      </c>
      <c r="I3389" s="68" t="s">
        <v>663</v>
      </c>
      <c r="J3389" s="30" t="s">
        <v>391</v>
      </c>
    </row>
    <row r="3390" spans="1:12" x14ac:dyDescent="0.25">
      <c r="A3390" s="78">
        <v>46209</v>
      </c>
      <c r="B3390" s="68">
        <v>2</v>
      </c>
      <c r="C3390" s="19" t="s">
        <v>1024</v>
      </c>
      <c r="D3390" s="30">
        <v>1</v>
      </c>
      <c r="E3390" s="30">
        <v>20</v>
      </c>
      <c r="F3390" s="30">
        <f t="shared" si="118"/>
        <v>20</v>
      </c>
      <c r="G3390" s="30" t="s">
        <v>9</v>
      </c>
      <c r="I3390" s="68" t="s">
        <v>663</v>
      </c>
      <c r="J3390" s="30" t="s">
        <v>391</v>
      </c>
    </row>
    <row r="3391" spans="1:12" x14ac:dyDescent="0.25">
      <c r="A3391" s="78">
        <v>46209</v>
      </c>
      <c r="B3391" s="68">
        <v>3</v>
      </c>
      <c r="C3391" s="33" t="s">
        <v>863</v>
      </c>
      <c r="D3391" s="30">
        <v>1</v>
      </c>
      <c r="E3391" s="30">
        <v>40</v>
      </c>
      <c r="F3391" s="30">
        <f t="shared" si="118"/>
        <v>40</v>
      </c>
      <c r="G3391" s="30" t="s">
        <v>9</v>
      </c>
      <c r="J3391" s="30" t="s">
        <v>391</v>
      </c>
    </row>
    <row r="3392" spans="1:12" x14ac:dyDescent="0.25">
      <c r="A3392" s="78">
        <v>46209</v>
      </c>
      <c r="B3392" s="68">
        <v>3</v>
      </c>
      <c r="C3392" s="70" t="s">
        <v>635</v>
      </c>
      <c r="D3392" s="30">
        <v>1</v>
      </c>
      <c r="E3392" s="30">
        <v>10</v>
      </c>
      <c r="F3392" s="30">
        <f t="shared" si="118"/>
        <v>10</v>
      </c>
      <c r="G3392" s="30" t="s">
        <v>9</v>
      </c>
      <c r="J3392" s="30" t="s">
        <v>391</v>
      </c>
    </row>
    <row r="3393" spans="1:10" x14ac:dyDescent="0.25">
      <c r="A3393" s="78">
        <v>46209</v>
      </c>
      <c r="B3393" s="68">
        <v>4</v>
      </c>
      <c r="C3393" s="33" t="s">
        <v>791</v>
      </c>
      <c r="D3393" s="30">
        <v>1</v>
      </c>
      <c r="E3393" s="30">
        <v>10</v>
      </c>
      <c r="F3393" s="30">
        <f t="shared" si="118"/>
        <v>10</v>
      </c>
      <c r="G3393" s="30" t="s">
        <v>9</v>
      </c>
      <c r="J3393" s="30" t="s">
        <v>391</v>
      </c>
    </row>
    <row r="3394" spans="1:10" x14ac:dyDescent="0.25">
      <c r="A3394" s="78">
        <v>46209</v>
      </c>
      <c r="B3394" s="68">
        <v>4</v>
      </c>
      <c r="C3394" s="33" t="s">
        <v>684</v>
      </c>
      <c r="D3394" s="30">
        <v>1</v>
      </c>
      <c r="E3394" s="30">
        <v>10</v>
      </c>
      <c r="F3394" s="30">
        <f t="shared" si="118"/>
        <v>10</v>
      </c>
      <c r="G3394" s="30" t="s">
        <v>9</v>
      </c>
      <c r="J3394" s="30" t="s">
        <v>391</v>
      </c>
    </row>
    <row r="3395" spans="1:10" x14ac:dyDescent="0.25">
      <c r="A3395" s="78">
        <v>46209</v>
      </c>
      <c r="B3395" s="68">
        <v>2</v>
      </c>
      <c r="C3395" s="33" t="s">
        <v>908</v>
      </c>
      <c r="D3395" s="30">
        <v>1</v>
      </c>
      <c r="E3395" s="30">
        <v>50</v>
      </c>
      <c r="F3395" s="30">
        <f t="shared" si="118"/>
        <v>50</v>
      </c>
      <c r="G3395" s="30" t="s">
        <v>9</v>
      </c>
      <c r="I3395" s="68" t="s">
        <v>663</v>
      </c>
      <c r="J3395" s="30" t="s">
        <v>391</v>
      </c>
    </row>
    <row r="3396" spans="1:10" x14ac:dyDescent="0.25">
      <c r="A3396" s="78">
        <v>46209</v>
      </c>
      <c r="B3396" s="68">
        <v>2</v>
      </c>
      <c r="C3396" s="33" t="s">
        <v>708</v>
      </c>
      <c r="D3396" s="30">
        <v>1</v>
      </c>
      <c r="E3396" s="30">
        <v>5</v>
      </c>
      <c r="F3396" s="30">
        <f t="shared" si="118"/>
        <v>5</v>
      </c>
      <c r="G3396" s="30" t="s">
        <v>9</v>
      </c>
      <c r="I3396" s="68" t="s">
        <v>663</v>
      </c>
      <c r="J3396" s="30" t="s">
        <v>391</v>
      </c>
    </row>
    <row r="3397" spans="1:10" x14ac:dyDescent="0.25">
      <c r="A3397" s="78">
        <v>46209</v>
      </c>
      <c r="B3397" s="68">
        <v>5</v>
      </c>
      <c r="C3397" s="19" t="s">
        <v>994</v>
      </c>
      <c r="D3397" s="30">
        <v>8</v>
      </c>
      <c r="E3397" s="30">
        <v>8.8000000000000007</v>
      </c>
      <c r="F3397" s="30">
        <f t="shared" si="118"/>
        <v>70.400000000000006</v>
      </c>
      <c r="G3397" s="30" t="s">
        <v>9</v>
      </c>
      <c r="J3397" s="30" t="s">
        <v>391</v>
      </c>
    </row>
    <row r="3398" spans="1:10" x14ac:dyDescent="0.25">
      <c r="A3398" s="78">
        <v>46209</v>
      </c>
      <c r="B3398" s="68">
        <v>6</v>
      </c>
      <c r="C3398" s="33" t="s">
        <v>1039</v>
      </c>
      <c r="D3398" s="30">
        <v>1</v>
      </c>
      <c r="E3398" s="30">
        <v>80</v>
      </c>
      <c r="F3398" s="30">
        <f t="shared" si="118"/>
        <v>80</v>
      </c>
      <c r="G3398" s="30" t="s">
        <v>9</v>
      </c>
      <c r="J3398" s="30" t="s">
        <v>391</v>
      </c>
    </row>
    <row r="3399" spans="1:10" x14ac:dyDescent="0.25">
      <c r="A3399" s="78">
        <v>46209</v>
      </c>
      <c r="B3399" s="68">
        <v>6</v>
      </c>
      <c r="C3399" s="19" t="s">
        <v>1004</v>
      </c>
      <c r="D3399" s="30">
        <v>1</v>
      </c>
      <c r="E3399" s="30">
        <v>30</v>
      </c>
      <c r="F3399" s="30">
        <f t="shared" si="118"/>
        <v>30</v>
      </c>
      <c r="G3399" s="30" t="s">
        <v>9</v>
      </c>
      <c r="J3399" s="30" t="s">
        <v>391</v>
      </c>
    </row>
    <row r="3400" spans="1:10" x14ac:dyDescent="0.25">
      <c r="A3400" s="78">
        <v>46209</v>
      </c>
      <c r="B3400" s="68">
        <v>7</v>
      </c>
      <c r="C3400" s="19" t="s">
        <v>994</v>
      </c>
      <c r="D3400" s="30">
        <v>8</v>
      </c>
      <c r="E3400" s="30">
        <v>8.8000000000000007</v>
      </c>
      <c r="F3400" s="30">
        <f t="shared" si="118"/>
        <v>70.400000000000006</v>
      </c>
      <c r="G3400" s="30" t="s">
        <v>9</v>
      </c>
      <c r="J3400" s="30" t="s">
        <v>391</v>
      </c>
    </row>
    <row r="3401" spans="1:10" x14ac:dyDescent="0.25">
      <c r="A3401" s="78">
        <v>46209</v>
      </c>
      <c r="B3401" s="68">
        <v>7</v>
      </c>
      <c r="C3401" s="19" t="s">
        <v>1024</v>
      </c>
      <c r="D3401" s="30">
        <v>1</v>
      </c>
      <c r="E3401" s="30">
        <v>20</v>
      </c>
      <c r="F3401" s="30">
        <f t="shared" si="118"/>
        <v>20</v>
      </c>
      <c r="G3401" s="30" t="s">
        <v>9</v>
      </c>
      <c r="J3401" s="30" t="s">
        <v>391</v>
      </c>
    </row>
    <row r="3402" spans="1:10" x14ac:dyDescent="0.25">
      <c r="A3402" s="78">
        <v>46209</v>
      </c>
      <c r="B3402" s="68">
        <v>8</v>
      </c>
      <c r="C3402" s="33" t="s">
        <v>968</v>
      </c>
      <c r="D3402" s="30">
        <v>0.35</v>
      </c>
      <c r="E3402" s="30">
        <v>58</v>
      </c>
      <c r="F3402" s="30">
        <f t="shared" si="118"/>
        <v>20.299999999999997</v>
      </c>
      <c r="G3402" s="30" t="s">
        <v>9</v>
      </c>
      <c r="I3402" s="68" t="s">
        <v>1019</v>
      </c>
      <c r="J3402" s="30" t="s">
        <v>391</v>
      </c>
    </row>
    <row r="3403" spans="1:10" x14ac:dyDescent="0.25">
      <c r="A3403" s="78">
        <v>46209</v>
      </c>
      <c r="B3403" s="68">
        <v>8</v>
      </c>
      <c r="C3403" s="33" t="s">
        <v>881</v>
      </c>
      <c r="D3403" s="30">
        <v>1</v>
      </c>
      <c r="E3403" s="30">
        <v>10</v>
      </c>
      <c r="F3403" s="30">
        <f t="shared" si="118"/>
        <v>10</v>
      </c>
      <c r="G3403" s="30" t="s">
        <v>9</v>
      </c>
      <c r="I3403" s="68" t="s">
        <v>1019</v>
      </c>
      <c r="J3403" s="30" t="s">
        <v>391</v>
      </c>
    </row>
    <row r="3404" spans="1:10" x14ac:dyDescent="0.25">
      <c r="A3404" s="78">
        <v>46209</v>
      </c>
      <c r="B3404" s="68">
        <v>8</v>
      </c>
      <c r="C3404" s="33" t="s">
        <v>859</v>
      </c>
      <c r="D3404" s="30">
        <v>1</v>
      </c>
      <c r="E3404" s="30">
        <v>10</v>
      </c>
      <c r="F3404" s="30">
        <f t="shared" si="118"/>
        <v>10</v>
      </c>
      <c r="G3404" s="30" t="s">
        <v>9</v>
      </c>
      <c r="I3404" s="68" t="s">
        <v>1019</v>
      </c>
      <c r="J3404" s="30" t="s">
        <v>391</v>
      </c>
    </row>
    <row r="3405" spans="1:10" x14ac:dyDescent="0.25">
      <c r="A3405" s="78">
        <v>46209</v>
      </c>
      <c r="B3405" s="68">
        <v>9</v>
      </c>
      <c r="C3405" s="19" t="s">
        <v>1024</v>
      </c>
      <c r="D3405" s="30">
        <v>0.5</v>
      </c>
      <c r="E3405" s="30">
        <v>20</v>
      </c>
      <c r="F3405" s="30">
        <f t="shared" si="118"/>
        <v>10</v>
      </c>
      <c r="G3405" s="30" t="s">
        <v>9</v>
      </c>
      <c r="I3405" s="68" t="s">
        <v>1040</v>
      </c>
      <c r="J3405" s="30" t="s">
        <v>391</v>
      </c>
    </row>
    <row r="3406" spans="1:10" s="62" customFormat="1" x14ac:dyDescent="0.25">
      <c r="A3406" s="78">
        <v>46209</v>
      </c>
      <c r="B3406" s="139"/>
      <c r="C3406" s="150"/>
      <c r="H3406" s="139"/>
      <c r="I3406" s="139">
        <f>SUMIF(G3388:G3405, "&lt;&gt;UPI",F3388:F3405)</f>
        <v>735.09999999999991</v>
      </c>
    </row>
    <row r="3407" spans="1:10" x14ac:dyDescent="0.25">
      <c r="A3407" s="78">
        <v>46209</v>
      </c>
      <c r="B3407" s="68">
        <v>10</v>
      </c>
      <c r="C3407" s="33" t="s">
        <v>926</v>
      </c>
      <c r="D3407" s="30">
        <v>2</v>
      </c>
      <c r="E3407" s="30">
        <v>25</v>
      </c>
      <c r="F3407" s="30">
        <f t="shared" ref="F3407:F3442" si="119">E3407*D3407</f>
        <v>50</v>
      </c>
      <c r="G3407" s="30" t="s">
        <v>9</v>
      </c>
      <c r="J3407" s="30" t="s">
        <v>392</v>
      </c>
    </row>
    <row r="3408" spans="1:10" x14ac:dyDescent="0.25">
      <c r="A3408" s="78">
        <v>46209</v>
      </c>
      <c r="B3408" s="68">
        <v>11</v>
      </c>
      <c r="C3408" s="33" t="s">
        <v>567</v>
      </c>
      <c r="D3408" s="30">
        <v>2</v>
      </c>
      <c r="E3408" s="30">
        <v>2</v>
      </c>
      <c r="F3408" s="30">
        <f t="shared" si="119"/>
        <v>4</v>
      </c>
      <c r="G3408" s="30" t="s">
        <v>9</v>
      </c>
      <c r="I3408" s="68" t="s">
        <v>1010</v>
      </c>
      <c r="J3408" s="30" t="s">
        <v>392</v>
      </c>
    </row>
    <row r="3409" spans="1:10" x14ac:dyDescent="0.25">
      <c r="A3409" s="78">
        <v>46209</v>
      </c>
      <c r="B3409" s="68">
        <v>11</v>
      </c>
      <c r="C3409" s="33" t="s">
        <v>578</v>
      </c>
      <c r="D3409" s="30">
        <v>1</v>
      </c>
      <c r="E3409" s="30">
        <v>5</v>
      </c>
      <c r="F3409" s="30">
        <f t="shared" si="119"/>
        <v>5</v>
      </c>
      <c r="G3409" s="30" t="s">
        <v>9</v>
      </c>
      <c r="J3409" s="30" t="s">
        <v>392</v>
      </c>
    </row>
    <row r="3410" spans="1:10" ht="30" x14ac:dyDescent="0.25">
      <c r="A3410" s="78">
        <v>46209</v>
      </c>
      <c r="B3410" s="68">
        <v>11</v>
      </c>
      <c r="C3410" s="33" t="s">
        <v>961</v>
      </c>
      <c r="D3410" s="30">
        <v>1</v>
      </c>
      <c r="E3410" s="30">
        <v>10</v>
      </c>
      <c r="F3410" s="30">
        <f t="shared" si="119"/>
        <v>10</v>
      </c>
      <c r="G3410" s="30" t="s">
        <v>9</v>
      </c>
      <c r="J3410" s="30" t="s">
        <v>392</v>
      </c>
    </row>
    <row r="3411" spans="1:10" x14ac:dyDescent="0.25">
      <c r="A3411" s="78">
        <v>46209</v>
      </c>
      <c r="B3411" s="68">
        <v>12</v>
      </c>
      <c r="C3411" s="159" t="s">
        <v>532</v>
      </c>
      <c r="D3411" s="30">
        <v>1</v>
      </c>
      <c r="E3411" s="30">
        <v>5</v>
      </c>
      <c r="F3411" s="30">
        <f t="shared" si="119"/>
        <v>5</v>
      </c>
      <c r="G3411" s="30" t="s">
        <v>9</v>
      </c>
      <c r="J3411" s="30" t="s">
        <v>392</v>
      </c>
    </row>
    <row r="3412" spans="1:10" x14ac:dyDescent="0.25">
      <c r="A3412" s="78">
        <v>46209</v>
      </c>
      <c r="B3412" s="68">
        <v>12</v>
      </c>
      <c r="C3412" s="159" t="s">
        <v>706</v>
      </c>
      <c r="D3412" s="30">
        <v>1</v>
      </c>
      <c r="E3412" s="30">
        <v>5</v>
      </c>
      <c r="F3412" s="30">
        <f t="shared" si="119"/>
        <v>5</v>
      </c>
      <c r="G3412" s="30" t="s">
        <v>9</v>
      </c>
      <c r="J3412" s="30" t="s">
        <v>392</v>
      </c>
    </row>
    <row r="3413" spans="1:10" x14ac:dyDescent="0.25">
      <c r="A3413" s="78">
        <v>46209</v>
      </c>
      <c r="B3413" s="68">
        <v>13</v>
      </c>
      <c r="C3413" s="33" t="s">
        <v>375</v>
      </c>
      <c r="D3413" s="30">
        <v>10</v>
      </c>
      <c r="E3413" s="30">
        <v>1</v>
      </c>
      <c r="F3413" s="30">
        <f t="shared" si="119"/>
        <v>10</v>
      </c>
      <c r="G3413" s="30" t="s">
        <v>9</v>
      </c>
      <c r="J3413" s="30" t="s">
        <v>392</v>
      </c>
    </row>
    <row r="3414" spans="1:10" x14ac:dyDescent="0.25">
      <c r="A3414" s="78">
        <v>46209</v>
      </c>
      <c r="B3414" s="68">
        <v>13</v>
      </c>
      <c r="C3414" s="33" t="s">
        <v>891</v>
      </c>
      <c r="D3414" s="30">
        <v>10</v>
      </c>
      <c r="E3414" s="30">
        <v>1</v>
      </c>
      <c r="F3414" s="30">
        <f t="shared" si="119"/>
        <v>10</v>
      </c>
      <c r="G3414" s="30" t="s">
        <v>9</v>
      </c>
      <c r="J3414" s="30" t="s">
        <v>392</v>
      </c>
    </row>
    <row r="3415" spans="1:10" ht="30" x14ac:dyDescent="0.25">
      <c r="A3415" s="78">
        <v>46209</v>
      </c>
      <c r="B3415" s="68">
        <v>13</v>
      </c>
      <c r="C3415" s="33" t="s">
        <v>63</v>
      </c>
      <c r="D3415" s="30">
        <v>10</v>
      </c>
      <c r="E3415" s="30">
        <v>2</v>
      </c>
      <c r="F3415" s="30">
        <f t="shared" si="119"/>
        <v>20</v>
      </c>
      <c r="G3415" s="30" t="s">
        <v>9</v>
      </c>
      <c r="J3415" s="30" t="s">
        <v>392</v>
      </c>
    </row>
    <row r="3416" spans="1:10" ht="30" x14ac:dyDescent="0.25">
      <c r="A3416" s="78">
        <v>46209</v>
      </c>
      <c r="B3416" s="68">
        <v>13</v>
      </c>
      <c r="C3416" s="70" t="s">
        <v>301</v>
      </c>
      <c r="D3416" s="30">
        <v>5</v>
      </c>
      <c r="E3416" s="30">
        <v>2</v>
      </c>
      <c r="F3416" s="30">
        <f t="shared" si="119"/>
        <v>10</v>
      </c>
      <c r="G3416" s="30" t="s">
        <v>9</v>
      </c>
      <c r="J3416" s="30" t="s">
        <v>392</v>
      </c>
    </row>
    <row r="3417" spans="1:10" x14ac:dyDescent="0.25">
      <c r="A3417" s="78">
        <v>46209</v>
      </c>
      <c r="B3417" s="68">
        <v>14</v>
      </c>
      <c r="C3417" s="33" t="s">
        <v>1044</v>
      </c>
      <c r="D3417" s="30">
        <v>2</v>
      </c>
      <c r="E3417" s="30">
        <v>10</v>
      </c>
      <c r="F3417" s="30">
        <f t="shared" si="119"/>
        <v>20</v>
      </c>
      <c r="G3417" s="30" t="s">
        <v>9</v>
      </c>
      <c r="J3417" s="30" t="s">
        <v>392</v>
      </c>
    </row>
    <row r="3418" spans="1:10" x14ac:dyDescent="0.25">
      <c r="A3418" s="78">
        <v>46209</v>
      </c>
      <c r="B3418" s="68">
        <v>14</v>
      </c>
      <c r="C3418" s="33" t="s">
        <v>788</v>
      </c>
      <c r="D3418" s="30">
        <v>1</v>
      </c>
      <c r="E3418" s="30">
        <v>40</v>
      </c>
      <c r="F3418" s="30">
        <f t="shared" si="119"/>
        <v>40</v>
      </c>
      <c r="G3418" s="30" t="s">
        <v>9</v>
      </c>
      <c r="J3418" s="30" t="s">
        <v>392</v>
      </c>
    </row>
    <row r="3419" spans="1:10" x14ac:dyDescent="0.25">
      <c r="A3419" s="78">
        <v>46209</v>
      </c>
      <c r="B3419" s="68">
        <v>14</v>
      </c>
      <c r="C3419" s="33" t="s">
        <v>940</v>
      </c>
      <c r="D3419" s="30">
        <v>1</v>
      </c>
      <c r="E3419" s="30">
        <v>40</v>
      </c>
      <c r="F3419" s="30">
        <f t="shared" si="119"/>
        <v>40</v>
      </c>
      <c r="G3419" s="30" t="s">
        <v>9</v>
      </c>
      <c r="J3419" s="30" t="s">
        <v>392</v>
      </c>
    </row>
    <row r="3420" spans="1:10" x14ac:dyDescent="0.25">
      <c r="A3420" s="78">
        <v>46209</v>
      </c>
      <c r="B3420" s="68">
        <v>14</v>
      </c>
      <c r="C3420" s="33" t="s">
        <v>571</v>
      </c>
      <c r="D3420" s="30">
        <v>1</v>
      </c>
      <c r="E3420" s="30">
        <v>20</v>
      </c>
      <c r="F3420" s="30">
        <f t="shared" si="119"/>
        <v>20</v>
      </c>
      <c r="G3420" s="30" t="s">
        <v>9</v>
      </c>
      <c r="J3420" s="30" t="s">
        <v>392</v>
      </c>
    </row>
    <row r="3421" spans="1:10" x14ac:dyDescent="0.25">
      <c r="A3421" s="78">
        <v>46209</v>
      </c>
      <c r="B3421" s="68">
        <v>15</v>
      </c>
      <c r="C3421" s="33" t="s">
        <v>829</v>
      </c>
      <c r="D3421" s="30">
        <v>1</v>
      </c>
      <c r="E3421" s="30">
        <v>195</v>
      </c>
      <c r="F3421" s="30">
        <f t="shared" si="119"/>
        <v>195</v>
      </c>
      <c r="G3421" s="30" t="s">
        <v>9</v>
      </c>
      <c r="J3421" s="30" t="s">
        <v>392</v>
      </c>
    </row>
    <row r="3422" spans="1:10" x14ac:dyDescent="0.25">
      <c r="A3422" s="78">
        <v>46209</v>
      </c>
      <c r="B3422" s="68">
        <v>15</v>
      </c>
      <c r="C3422" s="159" t="s">
        <v>706</v>
      </c>
      <c r="D3422" s="30">
        <v>1</v>
      </c>
      <c r="E3422" s="30">
        <v>5</v>
      </c>
      <c r="F3422" s="30">
        <f t="shared" si="119"/>
        <v>5</v>
      </c>
      <c r="G3422" s="30" t="s">
        <v>9</v>
      </c>
      <c r="J3422" s="30" t="s">
        <v>392</v>
      </c>
    </row>
    <row r="3423" spans="1:10" x14ac:dyDescent="0.25">
      <c r="A3423" s="78">
        <v>46209</v>
      </c>
      <c r="B3423" s="68">
        <v>16</v>
      </c>
      <c r="C3423" s="33" t="s">
        <v>666</v>
      </c>
      <c r="D3423" s="30">
        <v>1</v>
      </c>
      <c r="E3423" s="30">
        <v>10</v>
      </c>
      <c r="F3423" s="30">
        <f t="shared" si="119"/>
        <v>10</v>
      </c>
      <c r="G3423" s="30" t="s">
        <v>9</v>
      </c>
      <c r="J3423" s="30" t="s">
        <v>392</v>
      </c>
    </row>
    <row r="3424" spans="1:10" x14ac:dyDescent="0.25">
      <c r="A3424" s="78">
        <v>46209</v>
      </c>
      <c r="B3424" s="68">
        <v>15</v>
      </c>
      <c r="C3424" s="19" t="s">
        <v>994</v>
      </c>
      <c r="D3424" s="30">
        <v>4</v>
      </c>
      <c r="E3424" s="30">
        <v>8.9</v>
      </c>
      <c r="F3424" s="30">
        <f t="shared" si="119"/>
        <v>35.6</v>
      </c>
      <c r="G3424" s="30" t="s">
        <v>9</v>
      </c>
      <c r="J3424" s="30" t="s">
        <v>392</v>
      </c>
    </row>
    <row r="3425" spans="1:10" x14ac:dyDescent="0.25">
      <c r="A3425" s="78">
        <v>46209</v>
      </c>
      <c r="B3425" s="68">
        <v>17</v>
      </c>
      <c r="C3425" s="33" t="s">
        <v>684</v>
      </c>
      <c r="D3425" s="30">
        <v>1</v>
      </c>
      <c r="E3425" s="30">
        <v>10</v>
      </c>
      <c r="F3425" s="30">
        <f t="shared" si="119"/>
        <v>10</v>
      </c>
      <c r="G3425" s="30" t="s">
        <v>9</v>
      </c>
      <c r="I3425" s="68" t="s">
        <v>1045</v>
      </c>
      <c r="J3425" s="30" t="s">
        <v>392</v>
      </c>
    </row>
    <row r="3426" spans="1:10" x14ac:dyDescent="0.25">
      <c r="A3426" s="78">
        <v>46209</v>
      </c>
      <c r="B3426" s="68">
        <v>18</v>
      </c>
      <c r="C3426" s="33" t="s">
        <v>909</v>
      </c>
      <c r="D3426" s="30">
        <v>1</v>
      </c>
      <c r="E3426" s="30">
        <v>30</v>
      </c>
      <c r="F3426" s="30">
        <f t="shared" si="119"/>
        <v>30</v>
      </c>
      <c r="G3426" s="30" t="s">
        <v>9</v>
      </c>
      <c r="I3426" s="68" t="s">
        <v>1046</v>
      </c>
      <c r="J3426" s="30" t="s">
        <v>392</v>
      </c>
    </row>
    <row r="3427" spans="1:10" x14ac:dyDescent="0.25">
      <c r="A3427" s="78">
        <v>46209</v>
      </c>
      <c r="B3427" s="68">
        <v>18</v>
      </c>
      <c r="C3427" s="33" t="s">
        <v>495</v>
      </c>
      <c r="D3427" s="30">
        <v>2</v>
      </c>
      <c r="E3427" s="30">
        <v>55</v>
      </c>
      <c r="F3427" s="30">
        <f t="shared" si="119"/>
        <v>110</v>
      </c>
      <c r="G3427" s="30" t="s">
        <v>9</v>
      </c>
      <c r="J3427" s="30" t="s">
        <v>392</v>
      </c>
    </row>
    <row r="3428" spans="1:10" x14ac:dyDescent="0.25">
      <c r="A3428" s="78">
        <v>46209</v>
      </c>
      <c r="B3428" s="68">
        <v>18</v>
      </c>
      <c r="C3428" s="33" t="s">
        <v>684</v>
      </c>
      <c r="D3428" s="30">
        <v>2</v>
      </c>
      <c r="E3428" s="30">
        <v>10</v>
      </c>
      <c r="F3428" s="30">
        <f t="shared" si="119"/>
        <v>20</v>
      </c>
      <c r="G3428" s="30" t="s">
        <v>9</v>
      </c>
      <c r="J3428" s="30" t="s">
        <v>392</v>
      </c>
    </row>
    <row r="3429" spans="1:10" x14ac:dyDescent="0.25">
      <c r="A3429" s="78">
        <v>46209</v>
      </c>
      <c r="B3429" s="68">
        <v>18</v>
      </c>
      <c r="C3429" s="33" t="s">
        <v>605</v>
      </c>
      <c r="D3429" s="30">
        <v>1</v>
      </c>
      <c r="E3429" s="30">
        <v>200</v>
      </c>
      <c r="F3429" s="30">
        <f t="shared" si="119"/>
        <v>200</v>
      </c>
      <c r="G3429" s="30" t="s">
        <v>9</v>
      </c>
      <c r="J3429" s="30" t="s">
        <v>392</v>
      </c>
    </row>
    <row r="3430" spans="1:10" x14ac:dyDescent="0.25">
      <c r="A3430" s="78">
        <v>46209</v>
      </c>
      <c r="B3430" s="68">
        <v>18</v>
      </c>
      <c r="C3430" s="33" t="s">
        <v>362</v>
      </c>
      <c r="D3430" s="30">
        <v>1</v>
      </c>
      <c r="E3430" s="30">
        <v>10</v>
      </c>
      <c r="F3430" s="30">
        <f t="shared" si="119"/>
        <v>10</v>
      </c>
      <c r="G3430" s="30" t="s">
        <v>9</v>
      </c>
      <c r="J3430" s="30" t="s">
        <v>392</v>
      </c>
    </row>
    <row r="3431" spans="1:10" x14ac:dyDescent="0.25">
      <c r="A3431" s="78">
        <v>46209</v>
      </c>
      <c r="B3431" s="68">
        <v>18</v>
      </c>
      <c r="C3431" s="33" t="s">
        <v>959</v>
      </c>
      <c r="D3431" s="30">
        <v>1</v>
      </c>
      <c r="E3431" s="30">
        <v>40</v>
      </c>
      <c r="F3431" s="30">
        <f t="shared" si="119"/>
        <v>40</v>
      </c>
      <c r="G3431" s="30" t="s">
        <v>9</v>
      </c>
      <c r="J3431" s="30" t="s">
        <v>392</v>
      </c>
    </row>
    <row r="3432" spans="1:10" x14ac:dyDescent="0.25">
      <c r="A3432" s="78">
        <v>46209</v>
      </c>
      <c r="B3432" s="68">
        <v>18</v>
      </c>
      <c r="C3432" s="33" t="s">
        <v>947</v>
      </c>
      <c r="D3432" s="30">
        <v>1</v>
      </c>
      <c r="E3432" s="30">
        <v>20</v>
      </c>
      <c r="F3432" s="30">
        <f t="shared" si="119"/>
        <v>20</v>
      </c>
      <c r="G3432" s="30" t="s">
        <v>9</v>
      </c>
      <c r="J3432" s="30" t="s">
        <v>392</v>
      </c>
    </row>
    <row r="3433" spans="1:10" x14ac:dyDescent="0.25">
      <c r="A3433" s="78">
        <v>46209</v>
      </c>
      <c r="B3433" s="68">
        <v>19</v>
      </c>
      <c r="C3433" s="33" t="s">
        <v>666</v>
      </c>
      <c r="D3433" s="30">
        <v>1</v>
      </c>
      <c r="E3433" s="30">
        <v>10</v>
      </c>
      <c r="F3433" s="30">
        <f t="shared" si="119"/>
        <v>10</v>
      </c>
      <c r="G3433" s="30" t="s">
        <v>9</v>
      </c>
      <c r="I3433" s="68" t="s">
        <v>663</v>
      </c>
      <c r="J3433" s="30" t="s">
        <v>392</v>
      </c>
    </row>
    <row r="3434" spans="1:10" x14ac:dyDescent="0.25">
      <c r="A3434" s="78">
        <v>46209</v>
      </c>
      <c r="B3434" s="68">
        <v>20</v>
      </c>
      <c r="C3434" s="159" t="s">
        <v>532</v>
      </c>
      <c r="D3434" s="30">
        <v>2</v>
      </c>
      <c r="E3434" s="30">
        <v>5</v>
      </c>
      <c r="F3434" s="30">
        <f t="shared" si="119"/>
        <v>10</v>
      </c>
      <c r="G3434" s="30" t="s">
        <v>9</v>
      </c>
      <c r="J3434" s="30" t="s">
        <v>392</v>
      </c>
    </row>
    <row r="3435" spans="1:10" x14ac:dyDescent="0.25">
      <c r="A3435" s="78">
        <v>46209</v>
      </c>
      <c r="B3435" s="68">
        <v>20</v>
      </c>
      <c r="C3435" s="33" t="s">
        <v>925</v>
      </c>
      <c r="D3435" s="30">
        <v>1</v>
      </c>
      <c r="E3435" s="30">
        <v>15</v>
      </c>
      <c r="F3435" s="30">
        <f t="shared" si="119"/>
        <v>15</v>
      </c>
      <c r="G3435" s="30" t="s">
        <v>9</v>
      </c>
      <c r="J3435" s="30" t="s">
        <v>392</v>
      </c>
    </row>
    <row r="3436" spans="1:10" x14ac:dyDescent="0.25">
      <c r="A3436" s="78">
        <v>46209</v>
      </c>
      <c r="B3436" s="68">
        <v>21</v>
      </c>
      <c r="C3436" s="19" t="s">
        <v>1025</v>
      </c>
      <c r="D3436" s="30">
        <v>0.5</v>
      </c>
      <c r="E3436" s="30">
        <v>40</v>
      </c>
      <c r="F3436" s="30">
        <f t="shared" si="119"/>
        <v>20</v>
      </c>
      <c r="G3436" s="30" t="s">
        <v>9</v>
      </c>
      <c r="J3436" s="30" t="s">
        <v>392</v>
      </c>
    </row>
    <row r="3437" spans="1:10" x14ac:dyDescent="0.25">
      <c r="A3437" s="78">
        <v>46209</v>
      </c>
      <c r="B3437" s="68">
        <v>22</v>
      </c>
      <c r="C3437" s="33" t="s">
        <v>947</v>
      </c>
      <c r="D3437" s="30">
        <v>1</v>
      </c>
      <c r="E3437" s="30">
        <v>20</v>
      </c>
      <c r="F3437" s="30">
        <f t="shared" si="119"/>
        <v>20</v>
      </c>
      <c r="G3437" s="30" t="s">
        <v>9</v>
      </c>
      <c r="J3437" s="30" t="s">
        <v>392</v>
      </c>
    </row>
    <row r="3438" spans="1:10" x14ac:dyDescent="0.25">
      <c r="A3438" s="78">
        <v>46209</v>
      </c>
      <c r="B3438" s="68">
        <v>11</v>
      </c>
      <c r="C3438" s="19" t="s">
        <v>998</v>
      </c>
      <c r="D3438" s="30">
        <v>2</v>
      </c>
      <c r="E3438" s="30">
        <v>20</v>
      </c>
      <c r="F3438" s="30">
        <f t="shared" si="119"/>
        <v>40</v>
      </c>
      <c r="G3438" s="30" t="s">
        <v>9</v>
      </c>
      <c r="J3438" s="30" t="s">
        <v>392</v>
      </c>
    </row>
    <row r="3439" spans="1:10" x14ac:dyDescent="0.25">
      <c r="A3439" s="78">
        <v>46209</v>
      </c>
      <c r="B3439" s="68">
        <v>23</v>
      </c>
      <c r="C3439" s="33" t="s">
        <v>740</v>
      </c>
      <c r="D3439" s="30">
        <v>1</v>
      </c>
      <c r="E3439" s="30">
        <v>10</v>
      </c>
      <c r="F3439" s="30">
        <f t="shared" si="119"/>
        <v>10</v>
      </c>
      <c r="G3439" s="30" t="s">
        <v>9</v>
      </c>
      <c r="J3439" s="30" t="s">
        <v>392</v>
      </c>
    </row>
    <row r="3440" spans="1:10" x14ac:dyDescent="0.25">
      <c r="A3440" s="78">
        <v>46209</v>
      </c>
      <c r="B3440" s="68">
        <v>23</v>
      </c>
      <c r="C3440" s="33" t="s">
        <v>682</v>
      </c>
      <c r="D3440" s="30">
        <v>1</v>
      </c>
      <c r="E3440" s="30">
        <v>10</v>
      </c>
      <c r="F3440" s="30">
        <f t="shared" si="119"/>
        <v>10</v>
      </c>
      <c r="G3440" s="30" t="s">
        <v>9</v>
      </c>
      <c r="J3440" s="30" t="s">
        <v>392</v>
      </c>
    </row>
    <row r="3441" spans="1:12" x14ac:dyDescent="0.25">
      <c r="A3441" s="78">
        <v>46209</v>
      </c>
      <c r="B3441" s="68">
        <v>23</v>
      </c>
      <c r="C3441" s="33" t="s">
        <v>615</v>
      </c>
      <c r="D3441" s="30">
        <v>1</v>
      </c>
      <c r="E3441" s="30">
        <v>30</v>
      </c>
      <c r="F3441" s="30">
        <f t="shared" si="119"/>
        <v>30</v>
      </c>
      <c r="G3441" s="30" t="s">
        <v>9</v>
      </c>
      <c r="J3441" s="30" t="s">
        <v>392</v>
      </c>
    </row>
    <row r="3442" spans="1:12" x14ac:dyDescent="0.25">
      <c r="A3442" s="78">
        <v>46209</v>
      </c>
      <c r="B3442" s="68">
        <v>24</v>
      </c>
      <c r="C3442" s="33" t="s">
        <v>951</v>
      </c>
      <c r="D3442" s="30">
        <v>10</v>
      </c>
      <c r="E3442" s="30">
        <v>1</v>
      </c>
      <c r="F3442" s="30">
        <f t="shared" si="119"/>
        <v>10</v>
      </c>
      <c r="G3442" s="30" t="s">
        <v>9</v>
      </c>
      <c r="J3442" s="30" t="s">
        <v>392</v>
      </c>
    </row>
    <row r="3444" spans="1:12" s="62" customFormat="1" x14ac:dyDescent="0.25">
      <c r="A3444" s="151"/>
      <c r="B3444" s="139"/>
      <c r="C3444" s="150"/>
      <c r="H3444" s="139"/>
      <c r="I3444" s="139">
        <f>SUMIF(G3407:G3443, "&lt;&gt;UPI",F3407:F3443)</f>
        <v>1109.5999999999999</v>
      </c>
    </row>
    <row r="3445" spans="1:12" s="170" customFormat="1" ht="18.75" x14ac:dyDescent="0.3">
      <c r="A3445" s="79"/>
      <c r="B3445" s="147" t="s">
        <v>987</v>
      </c>
      <c r="C3445" s="169">
        <f>MAX(B3388:B3444)</f>
        <v>24</v>
      </c>
      <c r="D3445" s="147" t="s">
        <v>988</v>
      </c>
      <c r="E3445" s="170">
        <f>SUMIF(G3388:G3444,"UPI",F3388:F3444)</f>
        <v>0</v>
      </c>
      <c r="F3445" s="230" t="s">
        <v>437</v>
      </c>
      <c r="G3445" s="230"/>
      <c r="H3445" s="230"/>
      <c r="I3445" s="231">
        <f>SUM(F3388:F3444)</f>
        <v>1844.6999999999998</v>
      </c>
      <c r="J3445" s="231"/>
      <c r="K3445" s="231"/>
      <c r="L3445" s="231"/>
    </row>
    <row r="3446" spans="1:12" ht="30" x14ac:dyDescent="0.25">
      <c r="A3446" s="78">
        <v>46210</v>
      </c>
      <c r="B3446" s="68">
        <v>1</v>
      </c>
      <c r="C3446" s="33" t="s">
        <v>577</v>
      </c>
      <c r="D3446" s="30">
        <v>1</v>
      </c>
      <c r="E3446" s="30">
        <v>5</v>
      </c>
      <c r="F3446" s="30">
        <f>E3446*D3446</f>
        <v>5</v>
      </c>
      <c r="G3446" s="30" t="s">
        <v>9</v>
      </c>
      <c r="I3446" s="68" t="s">
        <v>1010</v>
      </c>
      <c r="J3446" s="30" t="s">
        <v>392</v>
      </c>
    </row>
    <row r="3447" spans="1:12" x14ac:dyDescent="0.25">
      <c r="A3447" s="78">
        <v>46210</v>
      </c>
      <c r="B3447" s="68">
        <v>1</v>
      </c>
      <c r="C3447" s="33" t="s">
        <v>567</v>
      </c>
      <c r="D3447" s="30">
        <v>1</v>
      </c>
      <c r="E3447" s="30">
        <v>2</v>
      </c>
      <c r="F3447" s="30">
        <f t="shared" ref="F3447:F3479" si="120">E3447*D3447</f>
        <v>2</v>
      </c>
      <c r="G3447" s="30" t="s">
        <v>9</v>
      </c>
      <c r="I3447" s="68" t="s">
        <v>1010</v>
      </c>
      <c r="J3447" s="30" t="s">
        <v>392</v>
      </c>
    </row>
    <row r="3448" spans="1:12" x14ac:dyDescent="0.25">
      <c r="A3448" s="78">
        <v>46210</v>
      </c>
      <c r="B3448" s="68">
        <v>1</v>
      </c>
      <c r="C3448" s="33" t="s">
        <v>531</v>
      </c>
      <c r="D3448" s="30">
        <v>1</v>
      </c>
      <c r="E3448" s="30">
        <v>5</v>
      </c>
      <c r="F3448" s="30">
        <f t="shared" si="120"/>
        <v>5</v>
      </c>
      <c r="G3448" s="30" t="s">
        <v>9</v>
      </c>
      <c r="I3448" s="68" t="s">
        <v>1010</v>
      </c>
      <c r="J3448" s="30" t="s">
        <v>392</v>
      </c>
    </row>
    <row r="3449" spans="1:12" x14ac:dyDescent="0.25">
      <c r="A3449" s="78">
        <v>46210</v>
      </c>
      <c r="B3449" s="68">
        <v>2</v>
      </c>
      <c r="C3449" s="33" t="s">
        <v>1024</v>
      </c>
      <c r="D3449" s="30">
        <v>2</v>
      </c>
      <c r="E3449" s="30">
        <v>20</v>
      </c>
      <c r="F3449" s="30">
        <f t="shared" si="120"/>
        <v>40</v>
      </c>
      <c r="G3449" s="30" t="s">
        <v>9</v>
      </c>
      <c r="I3449" s="68" t="s">
        <v>1028</v>
      </c>
      <c r="J3449" s="30" t="s">
        <v>392</v>
      </c>
    </row>
    <row r="3450" spans="1:12" x14ac:dyDescent="0.25">
      <c r="A3450" s="78">
        <v>46210</v>
      </c>
      <c r="B3450" s="68">
        <v>2</v>
      </c>
      <c r="C3450" s="33" t="s">
        <v>1025</v>
      </c>
      <c r="D3450" s="30">
        <v>1</v>
      </c>
      <c r="E3450" s="30">
        <v>40</v>
      </c>
      <c r="F3450" s="30">
        <f t="shared" si="120"/>
        <v>40</v>
      </c>
      <c r="G3450" s="30" t="s">
        <v>9</v>
      </c>
      <c r="I3450" s="68" t="s">
        <v>1028</v>
      </c>
      <c r="J3450" s="30" t="s">
        <v>392</v>
      </c>
    </row>
    <row r="3451" spans="1:12" x14ac:dyDescent="0.25">
      <c r="A3451" s="78">
        <v>46210</v>
      </c>
      <c r="B3451" s="68">
        <v>3</v>
      </c>
      <c r="C3451" s="33" t="s">
        <v>666</v>
      </c>
      <c r="D3451" s="30">
        <v>1</v>
      </c>
      <c r="E3451" s="30">
        <v>10</v>
      </c>
      <c r="F3451" s="30">
        <f t="shared" si="120"/>
        <v>10</v>
      </c>
      <c r="G3451" s="30" t="s">
        <v>10</v>
      </c>
      <c r="J3451" s="30" t="s">
        <v>392</v>
      </c>
    </row>
    <row r="3452" spans="1:12" x14ac:dyDescent="0.25">
      <c r="A3452" s="78">
        <v>46210</v>
      </c>
      <c r="B3452" s="68">
        <v>4</v>
      </c>
      <c r="C3452" s="33" t="s">
        <v>666</v>
      </c>
      <c r="D3452" s="30">
        <v>1</v>
      </c>
      <c r="E3452" s="30">
        <v>10</v>
      </c>
      <c r="F3452" s="30">
        <f t="shared" si="120"/>
        <v>10</v>
      </c>
      <c r="G3452" s="30" t="s">
        <v>9</v>
      </c>
      <c r="I3452" s="68" t="s">
        <v>663</v>
      </c>
      <c r="J3452" s="30" t="s">
        <v>392</v>
      </c>
    </row>
    <row r="3453" spans="1:12" x14ac:dyDescent="0.25">
      <c r="A3453" s="78">
        <v>46210</v>
      </c>
      <c r="B3453" s="68">
        <v>5</v>
      </c>
      <c r="C3453" s="33" t="s">
        <v>523</v>
      </c>
      <c r="D3453" s="30">
        <v>0.107</v>
      </c>
      <c r="E3453" s="30">
        <v>280</v>
      </c>
      <c r="F3453" s="30">
        <f t="shared" si="120"/>
        <v>29.96</v>
      </c>
      <c r="G3453" s="30" t="s">
        <v>9</v>
      </c>
      <c r="I3453" s="68" t="s">
        <v>1023</v>
      </c>
      <c r="J3453" s="30" t="s">
        <v>392</v>
      </c>
    </row>
    <row r="3454" spans="1:12" x14ac:dyDescent="0.25">
      <c r="A3454" s="78">
        <v>46210</v>
      </c>
      <c r="B3454" s="68">
        <v>6</v>
      </c>
      <c r="C3454" s="33" t="s">
        <v>1050</v>
      </c>
      <c r="D3454" s="30">
        <v>10</v>
      </c>
      <c r="E3454" s="30">
        <v>9</v>
      </c>
      <c r="F3454" s="30">
        <f t="shared" si="120"/>
        <v>90</v>
      </c>
      <c r="G3454" s="30" t="s">
        <v>9</v>
      </c>
      <c r="I3454" s="68" t="s">
        <v>1021</v>
      </c>
      <c r="J3454" s="30" t="s">
        <v>392</v>
      </c>
    </row>
    <row r="3455" spans="1:12" x14ac:dyDescent="0.25">
      <c r="A3455" s="78">
        <v>46210</v>
      </c>
      <c r="B3455" s="68">
        <v>6</v>
      </c>
      <c r="C3455" s="33" t="s">
        <v>886</v>
      </c>
      <c r="D3455" s="30">
        <v>8</v>
      </c>
      <c r="E3455" s="30">
        <v>10</v>
      </c>
      <c r="F3455" s="30">
        <f t="shared" si="120"/>
        <v>80</v>
      </c>
      <c r="G3455" s="30" t="s">
        <v>9</v>
      </c>
      <c r="I3455" s="68" t="s">
        <v>1021</v>
      </c>
      <c r="J3455" s="30" t="s">
        <v>392</v>
      </c>
    </row>
    <row r="3456" spans="1:12" x14ac:dyDescent="0.25">
      <c r="A3456" s="78">
        <v>46210</v>
      </c>
      <c r="B3456" s="68">
        <v>6</v>
      </c>
      <c r="C3456" s="33" t="s">
        <v>684</v>
      </c>
      <c r="D3456" s="30">
        <v>5</v>
      </c>
      <c r="E3456" s="30">
        <v>10</v>
      </c>
      <c r="F3456" s="30">
        <f t="shared" si="120"/>
        <v>50</v>
      </c>
      <c r="G3456" s="30" t="s">
        <v>9</v>
      </c>
      <c r="I3456" s="68" t="s">
        <v>1021</v>
      </c>
      <c r="J3456" s="30" t="s">
        <v>392</v>
      </c>
    </row>
    <row r="3457" spans="1:10" ht="30" x14ac:dyDescent="0.25">
      <c r="A3457" s="78">
        <v>46210</v>
      </c>
      <c r="B3457" s="68">
        <v>6</v>
      </c>
      <c r="C3457" s="33" t="s">
        <v>961</v>
      </c>
      <c r="D3457" s="30">
        <v>1</v>
      </c>
      <c r="E3457" s="30">
        <v>10</v>
      </c>
      <c r="F3457" s="30">
        <f t="shared" si="120"/>
        <v>10</v>
      </c>
      <c r="G3457" s="30" t="s">
        <v>9</v>
      </c>
      <c r="I3457" s="68" t="s">
        <v>1021</v>
      </c>
      <c r="J3457" s="30" t="s">
        <v>392</v>
      </c>
    </row>
    <row r="3458" spans="1:10" x14ac:dyDescent="0.25">
      <c r="A3458" s="78">
        <v>46210</v>
      </c>
      <c r="B3458" s="68">
        <v>6</v>
      </c>
      <c r="C3458" s="159" t="s">
        <v>700</v>
      </c>
      <c r="D3458" s="30">
        <v>6</v>
      </c>
      <c r="E3458" s="30">
        <v>5</v>
      </c>
      <c r="F3458" s="30">
        <f t="shared" si="120"/>
        <v>30</v>
      </c>
      <c r="G3458" s="30" t="s">
        <v>9</v>
      </c>
      <c r="I3458" s="68" t="s">
        <v>1021</v>
      </c>
      <c r="J3458" s="30" t="s">
        <v>392</v>
      </c>
    </row>
    <row r="3459" spans="1:10" x14ac:dyDescent="0.25">
      <c r="A3459" s="78">
        <v>46210</v>
      </c>
      <c r="B3459" s="68">
        <v>7</v>
      </c>
      <c r="C3459" s="33" t="s">
        <v>344</v>
      </c>
      <c r="D3459" s="30">
        <v>1</v>
      </c>
      <c r="E3459" s="30">
        <v>48</v>
      </c>
      <c r="F3459" s="30">
        <f t="shared" si="120"/>
        <v>48</v>
      </c>
      <c r="G3459" s="30" t="s">
        <v>9</v>
      </c>
      <c r="J3459" s="30" t="s">
        <v>392</v>
      </c>
    </row>
    <row r="3460" spans="1:10" x14ac:dyDescent="0.25">
      <c r="A3460" s="78">
        <v>46210</v>
      </c>
      <c r="B3460" s="68">
        <v>7</v>
      </c>
      <c r="C3460" s="33" t="s">
        <v>567</v>
      </c>
      <c r="D3460" s="30">
        <v>1</v>
      </c>
      <c r="E3460" s="30">
        <v>2</v>
      </c>
      <c r="F3460" s="30">
        <f t="shared" si="120"/>
        <v>2</v>
      </c>
      <c r="G3460" s="30" t="s">
        <v>9</v>
      </c>
      <c r="J3460" s="30" t="s">
        <v>392</v>
      </c>
    </row>
    <row r="3461" spans="1:10" x14ac:dyDescent="0.25">
      <c r="A3461" s="78">
        <v>46210</v>
      </c>
      <c r="B3461" s="68">
        <v>8</v>
      </c>
      <c r="C3461" s="33" t="s">
        <v>666</v>
      </c>
      <c r="D3461" s="30">
        <v>4</v>
      </c>
      <c r="E3461" s="30">
        <v>10</v>
      </c>
      <c r="F3461" s="30">
        <f t="shared" si="120"/>
        <v>40</v>
      </c>
      <c r="G3461" s="30" t="s">
        <v>10</v>
      </c>
      <c r="I3461" s="68" t="s">
        <v>1068</v>
      </c>
      <c r="J3461" s="30" t="s">
        <v>392</v>
      </c>
    </row>
    <row r="3462" spans="1:10" x14ac:dyDescent="0.25">
      <c r="A3462" s="78">
        <v>46210</v>
      </c>
      <c r="B3462" s="68">
        <v>9</v>
      </c>
      <c r="C3462" s="33" t="s">
        <v>1026</v>
      </c>
      <c r="D3462" s="30">
        <v>0.1</v>
      </c>
      <c r="E3462" s="30">
        <v>200</v>
      </c>
      <c r="F3462" s="30">
        <f t="shared" si="120"/>
        <v>20</v>
      </c>
      <c r="G3462" s="30" t="s">
        <v>10</v>
      </c>
      <c r="J3462" s="30" t="s">
        <v>392</v>
      </c>
    </row>
    <row r="3463" spans="1:10" x14ac:dyDescent="0.25">
      <c r="A3463" s="78">
        <v>46210</v>
      </c>
      <c r="B3463" s="68">
        <v>9</v>
      </c>
      <c r="C3463" s="33" t="s">
        <v>920</v>
      </c>
      <c r="D3463" s="30">
        <v>1</v>
      </c>
      <c r="E3463" s="30">
        <v>60</v>
      </c>
      <c r="F3463" s="30">
        <f t="shared" si="120"/>
        <v>60</v>
      </c>
      <c r="G3463" s="30" t="s">
        <v>10</v>
      </c>
      <c r="J3463" s="30" t="s">
        <v>392</v>
      </c>
    </row>
    <row r="3464" spans="1:10" x14ac:dyDescent="0.25">
      <c r="A3464" s="78">
        <v>46210</v>
      </c>
      <c r="B3464" s="68">
        <v>10</v>
      </c>
      <c r="C3464" s="33" t="s">
        <v>605</v>
      </c>
      <c r="D3464" s="30">
        <v>1</v>
      </c>
      <c r="E3464" s="30">
        <v>200</v>
      </c>
      <c r="F3464" s="30">
        <f t="shared" si="120"/>
        <v>200</v>
      </c>
      <c r="G3464" s="30" t="s">
        <v>9</v>
      </c>
      <c r="I3464" s="68" t="s">
        <v>1045</v>
      </c>
      <c r="J3464" s="30" t="s">
        <v>392</v>
      </c>
    </row>
    <row r="3465" spans="1:10" x14ac:dyDescent="0.25">
      <c r="A3465" s="78">
        <v>46210</v>
      </c>
      <c r="B3465" s="68">
        <v>10</v>
      </c>
      <c r="C3465" s="33" t="s">
        <v>923</v>
      </c>
      <c r="D3465" s="30">
        <v>1</v>
      </c>
      <c r="E3465" s="30">
        <v>30</v>
      </c>
      <c r="F3465" s="30">
        <f t="shared" si="120"/>
        <v>30</v>
      </c>
      <c r="G3465" s="30" t="s">
        <v>9</v>
      </c>
      <c r="I3465" s="68" t="s">
        <v>1045</v>
      </c>
      <c r="J3465" s="30" t="s">
        <v>392</v>
      </c>
    </row>
    <row r="3466" spans="1:10" x14ac:dyDescent="0.25">
      <c r="A3466" s="78">
        <v>46210</v>
      </c>
      <c r="B3466" s="68">
        <v>10</v>
      </c>
      <c r="C3466" s="33" t="s">
        <v>888</v>
      </c>
      <c r="D3466" s="30">
        <v>1</v>
      </c>
      <c r="E3466" s="30">
        <v>35</v>
      </c>
      <c r="F3466" s="30">
        <f t="shared" si="120"/>
        <v>35</v>
      </c>
      <c r="G3466" s="30" t="s">
        <v>9</v>
      </c>
      <c r="I3466" s="68" t="s">
        <v>1045</v>
      </c>
      <c r="J3466" s="30" t="s">
        <v>392</v>
      </c>
    </row>
    <row r="3467" spans="1:10" x14ac:dyDescent="0.25">
      <c r="A3467" s="78">
        <v>46210</v>
      </c>
      <c r="B3467" s="68">
        <v>10</v>
      </c>
      <c r="C3467" s="33" t="s">
        <v>73</v>
      </c>
      <c r="D3467" s="30">
        <v>1</v>
      </c>
      <c r="E3467" s="30">
        <v>10</v>
      </c>
      <c r="F3467" s="30">
        <f t="shared" si="120"/>
        <v>10</v>
      </c>
      <c r="G3467" s="30" t="s">
        <v>9</v>
      </c>
      <c r="I3467" s="68" t="s">
        <v>1045</v>
      </c>
      <c r="J3467" s="30" t="s">
        <v>392</v>
      </c>
    </row>
    <row r="3468" spans="1:10" x14ac:dyDescent="0.25">
      <c r="A3468" s="78">
        <v>46210</v>
      </c>
      <c r="B3468" s="68">
        <v>10</v>
      </c>
      <c r="C3468" s="33" t="s">
        <v>848</v>
      </c>
      <c r="D3468" s="30">
        <v>1</v>
      </c>
      <c r="E3468" s="30">
        <v>5</v>
      </c>
      <c r="F3468" s="30">
        <f t="shared" si="120"/>
        <v>5</v>
      </c>
      <c r="G3468" s="30" t="s">
        <v>9</v>
      </c>
      <c r="I3468" s="68" t="s">
        <v>1045</v>
      </c>
      <c r="J3468" s="30" t="s">
        <v>392</v>
      </c>
    </row>
    <row r="3469" spans="1:10" x14ac:dyDescent="0.25">
      <c r="A3469" s="78">
        <v>46210</v>
      </c>
      <c r="B3469" s="68">
        <v>4</v>
      </c>
      <c r="C3469" s="33" t="s">
        <v>1024</v>
      </c>
      <c r="D3469" s="30">
        <v>1</v>
      </c>
      <c r="E3469" s="30">
        <v>20</v>
      </c>
      <c r="F3469" s="30">
        <f t="shared" si="120"/>
        <v>20</v>
      </c>
      <c r="G3469" s="30" t="s">
        <v>9</v>
      </c>
      <c r="I3469" s="68" t="s">
        <v>663</v>
      </c>
      <c r="J3469" s="30" t="s">
        <v>392</v>
      </c>
    </row>
    <row r="3470" spans="1:10" x14ac:dyDescent="0.25">
      <c r="A3470" s="78">
        <v>46210</v>
      </c>
      <c r="B3470" s="68">
        <v>4</v>
      </c>
      <c r="C3470" s="33" t="s">
        <v>1025</v>
      </c>
      <c r="D3470" s="30">
        <v>1</v>
      </c>
      <c r="E3470" s="30">
        <v>40</v>
      </c>
      <c r="F3470" s="30">
        <f t="shared" si="120"/>
        <v>40</v>
      </c>
      <c r="G3470" s="30" t="s">
        <v>9</v>
      </c>
      <c r="I3470" s="68" t="s">
        <v>663</v>
      </c>
      <c r="J3470" s="30" t="s">
        <v>392</v>
      </c>
    </row>
    <row r="3471" spans="1:10" x14ac:dyDescent="0.25">
      <c r="A3471" s="78">
        <v>46210</v>
      </c>
      <c r="B3471" s="68">
        <v>4</v>
      </c>
      <c r="C3471" s="33" t="s">
        <v>851</v>
      </c>
      <c r="D3471" s="30">
        <v>1</v>
      </c>
      <c r="E3471" s="30">
        <v>70</v>
      </c>
      <c r="F3471" s="30">
        <f t="shared" si="120"/>
        <v>70</v>
      </c>
      <c r="G3471" s="30" t="s">
        <v>9</v>
      </c>
      <c r="I3471" s="68" t="s">
        <v>663</v>
      </c>
      <c r="J3471" s="30" t="s">
        <v>392</v>
      </c>
    </row>
    <row r="3472" spans="1:10" x14ac:dyDescent="0.25">
      <c r="A3472" s="78">
        <v>46210</v>
      </c>
      <c r="B3472" s="68">
        <v>4</v>
      </c>
      <c r="C3472" s="33" t="s">
        <v>708</v>
      </c>
      <c r="D3472" s="30">
        <v>1</v>
      </c>
      <c r="E3472" s="30">
        <v>5</v>
      </c>
      <c r="F3472" s="30">
        <f t="shared" si="120"/>
        <v>5</v>
      </c>
      <c r="G3472" s="30" t="s">
        <v>9</v>
      </c>
      <c r="I3472" s="68" t="s">
        <v>663</v>
      </c>
      <c r="J3472" s="30" t="s">
        <v>392</v>
      </c>
    </row>
    <row r="3473" spans="1:12" x14ac:dyDescent="0.25">
      <c r="A3473" s="78">
        <v>46210</v>
      </c>
      <c r="B3473" s="68">
        <v>11</v>
      </c>
      <c r="C3473" s="33" t="s">
        <v>93</v>
      </c>
      <c r="D3473" s="30">
        <v>1</v>
      </c>
      <c r="E3473" s="30">
        <v>37</v>
      </c>
      <c r="F3473" s="30">
        <f t="shared" si="120"/>
        <v>37</v>
      </c>
      <c r="G3473" s="30" t="s">
        <v>9</v>
      </c>
      <c r="J3473" s="30" t="s">
        <v>392</v>
      </c>
    </row>
    <row r="3474" spans="1:12" ht="30" x14ac:dyDescent="0.25">
      <c r="A3474" s="78">
        <v>46210</v>
      </c>
      <c r="B3474" s="68">
        <v>11</v>
      </c>
      <c r="C3474" s="33" t="s">
        <v>562</v>
      </c>
      <c r="D3474" s="30">
        <v>3</v>
      </c>
      <c r="E3474" s="30">
        <v>1</v>
      </c>
      <c r="F3474" s="30">
        <f t="shared" si="120"/>
        <v>3</v>
      </c>
      <c r="G3474" s="30" t="s">
        <v>9</v>
      </c>
      <c r="J3474" s="30" t="s">
        <v>392</v>
      </c>
    </row>
    <row r="3475" spans="1:12" x14ac:dyDescent="0.25">
      <c r="A3475" s="78">
        <v>46210</v>
      </c>
      <c r="B3475" s="68">
        <v>12</v>
      </c>
      <c r="C3475" s="33" t="s">
        <v>541</v>
      </c>
      <c r="D3475" s="30">
        <v>0.5</v>
      </c>
      <c r="E3475" s="30">
        <v>70</v>
      </c>
      <c r="F3475" s="30">
        <f t="shared" si="120"/>
        <v>35</v>
      </c>
      <c r="G3475" s="30" t="s">
        <v>9</v>
      </c>
      <c r="I3475" s="68" t="s">
        <v>1069</v>
      </c>
      <c r="J3475" s="30" t="s">
        <v>392</v>
      </c>
    </row>
    <row r="3476" spans="1:12" x14ac:dyDescent="0.25">
      <c r="A3476" s="78">
        <v>46210</v>
      </c>
      <c r="B3476" s="68">
        <v>13</v>
      </c>
      <c r="C3476" s="33" t="s">
        <v>549</v>
      </c>
      <c r="D3476" s="30">
        <v>1</v>
      </c>
      <c r="E3476" s="30">
        <v>25</v>
      </c>
      <c r="F3476" s="30">
        <f t="shared" si="120"/>
        <v>25</v>
      </c>
      <c r="G3476" s="30" t="s">
        <v>10</v>
      </c>
      <c r="I3476" s="68" t="s">
        <v>1014</v>
      </c>
      <c r="J3476" s="30" t="s">
        <v>392</v>
      </c>
    </row>
    <row r="3477" spans="1:12" x14ac:dyDescent="0.25">
      <c r="A3477" s="78">
        <v>46210</v>
      </c>
      <c r="B3477" s="68">
        <v>4</v>
      </c>
      <c r="C3477" s="33" t="s">
        <v>356</v>
      </c>
      <c r="D3477" s="30">
        <v>1</v>
      </c>
      <c r="E3477" s="30">
        <v>58</v>
      </c>
      <c r="F3477" s="30">
        <f t="shared" si="120"/>
        <v>58</v>
      </c>
      <c r="G3477" s="30" t="s">
        <v>9</v>
      </c>
      <c r="I3477" s="68" t="s">
        <v>663</v>
      </c>
      <c r="J3477" s="30" t="s">
        <v>392</v>
      </c>
    </row>
    <row r="3478" spans="1:12" x14ac:dyDescent="0.25">
      <c r="A3478" s="78">
        <v>46210</v>
      </c>
      <c r="B3478" s="68">
        <v>14</v>
      </c>
      <c r="C3478" s="33" t="s">
        <v>876</v>
      </c>
      <c r="D3478" s="30">
        <v>1</v>
      </c>
      <c r="E3478" s="30">
        <v>20</v>
      </c>
      <c r="F3478" s="30">
        <f t="shared" si="120"/>
        <v>20</v>
      </c>
      <c r="G3478" s="30" t="s">
        <v>10</v>
      </c>
      <c r="J3478" s="30" t="s">
        <v>392</v>
      </c>
    </row>
    <row r="3479" spans="1:12" x14ac:dyDescent="0.25">
      <c r="A3479" s="78">
        <v>46210</v>
      </c>
      <c r="B3479" s="68">
        <v>15</v>
      </c>
      <c r="C3479" s="159" t="s">
        <v>700</v>
      </c>
      <c r="D3479" s="30">
        <v>2</v>
      </c>
      <c r="E3479" s="30">
        <v>5</v>
      </c>
      <c r="F3479" s="30">
        <f t="shared" si="120"/>
        <v>10</v>
      </c>
      <c r="G3479" s="30" t="s">
        <v>10</v>
      </c>
      <c r="J3479" s="30" t="s">
        <v>392</v>
      </c>
    </row>
    <row r="3480" spans="1:12" s="62" customFormat="1" x14ac:dyDescent="0.25">
      <c r="A3480" s="151"/>
      <c r="B3480" s="139"/>
      <c r="C3480" s="150"/>
      <c r="H3480" s="139"/>
      <c r="I3480" s="139">
        <f>SUMIF(G3446:G3479, "&lt;&gt;UPI",F3446:F3479)</f>
        <v>989.96</v>
      </c>
    </row>
    <row r="3481" spans="1:12" s="170" customFormat="1" ht="18.75" x14ac:dyDescent="0.3">
      <c r="A3481" s="79"/>
      <c r="B3481" s="147" t="s">
        <v>987</v>
      </c>
      <c r="C3481" s="169">
        <f>MAX(B3446:B3480)</f>
        <v>15</v>
      </c>
      <c r="D3481" s="147" t="s">
        <v>988</v>
      </c>
      <c r="E3481" s="170">
        <f>SUMIF(G3446:G3480,"UPI",F3446:F3480)</f>
        <v>185</v>
      </c>
      <c r="F3481" s="230" t="s">
        <v>437</v>
      </c>
      <c r="G3481" s="230"/>
      <c r="H3481" s="230"/>
      <c r="I3481" s="231">
        <f>SUM(F3446:F3480)</f>
        <v>1174.96</v>
      </c>
      <c r="J3481" s="231"/>
      <c r="K3481" s="231"/>
      <c r="L3481" s="231"/>
    </row>
    <row r="3482" spans="1:12" x14ac:dyDescent="0.25">
      <c r="A3482" s="78">
        <v>46211</v>
      </c>
      <c r="B3482" s="68">
        <v>1</v>
      </c>
      <c r="C3482" s="33" t="s">
        <v>541</v>
      </c>
      <c r="D3482" s="30">
        <v>1</v>
      </c>
      <c r="E3482" s="30">
        <v>70</v>
      </c>
      <c r="F3482" s="30">
        <f>E3482*D3482</f>
        <v>70</v>
      </c>
      <c r="G3482" s="30" t="s">
        <v>10</v>
      </c>
      <c r="I3482" s="68" t="s">
        <v>1075</v>
      </c>
      <c r="J3482" s="30" t="s">
        <v>392</v>
      </c>
    </row>
    <row r="3483" spans="1:12" x14ac:dyDescent="0.25">
      <c r="A3483" s="78">
        <v>46211</v>
      </c>
      <c r="B3483" s="68">
        <v>1</v>
      </c>
      <c r="C3483" s="33" t="s">
        <v>1050</v>
      </c>
      <c r="D3483" s="30">
        <v>10</v>
      </c>
      <c r="E3483" s="30">
        <v>9</v>
      </c>
      <c r="F3483" s="30">
        <f t="shared" ref="F3483:F3530" si="121">E3483*D3483</f>
        <v>90</v>
      </c>
      <c r="G3483" s="30" t="s">
        <v>10</v>
      </c>
      <c r="I3483" s="68" t="s">
        <v>1075</v>
      </c>
      <c r="J3483" s="30" t="s">
        <v>392</v>
      </c>
    </row>
    <row r="3484" spans="1:12" x14ac:dyDescent="0.25">
      <c r="A3484" s="78">
        <v>46211</v>
      </c>
      <c r="B3484" s="68">
        <v>2</v>
      </c>
      <c r="C3484" s="33" t="s">
        <v>963</v>
      </c>
      <c r="D3484" s="30">
        <v>2</v>
      </c>
      <c r="E3484" s="30">
        <v>5</v>
      </c>
      <c r="F3484" s="30">
        <f t="shared" si="121"/>
        <v>10</v>
      </c>
      <c r="G3484" s="30" t="s">
        <v>9</v>
      </c>
      <c r="J3484" s="30" t="s">
        <v>392</v>
      </c>
    </row>
    <row r="3485" spans="1:12" ht="30" x14ac:dyDescent="0.25">
      <c r="A3485" s="78">
        <v>46211</v>
      </c>
      <c r="B3485" s="68">
        <v>3</v>
      </c>
      <c r="C3485" s="33" t="str">
        <f>PA!A532</f>
        <v>SUNSILK THICK AND LONG SATCHET LOT 1</v>
      </c>
      <c r="D3485" s="30">
        <v>4</v>
      </c>
      <c r="E3485" s="30">
        <v>1</v>
      </c>
      <c r="F3485" s="30">
        <f t="shared" si="121"/>
        <v>4</v>
      </c>
      <c r="G3485" s="30" t="s">
        <v>9</v>
      </c>
      <c r="J3485" s="30" t="s">
        <v>392</v>
      </c>
    </row>
    <row r="3486" spans="1:12" ht="30" x14ac:dyDescent="0.25">
      <c r="A3486" s="78">
        <v>46211</v>
      </c>
      <c r="B3486" s="68">
        <v>3</v>
      </c>
      <c r="C3486" s="33" t="s">
        <v>562</v>
      </c>
      <c r="D3486" s="30">
        <v>3</v>
      </c>
      <c r="E3486" s="30">
        <v>1</v>
      </c>
      <c r="F3486" s="30">
        <f t="shared" si="121"/>
        <v>3</v>
      </c>
      <c r="G3486" s="30" t="s">
        <v>9</v>
      </c>
      <c r="J3486" s="30" t="s">
        <v>392</v>
      </c>
    </row>
    <row r="3487" spans="1:12" ht="30" x14ac:dyDescent="0.25">
      <c r="A3487" s="78">
        <v>46211</v>
      </c>
      <c r="B3487" s="68">
        <v>3</v>
      </c>
      <c r="C3487" s="33" t="s">
        <v>826</v>
      </c>
      <c r="D3487" s="30">
        <v>3</v>
      </c>
      <c r="E3487" s="30">
        <v>1</v>
      </c>
      <c r="F3487" s="30">
        <f t="shared" si="121"/>
        <v>3</v>
      </c>
      <c r="G3487" s="30" t="s">
        <v>9</v>
      </c>
      <c r="J3487" s="30" t="s">
        <v>392</v>
      </c>
    </row>
    <row r="3488" spans="1:12" x14ac:dyDescent="0.25">
      <c r="A3488" s="78">
        <v>46211</v>
      </c>
      <c r="B3488" s="68">
        <v>4</v>
      </c>
      <c r="C3488" s="33" t="s">
        <v>673</v>
      </c>
      <c r="D3488" s="30">
        <v>1</v>
      </c>
      <c r="E3488" s="30">
        <v>60</v>
      </c>
      <c r="F3488" s="30">
        <f t="shared" si="121"/>
        <v>60</v>
      </c>
      <c r="G3488" s="30" t="s">
        <v>9</v>
      </c>
      <c r="I3488" s="68" t="s">
        <v>1040</v>
      </c>
      <c r="J3488" s="30" t="s">
        <v>392</v>
      </c>
    </row>
    <row r="3489" spans="1:10" ht="30" x14ac:dyDescent="0.25">
      <c r="A3489" s="78">
        <v>46211</v>
      </c>
      <c r="B3489" s="68">
        <v>4</v>
      </c>
      <c r="C3489" s="33" t="str">
        <f>PA!A220</f>
        <v>LAYS WEST INDIESHOT N SWEET CHILLI LOT 1</v>
      </c>
      <c r="D3489" s="30">
        <v>1</v>
      </c>
      <c r="E3489" s="30">
        <v>10</v>
      </c>
      <c r="F3489" s="30">
        <f t="shared" si="121"/>
        <v>10</v>
      </c>
      <c r="G3489" s="30" t="s">
        <v>9</v>
      </c>
      <c r="I3489" s="68" t="s">
        <v>1040</v>
      </c>
      <c r="J3489" s="30" t="s">
        <v>392</v>
      </c>
    </row>
    <row r="3490" spans="1:10" x14ac:dyDescent="0.25">
      <c r="A3490" s="78">
        <v>46211</v>
      </c>
      <c r="B3490" s="68">
        <v>4</v>
      </c>
      <c r="C3490" s="33" t="s">
        <v>666</v>
      </c>
      <c r="D3490" s="30">
        <v>1</v>
      </c>
      <c r="E3490" s="30">
        <v>10</v>
      </c>
      <c r="F3490" s="30">
        <f t="shared" si="121"/>
        <v>10</v>
      </c>
      <c r="G3490" s="30" t="s">
        <v>9</v>
      </c>
      <c r="I3490" s="68" t="s">
        <v>1040</v>
      </c>
      <c r="J3490" s="30" t="s">
        <v>392</v>
      </c>
    </row>
    <row r="3491" spans="1:10" x14ac:dyDescent="0.25">
      <c r="A3491" s="78">
        <v>46211</v>
      </c>
      <c r="B3491" s="68">
        <v>5</v>
      </c>
      <c r="C3491" s="70" t="s">
        <v>530</v>
      </c>
      <c r="D3491" s="30">
        <v>1</v>
      </c>
      <c r="E3491" s="30">
        <v>10</v>
      </c>
      <c r="F3491" s="30">
        <f t="shared" si="121"/>
        <v>10</v>
      </c>
      <c r="G3491" s="30" t="s">
        <v>9</v>
      </c>
      <c r="I3491" s="68" t="s">
        <v>1010</v>
      </c>
      <c r="J3491" s="30" t="s">
        <v>392</v>
      </c>
    </row>
    <row r="3492" spans="1:10" x14ac:dyDescent="0.25">
      <c r="A3492" s="78">
        <v>46211</v>
      </c>
      <c r="B3492" s="68">
        <v>5</v>
      </c>
      <c r="C3492" s="33" t="s">
        <v>783</v>
      </c>
      <c r="D3492" s="30">
        <v>1</v>
      </c>
      <c r="E3492" s="30">
        <v>10</v>
      </c>
      <c r="F3492" s="30">
        <f t="shared" si="121"/>
        <v>10</v>
      </c>
      <c r="G3492" s="30" t="s">
        <v>9</v>
      </c>
      <c r="I3492" s="68" t="s">
        <v>1010</v>
      </c>
      <c r="J3492" s="30" t="s">
        <v>392</v>
      </c>
    </row>
    <row r="3493" spans="1:10" ht="30" x14ac:dyDescent="0.25">
      <c r="A3493" s="78">
        <v>46211</v>
      </c>
      <c r="B3493" s="68">
        <v>6</v>
      </c>
      <c r="C3493" s="33" t="s">
        <v>63</v>
      </c>
      <c r="D3493" s="30">
        <v>2</v>
      </c>
      <c r="E3493" s="30">
        <v>4</v>
      </c>
      <c r="F3493" s="30">
        <f t="shared" si="121"/>
        <v>8</v>
      </c>
      <c r="G3493" s="30" t="s">
        <v>10</v>
      </c>
      <c r="J3493" s="30" t="s">
        <v>392</v>
      </c>
    </row>
    <row r="3494" spans="1:10" x14ac:dyDescent="0.25">
      <c r="A3494" s="78">
        <v>46211</v>
      </c>
      <c r="B3494" s="68">
        <v>7</v>
      </c>
      <c r="C3494" s="70" t="s">
        <v>805</v>
      </c>
      <c r="D3494" s="30">
        <v>2</v>
      </c>
      <c r="E3494" s="30">
        <v>55</v>
      </c>
      <c r="F3494" s="30">
        <f t="shared" si="121"/>
        <v>110</v>
      </c>
      <c r="G3494" s="30" t="s">
        <v>9</v>
      </c>
      <c r="I3494" s="68" t="s">
        <v>1046</v>
      </c>
      <c r="J3494" s="30" t="s">
        <v>392</v>
      </c>
    </row>
    <row r="3495" spans="1:10" x14ac:dyDescent="0.25">
      <c r="A3495" s="78">
        <v>46211</v>
      </c>
      <c r="B3495" s="68">
        <v>7</v>
      </c>
      <c r="C3495" s="33" t="s">
        <v>968</v>
      </c>
      <c r="D3495" s="30">
        <v>0.17199999999999999</v>
      </c>
      <c r="E3495" s="30">
        <v>58</v>
      </c>
      <c r="F3495" s="30">
        <f t="shared" si="121"/>
        <v>9.9759999999999991</v>
      </c>
      <c r="G3495" s="30" t="s">
        <v>9</v>
      </c>
      <c r="I3495" s="68" t="s">
        <v>1046</v>
      </c>
      <c r="J3495" s="30" t="s">
        <v>392</v>
      </c>
    </row>
    <row r="3496" spans="1:10" x14ac:dyDescent="0.25">
      <c r="A3496" s="78">
        <v>46211</v>
      </c>
      <c r="B3496" s="68">
        <v>7</v>
      </c>
      <c r="C3496" s="33" t="s">
        <v>946</v>
      </c>
      <c r="D3496" s="30">
        <v>1</v>
      </c>
      <c r="E3496" s="30">
        <v>40</v>
      </c>
      <c r="F3496" s="30">
        <f t="shared" si="121"/>
        <v>40</v>
      </c>
      <c r="G3496" s="30" t="s">
        <v>9</v>
      </c>
      <c r="I3496" s="68" t="s">
        <v>1046</v>
      </c>
      <c r="J3496" s="30" t="s">
        <v>392</v>
      </c>
    </row>
    <row r="3497" spans="1:10" x14ac:dyDescent="0.25">
      <c r="A3497" s="78">
        <v>46211</v>
      </c>
      <c r="B3497" s="68">
        <v>7</v>
      </c>
      <c r="C3497" s="33" t="s">
        <v>541</v>
      </c>
      <c r="D3497" s="30">
        <v>0.28599999999999998</v>
      </c>
      <c r="E3497" s="30">
        <v>70</v>
      </c>
      <c r="F3497" s="30">
        <f t="shared" si="121"/>
        <v>20.02</v>
      </c>
      <c r="G3497" s="30" t="s">
        <v>9</v>
      </c>
      <c r="I3497" s="68" t="s">
        <v>1046</v>
      </c>
      <c r="J3497" s="30" t="s">
        <v>392</v>
      </c>
    </row>
    <row r="3498" spans="1:10" x14ac:dyDescent="0.25">
      <c r="A3498" s="78">
        <v>46211</v>
      </c>
      <c r="B3498" s="68">
        <v>7</v>
      </c>
      <c r="C3498" s="33" t="s">
        <v>117</v>
      </c>
      <c r="D3498" s="30">
        <v>2</v>
      </c>
      <c r="E3498" s="30">
        <v>10</v>
      </c>
      <c r="F3498" s="30">
        <f t="shared" si="121"/>
        <v>20</v>
      </c>
      <c r="G3498" s="30" t="s">
        <v>9</v>
      </c>
      <c r="I3498" s="68" t="s">
        <v>1046</v>
      </c>
      <c r="J3498" s="30" t="s">
        <v>392</v>
      </c>
    </row>
    <row r="3499" spans="1:10" x14ac:dyDescent="0.25">
      <c r="A3499" s="78">
        <v>46211</v>
      </c>
      <c r="B3499" s="68">
        <v>7</v>
      </c>
      <c r="C3499" s="33" t="s">
        <v>66</v>
      </c>
      <c r="D3499" s="30">
        <v>1</v>
      </c>
      <c r="E3499" s="30">
        <v>10</v>
      </c>
      <c r="F3499" s="30">
        <f t="shared" si="121"/>
        <v>10</v>
      </c>
      <c r="G3499" s="30" t="s">
        <v>9</v>
      </c>
      <c r="I3499" s="68" t="s">
        <v>1046</v>
      </c>
      <c r="J3499" s="30" t="s">
        <v>392</v>
      </c>
    </row>
    <row r="3500" spans="1:10" x14ac:dyDescent="0.25">
      <c r="A3500" s="78">
        <v>46211</v>
      </c>
      <c r="B3500" s="68">
        <v>7</v>
      </c>
      <c r="C3500" s="70" t="s">
        <v>675</v>
      </c>
      <c r="D3500" s="30">
        <v>1</v>
      </c>
      <c r="E3500" s="30">
        <v>40</v>
      </c>
      <c r="F3500" s="30">
        <f t="shared" si="121"/>
        <v>40</v>
      </c>
      <c r="G3500" s="30" t="s">
        <v>9</v>
      </c>
      <c r="I3500" s="68" t="s">
        <v>1046</v>
      </c>
      <c r="J3500" s="30" t="s">
        <v>392</v>
      </c>
    </row>
    <row r="3501" spans="1:10" ht="30" x14ac:dyDescent="0.25">
      <c r="A3501" s="78">
        <v>46211</v>
      </c>
      <c r="B3501" s="68">
        <v>8</v>
      </c>
      <c r="C3501" s="70" t="s">
        <v>363</v>
      </c>
      <c r="D3501" s="30">
        <v>2</v>
      </c>
      <c r="E3501" s="30">
        <v>5</v>
      </c>
      <c r="F3501" s="30">
        <f t="shared" si="121"/>
        <v>10</v>
      </c>
      <c r="G3501" s="30" t="s">
        <v>9</v>
      </c>
      <c r="I3501" s="68" t="s">
        <v>1009</v>
      </c>
      <c r="J3501" s="30" t="s">
        <v>392</v>
      </c>
    </row>
    <row r="3502" spans="1:10" x14ac:dyDescent="0.25">
      <c r="A3502" s="78">
        <v>46211</v>
      </c>
      <c r="B3502" s="68">
        <v>8</v>
      </c>
      <c r="C3502" s="159" t="s">
        <v>700</v>
      </c>
      <c r="D3502" s="30">
        <v>2</v>
      </c>
      <c r="E3502" s="30">
        <v>5</v>
      </c>
      <c r="F3502" s="30">
        <f t="shared" si="121"/>
        <v>10</v>
      </c>
      <c r="G3502" s="30" t="s">
        <v>9</v>
      </c>
      <c r="I3502" s="68" t="s">
        <v>1009</v>
      </c>
      <c r="J3502" s="30" t="s">
        <v>392</v>
      </c>
    </row>
    <row r="3503" spans="1:10" x14ac:dyDescent="0.25">
      <c r="A3503" s="78">
        <v>46211</v>
      </c>
      <c r="B3503" s="68">
        <v>9</v>
      </c>
      <c r="C3503" s="159" t="s">
        <v>700</v>
      </c>
      <c r="D3503" s="30">
        <v>2</v>
      </c>
      <c r="E3503" s="30">
        <v>5</v>
      </c>
      <c r="F3503" s="30">
        <f t="shared" si="121"/>
        <v>10</v>
      </c>
      <c r="G3503" s="30" t="s">
        <v>9</v>
      </c>
      <c r="I3503" s="68" t="s">
        <v>663</v>
      </c>
      <c r="J3503" s="30" t="s">
        <v>392</v>
      </c>
    </row>
    <row r="3504" spans="1:10" x14ac:dyDescent="0.25">
      <c r="A3504" s="78">
        <v>46211</v>
      </c>
      <c r="B3504" s="68">
        <v>9</v>
      </c>
      <c r="C3504" s="33" t="s">
        <v>1074</v>
      </c>
      <c r="D3504" s="30">
        <v>3</v>
      </c>
      <c r="E3504" s="30">
        <v>10</v>
      </c>
      <c r="F3504" s="30">
        <f t="shared" si="121"/>
        <v>30</v>
      </c>
      <c r="G3504" s="30" t="s">
        <v>9</v>
      </c>
      <c r="I3504" s="68" t="s">
        <v>663</v>
      </c>
      <c r="J3504" s="30" t="s">
        <v>392</v>
      </c>
    </row>
    <row r="3505" spans="1:10" x14ac:dyDescent="0.25">
      <c r="A3505" s="78">
        <v>46211</v>
      </c>
      <c r="B3505" s="68">
        <v>9</v>
      </c>
      <c r="C3505" s="33" t="s">
        <v>541</v>
      </c>
      <c r="D3505" s="30">
        <v>0.5</v>
      </c>
      <c r="E3505" s="30">
        <v>70</v>
      </c>
      <c r="F3505" s="30">
        <f t="shared" si="121"/>
        <v>35</v>
      </c>
      <c r="G3505" s="30" t="s">
        <v>9</v>
      </c>
      <c r="I3505" s="68" t="s">
        <v>663</v>
      </c>
      <c r="J3505" s="30" t="s">
        <v>392</v>
      </c>
    </row>
    <row r="3506" spans="1:10" x14ac:dyDescent="0.25">
      <c r="A3506" s="78">
        <v>46211</v>
      </c>
      <c r="B3506" s="68">
        <v>10</v>
      </c>
      <c r="C3506" s="70" t="s">
        <v>767</v>
      </c>
      <c r="D3506" s="30">
        <v>1</v>
      </c>
      <c r="E3506" s="30">
        <v>10</v>
      </c>
      <c r="F3506" s="30">
        <f t="shared" si="121"/>
        <v>10</v>
      </c>
      <c r="G3506" s="30" t="s">
        <v>9</v>
      </c>
      <c r="I3506" s="68" t="s">
        <v>1023</v>
      </c>
      <c r="J3506" s="30" t="s">
        <v>392</v>
      </c>
    </row>
    <row r="3507" spans="1:10" x14ac:dyDescent="0.25">
      <c r="A3507" s="78">
        <v>46211</v>
      </c>
      <c r="B3507" s="68">
        <v>11</v>
      </c>
      <c r="C3507" s="33" t="s">
        <v>723</v>
      </c>
      <c r="D3507" s="30">
        <v>0.2</v>
      </c>
      <c r="E3507" s="30">
        <v>300</v>
      </c>
      <c r="F3507" s="30">
        <f t="shared" si="121"/>
        <v>60</v>
      </c>
      <c r="G3507" s="30" t="s">
        <v>10</v>
      </c>
      <c r="J3507" s="30" t="s">
        <v>392</v>
      </c>
    </row>
    <row r="3508" spans="1:10" ht="30" x14ac:dyDescent="0.25">
      <c r="A3508" s="78">
        <v>46211</v>
      </c>
      <c r="B3508" s="68">
        <v>12</v>
      </c>
      <c r="C3508" s="33" t="s">
        <v>1054</v>
      </c>
      <c r="D3508" s="30">
        <v>2</v>
      </c>
      <c r="E3508" s="30">
        <v>10</v>
      </c>
      <c r="F3508" s="30">
        <f t="shared" si="121"/>
        <v>20</v>
      </c>
      <c r="G3508" s="30" t="s">
        <v>9</v>
      </c>
      <c r="J3508" s="30" t="s">
        <v>392</v>
      </c>
    </row>
    <row r="3509" spans="1:10" ht="30" x14ac:dyDescent="0.25">
      <c r="A3509" s="78">
        <v>46211</v>
      </c>
      <c r="B3509" s="68">
        <v>12</v>
      </c>
      <c r="C3509" s="33" t="s">
        <v>1051</v>
      </c>
      <c r="D3509" s="30">
        <v>1</v>
      </c>
      <c r="E3509" s="30">
        <v>10</v>
      </c>
      <c r="F3509" s="30">
        <f t="shared" si="121"/>
        <v>10</v>
      </c>
      <c r="G3509" s="30" t="s">
        <v>9</v>
      </c>
      <c r="J3509" s="30" t="s">
        <v>392</v>
      </c>
    </row>
    <row r="3510" spans="1:10" x14ac:dyDescent="0.25">
      <c r="A3510" s="78">
        <v>46211</v>
      </c>
      <c r="B3510" s="68">
        <v>13</v>
      </c>
      <c r="C3510" s="33" t="s">
        <v>915</v>
      </c>
      <c r="D3510" s="30">
        <v>1</v>
      </c>
      <c r="E3510" s="30">
        <v>10</v>
      </c>
      <c r="F3510" s="30">
        <f t="shared" si="121"/>
        <v>10</v>
      </c>
      <c r="G3510" s="30" t="s">
        <v>9</v>
      </c>
      <c r="J3510" s="30" t="s">
        <v>392</v>
      </c>
    </row>
    <row r="3511" spans="1:10" x14ac:dyDescent="0.25">
      <c r="A3511" s="78">
        <v>46211</v>
      </c>
      <c r="B3511" s="68">
        <v>14</v>
      </c>
      <c r="C3511" s="70" t="s">
        <v>767</v>
      </c>
      <c r="D3511" s="30">
        <v>2</v>
      </c>
      <c r="E3511" s="30">
        <v>10</v>
      </c>
      <c r="F3511" s="30">
        <f t="shared" si="121"/>
        <v>20</v>
      </c>
      <c r="G3511" s="30" t="s">
        <v>10</v>
      </c>
      <c r="J3511" s="30" t="s">
        <v>392</v>
      </c>
    </row>
    <row r="3512" spans="1:10" x14ac:dyDescent="0.25">
      <c r="A3512" s="78">
        <v>46211</v>
      </c>
      <c r="B3512" s="68">
        <v>14</v>
      </c>
      <c r="C3512" s="33" t="s">
        <v>938</v>
      </c>
      <c r="D3512" s="30">
        <v>1</v>
      </c>
      <c r="E3512" s="30">
        <v>20</v>
      </c>
      <c r="F3512" s="30">
        <f t="shared" si="121"/>
        <v>20</v>
      </c>
      <c r="G3512" s="30" t="s">
        <v>10</v>
      </c>
      <c r="J3512" s="30" t="s">
        <v>392</v>
      </c>
    </row>
    <row r="3513" spans="1:10" x14ac:dyDescent="0.25">
      <c r="A3513" s="78">
        <v>46211</v>
      </c>
      <c r="B3513" s="68">
        <v>14</v>
      </c>
      <c r="C3513" s="33" t="s">
        <v>998</v>
      </c>
      <c r="D3513" s="30">
        <v>1</v>
      </c>
      <c r="E3513" s="30">
        <v>20</v>
      </c>
      <c r="F3513" s="30">
        <f t="shared" si="121"/>
        <v>20</v>
      </c>
      <c r="G3513" s="30" t="s">
        <v>10</v>
      </c>
      <c r="J3513" s="30" t="s">
        <v>392</v>
      </c>
    </row>
    <row r="3514" spans="1:10" x14ac:dyDescent="0.25">
      <c r="A3514" s="78">
        <v>46211</v>
      </c>
      <c r="B3514" s="68">
        <v>14</v>
      </c>
      <c r="C3514" s="33" t="s">
        <v>947</v>
      </c>
      <c r="D3514" s="30">
        <v>1</v>
      </c>
      <c r="E3514" s="30">
        <v>20</v>
      </c>
      <c r="F3514" s="30">
        <f t="shared" si="121"/>
        <v>20</v>
      </c>
      <c r="G3514" s="30" t="s">
        <v>10</v>
      </c>
      <c r="J3514" s="30" t="s">
        <v>392</v>
      </c>
    </row>
    <row r="3515" spans="1:10" x14ac:dyDescent="0.25">
      <c r="A3515" s="78">
        <v>46211</v>
      </c>
      <c r="B3515" s="68">
        <v>14</v>
      </c>
      <c r="C3515" s="33" t="s">
        <v>1067</v>
      </c>
      <c r="D3515" s="30">
        <v>1</v>
      </c>
      <c r="E3515" s="30">
        <v>10</v>
      </c>
      <c r="F3515" s="30">
        <f t="shared" si="121"/>
        <v>10</v>
      </c>
      <c r="G3515" s="30" t="s">
        <v>10</v>
      </c>
      <c r="J3515" s="30" t="s">
        <v>392</v>
      </c>
    </row>
    <row r="3516" spans="1:10" x14ac:dyDescent="0.25">
      <c r="A3516" s="78">
        <v>46211</v>
      </c>
      <c r="B3516" s="68">
        <v>14</v>
      </c>
      <c r="C3516" s="33" t="s">
        <v>666</v>
      </c>
      <c r="D3516" s="30">
        <v>1</v>
      </c>
      <c r="E3516" s="30">
        <v>10</v>
      </c>
      <c r="F3516" s="30">
        <f t="shared" si="121"/>
        <v>10</v>
      </c>
      <c r="G3516" s="30" t="s">
        <v>10</v>
      </c>
      <c r="J3516" s="30" t="s">
        <v>392</v>
      </c>
    </row>
    <row r="3517" spans="1:10" x14ac:dyDescent="0.25">
      <c r="A3517" s="78">
        <v>46211</v>
      </c>
      <c r="B3517" s="68">
        <v>15</v>
      </c>
      <c r="C3517" s="33" t="s">
        <v>459</v>
      </c>
      <c r="D3517" s="30">
        <v>1</v>
      </c>
      <c r="E3517" s="30">
        <v>50</v>
      </c>
      <c r="F3517" s="30">
        <f t="shared" si="121"/>
        <v>50</v>
      </c>
      <c r="G3517" s="30" t="s">
        <v>10</v>
      </c>
      <c r="I3517" s="68" t="s">
        <v>1069</v>
      </c>
      <c r="J3517" s="30" t="s">
        <v>392</v>
      </c>
    </row>
    <row r="3518" spans="1:10" ht="30" x14ac:dyDescent="0.25">
      <c r="A3518" s="78">
        <v>46211</v>
      </c>
      <c r="B3518" s="68">
        <v>15</v>
      </c>
      <c r="C3518" s="33" t="s">
        <v>975</v>
      </c>
      <c r="D3518" s="30">
        <v>1</v>
      </c>
      <c r="E3518" s="30">
        <v>84</v>
      </c>
      <c r="F3518" s="30">
        <f t="shared" si="121"/>
        <v>84</v>
      </c>
      <c r="G3518" s="30" t="s">
        <v>10</v>
      </c>
      <c r="I3518" s="68" t="s">
        <v>1069</v>
      </c>
      <c r="J3518" s="30" t="s">
        <v>392</v>
      </c>
    </row>
    <row r="3519" spans="1:10" x14ac:dyDescent="0.25">
      <c r="A3519" s="78">
        <v>46211</v>
      </c>
      <c r="B3519" s="68">
        <v>15</v>
      </c>
      <c r="C3519" s="33" t="s">
        <v>536</v>
      </c>
      <c r="D3519" s="30">
        <v>1</v>
      </c>
      <c r="E3519" s="30">
        <v>1</v>
      </c>
      <c r="F3519" s="30">
        <f t="shared" si="121"/>
        <v>1</v>
      </c>
      <c r="G3519" s="30" t="s">
        <v>10</v>
      </c>
      <c r="I3519" s="68" t="s">
        <v>1069</v>
      </c>
      <c r="J3519" s="30" t="s">
        <v>392</v>
      </c>
    </row>
    <row r="3520" spans="1:10" x14ac:dyDescent="0.25">
      <c r="A3520" s="78">
        <v>46211</v>
      </c>
      <c r="B3520" s="68">
        <v>15</v>
      </c>
      <c r="C3520" s="33" t="s">
        <v>639</v>
      </c>
      <c r="D3520" s="30">
        <v>12</v>
      </c>
      <c r="E3520" s="30">
        <v>2</v>
      </c>
      <c r="F3520" s="30">
        <f t="shared" si="121"/>
        <v>24</v>
      </c>
      <c r="G3520" s="30" t="s">
        <v>10</v>
      </c>
      <c r="I3520" s="68" t="s">
        <v>1069</v>
      </c>
      <c r="J3520" s="30" t="s">
        <v>392</v>
      </c>
    </row>
    <row r="3521" spans="1:12" x14ac:dyDescent="0.25">
      <c r="A3521" s="78">
        <v>46211</v>
      </c>
      <c r="B3521" s="68">
        <v>15</v>
      </c>
      <c r="C3521" s="33" t="s">
        <v>1025</v>
      </c>
      <c r="D3521" s="30">
        <v>1</v>
      </c>
      <c r="E3521" s="30">
        <v>40</v>
      </c>
      <c r="F3521" s="30">
        <f t="shared" si="121"/>
        <v>40</v>
      </c>
      <c r="G3521" s="30" t="s">
        <v>10</v>
      </c>
      <c r="I3521" s="68" t="s">
        <v>1069</v>
      </c>
      <c r="J3521" s="30" t="s">
        <v>392</v>
      </c>
    </row>
    <row r="3522" spans="1:12" x14ac:dyDescent="0.25">
      <c r="A3522" s="78">
        <v>46211</v>
      </c>
      <c r="B3522" s="68">
        <v>16</v>
      </c>
      <c r="C3522" s="33" t="s">
        <v>888</v>
      </c>
      <c r="D3522" s="30">
        <v>1</v>
      </c>
      <c r="E3522" s="30">
        <v>35</v>
      </c>
      <c r="F3522" s="30">
        <f t="shared" si="121"/>
        <v>35</v>
      </c>
      <c r="G3522" s="30" t="s">
        <v>9</v>
      </c>
      <c r="J3522" s="30" t="s">
        <v>392</v>
      </c>
    </row>
    <row r="3523" spans="1:12" x14ac:dyDescent="0.25">
      <c r="A3523" s="78">
        <v>46211</v>
      </c>
      <c r="B3523" s="68">
        <v>17</v>
      </c>
      <c r="C3523" s="33" t="s">
        <v>1024</v>
      </c>
      <c r="D3523" s="30">
        <v>1</v>
      </c>
      <c r="E3523" s="30">
        <v>20</v>
      </c>
      <c r="F3523" s="30">
        <f t="shared" si="121"/>
        <v>20</v>
      </c>
      <c r="G3523" s="30" t="s">
        <v>9</v>
      </c>
      <c r="I3523" s="68" t="s">
        <v>660</v>
      </c>
      <c r="J3523" s="30" t="s">
        <v>392</v>
      </c>
    </row>
    <row r="3524" spans="1:12" x14ac:dyDescent="0.25">
      <c r="A3524" s="78">
        <v>46211</v>
      </c>
      <c r="B3524" s="68">
        <v>18</v>
      </c>
      <c r="C3524" s="33" t="s">
        <v>946</v>
      </c>
      <c r="D3524" s="30">
        <v>1</v>
      </c>
      <c r="E3524" s="30">
        <v>40</v>
      </c>
      <c r="F3524" s="30">
        <f t="shared" si="121"/>
        <v>40</v>
      </c>
      <c r="G3524" s="30" t="s">
        <v>9</v>
      </c>
      <c r="J3524" s="30" t="s">
        <v>392</v>
      </c>
    </row>
    <row r="3525" spans="1:12" x14ac:dyDescent="0.25">
      <c r="A3525" s="78">
        <v>46211</v>
      </c>
      <c r="B3525" s="68">
        <v>19</v>
      </c>
      <c r="C3525" s="33" t="s">
        <v>404</v>
      </c>
      <c r="D3525" s="30">
        <v>1</v>
      </c>
      <c r="E3525" s="30">
        <v>30</v>
      </c>
      <c r="F3525" s="30">
        <f t="shared" si="121"/>
        <v>30</v>
      </c>
      <c r="G3525" s="30" t="s">
        <v>10</v>
      </c>
      <c r="J3525" s="30" t="s">
        <v>392</v>
      </c>
    </row>
    <row r="3526" spans="1:12" x14ac:dyDescent="0.25">
      <c r="A3526" s="78">
        <v>46211</v>
      </c>
      <c r="B3526" s="68">
        <v>20</v>
      </c>
      <c r="C3526" s="33" t="s">
        <v>1052</v>
      </c>
      <c r="D3526" s="30">
        <v>1</v>
      </c>
      <c r="E3526" s="30">
        <v>10</v>
      </c>
      <c r="F3526" s="30">
        <f t="shared" si="121"/>
        <v>10</v>
      </c>
      <c r="G3526" s="30" t="s">
        <v>9</v>
      </c>
      <c r="J3526" s="30" t="s">
        <v>392</v>
      </c>
    </row>
    <row r="3527" spans="1:12" x14ac:dyDescent="0.25">
      <c r="A3527" s="78">
        <v>46211</v>
      </c>
      <c r="B3527" s="68">
        <v>20</v>
      </c>
      <c r="C3527" s="33" t="s">
        <v>1056</v>
      </c>
      <c r="D3527" s="30">
        <v>1</v>
      </c>
      <c r="E3527" s="30">
        <v>10</v>
      </c>
      <c r="F3527" s="30">
        <f t="shared" si="121"/>
        <v>10</v>
      </c>
      <c r="G3527" s="30" t="s">
        <v>9</v>
      </c>
      <c r="J3527" s="30" t="s">
        <v>392</v>
      </c>
    </row>
    <row r="3528" spans="1:12" x14ac:dyDescent="0.25">
      <c r="A3528" s="78">
        <v>46211</v>
      </c>
      <c r="B3528" s="68">
        <v>20</v>
      </c>
      <c r="C3528" s="33" t="s">
        <v>1055</v>
      </c>
      <c r="D3528" s="30">
        <v>5</v>
      </c>
      <c r="E3528" s="30">
        <v>2</v>
      </c>
      <c r="F3528" s="30">
        <f t="shared" si="121"/>
        <v>10</v>
      </c>
      <c r="G3528" s="30" t="s">
        <v>9</v>
      </c>
      <c r="J3528" s="30" t="s">
        <v>392</v>
      </c>
    </row>
    <row r="3529" spans="1:12" x14ac:dyDescent="0.25">
      <c r="A3529" s="78">
        <v>46211</v>
      </c>
      <c r="B3529" s="68">
        <v>21</v>
      </c>
      <c r="C3529" s="33" t="s">
        <v>740</v>
      </c>
      <c r="D3529" s="30">
        <v>1</v>
      </c>
      <c r="E3529" s="30">
        <v>10</v>
      </c>
      <c r="F3529" s="30">
        <f t="shared" si="121"/>
        <v>10</v>
      </c>
      <c r="G3529" s="30" t="s">
        <v>9</v>
      </c>
      <c r="J3529" s="30" t="s">
        <v>392</v>
      </c>
    </row>
    <row r="3530" spans="1:12" x14ac:dyDescent="0.25">
      <c r="A3530" s="78">
        <v>46211</v>
      </c>
      <c r="B3530" s="68">
        <v>22</v>
      </c>
      <c r="C3530" s="33" t="s">
        <v>931</v>
      </c>
      <c r="D3530" s="30">
        <v>1</v>
      </c>
      <c r="E3530" s="30">
        <v>20</v>
      </c>
      <c r="F3530" s="30">
        <f t="shared" si="121"/>
        <v>20</v>
      </c>
      <c r="G3530" s="30" t="s">
        <v>10</v>
      </c>
      <c r="J3530" s="30" t="s">
        <v>392</v>
      </c>
    </row>
    <row r="3531" spans="1:12" s="62" customFormat="1" x14ac:dyDescent="0.25">
      <c r="A3531" s="151"/>
      <c r="B3531" s="139"/>
      <c r="C3531" s="150"/>
      <c r="H3531" s="139"/>
      <c r="I3531" s="139">
        <f>SUMIF(G3482:G3529, "&lt;&gt;UPI",F3482:F3529)</f>
        <v>649.99599999999998</v>
      </c>
    </row>
    <row r="3532" spans="1:12" s="170" customFormat="1" ht="18.75" x14ac:dyDescent="0.3">
      <c r="A3532" s="79"/>
      <c r="B3532" s="147" t="s">
        <v>987</v>
      </c>
      <c r="C3532" s="169">
        <f>MAX(B3482:B3531)</f>
        <v>22</v>
      </c>
      <c r="D3532" s="147" t="s">
        <v>988</v>
      </c>
      <c r="E3532" s="170">
        <f>SUMIF(G3482:G3531,"UPI",F3482:F3531)</f>
        <v>577</v>
      </c>
      <c r="F3532" s="230" t="s">
        <v>437</v>
      </c>
      <c r="G3532" s="230"/>
      <c r="H3532" s="230"/>
      <c r="I3532" s="231">
        <f>SUM(F3482:F3531)</f>
        <v>1226.9960000000001</v>
      </c>
      <c r="J3532" s="231"/>
      <c r="K3532" s="231"/>
      <c r="L3532" s="231"/>
    </row>
    <row r="3533" spans="1:12" x14ac:dyDescent="0.25">
      <c r="A3533" s="78">
        <v>46212</v>
      </c>
      <c r="B3533" s="68">
        <v>1</v>
      </c>
      <c r="C3533" s="33" t="s">
        <v>942</v>
      </c>
      <c r="D3533" s="30">
        <v>1</v>
      </c>
      <c r="E3533" s="30">
        <v>35</v>
      </c>
      <c r="F3533" s="30">
        <f>E3533*D3533</f>
        <v>35</v>
      </c>
      <c r="G3533" s="30" t="s">
        <v>9</v>
      </c>
      <c r="I3533" s="68" t="s">
        <v>1010</v>
      </c>
      <c r="J3533" s="30" t="s">
        <v>392</v>
      </c>
    </row>
    <row r="3534" spans="1:12" x14ac:dyDescent="0.25">
      <c r="A3534" s="78">
        <v>46212</v>
      </c>
      <c r="B3534" s="68">
        <v>1</v>
      </c>
      <c r="C3534" s="70" t="s">
        <v>530</v>
      </c>
      <c r="D3534" s="30">
        <v>1</v>
      </c>
      <c r="E3534" s="30">
        <v>10</v>
      </c>
      <c r="F3534" s="30">
        <f t="shared" ref="F3534:F3548" si="122">E3534*D3534</f>
        <v>10</v>
      </c>
      <c r="G3534" s="30" t="s">
        <v>9</v>
      </c>
      <c r="I3534" s="68" t="s">
        <v>1010</v>
      </c>
      <c r="J3534" s="30" t="s">
        <v>392</v>
      </c>
    </row>
    <row r="3535" spans="1:12" x14ac:dyDescent="0.25">
      <c r="A3535" s="78">
        <v>46212</v>
      </c>
      <c r="B3535" s="68">
        <v>2</v>
      </c>
      <c r="C3535" s="33" t="s">
        <v>1024</v>
      </c>
      <c r="D3535" s="30">
        <v>1</v>
      </c>
      <c r="E3535" s="30">
        <v>20</v>
      </c>
      <c r="F3535" s="30">
        <f t="shared" si="122"/>
        <v>20</v>
      </c>
      <c r="G3535" s="30" t="s">
        <v>9</v>
      </c>
      <c r="J3535" s="30" t="s">
        <v>392</v>
      </c>
    </row>
    <row r="3536" spans="1:12" x14ac:dyDescent="0.25">
      <c r="A3536" s="78">
        <v>46212</v>
      </c>
      <c r="B3536" s="68">
        <v>2</v>
      </c>
      <c r="C3536" s="33" t="s">
        <v>1050</v>
      </c>
      <c r="D3536" s="30">
        <v>4</v>
      </c>
      <c r="E3536" s="30">
        <v>9</v>
      </c>
      <c r="F3536" s="30">
        <f t="shared" si="122"/>
        <v>36</v>
      </c>
      <c r="G3536" s="30" t="s">
        <v>9</v>
      </c>
      <c r="J3536" s="30" t="s">
        <v>392</v>
      </c>
    </row>
    <row r="3537" spans="1:12" x14ac:dyDescent="0.25">
      <c r="A3537" s="78">
        <v>46212</v>
      </c>
      <c r="B3537" s="68">
        <v>2</v>
      </c>
      <c r="C3537" s="33" t="s">
        <v>723</v>
      </c>
      <c r="D3537" s="30">
        <v>3.4000000000000002E-2</v>
      </c>
      <c r="E3537" s="30">
        <v>300</v>
      </c>
      <c r="F3537" s="30">
        <f t="shared" si="122"/>
        <v>10.200000000000001</v>
      </c>
      <c r="G3537" s="30" t="s">
        <v>9</v>
      </c>
      <c r="J3537" s="30" t="s">
        <v>392</v>
      </c>
    </row>
    <row r="3538" spans="1:12" x14ac:dyDescent="0.25">
      <c r="A3538" s="78">
        <v>46212</v>
      </c>
      <c r="B3538" s="68">
        <v>2</v>
      </c>
      <c r="C3538" s="33" t="s">
        <v>791</v>
      </c>
      <c r="D3538" s="30">
        <v>1</v>
      </c>
      <c r="E3538" s="30">
        <v>10</v>
      </c>
      <c r="F3538" s="30">
        <f t="shared" si="122"/>
        <v>10</v>
      </c>
      <c r="G3538" s="30" t="s">
        <v>9</v>
      </c>
      <c r="J3538" s="30" t="s">
        <v>392</v>
      </c>
    </row>
    <row r="3539" spans="1:12" x14ac:dyDescent="0.25">
      <c r="A3539" s="78">
        <v>46212</v>
      </c>
      <c r="B3539" s="68">
        <v>2</v>
      </c>
      <c r="C3539" s="70" t="s">
        <v>530</v>
      </c>
      <c r="D3539" s="30">
        <v>1</v>
      </c>
      <c r="E3539" s="30">
        <v>10</v>
      </c>
      <c r="F3539" s="30">
        <f t="shared" si="122"/>
        <v>10</v>
      </c>
      <c r="G3539" s="30" t="s">
        <v>9</v>
      </c>
      <c r="J3539" s="30" t="s">
        <v>392</v>
      </c>
    </row>
    <row r="3540" spans="1:12" ht="30" x14ac:dyDescent="0.25">
      <c r="A3540" s="78">
        <v>46212</v>
      </c>
      <c r="B3540" s="68">
        <v>2</v>
      </c>
      <c r="C3540" s="33" t="s">
        <v>897</v>
      </c>
      <c r="D3540" s="30">
        <v>4</v>
      </c>
      <c r="E3540" s="30">
        <v>1</v>
      </c>
      <c r="F3540" s="30">
        <f t="shared" si="122"/>
        <v>4</v>
      </c>
      <c r="G3540" s="30" t="s">
        <v>9</v>
      </c>
      <c r="J3540" s="30" t="s">
        <v>392</v>
      </c>
    </row>
    <row r="3541" spans="1:12" x14ac:dyDescent="0.25">
      <c r="A3541" s="78">
        <v>46212</v>
      </c>
      <c r="B3541" s="68">
        <v>2</v>
      </c>
      <c r="C3541" s="33" t="s">
        <v>968</v>
      </c>
      <c r="D3541" s="30">
        <v>0.34399999999999997</v>
      </c>
      <c r="E3541" s="30">
        <v>58</v>
      </c>
      <c r="F3541" s="30">
        <f t="shared" si="122"/>
        <v>19.951999999999998</v>
      </c>
      <c r="G3541" s="30" t="s">
        <v>9</v>
      </c>
      <c r="J3541" s="30" t="s">
        <v>392</v>
      </c>
    </row>
    <row r="3542" spans="1:12" x14ac:dyDescent="0.25">
      <c r="A3542" s="78">
        <v>46212</v>
      </c>
      <c r="B3542" s="68">
        <v>3</v>
      </c>
      <c r="C3542" s="33" t="s">
        <v>740</v>
      </c>
      <c r="D3542" s="30">
        <v>2</v>
      </c>
      <c r="E3542" s="30">
        <v>10</v>
      </c>
      <c r="F3542" s="30">
        <f t="shared" si="122"/>
        <v>20</v>
      </c>
      <c r="G3542" s="30" t="s">
        <v>9</v>
      </c>
      <c r="I3542" s="68" t="s">
        <v>1077</v>
      </c>
      <c r="J3542" s="30" t="s">
        <v>392</v>
      </c>
    </row>
    <row r="3543" spans="1:12" x14ac:dyDescent="0.25">
      <c r="A3543" s="78">
        <v>46212</v>
      </c>
      <c r="B3543" s="68">
        <v>3</v>
      </c>
      <c r="C3543" s="33" t="s">
        <v>753</v>
      </c>
      <c r="D3543" s="30">
        <v>2</v>
      </c>
      <c r="E3543" s="30">
        <v>10</v>
      </c>
      <c r="F3543" s="30">
        <f t="shared" si="122"/>
        <v>20</v>
      </c>
      <c r="G3543" s="30" t="s">
        <v>9</v>
      </c>
      <c r="I3543" s="68" t="s">
        <v>1077</v>
      </c>
      <c r="J3543" s="30" t="s">
        <v>392</v>
      </c>
    </row>
    <row r="3544" spans="1:12" x14ac:dyDescent="0.25">
      <c r="A3544" s="78">
        <v>46212</v>
      </c>
      <c r="B3544" s="68">
        <v>4</v>
      </c>
      <c r="C3544" s="33" t="s">
        <v>666</v>
      </c>
      <c r="D3544" s="30">
        <v>2</v>
      </c>
      <c r="E3544" s="30">
        <v>10</v>
      </c>
      <c r="F3544" s="30">
        <f t="shared" si="122"/>
        <v>20</v>
      </c>
      <c r="G3544" s="30" t="s">
        <v>9</v>
      </c>
      <c r="J3544" s="30" t="s">
        <v>392</v>
      </c>
    </row>
    <row r="3545" spans="1:12" x14ac:dyDescent="0.25">
      <c r="A3545" s="78">
        <v>46212</v>
      </c>
      <c r="B3545" s="68">
        <v>5</v>
      </c>
      <c r="C3545" s="33" t="s">
        <v>1076</v>
      </c>
      <c r="D3545" s="30">
        <v>26</v>
      </c>
      <c r="E3545" s="30">
        <v>54.8</v>
      </c>
      <c r="F3545" s="30">
        <f t="shared" si="122"/>
        <v>1424.8</v>
      </c>
      <c r="G3545" s="30" t="s">
        <v>10</v>
      </c>
      <c r="I3545" s="68" t="s">
        <v>1069</v>
      </c>
      <c r="J3545" s="30" t="s">
        <v>392</v>
      </c>
    </row>
    <row r="3546" spans="1:12" x14ac:dyDescent="0.25">
      <c r="A3546" s="78">
        <v>46212</v>
      </c>
      <c r="B3546" s="68">
        <v>6</v>
      </c>
      <c r="C3546" s="33" t="s">
        <v>1025</v>
      </c>
      <c r="D3546" s="30">
        <v>1</v>
      </c>
      <c r="E3546" s="30">
        <v>50</v>
      </c>
      <c r="F3546" s="30">
        <f t="shared" si="122"/>
        <v>50</v>
      </c>
      <c r="G3546" s="30" t="s">
        <v>9</v>
      </c>
      <c r="J3546" s="30" t="s">
        <v>392</v>
      </c>
    </row>
    <row r="3547" spans="1:12" x14ac:dyDescent="0.25">
      <c r="A3547" s="78">
        <v>46212</v>
      </c>
      <c r="B3547" s="68">
        <v>7</v>
      </c>
      <c r="C3547" s="33" t="s">
        <v>964</v>
      </c>
      <c r="D3547" s="30">
        <v>1</v>
      </c>
      <c r="E3547" s="30">
        <v>10</v>
      </c>
      <c r="F3547" s="30">
        <f t="shared" si="122"/>
        <v>10</v>
      </c>
      <c r="G3547" s="30" t="s">
        <v>9</v>
      </c>
      <c r="J3547" s="30" t="s">
        <v>392</v>
      </c>
    </row>
    <row r="3548" spans="1:12" x14ac:dyDescent="0.25">
      <c r="A3548" s="78">
        <v>46212</v>
      </c>
      <c r="B3548" s="68">
        <v>8</v>
      </c>
      <c r="C3548" s="33" t="s">
        <v>876</v>
      </c>
      <c r="D3548" s="30">
        <v>1</v>
      </c>
      <c r="E3548" s="30">
        <v>20</v>
      </c>
      <c r="F3548" s="30">
        <f t="shared" si="122"/>
        <v>20</v>
      </c>
      <c r="G3548" s="30" t="s">
        <v>9</v>
      </c>
      <c r="J3548" s="30" t="s">
        <v>392</v>
      </c>
    </row>
    <row r="3549" spans="1:12" s="62" customFormat="1" x14ac:dyDescent="0.25">
      <c r="A3549" s="151"/>
      <c r="B3549" s="139"/>
      <c r="C3549" s="150"/>
      <c r="H3549" s="139"/>
      <c r="I3549" s="139">
        <f>SUMIF(G3533:G3548, "&lt;&gt;UPI",F3533:F3548)</f>
        <v>295.15199999999999</v>
      </c>
    </row>
    <row r="3550" spans="1:12" s="170" customFormat="1" ht="18.75" x14ac:dyDescent="0.3">
      <c r="A3550" s="79"/>
      <c r="B3550" s="147" t="s">
        <v>987</v>
      </c>
      <c r="C3550" s="169">
        <f>MAX(B3533:B3549)</f>
        <v>8</v>
      </c>
      <c r="D3550" s="147" t="s">
        <v>988</v>
      </c>
      <c r="E3550" s="170">
        <f>SUMIF(G3533:G3549,"UPI",F3533:F3549)</f>
        <v>1424.8</v>
      </c>
      <c r="F3550" s="230" t="s">
        <v>437</v>
      </c>
      <c r="G3550" s="230"/>
      <c r="H3550" s="230"/>
      <c r="I3550" s="231">
        <f>SUM(F3533:F3549)</f>
        <v>1719.952</v>
      </c>
      <c r="J3550" s="231"/>
      <c r="K3550" s="231"/>
      <c r="L3550" s="231"/>
    </row>
    <row r="3551" spans="1:12" x14ac:dyDescent="0.25">
      <c r="A3551" s="78">
        <v>46213</v>
      </c>
      <c r="B3551" s="68">
        <v>1</v>
      </c>
      <c r="C3551" s="33" t="s">
        <v>734</v>
      </c>
      <c r="D3551" s="30">
        <v>1</v>
      </c>
      <c r="E3551" s="30">
        <v>50</v>
      </c>
      <c r="F3551" s="30">
        <f>E3551*D3551</f>
        <v>50</v>
      </c>
      <c r="G3551" s="30" t="s">
        <v>10</v>
      </c>
      <c r="I3551" s="68" t="s">
        <v>1011</v>
      </c>
      <c r="J3551" s="30" t="s">
        <v>392</v>
      </c>
    </row>
    <row r="3552" spans="1:12" x14ac:dyDescent="0.25">
      <c r="A3552" s="78">
        <v>46213</v>
      </c>
      <c r="B3552" s="68">
        <v>2</v>
      </c>
      <c r="C3552" s="33" t="s">
        <v>726</v>
      </c>
      <c r="D3552" s="30">
        <v>1.5</v>
      </c>
      <c r="E3552" s="30">
        <v>110</v>
      </c>
      <c r="F3552" s="30">
        <f t="shared" ref="F3552:F3583" si="123">E3552*D3552</f>
        <v>165</v>
      </c>
      <c r="G3552" s="30" t="s">
        <v>9</v>
      </c>
      <c r="I3552" s="68" t="s">
        <v>663</v>
      </c>
      <c r="J3552" s="30" t="s">
        <v>392</v>
      </c>
    </row>
    <row r="3553" spans="1:10" x14ac:dyDescent="0.25">
      <c r="A3553" s="78">
        <v>46213</v>
      </c>
      <c r="B3553" s="68">
        <v>2</v>
      </c>
      <c r="C3553" s="33" t="s">
        <v>922</v>
      </c>
      <c r="D3553" s="30">
        <v>1</v>
      </c>
      <c r="E3553" s="30">
        <v>59</v>
      </c>
      <c r="F3553" s="30">
        <f t="shared" si="123"/>
        <v>59</v>
      </c>
      <c r="G3553" s="30" t="s">
        <v>9</v>
      </c>
      <c r="I3553" s="68" t="s">
        <v>663</v>
      </c>
      <c r="J3553" s="30" t="s">
        <v>392</v>
      </c>
    </row>
    <row r="3554" spans="1:10" x14ac:dyDescent="0.25">
      <c r="A3554" s="78">
        <v>46213</v>
      </c>
      <c r="B3554" s="68">
        <v>1</v>
      </c>
      <c r="C3554" s="70" t="s">
        <v>626</v>
      </c>
      <c r="D3554" s="30">
        <v>1</v>
      </c>
      <c r="E3554" s="30">
        <v>10</v>
      </c>
      <c r="F3554" s="30">
        <f t="shared" si="123"/>
        <v>10</v>
      </c>
      <c r="G3554" s="30" t="s">
        <v>10</v>
      </c>
      <c r="I3554" s="68" t="s">
        <v>1011</v>
      </c>
      <c r="J3554" s="30" t="s">
        <v>392</v>
      </c>
    </row>
    <row r="3555" spans="1:10" x14ac:dyDescent="0.25">
      <c r="A3555" s="78">
        <v>46213</v>
      </c>
      <c r="B3555" s="68">
        <v>1</v>
      </c>
      <c r="C3555" s="33" t="s">
        <v>1048</v>
      </c>
      <c r="D3555" s="30">
        <v>1</v>
      </c>
      <c r="E3555" s="30">
        <v>20</v>
      </c>
      <c r="F3555" s="30">
        <f t="shared" si="123"/>
        <v>20</v>
      </c>
      <c r="G3555" s="30" t="s">
        <v>10</v>
      </c>
      <c r="I3555" s="68" t="s">
        <v>1011</v>
      </c>
      <c r="J3555" s="30" t="s">
        <v>392</v>
      </c>
    </row>
    <row r="3556" spans="1:10" x14ac:dyDescent="0.25">
      <c r="A3556" s="78">
        <v>46213</v>
      </c>
      <c r="B3556" s="68">
        <v>1</v>
      </c>
      <c r="C3556" s="33" t="s">
        <v>772</v>
      </c>
      <c r="D3556" s="30">
        <v>1</v>
      </c>
      <c r="E3556" s="30">
        <v>20</v>
      </c>
      <c r="F3556" s="30">
        <f t="shared" si="123"/>
        <v>20</v>
      </c>
      <c r="G3556" s="30" t="s">
        <v>10</v>
      </c>
      <c r="I3556" s="68" t="s">
        <v>1011</v>
      </c>
      <c r="J3556" s="30" t="s">
        <v>392</v>
      </c>
    </row>
    <row r="3557" spans="1:10" x14ac:dyDescent="0.25">
      <c r="A3557" s="78">
        <v>46213</v>
      </c>
      <c r="B3557" s="68">
        <v>1</v>
      </c>
      <c r="C3557" s="33" t="s">
        <v>1076</v>
      </c>
      <c r="D3557" s="30">
        <v>26</v>
      </c>
      <c r="E3557" s="30">
        <v>54.42</v>
      </c>
      <c r="F3557" s="30">
        <f t="shared" si="123"/>
        <v>1414.92</v>
      </c>
      <c r="G3557" s="30" t="s">
        <v>10</v>
      </c>
      <c r="I3557" s="68" t="s">
        <v>1011</v>
      </c>
      <c r="J3557" s="30" t="s">
        <v>392</v>
      </c>
    </row>
    <row r="3558" spans="1:10" x14ac:dyDescent="0.25">
      <c r="A3558" s="78">
        <v>46213</v>
      </c>
      <c r="B3558" s="68">
        <v>3</v>
      </c>
      <c r="C3558" s="33" t="s">
        <v>1079</v>
      </c>
      <c r="D3558" s="30">
        <v>1</v>
      </c>
      <c r="E3558" s="30">
        <v>99</v>
      </c>
      <c r="F3558" s="30">
        <f t="shared" si="123"/>
        <v>99</v>
      </c>
      <c r="G3558" s="30" t="s">
        <v>10</v>
      </c>
      <c r="I3558" s="68" t="s">
        <v>1080</v>
      </c>
      <c r="J3558" s="30" t="s">
        <v>392</v>
      </c>
    </row>
    <row r="3559" spans="1:10" x14ac:dyDescent="0.25">
      <c r="A3559" s="78">
        <v>46213</v>
      </c>
      <c r="B3559" s="68">
        <v>3</v>
      </c>
      <c r="C3559" s="33" t="s">
        <v>125</v>
      </c>
      <c r="D3559" s="30">
        <v>1</v>
      </c>
      <c r="E3559" s="30">
        <v>100</v>
      </c>
      <c r="F3559" s="30">
        <f t="shared" si="123"/>
        <v>100</v>
      </c>
      <c r="G3559" s="30" t="s">
        <v>10</v>
      </c>
      <c r="I3559" s="68" t="s">
        <v>1080</v>
      </c>
      <c r="J3559" s="30" t="s">
        <v>392</v>
      </c>
    </row>
    <row r="3560" spans="1:10" x14ac:dyDescent="0.25">
      <c r="A3560" s="78">
        <v>46213</v>
      </c>
      <c r="B3560" s="68">
        <v>3</v>
      </c>
      <c r="C3560" s="33" t="s">
        <v>321</v>
      </c>
      <c r="D3560" s="30">
        <v>1</v>
      </c>
      <c r="E3560" s="30">
        <v>105</v>
      </c>
      <c r="F3560" s="30">
        <f t="shared" si="123"/>
        <v>105</v>
      </c>
      <c r="G3560" s="30" t="s">
        <v>10</v>
      </c>
      <c r="I3560" s="68" t="s">
        <v>1080</v>
      </c>
      <c r="J3560" s="30" t="s">
        <v>392</v>
      </c>
    </row>
    <row r="3561" spans="1:10" x14ac:dyDescent="0.25">
      <c r="A3561" s="78">
        <v>46213</v>
      </c>
      <c r="B3561" s="68">
        <v>4</v>
      </c>
      <c r="C3561" s="33" t="s">
        <v>860</v>
      </c>
      <c r="D3561" s="30">
        <v>8</v>
      </c>
      <c r="E3561" s="30">
        <v>5</v>
      </c>
      <c r="F3561" s="30">
        <f t="shared" si="123"/>
        <v>40</v>
      </c>
      <c r="G3561" s="30" t="s">
        <v>10</v>
      </c>
      <c r="I3561" s="68" t="s">
        <v>660</v>
      </c>
      <c r="J3561" s="30" t="s">
        <v>392</v>
      </c>
    </row>
    <row r="3562" spans="1:10" x14ac:dyDescent="0.25">
      <c r="A3562" s="78">
        <v>46213</v>
      </c>
      <c r="B3562" s="68">
        <v>4</v>
      </c>
      <c r="C3562" s="33" t="s">
        <v>669</v>
      </c>
      <c r="D3562" s="30">
        <v>1</v>
      </c>
      <c r="E3562" s="30">
        <v>5</v>
      </c>
      <c r="F3562" s="30">
        <f t="shared" si="123"/>
        <v>5</v>
      </c>
      <c r="G3562" s="30" t="s">
        <v>10</v>
      </c>
      <c r="I3562" s="68" t="s">
        <v>660</v>
      </c>
      <c r="J3562" s="30" t="s">
        <v>392</v>
      </c>
    </row>
    <row r="3563" spans="1:10" x14ac:dyDescent="0.25">
      <c r="A3563" s="78">
        <v>46213</v>
      </c>
      <c r="B3563" s="68">
        <v>4</v>
      </c>
      <c r="C3563" s="33" t="s">
        <v>680</v>
      </c>
      <c r="D3563" s="30">
        <v>2</v>
      </c>
      <c r="E3563" s="30">
        <v>10</v>
      </c>
      <c r="F3563" s="30">
        <f t="shared" si="123"/>
        <v>20</v>
      </c>
      <c r="G3563" s="30" t="s">
        <v>10</v>
      </c>
      <c r="I3563" s="68" t="s">
        <v>660</v>
      </c>
      <c r="J3563" s="30" t="s">
        <v>392</v>
      </c>
    </row>
    <row r="3564" spans="1:10" x14ac:dyDescent="0.25">
      <c r="A3564" s="78">
        <v>46213</v>
      </c>
      <c r="B3564" s="68">
        <v>4</v>
      </c>
      <c r="C3564" s="33" t="s">
        <v>1070</v>
      </c>
      <c r="D3564" s="30">
        <v>0.5</v>
      </c>
      <c r="E3564" s="30">
        <v>20</v>
      </c>
      <c r="F3564" s="30">
        <f t="shared" si="123"/>
        <v>10</v>
      </c>
      <c r="G3564" s="30" t="s">
        <v>10</v>
      </c>
      <c r="I3564" s="68" t="s">
        <v>660</v>
      </c>
      <c r="J3564" s="30" t="s">
        <v>392</v>
      </c>
    </row>
    <row r="3565" spans="1:10" x14ac:dyDescent="0.25">
      <c r="A3565" s="78">
        <v>46213</v>
      </c>
      <c r="B3565" s="68">
        <v>4</v>
      </c>
      <c r="C3565" s="33" t="s">
        <v>848</v>
      </c>
      <c r="D3565" s="30">
        <v>1</v>
      </c>
      <c r="E3565" s="30">
        <v>5</v>
      </c>
      <c r="F3565" s="30">
        <f t="shared" si="123"/>
        <v>5</v>
      </c>
      <c r="G3565" s="30" t="s">
        <v>10</v>
      </c>
      <c r="I3565" s="68" t="s">
        <v>660</v>
      </c>
      <c r="J3565" s="30" t="s">
        <v>392</v>
      </c>
    </row>
    <row r="3566" spans="1:10" x14ac:dyDescent="0.25">
      <c r="A3566" s="78">
        <v>46213</v>
      </c>
      <c r="B3566" s="68">
        <v>5</v>
      </c>
      <c r="C3566" s="33" t="s">
        <v>1070</v>
      </c>
      <c r="D3566" s="30">
        <v>1</v>
      </c>
      <c r="E3566" s="30">
        <v>20</v>
      </c>
      <c r="F3566" s="30">
        <f t="shared" si="123"/>
        <v>20</v>
      </c>
      <c r="G3566" s="30" t="s">
        <v>9</v>
      </c>
      <c r="I3566" s="68" t="s">
        <v>1081</v>
      </c>
      <c r="J3566" s="30" t="s">
        <v>392</v>
      </c>
    </row>
    <row r="3567" spans="1:10" x14ac:dyDescent="0.25">
      <c r="A3567" s="78">
        <v>46213</v>
      </c>
      <c r="B3567" s="68">
        <v>5</v>
      </c>
      <c r="C3567" s="33" t="s">
        <v>876</v>
      </c>
      <c r="D3567" s="30">
        <v>1</v>
      </c>
      <c r="E3567" s="30">
        <v>20</v>
      </c>
      <c r="F3567" s="30">
        <f t="shared" si="123"/>
        <v>20</v>
      </c>
      <c r="G3567" s="30" t="s">
        <v>9</v>
      </c>
      <c r="I3567" s="68" t="s">
        <v>1081</v>
      </c>
      <c r="J3567" s="30" t="s">
        <v>392</v>
      </c>
    </row>
    <row r="3568" spans="1:10" x14ac:dyDescent="0.25">
      <c r="A3568" s="78">
        <v>46213</v>
      </c>
      <c r="B3568" s="68">
        <v>4</v>
      </c>
      <c r="C3568" s="33" t="s">
        <v>860</v>
      </c>
      <c r="D3568" s="30">
        <v>3</v>
      </c>
      <c r="E3568" s="30">
        <v>5</v>
      </c>
      <c r="F3568" s="30">
        <f t="shared" si="123"/>
        <v>15</v>
      </c>
      <c r="G3568" s="30" t="s">
        <v>10</v>
      </c>
      <c r="I3568" s="68" t="s">
        <v>660</v>
      </c>
      <c r="J3568" s="30" t="s">
        <v>392</v>
      </c>
    </row>
    <row r="3569" spans="1:10" x14ac:dyDescent="0.25">
      <c r="A3569" s="78">
        <v>46213</v>
      </c>
      <c r="B3569" s="68">
        <v>6</v>
      </c>
      <c r="C3569" s="33" t="s">
        <v>968</v>
      </c>
      <c r="D3569" s="30">
        <v>0.51700000000000002</v>
      </c>
      <c r="E3569" s="30">
        <v>58</v>
      </c>
      <c r="F3569" s="30">
        <f t="shared" si="123"/>
        <v>29.986000000000001</v>
      </c>
      <c r="G3569" s="30" t="s">
        <v>9</v>
      </c>
      <c r="I3569" s="68" t="s">
        <v>1045</v>
      </c>
      <c r="J3569" s="30" t="s">
        <v>392</v>
      </c>
    </row>
    <row r="3570" spans="1:10" x14ac:dyDescent="0.25">
      <c r="A3570" s="78">
        <v>46213</v>
      </c>
      <c r="B3570" s="68">
        <v>6</v>
      </c>
      <c r="C3570" s="33" t="s">
        <v>807</v>
      </c>
      <c r="D3570" s="30">
        <v>0.5</v>
      </c>
      <c r="E3570" s="30">
        <v>70</v>
      </c>
      <c r="F3570" s="30">
        <f t="shared" si="123"/>
        <v>35</v>
      </c>
      <c r="G3570" s="30" t="s">
        <v>9</v>
      </c>
      <c r="I3570" s="68" t="s">
        <v>1045</v>
      </c>
      <c r="J3570" s="30" t="s">
        <v>392</v>
      </c>
    </row>
    <row r="3571" spans="1:10" x14ac:dyDescent="0.25">
      <c r="A3571" s="78">
        <v>46213</v>
      </c>
      <c r="B3571" s="68">
        <v>6</v>
      </c>
      <c r="C3571" s="33" t="s">
        <v>772</v>
      </c>
      <c r="D3571" s="30">
        <v>1</v>
      </c>
      <c r="E3571" s="30">
        <v>20</v>
      </c>
      <c r="F3571" s="30">
        <f t="shared" si="123"/>
        <v>20</v>
      </c>
      <c r="G3571" s="30" t="s">
        <v>9</v>
      </c>
      <c r="I3571" s="68" t="s">
        <v>1045</v>
      </c>
      <c r="J3571" s="30" t="s">
        <v>392</v>
      </c>
    </row>
    <row r="3572" spans="1:10" x14ac:dyDescent="0.25">
      <c r="A3572" s="78">
        <v>46213</v>
      </c>
      <c r="B3572" s="68">
        <v>6</v>
      </c>
      <c r="C3572" s="70" t="s">
        <v>667</v>
      </c>
      <c r="D3572" s="30">
        <v>3</v>
      </c>
      <c r="E3572" s="30">
        <v>5</v>
      </c>
      <c r="F3572" s="30">
        <f t="shared" si="123"/>
        <v>15</v>
      </c>
      <c r="G3572" s="30" t="s">
        <v>9</v>
      </c>
      <c r="I3572" s="68" t="s">
        <v>1045</v>
      </c>
      <c r="J3572" s="30" t="s">
        <v>392</v>
      </c>
    </row>
    <row r="3573" spans="1:10" x14ac:dyDescent="0.25">
      <c r="A3573" s="78">
        <v>46213</v>
      </c>
      <c r="B3573" s="68">
        <v>7</v>
      </c>
      <c r="C3573" s="33" t="s">
        <v>445</v>
      </c>
      <c r="D3573" s="30">
        <v>1</v>
      </c>
      <c r="E3573" s="30">
        <v>10</v>
      </c>
      <c r="F3573" s="30">
        <f t="shared" si="123"/>
        <v>10</v>
      </c>
      <c r="G3573" s="30" t="s">
        <v>9</v>
      </c>
      <c r="I3573" s="68" t="s">
        <v>1009</v>
      </c>
      <c r="J3573" s="30" t="s">
        <v>392</v>
      </c>
    </row>
    <row r="3574" spans="1:10" x14ac:dyDescent="0.25">
      <c r="A3574" s="78">
        <v>46213</v>
      </c>
      <c r="B3574" s="68">
        <v>7</v>
      </c>
      <c r="C3574" s="33" t="s">
        <v>807</v>
      </c>
      <c r="D3574" s="30">
        <v>0.14299999999999999</v>
      </c>
      <c r="E3574" s="30">
        <v>70</v>
      </c>
      <c r="F3574" s="30">
        <f t="shared" si="123"/>
        <v>10.01</v>
      </c>
      <c r="G3574" s="30" t="s">
        <v>9</v>
      </c>
      <c r="I3574" s="68" t="s">
        <v>1009</v>
      </c>
      <c r="J3574" s="30" t="s">
        <v>392</v>
      </c>
    </row>
    <row r="3575" spans="1:10" x14ac:dyDescent="0.25">
      <c r="A3575" s="78">
        <v>46213</v>
      </c>
      <c r="B3575" s="68">
        <v>7</v>
      </c>
      <c r="C3575" s="33" t="s">
        <v>1063</v>
      </c>
      <c r="D3575" s="30">
        <v>1</v>
      </c>
      <c r="E3575" s="30">
        <v>10</v>
      </c>
      <c r="F3575" s="30">
        <f t="shared" si="123"/>
        <v>10</v>
      </c>
      <c r="G3575" s="30" t="s">
        <v>9</v>
      </c>
      <c r="I3575" s="68" t="s">
        <v>1009</v>
      </c>
      <c r="J3575" s="30" t="s">
        <v>392</v>
      </c>
    </row>
    <row r="3576" spans="1:10" ht="30" x14ac:dyDescent="0.25">
      <c r="A3576" s="78">
        <v>46213</v>
      </c>
      <c r="B3576" s="68">
        <v>8</v>
      </c>
      <c r="C3576" s="33" t="s">
        <v>770</v>
      </c>
      <c r="D3576" s="30">
        <v>1</v>
      </c>
      <c r="E3576" s="30">
        <v>90</v>
      </c>
      <c r="F3576" s="30">
        <f t="shared" si="123"/>
        <v>90</v>
      </c>
      <c r="G3576" s="30" t="s">
        <v>9</v>
      </c>
      <c r="I3576" s="68" t="s">
        <v>1010</v>
      </c>
      <c r="J3576" s="30" t="s">
        <v>392</v>
      </c>
    </row>
    <row r="3577" spans="1:10" x14ac:dyDescent="0.25">
      <c r="A3577" s="78">
        <v>46213</v>
      </c>
      <c r="B3577" s="68">
        <v>8</v>
      </c>
      <c r="C3577" s="33" t="s">
        <v>1070</v>
      </c>
      <c r="D3577" s="30">
        <v>1.5</v>
      </c>
      <c r="E3577" s="30">
        <v>20</v>
      </c>
      <c r="F3577" s="30">
        <f t="shared" si="123"/>
        <v>30</v>
      </c>
      <c r="G3577" s="30" t="s">
        <v>9</v>
      </c>
      <c r="I3577" s="68" t="s">
        <v>1010</v>
      </c>
      <c r="J3577" s="30" t="s">
        <v>392</v>
      </c>
    </row>
    <row r="3578" spans="1:10" x14ac:dyDescent="0.25">
      <c r="A3578" s="78">
        <v>46213</v>
      </c>
      <c r="B3578" s="68">
        <v>8</v>
      </c>
      <c r="C3578" s="33" t="s">
        <v>80</v>
      </c>
      <c r="D3578" s="30">
        <v>1</v>
      </c>
      <c r="E3578" s="30">
        <v>40</v>
      </c>
      <c r="F3578" s="30">
        <f t="shared" si="123"/>
        <v>40</v>
      </c>
      <c r="G3578" s="30" t="s">
        <v>9</v>
      </c>
      <c r="I3578" s="68" t="s">
        <v>1010</v>
      </c>
      <c r="J3578" s="30" t="s">
        <v>392</v>
      </c>
    </row>
    <row r="3579" spans="1:10" x14ac:dyDescent="0.25">
      <c r="A3579" s="78">
        <v>46213</v>
      </c>
      <c r="B3579" s="68">
        <v>9</v>
      </c>
      <c r="C3579" s="33" t="s">
        <v>1050</v>
      </c>
      <c r="D3579" s="30">
        <v>2</v>
      </c>
      <c r="E3579" s="30">
        <v>9</v>
      </c>
      <c r="F3579" s="30">
        <f t="shared" si="123"/>
        <v>18</v>
      </c>
      <c r="G3579" s="30" t="s">
        <v>9</v>
      </c>
      <c r="J3579" s="30" t="s">
        <v>392</v>
      </c>
    </row>
    <row r="3580" spans="1:10" x14ac:dyDescent="0.25">
      <c r="A3580" s="78">
        <v>46213</v>
      </c>
      <c r="B3580" s="68">
        <v>9</v>
      </c>
      <c r="C3580" s="33" t="s">
        <v>524</v>
      </c>
      <c r="D3580" s="30">
        <v>2</v>
      </c>
      <c r="E3580" s="30">
        <v>1</v>
      </c>
      <c r="F3580" s="30">
        <f t="shared" si="123"/>
        <v>2</v>
      </c>
      <c r="G3580" s="30" t="s">
        <v>9</v>
      </c>
      <c r="J3580" s="30" t="s">
        <v>392</v>
      </c>
    </row>
    <row r="3581" spans="1:10" x14ac:dyDescent="0.25">
      <c r="A3581" s="78">
        <v>46213</v>
      </c>
      <c r="B3581" s="68">
        <v>8</v>
      </c>
      <c r="C3581" s="33" t="s">
        <v>1073</v>
      </c>
      <c r="D3581" s="30">
        <v>2</v>
      </c>
      <c r="E3581" s="30">
        <v>5</v>
      </c>
      <c r="F3581" s="30">
        <f t="shared" si="123"/>
        <v>10</v>
      </c>
      <c r="G3581" s="30" t="s">
        <v>9</v>
      </c>
      <c r="I3581" s="68" t="s">
        <v>1082</v>
      </c>
      <c r="J3581" s="30" t="s">
        <v>392</v>
      </c>
    </row>
    <row r="3582" spans="1:10" x14ac:dyDescent="0.25">
      <c r="A3582" s="78">
        <v>46213</v>
      </c>
      <c r="B3582" s="68">
        <v>10</v>
      </c>
      <c r="C3582" s="33" t="s">
        <v>856</v>
      </c>
      <c r="D3582" s="30">
        <v>1</v>
      </c>
      <c r="E3582" s="30">
        <v>10</v>
      </c>
      <c r="F3582" s="30">
        <f t="shared" si="123"/>
        <v>10</v>
      </c>
      <c r="G3582" s="30" t="s">
        <v>9</v>
      </c>
      <c r="J3582" s="30" t="s">
        <v>392</v>
      </c>
    </row>
    <row r="3583" spans="1:10" x14ac:dyDescent="0.25">
      <c r="A3583" s="78">
        <v>46213</v>
      </c>
      <c r="B3583" s="68">
        <v>11</v>
      </c>
      <c r="C3583" s="33" t="s">
        <v>668</v>
      </c>
      <c r="D3583" s="30">
        <v>2</v>
      </c>
      <c r="E3583" s="30">
        <v>5</v>
      </c>
      <c r="F3583" s="30">
        <f t="shared" si="123"/>
        <v>10</v>
      </c>
      <c r="G3583" s="30" t="s">
        <v>9</v>
      </c>
      <c r="J3583" s="30" t="s">
        <v>392</v>
      </c>
    </row>
    <row r="3584" spans="1:10" s="62" customFormat="1" x14ac:dyDescent="0.25">
      <c r="A3584" s="151"/>
      <c r="B3584" s="139"/>
      <c r="C3584" s="150"/>
      <c r="H3584" s="139"/>
      <c r="I3584" s="139">
        <f>SUMIF(G3551:G3583, "&lt;&gt;UPI",F3551:F3583)</f>
        <v>603.99599999999998</v>
      </c>
    </row>
    <row r="3585" spans="1:12" s="170" customFormat="1" ht="18.75" x14ac:dyDescent="0.3">
      <c r="A3585" s="79"/>
      <c r="B3585" s="147" t="s">
        <v>987</v>
      </c>
      <c r="C3585" s="169">
        <f>MAX(B3551:B3584)</f>
        <v>11</v>
      </c>
      <c r="D3585" s="147" t="s">
        <v>988</v>
      </c>
      <c r="E3585" s="170">
        <f>SUMIF(G3551:G3584,"UPI",F3551:F3584)</f>
        <v>1913.92</v>
      </c>
      <c r="F3585" s="230" t="s">
        <v>437</v>
      </c>
      <c r="G3585" s="230"/>
      <c r="H3585" s="230"/>
      <c r="I3585" s="231">
        <f>SUM(F3551:F3584)</f>
        <v>2517.9160000000002</v>
      </c>
      <c r="J3585" s="231"/>
      <c r="K3585" s="231"/>
      <c r="L3585" s="231"/>
    </row>
    <row r="3586" spans="1:12" x14ac:dyDescent="0.25">
      <c r="A3586" s="78">
        <v>46214</v>
      </c>
      <c r="B3586" s="68">
        <v>1</v>
      </c>
      <c r="C3586" s="33" t="s">
        <v>848</v>
      </c>
      <c r="D3586" s="30">
        <v>2</v>
      </c>
      <c r="E3586" s="30">
        <v>5</v>
      </c>
      <c r="F3586" s="30">
        <f>E3586*D3586</f>
        <v>10</v>
      </c>
      <c r="G3586" s="30" t="s">
        <v>9</v>
      </c>
      <c r="J3586" s="30" t="s">
        <v>392</v>
      </c>
    </row>
    <row r="3587" spans="1:12" ht="30" x14ac:dyDescent="0.25">
      <c r="A3587" s="78">
        <v>46214</v>
      </c>
      <c r="B3587" s="68">
        <v>1</v>
      </c>
      <c r="C3587" s="33" t="s">
        <v>106</v>
      </c>
      <c r="D3587" s="30">
        <v>2</v>
      </c>
      <c r="E3587" s="30">
        <v>1</v>
      </c>
      <c r="F3587" s="30">
        <f t="shared" ref="F3587:F3618" si="124">E3587*D3587</f>
        <v>2</v>
      </c>
      <c r="G3587" s="30" t="s">
        <v>9</v>
      </c>
      <c r="J3587" s="30" t="s">
        <v>392</v>
      </c>
    </row>
    <row r="3588" spans="1:12" x14ac:dyDescent="0.25">
      <c r="A3588" s="78">
        <v>46214</v>
      </c>
      <c r="B3588" s="68">
        <v>2</v>
      </c>
      <c r="C3588" s="33" t="s">
        <v>66</v>
      </c>
      <c r="D3588" s="30">
        <v>1</v>
      </c>
      <c r="E3588" s="30">
        <v>10</v>
      </c>
      <c r="F3588" s="30">
        <f t="shared" si="124"/>
        <v>10</v>
      </c>
      <c r="G3588" s="30" t="s">
        <v>9</v>
      </c>
      <c r="I3588" s="68" t="s">
        <v>1046</v>
      </c>
      <c r="J3588" s="30" t="s">
        <v>392</v>
      </c>
    </row>
    <row r="3589" spans="1:12" x14ac:dyDescent="0.25">
      <c r="A3589" s="78">
        <v>46214</v>
      </c>
      <c r="B3589" s="68">
        <v>2</v>
      </c>
      <c r="C3589" s="33" t="s">
        <v>913</v>
      </c>
      <c r="D3589" s="30">
        <v>1</v>
      </c>
      <c r="E3589" s="30">
        <v>35</v>
      </c>
      <c r="F3589" s="30">
        <f t="shared" si="124"/>
        <v>35</v>
      </c>
      <c r="G3589" s="30" t="s">
        <v>9</v>
      </c>
      <c r="I3589" s="68" t="s">
        <v>1046</v>
      </c>
      <c r="J3589" s="30" t="s">
        <v>392</v>
      </c>
    </row>
    <row r="3590" spans="1:12" x14ac:dyDescent="0.25">
      <c r="A3590" s="78">
        <v>46214</v>
      </c>
      <c r="B3590" s="68">
        <v>2</v>
      </c>
      <c r="C3590" s="33" t="s">
        <v>1060</v>
      </c>
      <c r="D3590" s="30">
        <v>1</v>
      </c>
      <c r="E3590" s="30">
        <v>20</v>
      </c>
      <c r="F3590" s="30">
        <f t="shared" si="124"/>
        <v>20</v>
      </c>
      <c r="G3590" s="30" t="s">
        <v>9</v>
      </c>
      <c r="I3590" s="68" t="s">
        <v>1046</v>
      </c>
      <c r="J3590" s="30" t="s">
        <v>392</v>
      </c>
    </row>
    <row r="3591" spans="1:12" x14ac:dyDescent="0.25">
      <c r="A3591" s="78">
        <v>46214</v>
      </c>
      <c r="B3591" s="68">
        <v>2</v>
      </c>
      <c r="C3591" s="33" t="s">
        <v>742</v>
      </c>
      <c r="D3591" s="30">
        <v>1</v>
      </c>
      <c r="E3591" s="30">
        <v>25</v>
      </c>
      <c r="F3591" s="30">
        <f t="shared" si="124"/>
        <v>25</v>
      </c>
      <c r="G3591" s="30" t="s">
        <v>9</v>
      </c>
      <c r="I3591" s="68" t="s">
        <v>1046</v>
      </c>
      <c r="J3591" s="30" t="s">
        <v>392</v>
      </c>
    </row>
    <row r="3592" spans="1:12" x14ac:dyDescent="0.25">
      <c r="A3592" s="78">
        <v>46214</v>
      </c>
      <c r="B3592" s="68">
        <v>2</v>
      </c>
      <c r="C3592" s="33" t="s">
        <v>1050</v>
      </c>
      <c r="D3592" s="30">
        <v>8</v>
      </c>
      <c r="E3592" s="30">
        <v>8.75</v>
      </c>
      <c r="F3592" s="30">
        <f t="shared" si="124"/>
        <v>70</v>
      </c>
      <c r="G3592" s="30" t="s">
        <v>9</v>
      </c>
      <c r="I3592" s="68" t="s">
        <v>1046</v>
      </c>
      <c r="J3592" s="30" t="s">
        <v>392</v>
      </c>
    </row>
    <row r="3593" spans="1:12" ht="30" x14ac:dyDescent="0.25">
      <c r="A3593" s="78">
        <v>46214</v>
      </c>
      <c r="B3593" s="68">
        <v>2</v>
      </c>
      <c r="C3593" s="33" t="s">
        <v>897</v>
      </c>
      <c r="D3593" s="30">
        <v>5</v>
      </c>
      <c r="E3593" s="30">
        <v>1</v>
      </c>
      <c r="F3593" s="30">
        <f t="shared" si="124"/>
        <v>5</v>
      </c>
      <c r="G3593" s="30" t="s">
        <v>9</v>
      </c>
      <c r="I3593" s="68" t="s">
        <v>1046</v>
      </c>
      <c r="J3593" s="30" t="s">
        <v>392</v>
      </c>
    </row>
    <row r="3594" spans="1:12" x14ac:dyDescent="0.25">
      <c r="A3594" s="78">
        <v>46214</v>
      </c>
      <c r="B3594" s="68">
        <v>2</v>
      </c>
      <c r="C3594" s="33" t="s">
        <v>652</v>
      </c>
      <c r="D3594" s="30">
        <v>1</v>
      </c>
      <c r="E3594" s="30">
        <v>20</v>
      </c>
      <c r="F3594" s="30">
        <f t="shared" si="124"/>
        <v>20</v>
      </c>
      <c r="G3594" s="30" t="s">
        <v>9</v>
      </c>
      <c r="I3594" s="68" t="s">
        <v>1046</v>
      </c>
      <c r="J3594" s="30" t="s">
        <v>392</v>
      </c>
    </row>
    <row r="3595" spans="1:12" x14ac:dyDescent="0.25">
      <c r="A3595" s="78">
        <v>46214</v>
      </c>
      <c r="B3595" s="68">
        <v>2</v>
      </c>
      <c r="C3595" s="33" t="s">
        <v>1047</v>
      </c>
      <c r="D3595" s="30">
        <v>1</v>
      </c>
      <c r="E3595" s="30">
        <v>60</v>
      </c>
      <c r="F3595" s="30">
        <f t="shared" si="124"/>
        <v>60</v>
      </c>
      <c r="G3595" s="30" t="s">
        <v>9</v>
      </c>
      <c r="I3595" s="68" t="s">
        <v>1046</v>
      </c>
      <c r="J3595" s="30" t="s">
        <v>392</v>
      </c>
    </row>
    <row r="3596" spans="1:12" x14ac:dyDescent="0.25">
      <c r="A3596" s="78">
        <v>46214</v>
      </c>
      <c r="B3596" s="68">
        <v>2</v>
      </c>
      <c r="C3596" s="33" t="s">
        <v>717</v>
      </c>
      <c r="D3596" s="30">
        <v>1</v>
      </c>
      <c r="E3596" s="30">
        <v>95</v>
      </c>
      <c r="F3596" s="30">
        <f t="shared" si="124"/>
        <v>95</v>
      </c>
      <c r="G3596" s="30" t="s">
        <v>9</v>
      </c>
      <c r="I3596" s="68" t="s">
        <v>1046</v>
      </c>
      <c r="J3596" s="30" t="s">
        <v>392</v>
      </c>
    </row>
    <row r="3597" spans="1:12" x14ac:dyDescent="0.25">
      <c r="A3597" s="78">
        <v>46214</v>
      </c>
      <c r="B3597" s="68">
        <v>2</v>
      </c>
      <c r="C3597" s="33" t="s">
        <v>414</v>
      </c>
      <c r="D3597" s="30">
        <v>1</v>
      </c>
      <c r="E3597" s="30">
        <v>40</v>
      </c>
      <c r="F3597" s="30">
        <f t="shared" si="124"/>
        <v>40</v>
      </c>
      <c r="G3597" s="30" t="s">
        <v>9</v>
      </c>
      <c r="I3597" s="68" t="s">
        <v>1046</v>
      </c>
      <c r="J3597" s="30" t="s">
        <v>392</v>
      </c>
    </row>
    <row r="3598" spans="1:12" x14ac:dyDescent="0.25">
      <c r="A3598" s="78">
        <v>46214</v>
      </c>
      <c r="B3598" s="68">
        <v>3</v>
      </c>
      <c r="C3598" s="33" t="s">
        <v>876</v>
      </c>
      <c r="D3598" s="30">
        <v>1</v>
      </c>
      <c r="E3598" s="30">
        <v>20</v>
      </c>
      <c r="F3598" s="30">
        <f t="shared" si="124"/>
        <v>20</v>
      </c>
      <c r="G3598" s="30" t="s">
        <v>9</v>
      </c>
      <c r="I3598" s="68" t="s">
        <v>1084</v>
      </c>
      <c r="J3598" s="30" t="s">
        <v>392</v>
      </c>
    </row>
    <row r="3599" spans="1:12" x14ac:dyDescent="0.25">
      <c r="A3599" s="78">
        <v>46214</v>
      </c>
      <c r="B3599" s="68">
        <v>3</v>
      </c>
      <c r="C3599" s="33" t="s">
        <v>1048</v>
      </c>
      <c r="D3599" s="30">
        <v>1</v>
      </c>
      <c r="E3599" s="30">
        <v>20</v>
      </c>
      <c r="F3599" s="30">
        <f t="shared" si="124"/>
        <v>20</v>
      </c>
      <c r="G3599" s="30" t="s">
        <v>9</v>
      </c>
      <c r="I3599" s="68" t="s">
        <v>1084</v>
      </c>
      <c r="J3599" s="30" t="s">
        <v>392</v>
      </c>
    </row>
    <row r="3600" spans="1:12" x14ac:dyDescent="0.25">
      <c r="A3600" s="78">
        <v>46214</v>
      </c>
      <c r="B3600" s="68">
        <v>3</v>
      </c>
      <c r="C3600" s="33" t="s">
        <v>1050</v>
      </c>
      <c r="D3600" s="30">
        <v>12</v>
      </c>
      <c r="E3600" s="30">
        <v>8.75</v>
      </c>
      <c r="F3600" s="30">
        <f t="shared" si="124"/>
        <v>105</v>
      </c>
      <c r="G3600" s="30" t="s">
        <v>9</v>
      </c>
      <c r="I3600" s="68" t="s">
        <v>1084</v>
      </c>
      <c r="J3600" s="30" t="s">
        <v>392</v>
      </c>
    </row>
    <row r="3601" spans="1:10" ht="30" x14ac:dyDescent="0.25">
      <c r="A3601" s="78">
        <v>46214</v>
      </c>
      <c r="B3601" s="68">
        <v>4</v>
      </c>
      <c r="C3601" s="33" t="s">
        <v>1051</v>
      </c>
      <c r="D3601" s="30">
        <v>1</v>
      </c>
      <c r="E3601" s="30">
        <v>20</v>
      </c>
      <c r="F3601" s="30">
        <f t="shared" si="124"/>
        <v>20</v>
      </c>
      <c r="G3601" s="30" t="s">
        <v>10</v>
      </c>
      <c r="I3601" s="68" t="s">
        <v>1080</v>
      </c>
      <c r="J3601" s="30" t="s">
        <v>392</v>
      </c>
    </row>
    <row r="3602" spans="1:10" x14ac:dyDescent="0.25">
      <c r="A3602" s="78">
        <v>46214</v>
      </c>
      <c r="B3602" s="68">
        <v>4</v>
      </c>
      <c r="C3602" s="33" t="s">
        <v>666</v>
      </c>
      <c r="D3602" s="30">
        <v>1</v>
      </c>
      <c r="E3602" s="30">
        <v>10</v>
      </c>
      <c r="F3602" s="30">
        <f t="shared" si="124"/>
        <v>10</v>
      </c>
      <c r="G3602" s="30" t="s">
        <v>10</v>
      </c>
      <c r="I3602" s="68" t="s">
        <v>1080</v>
      </c>
      <c r="J3602" s="30" t="s">
        <v>392</v>
      </c>
    </row>
    <row r="3603" spans="1:10" x14ac:dyDescent="0.25">
      <c r="A3603" s="78">
        <v>46214</v>
      </c>
      <c r="B3603" s="68">
        <v>4</v>
      </c>
      <c r="C3603" s="33" t="s">
        <v>1002</v>
      </c>
      <c r="D3603" s="30">
        <v>1</v>
      </c>
      <c r="E3603" s="30">
        <v>30</v>
      </c>
      <c r="F3603" s="30">
        <f t="shared" si="124"/>
        <v>30</v>
      </c>
      <c r="G3603" s="30" t="s">
        <v>10</v>
      </c>
      <c r="I3603" s="68" t="s">
        <v>1080</v>
      </c>
      <c r="J3603" s="30" t="s">
        <v>392</v>
      </c>
    </row>
    <row r="3604" spans="1:10" x14ac:dyDescent="0.25">
      <c r="A3604" s="78">
        <v>46214</v>
      </c>
      <c r="B3604" s="68">
        <v>4</v>
      </c>
      <c r="C3604" s="33" t="s">
        <v>859</v>
      </c>
      <c r="D3604" s="30">
        <v>1</v>
      </c>
      <c r="E3604" s="30">
        <v>10</v>
      </c>
      <c r="F3604" s="30">
        <f t="shared" si="124"/>
        <v>10</v>
      </c>
      <c r="G3604" s="30" t="s">
        <v>10</v>
      </c>
      <c r="I3604" s="68" t="s">
        <v>1080</v>
      </c>
      <c r="J3604" s="30" t="s">
        <v>392</v>
      </c>
    </row>
    <row r="3605" spans="1:10" x14ac:dyDescent="0.25">
      <c r="A3605" s="78">
        <v>46214</v>
      </c>
      <c r="B3605" s="68">
        <v>4</v>
      </c>
      <c r="C3605" s="33" t="s">
        <v>1007</v>
      </c>
      <c r="D3605" s="30">
        <v>1</v>
      </c>
      <c r="E3605" s="30">
        <v>35</v>
      </c>
      <c r="F3605" s="30">
        <f t="shared" si="124"/>
        <v>35</v>
      </c>
      <c r="G3605" s="30" t="s">
        <v>10</v>
      </c>
      <c r="I3605" s="68" t="s">
        <v>1080</v>
      </c>
      <c r="J3605" s="30" t="s">
        <v>392</v>
      </c>
    </row>
    <row r="3606" spans="1:10" x14ac:dyDescent="0.25">
      <c r="A3606" s="78">
        <v>46214</v>
      </c>
      <c r="B3606" s="68">
        <v>4</v>
      </c>
      <c r="C3606" s="33" t="s">
        <v>669</v>
      </c>
      <c r="D3606" s="30">
        <v>1</v>
      </c>
      <c r="E3606" s="30">
        <v>5</v>
      </c>
      <c r="F3606" s="30">
        <f t="shared" si="124"/>
        <v>5</v>
      </c>
      <c r="G3606" s="30" t="s">
        <v>10</v>
      </c>
      <c r="I3606" s="68" t="s">
        <v>1080</v>
      </c>
      <c r="J3606" s="30" t="s">
        <v>392</v>
      </c>
    </row>
    <row r="3607" spans="1:10" x14ac:dyDescent="0.25">
      <c r="A3607" s="78">
        <v>46214</v>
      </c>
      <c r="B3607" s="68">
        <v>4</v>
      </c>
      <c r="C3607" s="33" t="s">
        <v>998</v>
      </c>
      <c r="D3607" s="30">
        <v>1</v>
      </c>
      <c r="E3607" s="30">
        <v>20</v>
      </c>
      <c r="F3607" s="30">
        <f t="shared" si="124"/>
        <v>20</v>
      </c>
      <c r="G3607" s="30" t="s">
        <v>10</v>
      </c>
      <c r="I3607" s="68" t="s">
        <v>1080</v>
      </c>
      <c r="J3607" s="30" t="s">
        <v>392</v>
      </c>
    </row>
    <row r="3608" spans="1:10" x14ac:dyDescent="0.25">
      <c r="A3608" s="78">
        <v>46214</v>
      </c>
      <c r="B3608" s="68">
        <v>5</v>
      </c>
      <c r="C3608" s="33" t="s">
        <v>920</v>
      </c>
      <c r="D3608" s="30">
        <v>1</v>
      </c>
      <c r="E3608" s="30">
        <v>60</v>
      </c>
      <c r="F3608" s="30">
        <f t="shared" si="124"/>
        <v>60</v>
      </c>
      <c r="G3608" s="30" t="s">
        <v>9</v>
      </c>
      <c r="I3608" s="68" t="s">
        <v>1085</v>
      </c>
      <c r="J3608" s="30" t="s">
        <v>392</v>
      </c>
    </row>
    <row r="3609" spans="1:10" x14ac:dyDescent="0.25">
      <c r="A3609" s="78">
        <v>46214</v>
      </c>
      <c r="B3609" s="68">
        <v>5</v>
      </c>
      <c r="C3609" s="70" t="s">
        <v>813</v>
      </c>
      <c r="D3609" s="30">
        <v>1</v>
      </c>
      <c r="E3609" s="30">
        <v>30</v>
      </c>
      <c r="F3609" s="30">
        <f t="shared" si="124"/>
        <v>30</v>
      </c>
      <c r="G3609" s="30" t="s">
        <v>9</v>
      </c>
      <c r="I3609" s="68" t="s">
        <v>1085</v>
      </c>
      <c r="J3609" s="30" t="s">
        <v>392</v>
      </c>
    </row>
    <row r="3610" spans="1:10" x14ac:dyDescent="0.25">
      <c r="A3610" s="78">
        <v>46214</v>
      </c>
      <c r="B3610" s="68">
        <v>5</v>
      </c>
      <c r="C3610" s="33" t="s">
        <v>791</v>
      </c>
      <c r="D3610" s="30">
        <v>3</v>
      </c>
      <c r="E3610" s="30">
        <v>10</v>
      </c>
      <c r="F3610" s="30">
        <f t="shared" si="124"/>
        <v>30</v>
      </c>
      <c r="G3610" s="30" t="s">
        <v>9</v>
      </c>
      <c r="I3610" s="68" t="s">
        <v>1085</v>
      </c>
      <c r="J3610" s="30" t="s">
        <v>392</v>
      </c>
    </row>
    <row r="3611" spans="1:10" x14ac:dyDescent="0.25">
      <c r="A3611" s="78">
        <v>46214</v>
      </c>
      <c r="B3611" s="68">
        <v>5</v>
      </c>
      <c r="C3611" s="33" t="s">
        <v>859</v>
      </c>
      <c r="D3611" s="30">
        <v>1</v>
      </c>
      <c r="E3611" s="30">
        <v>10</v>
      </c>
      <c r="F3611" s="30">
        <f t="shared" si="124"/>
        <v>10</v>
      </c>
      <c r="G3611" s="30" t="s">
        <v>9</v>
      </c>
      <c r="I3611" s="68" t="s">
        <v>1085</v>
      </c>
      <c r="J3611" s="30" t="s">
        <v>392</v>
      </c>
    </row>
    <row r="3612" spans="1:10" x14ac:dyDescent="0.25">
      <c r="A3612" s="78">
        <v>46214</v>
      </c>
      <c r="B3612" s="68">
        <v>5</v>
      </c>
      <c r="C3612" s="70" t="s">
        <v>706</v>
      </c>
      <c r="D3612" s="30">
        <v>2</v>
      </c>
      <c r="E3612" s="30">
        <v>5</v>
      </c>
      <c r="F3612" s="30">
        <f t="shared" si="124"/>
        <v>10</v>
      </c>
      <c r="G3612" s="30" t="s">
        <v>9</v>
      </c>
      <c r="I3612" s="68" t="s">
        <v>1085</v>
      </c>
      <c r="J3612" s="30" t="s">
        <v>392</v>
      </c>
    </row>
    <row r="3613" spans="1:10" x14ac:dyDescent="0.25">
      <c r="A3613" s="78">
        <v>46214</v>
      </c>
      <c r="B3613" s="68">
        <v>6</v>
      </c>
      <c r="C3613" s="33" t="s">
        <v>666</v>
      </c>
      <c r="D3613" s="30">
        <v>1</v>
      </c>
      <c r="E3613" s="30">
        <v>10</v>
      </c>
      <c r="F3613" s="30">
        <f t="shared" si="124"/>
        <v>10</v>
      </c>
      <c r="G3613" s="30" t="s">
        <v>9</v>
      </c>
      <c r="I3613" s="68" t="s">
        <v>663</v>
      </c>
      <c r="J3613" s="30" t="s">
        <v>392</v>
      </c>
    </row>
    <row r="3614" spans="1:10" x14ac:dyDescent="0.25">
      <c r="A3614" s="78">
        <v>46214</v>
      </c>
      <c r="B3614" s="68">
        <v>7</v>
      </c>
      <c r="C3614" s="33" t="s">
        <v>860</v>
      </c>
      <c r="D3614" s="30">
        <v>2</v>
      </c>
      <c r="E3614" s="30">
        <v>5</v>
      </c>
      <c r="F3614" s="30">
        <f t="shared" si="124"/>
        <v>10</v>
      </c>
      <c r="G3614" s="30" t="s">
        <v>9</v>
      </c>
      <c r="I3614" s="68" t="s">
        <v>1009</v>
      </c>
      <c r="J3614" s="30" t="s">
        <v>392</v>
      </c>
    </row>
    <row r="3615" spans="1:10" x14ac:dyDescent="0.25">
      <c r="A3615" s="78">
        <v>46214</v>
      </c>
      <c r="B3615" s="68">
        <v>8</v>
      </c>
      <c r="C3615" s="33" t="s">
        <v>876</v>
      </c>
      <c r="D3615" s="30">
        <v>1</v>
      </c>
      <c r="E3615" s="30">
        <v>20</v>
      </c>
      <c r="F3615" s="30">
        <f t="shared" si="124"/>
        <v>20</v>
      </c>
      <c r="G3615" s="30" t="s">
        <v>10</v>
      </c>
      <c r="J3615" s="30" t="s">
        <v>392</v>
      </c>
    </row>
    <row r="3616" spans="1:10" ht="30" x14ac:dyDescent="0.25">
      <c r="A3616" s="78">
        <v>46214</v>
      </c>
      <c r="B3616" s="68">
        <v>5</v>
      </c>
      <c r="C3616" s="33" t="s">
        <v>426</v>
      </c>
      <c r="D3616" s="30">
        <v>2</v>
      </c>
      <c r="E3616" s="30">
        <v>10</v>
      </c>
      <c r="F3616" s="30">
        <f t="shared" si="124"/>
        <v>20</v>
      </c>
      <c r="G3616" s="30" t="s">
        <v>9</v>
      </c>
      <c r="I3616" s="68" t="s">
        <v>1085</v>
      </c>
      <c r="J3616" s="30" t="s">
        <v>392</v>
      </c>
    </row>
    <row r="3617" spans="1:12" x14ac:dyDescent="0.25">
      <c r="A3617" s="78">
        <v>46214</v>
      </c>
      <c r="B3617" s="68">
        <v>9</v>
      </c>
      <c r="C3617" s="33" t="s">
        <v>768</v>
      </c>
      <c r="D3617" s="30">
        <v>1</v>
      </c>
      <c r="E3617" s="30">
        <v>10</v>
      </c>
      <c r="F3617" s="30">
        <f t="shared" si="124"/>
        <v>10</v>
      </c>
      <c r="G3617" s="30" t="s">
        <v>9</v>
      </c>
      <c r="I3617" s="68" t="s">
        <v>1086</v>
      </c>
      <c r="J3617" s="30" t="s">
        <v>392</v>
      </c>
    </row>
    <row r="3618" spans="1:12" x14ac:dyDescent="0.25">
      <c r="A3618" s="78">
        <v>46214</v>
      </c>
      <c r="B3618" s="68">
        <v>10</v>
      </c>
      <c r="C3618" s="33" t="s">
        <v>1050</v>
      </c>
      <c r="D3618" s="30">
        <v>14</v>
      </c>
      <c r="E3618" s="30">
        <v>8.75</v>
      </c>
      <c r="F3618" s="30">
        <f t="shared" si="124"/>
        <v>122.5</v>
      </c>
      <c r="G3618" s="30" t="s">
        <v>9</v>
      </c>
      <c r="I3618" s="68" t="s">
        <v>1087</v>
      </c>
      <c r="J3618" s="30" t="s">
        <v>392</v>
      </c>
    </row>
    <row r="3619" spans="1:12" s="62" customFormat="1" x14ac:dyDescent="0.25">
      <c r="A3619" s="151">
        <v>46214</v>
      </c>
      <c r="B3619" s="139"/>
      <c r="C3619" s="150"/>
      <c r="H3619" s="139"/>
      <c r="I3619" s="139">
        <f>SUMIF(G3586:G3618, "&lt;&gt;UPI",F3586:F3618)</f>
        <v>849.5</v>
      </c>
    </row>
    <row r="3620" spans="1:12" s="170" customFormat="1" ht="18.75" x14ac:dyDescent="0.3">
      <c r="A3620" s="79">
        <v>46214</v>
      </c>
      <c r="B3620" s="147" t="s">
        <v>987</v>
      </c>
      <c r="C3620" s="169">
        <f>MAX(B3586:B3619)</f>
        <v>10</v>
      </c>
      <c r="D3620" s="147" t="s">
        <v>988</v>
      </c>
      <c r="E3620" s="170">
        <f>SUMIF(G3586:G3619,"UPI",F3586:F3619)</f>
        <v>150</v>
      </c>
      <c r="F3620" s="230" t="s">
        <v>437</v>
      </c>
      <c r="G3620" s="230"/>
      <c r="H3620" s="230"/>
      <c r="I3620" s="231">
        <f>SUM(F3586:F3619)</f>
        <v>999.5</v>
      </c>
      <c r="J3620" s="231"/>
      <c r="K3620" s="231"/>
      <c r="L3620" s="231"/>
    </row>
    <row r="3621" spans="1:12" ht="30" x14ac:dyDescent="0.25">
      <c r="A3621" s="78">
        <v>46215</v>
      </c>
      <c r="B3621" s="68">
        <v>1</v>
      </c>
      <c r="C3621" s="33" t="s">
        <v>977</v>
      </c>
      <c r="D3621" s="30">
        <v>1</v>
      </c>
      <c r="E3621" s="30">
        <v>10</v>
      </c>
      <c r="F3621" s="30">
        <f>E3621*D3621</f>
        <v>10</v>
      </c>
      <c r="G3621" s="30" t="s">
        <v>9</v>
      </c>
      <c r="I3621" s="68" t="s">
        <v>663</v>
      </c>
      <c r="J3621" s="30" t="s">
        <v>392</v>
      </c>
    </row>
    <row r="3622" spans="1:12" ht="30" x14ac:dyDescent="0.25">
      <c r="A3622" s="78">
        <v>46215</v>
      </c>
      <c r="B3622" s="68">
        <v>1</v>
      </c>
      <c r="C3622" s="33" t="s">
        <v>977</v>
      </c>
      <c r="D3622" s="30">
        <v>2</v>
      </c>
      <c r="E3622" s="30">
        <v>10</v>
      </c>
      <c r="F3622" s="30">
        <f t="shared" ref="F3622:F3630" si="125">E3622*D3622</f>
        <v>20</v>
      </c>
      <c r="G3622" s="30" t="s">
        <v>9</v>
      </c>
      <c r="I3622" s="68" t="s">
        <v>663</v>
      </c>
      <c r="J3622" s="30" t="s">
        <v>392</v>
      </c>
    </row>
    <row r="3623" spans="1:12" ht="30" x14ac:dyDescent="0.25">
      <c r="A3623" s="78">
        <v>46215</v>
      </c>
      <c r="B3623" s="68">
        <v>1</v>
      </c>
      <c r="C3623" s="33" t="s">
        <v>1054</v>
      </c>
      <c r="D3623" s="30">
        <v>1</v>
      </c>
      <c r="E3623" s="30">
        <v>10</v>
      </c>
      <c r="F3623" s="30">
        <f t="shared" si="125"/>
        <v>10</v>
      </c>
      <c r="G3623" s="30" t="s">
        <v>9</v>
      </c>
      <c r="I3623" s="68" t="s">
        <v>663</v>
      </c>
      <c r="J3623" s="30" t="s">
        <v>392</v>
      </c>
    </row>
    <row r="3624" spans="1:12" x14ac:dyDescent="0.25">
      <c r="A3624" s="78">
        <v>46215</v>
      </c>
      <c r="B3624" s="68">
        <v>1</v>
      </c>
      <c r="C3624" s="33" t="s">
        <v>639</v>
      </c>
      <c r="D3624" s="30">
        <v>1</v>
      </c>
      <c r="E3624" s="30">
        <v>2</v>
      </c>
      <c r="F3624" s="30">
        <f t="shared" si="125"/>
        <v>2</v>
      </c>
      <c r="G3624" s="30" t="s">
        <v>9</v>
      </c>
      <c r="I3624" s="68" t="s">
        <v>663</v>
      </c>
      <c r="J3624" s="30" t="s">
        <v>392</v>
      </c>
    </row>
    <row r="3625" spans="1:12" x14ac:dyDescent="0.25">
      <c r="A3625" s="78">
        <v>46215</v>
      </c>
      <c r="B3625" s="68">
        <v>1</v>
      </c>
      <c r="C3625" s="33" t="s">
        <v>641</v>
      </c>
      <c r="D3625" s="30">
        <v>1</v>
      </c>
      <c r="E3625" s="30">
        <v>205</v>
      </c>
      <c r="F3625" s="30">
        <f t="shared" si="125"/>
        <v>205</v>
      </c>
      <c r="G3625" s="30" t="s">
        <v>9</v>
      </c>
      <c r="I3625" s="68" t="s">
        <v>663</v>
      </c>
      <c r="J3625" s="30" t="s">
        <v>392</v>
      </c>
    </row>
    <row r="3626" spans="1:12" x14ac:dyDescent="0.25">
      <c r="A3626" s="78">
        <v>46215</v>
      </c>
      <c r="B3626" s="68">
        <v>1</v>
      </c>
      <c r="C3626" s="33" t="s">
        <v>843</v>
      </c>
      <c r="D3626" s="30">
        <v>2</v>
      </c>
      <c r="E3626" s="30">
        <v>10</v>
      </c>
      <c r="F3626" s="30">
        <f t="shared" si="125"/>
        <v>20</v>
      </c>
      <c r="G3626" s="30" t="s">
        <v>9</v>
      </c>
      <c r="I3626" s="68" t="s">
        <v>663</v>
      </c>
      <c r="J3626" s="30" t="s">
        <v>392</v>
      </c>
    </row>
    <row r="3627" spans="1:12" x14ac:dyDescent="0.25">
      <c r="A3627" s="78">
        <v>46215</v>
      </c>
      <c r="B3627" s="68">
        <v>1</v>
      </c>
      <c r="C3627" s="70" t="s">
        <v>724</v>
      </c>
      <c r="D3627" s="30">
        <v>3</v>
      </c>
      <c r="E3627" s="30">
        <v>10</v>
      </c>
      <c r="F3627" s="30">
        <f t="shared" si="125"/>
        <v>30</v>
      </c>
      <c r="G3627" s="30" t="s">
        <v>9</v>
      </c>
      <c r="I3627" s="68" t="s">
        <v>663</v>
      </c>
      <c r="J3627" s="30" t="s">
        <v>392</v>
      </c>
    </row>
    <row r="3628" spans="1:12" x14ac:dyDescent="0.25">
      <c r="A3628" s="78">
        <v>46215</v>
      </c>
      <c r="B3628" s="68">
        <v>1</v>
      </c>
      <c r="C3628" s="33" t="s">
        <v>588</v>
      </c>
      <c r="D3628" s="30">
        <v>1</v>
      </c>
      <c r="E3628" s="30">
        <v>190</v>
      </c>
      <c r="F3628" s="30">
        <f t="shared" si="125"/>
        <v>190</v>
      </c>
      <c r="G3628" s="30" t="s">
        <v>9</v>
      </c>
      <c r="I3628" s="68" t="s">
        <v>663</v>
      </c>
      <c r="J3628" s="30" t="s">
        <v>392</v>
      </c>
    </row>
    <row r="3629" spans="1:12" x14ac:dyDescent="0.25">
      <c r="A3629" s="78">
        <v>46215</v>
      </c>
      <c r="B3629" s="68">
        <v>1</v>
      </c>
      <c r="C3629" s="33" t="s">
        <v>688</v>
      </c>
      <c r="D3629" s="30">
        <v>1</v>
      </c>
      <c r="E3629" s="30">
        <v>80</v>
      </c>
      <c r="F3629" s="30">
        <f t="shared" si="125"/>
        <v>80</v>
      </c>
      <c r="G3629" s="30" t="s">
        <v>9</v>
      </c>
      <c r="I3629" s="68" t="s">
        <v>663</v>
      </c>
      <c r="J3629" s="30" t="s">
        <v>392</v>
      </c>
    </row>
    <row r="3630" spans="1:12" x14ac:dyDescent="0.25">
      <c r="A3630" s="78">
        <v>46215</v>
      </c>
      <c r="B3630" s="68">
        <v>1</v>
      </c>
      <c r="C3630" s="33" t="s">
        <v>1088</v>
      </c>
      <c r="D3630" s="30">
        <v>30</v>
      </c>
      <c r="E3630" s="30">
        <v>8.65</v>
      </c>
      <c r="F3630" s="30">
        <f t="shared" si="125"/>
        <v>259.5</v>
      </c>
      <c r="G3630" s="30" t="s">
        <v>9</v>
      </c>
      <c r="I3630" s="68" t="s">
        <v>663</v>
      </c>
      <c r="J3630" s="30" t="s">
        <v>392</v>
      </c>
    </row>
    <row r="3631" spans="1:12" s="62" customFormat="1" x14ac:dyDescent="0.25">
      <c r="A3631" s="151">
        <v>46215</v>
      </c>
      <c r="B3631" s="139"/>
      <c r="C3631" s="150"/>
      <c r="H3631" s="139"/>
      <c r="I3631" s="139">
        <f>SUMIF(G3621:G3630, "&lt;&gt;UPI",F3621:F3630)</f>
        <v>826.5</v>
      </c>
    </row>
    <row r="3632" spans="1:12" s="170" customFormat="1" ht="18.75" x14ac:dyDescent="0.3">
      <c r="A3632" s="79">
        <v>46215</v>
      </c>
      <c r="B3632" s="147" t="s">
        <v>987</v>
      </c>
      <c r="C3632" s="169">
        <f>MAX(B3621:B3631)</f>
        <v>1</v>
      </c>
      <c r="D3632" s="147" t="s">
        <v>988</v>
      </c>
      <c r="E3632" s="170">
        <f>SUMIF(G3621:G3631,"UPI",F3621:F3631)</f>
        <v>0</v>
      </c>
      <c r="F3632" s="230" t="s">
        <v>437</v>
      </c>
      <c r="G3632" s="230"/>
      <c r="H3632" s="230"/>
      <c r="I3632" s="231">
        <f>SUM(F3621:F3631)</f>
        <v>826.5</v>
      </c>
      <c r="J3632" s="231"/>
      <c r="K3632" s="231"/>
      <c r="L3632" s="231"/>
    </row>
    <row r="3633" spans="1:12" x14ac:dyDescent="0.25">
      <c r="A3633" s="78">
        <v>46216</v>
      </c>
    </row>
    <row r="3634" spans="1:12" s="62" customFormat="1" x14ac:dyDescent="0.25">
      <c r="A3634" s="151">
        <v>46216</v>
      </c>
      <c r="B3634" s="139"/>
      <c r="C3634" s="150"/>
      <c r="H3634" s="139"/>
      <c r="I3634" s="139">
        <f>SUMIF(G3633, "&lt;&gt;UPI",F3633)</f>
        <v>0</v>
      </c>
    </row>
    <row r="3635" spans="1:12" s="170" customFormat="1" ht="18.75" x14ac:dyDescent="0.3">
      <c r="A3635" s="79">
        <v>46216</v>
      </c>
      <c r="B3635" s="147" t="s">
        <v>987</v>
      </c>
      <c r="C3635" s="169">
        <f>MAX(B3633:B3634)</f>
        <v>0</v>
      </c>
      <c r="D3635" s="147" t="s">
        <v>988</v>
      </c>
      <c r="E3635" s="170">
        <f>SUMIF(G3624:G3634,"UPI",F3624:F3634)</f>
        <v>0</v>
      </c>
      <c r="F3635" s="230" t="s">
        <v>437</v>
      </c>
      <c r="G3635" s="230"/>
      <c r="H3635" s="230"/>
      <c r="I3635" s="231">
        <f>SUM(F3633:F3634)</f>
        <v>0</v>
      </c>
      <c r="J3635" s="231"/>
      <c r="K3635" s="231"/>
      <c r="L3635" s="231"/>
    </row>
    <row r="3636" spans="1:12" x14ac:dyDescent="0.25">
      <c r="A3636" s="78">
        <v>46217</v>
      </c>
      <c r="B3636" s="68">
        <v>1</v>
      </c>
      <c r="C3636" s="33" t="s">
        <v>1088</v>
      </c>
      <c r="D3636" s="30">
        <v>30</v>
      </c>
      <c r="E3636" s="30">
        <v>8.65</v>
      </c>
      <c r="F3636" s="30">
        <f>E3636*D3636</f>
        <v>259.5</v>
      </c>
      <c r="G3636" s="30" t="s">
        <v>10</v>
      </c>
      <c r="I3636" s="68" t="s">
        <v>1012</v>
      </c>
      <c r="J3636" s="30" t="s">
        <v>392</v>
      </c>
    </row>
    <row r="3637" spans="1:12" x14ac:dyDescent="0.25">
      <c r="A3637" s="78">
        <v>46217</v>
      </c>
      <c r="B3637" s="68">
        <v>1</v>
      </c>
      <c r="C3637" s="33" t="s">
        <v>721</v>
      </c>
      <c r="D3637" s="30">
        <v>0.2</v>
      </c>
      <c r="E3637" s="30">
        <v>900</v>
      </c>
      <c r="F3637" s="30">
        <f t="shared" ref="F3637:F3660" si="126">E3637*D3637</f>
        <v>180</v>
      </c>
      <c r="G3637" s="30" t="s">
        <v>10</v>
      </c>
      <c r="I3637" s="68" t="s">
        <v>1012</v>
      </c>
      <c r="J3637" s="30" t="s">
        <v>392</v>
      </c>
    </row>
    <row r="3638" spans="1:12" x14ac:dyDescent="0.25">
      <c r="A3638" s="78">
        <v>46217</v>
      </c>
      <c r="B3638" s="68">
        <v>1</v>
      </c>
      <c r="C3638" s="33" t="s">
        <v>761</v>
      </c>
      <c r="D3638" s="30">
        <v>4</v>
      </c>
      <c r="E3638" s="30">
        <v>36</v>
      </c>
      <c r="F3638" s="30">
        <f t="shared" si="126"/>
        <v>144</v>
      </c>
      <c r="G3638" s="30" t="s">
        <v>10</v>
      </c>
      <c r="I3638" s="68" t="s">
        <v>1012</v>
      </c>
      <c r="J3638" s="30" t="s">
        <v>392</v>
      </c>
    </row>
    <row r="3639" spans="1:12" ht="30" x14ac:dyDescent="0.25">
      <c r="A3639" s="78">
        <v>46217</v>
      </c>
      <c r="B3639" s="68">
        <v>1</v>
      </c>
      <c r="C3639" s="33" t="s">
        <v>1100</v>
      </c>
      <c r="D3639" s="30">
        <v>1</v>
      </c>
      <c r="E3639" s="30">
        <v>200</v>
      </c>
      <c r="F3639" s="30">
        <f t="shared" si="126"/>
        <v>200</v>
      </c>
      <c r="G3639" s="30" t="s">
        <v>10</v>
      </c>
      <c r="I3639" s="68" t="s">
        <v>1012</v>
      </c>
      <c r="J3639" s="30" t="s">
        <v>392</v>
      </c>
    </row>
    <row r="3640" spans="1:12" x14ac:dyDescent="0.25">
      <c r="A3640" s="78">
        <v>46217</v>
      </c>
      <c r="B3640" s="68">
        <v>1</v>
      </c>
      <c r="C3640" s="33" t="s">
        <v>1091</v>
      </c>
      <c r="D3640" s="30">
        <v>24</v>
      </c>
      <c r="E3640" s="30">
        <v>39</v>
      </c>
      <c r="F3640" s="30">
        <f t="shared" si="126"/>
        <v>936</v>
      </c>
      <c r="G3640" s="30" t="s">
        <v>10</v>
      </c>
      <c r="I3640" s="68" t="s">
        <v>1012</v>
      </c>
      <c r="J3640" s="30" t="s">
        <v>392</v>
      </c>
    </row>
    <row r="3641" spans="1:12" ht="30" x14ac:dyDescent="0.25">
      <c r="A3641" s="78">
        <v>46217</v>
      </c>
      <c r="B3641" s="68">
        <v>1</v>
      </c>
      <c r="C3641" s="33" t="s">
        <v>1113</v>
      </c>
      <c r="D3641" s="30">
        <v>1</v>
      </c>
      <c r="E3641" s="30">
        <v>485</v>
      </c>
      <c r="F3641" s="30">
        <f t="shared" si="126"/>
        <v>485</v>
      </c>
      <c r="G3641" s="30" t="s">
        <v>10</v>
      </c>
      <c r="I3641" s="68" t="s">
        <v>1012</v>
      </c>
      <c r="J3641" s="30" t="s">
        <v>392</v>
      </c>
    </row>
    <row r="3642" spans="1:12" x14ac:dyDescent="0.25">
      <c r="A3642" s="78">
        <v>46217</v>
      </c>
      <c r="B3642" s="68">
        <v>2</v>
      </c>
      <c r="C3642" s="70" t="s">
        <v>813</v>
      </c>
      <c r="D3642" s="30">
        <v>1</v>
      </c>
      <c r="E3642" s="30">
        <v>30</v>
      </c>
      <c r="F3642" s="30">
        <f t="shared" si="126"/>
        <v>30</v>
      </c>
      <c r="G3642" s="30" t="s">
        <v>9</v>
      </c>
      <c r="J3642" s="30" t="s">
        <v>392</v>
      </c>
    </row>
    <row r="3643" spans="1:12" x14ac:dyDescent="0.25">
      <c r="A3643" s="78">
        <v>46217</v>
      </c>
      <c r="B3643" s="68">
        <v>3</v>
      </c>
      <c r="C3643" s="33" t="s">
        <v>814</v>
      </c>
      <c r="D3643" s="30">
        <v>0.25</v>
      </c>
      <c r="E3643" s="30">
        <v>60</v>
      </c>
      <c r="F3643" s="30">
        <f t="shared" si="126"/>
        <v>15</v>
      </c>
      <c r="G3643" s="30" t="s">
        <v>9</v>
      </c>
      <c r="J3643" s="30" t="s">
        <v>392</v>
      </c>
    </row>
    <row r="3644" spans="1:12" x14ac:dyDescent="0.25">
      <c r="A3644" s="78">
        <v>46217</v>
      </c>
      <c r="B3644" s="68">
        <v>3</v>
      </c>
      <c r="C3644" s="159" t="s">
        <v>610</v>
      </c>
      <c r="D3644" s="30">
        <v>1</v>
      </c>
      <c r="E3644" s="30">
        <v>30</v>
      </c>
      <c r="F3644" s="30">
        <f t="shared" si="126"/>
        <v>30</v>
      </c>
      <c r="G3644" s="30" t="s">
        <v>9</v>
      </c>
      <c r="J3644" s="30" t="s">
        <v>392</v>
      </c>
    </row>
    <row r="3645" spans="1:12" x14ac:dyDescent="0.25">
      <c r="A3645" s="78">
        <v>46217</v>
      </c>
      <c r="B3645" s="68">
        <v>3</v>
      </c>
      <c r="C3645" s="33" t="s">
        <v>615</v>
      </c>
      <c r="D3645" s="30">
        <v>1</v>
      </c>
      <c r="E3645" s="30">
        <v>30</v>
      </c>
      <c r="F3645" s="30">
        <f t="shared" si="126"/>
        <v>30</v>
      </c>
      <c r="G3645" s="30" t="s">
        <v>9</v>
      </c>
      <c r="J3645" s="30" t="s">
        <v>392</v>
      </c>
    </row>
    <row r="3646" spans="1:12" x14ac:dyDescent="0.25">
      <c r="A3646" s="78">
        <v>46217</v>
      </c>
      <c r="B3646" s="68">
        <v>3</v>
      </c>
      <c r="C3646" s="33" t="s">
        <v>761</v>
      </c>
      <c r="D3646" s="30">
        <v>1</v>
      </c>
      <c r="E3646" s="30">
        <v>45</v>
      </c>
      <c r="F3646" s="30">
        <f t="shared" si="126"/>
        <v>45</v>
      </c>
      <c r="G3646" s="30" t="s">
        <v>9</v>
      </c>
      <c r="J3646" s="30" t="s">
        <v>392</v>
      </c>
    </row>
    <row r="3647" spans="1:12" x14ac:dyDescent="0.25">
      <c r="A3647" s="78">
        <v>46217</v>
      </c>
      <c r="B3647" s="68">
        <v>3</v>
      </c>
      <c r="C3647" s="33" t="s">
        <v>851</v>
      </c>
      <c r="D3647" s="30">
        <v>1</v>
      </c>
      <c r="E3647" s="30">
        <v>70</v>
      </c>
      <c r="F3647" s="30">
        <f t="shared" si="126"/>
        <v>70</v>
      </c>
      <c r="G3647" s="30" t="s">
        <v>9</v>
      </c>
      <c r="J3647" s="30" t="s">
        <v>392</v>
      </c>
    </row>
    <row r="3648" spans="1:12" x14ac:dyDescent="0.25">
      <c r="A3648" s="78">
        <v>46217</v>
      </c>
      <c r="B3648" s="68">
        <v>3</v>
      </c>
      <c r="C3648" s="33" t="s">
        <v>605</v>
      </c>
      <c r="D3648" s="30">
        <v>1</v>
      </c>
      <c r="E3648" s="30">
        <v>205</v>
      </c>
      <c r="F3648" s="30">
        <f t="shared" si="126"/>
        <v>205</v>
      </c>
      <c r="G3648" s="30" t="s">
        <v>9</v>
      </c>
      <c r="J3648" s="30" t="s">
        <v>392</v>
      </c>
    </row>
    <row r="3649" spans="1:12" x14ac:dyDescent="0.25">
      <c r="A3649" s="78">
        <v>46217</v>
      </c>
      <c r="B3649" s="68">
        <v>4</v>
      </c>
      <c r="C3649" s="33" t="s">
        <v>1070</v>
      </c>
      <c r="D3649" s="30">
        <v>1</v>
      </c>
      <c r="E3649" s="30">
        <v>20</v>
      </c>
      <c r="F3649" s="30">
        <f t="shared" si="126"/>
        <v>20</v>
      </c>
      <c r="G3649" s="30" t="s">
        <v>9</v>
      </c>
      <c r="J3649" s="30" t="s">
        <v>392</v>
      </c>
    </row>
    <row r="3650" spans="1:12" x14ac:dyDescent="0.25">
      <c r="A3650" s="78">
        <v>46217</v>
      </c>
      <c r="B3650" s="68">
        <v>4</v>
      </c>
      <c r="C3650" s="33" t="s">
        <v>1071</v>
      </c>
      <c r="D3650" s="30">
        <v>1</v>
      </c>
      <c r="E3650" s="30">
        <v>45</v>
      </c>
      <c r="F3650" s="30">
        <f t="shared" si="126"/>
        <v>45</v>
      </c>
      <c r="G3650" s="30" t="s">
        <v>9</v>
      </c>
      <c r="J3650" s="30" t="s">
        <v>392</v>
      </c>
    </row>
    <row r="3651" spans="1:12" x14ac:dyDescent="0.25">
      <c r="A3651" s="78">
        <v>46217</v>
      </c>
      <c r="B3651" s="68">
        <v>4</v>
      </c>
      <c r="C3651" s="70" t="s">
        <v>904</v>
      </c>
      <c r="D3651" s="30">
        <v>0.2</v>
      </c>
      <c r="E3651" s="30">
        <v>180</v>
      </c>
      <c r="F3651" s="30">
        <f t="shared" si="126"/>
        <v>36</v>
      </c>
      <c r="G3651" s="30" t="s">
        <v>9</v>
      </c>
      <c r="J3651" s="30" t="s">
        <v>392</v>
      </c>
    </row>
    <row r="3652" spans="1:12" x14ac:dyDescent="0.25">
      <c r="A3652" s="78">
        <v>46217</v>
      </c>
      <c r="B3652" s="68">
        <v>4</v>
      </c>
      <c r="C3652" s="33" t="s">
        <v>1026</v>
      </c>
      <c r="D3652" s="30">
        <v>0.2</v>
      </c>
      <c r="E3652" s="30">
        <v>200</v>
      </c>
      <c r="F3652" s="30">
        <f t="shared" si="126"/>
        <v>40</v>
      </c>
      <c r="G3652" s="30" t="s">
        <v>9</v>
      </c>
      <c r="J3652" s="30" t="s">
        <v>392</v>
      </c>
    </row>
    <row r="3653" spans="1:12" x14ac:dyDescent="0.25">
      <c r="A3653" s="78">
        <v>46217</v>
      </c>
      <c r="B3653" s="68">
        <v>4</v>
      </c>
      <c r="C3653" s="33" t="s">
        <v>734</v>
      </c>
      <c r="D3653" s="30">
        <v>5</v>
      </c>
      <c r="E3653" s="30">
        <v>49</v>
      </c>
      <c r="F3653" s="30">
        <f t="shared" si="126"/>
        <v>245</v>
      </c>
      <c r="G3653" s="30" t="s">
        <v>9</v>
      </c>
      <c r="J3653" s="30" t="s">
        <v>392</v>
      </c>
    </row>
    <row r="3654" spans="1:12" x14ac:dyDescent="0.25">
      <c r="A3654" s="78">
        <v>46217</v>
      </c>
      <c r="B3654" s="68">
        <v>1</v>
      </c>
      <c r="C3654" s="33" t="s">
        <v>35</v>
      </c>
      <c r="D3654" s="30">
        <v>1</v>
      </c>
      <c r="E3654" s="30">
        <v>118</v>
      </c>
      <c r="F3654" s="30">
        <f t="shared" si="126"/>
        <v>118</v>
      </c>
      <c r="G3654" s="30" t="s">
        <v>10</v>
      </c>
      <c r="J3654" s="30" t="s">
        <v>392</v>
      </c>
    </row>
    <row r="3655" spans="1:12" x14ac:dyDescent="0.25">
      <c r="A3655" s="78">
        <v>46217</v>
      </c>
      <c r="B3655" s="68">
        <v>1</v>
      </c>
      <c r="C3655" s="33" t="s">
        <v>792</v>
      </c>
      <c r="D3655" s="30">
        <v>1</v>
      </c>
      <c r="E3655" s="30">
        <v>160</v>
      </c>
      <c r="F3655" s="30">
        <f t="shared" si="126"/>
        <v>160</v>
      </c>
      <c r="G3655" s="30" t="s">
        <v>10</v>
      </c>
      <c r="J3655" s="30" t="s">
        <v>392</v>
      </c>
    </row>
    <row r="3656" spans="1:12" x14ac:dyDescent="0.25">
      <c r="A3656" s="78">
        <v>46217</v>
      </c>
      <c r="B3656" s="68">
        <v>5</v>
      </c>
      <c r="C3656" s="33" t="s">
        <v>1071</v>
      </c>
      <c r="D3656" s="30">
        <v>0.25</v>
      </c>
      <c r="E3656" s="30">
        <v>50</v>
      </c>
      <c r="F3656" s="30">
        <f t="shared" si="126"/>
        <v>12.5</v>
      </c>
      <c r="G3656" s="30" t="s">
        <v>9</v>
      </c>
      <c r="J3656" s="30" t="s">
        <v>392</v>
      </c>
    </row>
    <row r="3657" spans="1:12" x14ac:dyDescent="0.25">
      <c r="A3657" s="78">
        <v>46217</v>
      </c>
      <c r="B3657" s="68">
        <v>6</v>
      </c>
      <c r="C3657" s="33" t="s">
        <v>666</v>
      </c>
      <c r="D3657" s="30">
        <v>2</v>
      </c>
      <c r="E3657" s="30">
        <v>10</v>
      </c>
      <c r="F3657" s="30">
        <f t="shared" si="126"/>
        <v>20</v>
      </c>
      <c r="G3657" s="30" t="s">
        <v>9</v>
      </c>
      <c r="J3657" s="30" t="s">
        <v>392</v>
      </c>
    </row>
    <row r="3658" spans="1:12" ht="30" x14ac:dyDescent="0.25">
      <c r="A3658" s="78">
        <v>46217</v>
      </c>
      <c r="B3658" s="68">
        <v>7</v>
      </c>
      <c r="C3658" s="33" t="s">
        <v>1110</v>
      </c>
      <c r="D3658" s="30">
        <v>1</v>
      </c>
      <c r="E3658" s="30">
        <v>350</v>
      </c>
      <c r="F3658" s="30">
        <f t="shared" si="126"/>
        <v>350</v>
      </c>
      <c r="G3658" s="30" t="s">
        <v>10</v>
      </c>
      <c r="J3658" s="30" t="s">
        <v>392</v>
      </c>
    </row>
    <row r="3659" spans="1:12" ht="30" x14ac:dyDescent="0.25">
      <c r="A3659" s="78">
        <v>46217</v>
      </c>
      <c r="B3659" s="68">
        <v>7</v>
      </c>
      <c r="C3659" s="33" t="s">
        <v>1111</v>
      </c>
      <c r="D3659" s="30">
        <v>1</v>
      </c>
      <c r="E3659" s="30">
        <v>400</v>
      </c>
      <c r="F3659" s="30">
        <f t="shared" si="126"/>
        <v>400</v>
      </c>
      <c r="G3659" s="30" t="s">
        <v>10</v>
      </c>
      <c r="J3659" s="30" t="s">
        <v>392</v>
      </c>
    </row>
    <row r="3660" spans="1:12" x14ac:dyDescent="0.25">
      <c r="A3660" s="78">
        <v>46217</v>
      </c>
      <c r="B3660" s="68">
        <v>7</v>
      </c>
      <c r="C3660" s="33" t="s">
        <v>926</v>
      </c>
      <c r="D3660" s="30">
        <v>1</v>
      </c>
      <c r="E3660" s="30">
        <v>25</v>
      </c>
      <c r="F3660" s="30">
        <f t="shared" si="126"/>
        <v>25</v>
      </c>
      <c r="G3660" s="30" t="s">
        <v>10</v>
      </c>
      <c r="J3660" s="30" t="s">
        <v>392</v>
      </c>
    </row>
    <row r="3661" spans="1:12" s="62" customFormat="1" x14ac:dyDescent="0.25">
      <c r="A3661" s="151">
        <v>46217</v>
      </c>
      <c r="B3661" s="139"/>
      <c r="C3661" s="150"/>
      <c r="H3661" s="139"/>
      <c r="I3661" s="139">
        <f>SUMIF(G3636:G3660, "&lt;&gt;UPI",F3636:F3660)</f>
        <v>843.5</v>
      </c>
    </row>
    <row r="3662" spans="1:12" s="170" customFormat="1" ht="18.75" x14ac:dyDescent="0.3">
      <c r="A3662" s="79">
        <v>46217</v>
      </c>
      <c r="B3662" s="147" t="s">
        <v>987</v>
      </c>
      <c r="C3662" s="169">
        <f>MAX(B3636:B3661)</f>
        <v>7</v>
      </c>
      <c r="D3662" s="147" t="s">
        <v>988</v>
      </c>
      <c r="E3662" s="170">
        <f>SUMIF(G3636:G3661,"UPI",F3636:F3661)</f>
        <v>3257.5</v>
      </c>
      <c r="F3662" s="230" t="s">
        <v>437</v>
      </c>
      <c r="G3662" s="230"/>
      <c r="H3662" s="230"/>
      <c r="I3662" s="231">
        <f>SUM(F3636:F3661)</f>
        <v>4101</v>
      </c>
      <c r="J3662" s="231"/>
      <c r="K3662" s="231"/>
      <c r="L3662" s="231"/>
    </row>
    <row r="3663" spans="1:12" x14ac:dyDescent="0.25">
      <c r="A3663" s="78">
        <v>46218</v>
      </c>
      <c r="B3663" s="68">
        <v>1</v>
      </c>
      <c r="C3663" s="33" t="s">
        <v>848</v>
      </c>
      <c r="D3663" s="30">
        <v>1</v>
      </c>
      <c r="E3663" s="30">
        <v>5</v>
      </c>
      <c r="F3663" s="30">
        <f>E3663*D3663</f>
        <v>5</v>
      </c>
      <c r="G3663" s="30" t="s">
        <v>10</v>
      </c>
      <c r="J3663" s="30" t="s">
        <v>392</v>
      </c>
    </row>
    <row r="3664" spans="1:12" x14ac:dyDescent="0.25">
      <c r="A3664" s="78">
        <v>46218</v>
      </c>
      <c r="B3664" s="68">
        <v>1</v>
      </c>
      <c r="C3664" s="33" t="s">
        <v>669</v>
      </c>
      <c r="D3664" s="30">
        <v>1</v>
      </c>
      <c r="E3664" s="30">
        <v>5</v>
      </c>
      <c r="F3664" s="30">
        <f t="shared" ref="F3664:F3677" si="127">E3664*D3664</f>
        <v>5</v>
      </c>
      <c r="G3664" s="30" t="s">
        <v>10</v>
      </c>
      <c r="J3664" s="30" t="s">
        <v>392</v>
      </c>
    </row>
    <row r="3665" spans="1:12" x14ac:dyDescent="0.25">
      <c r="A3665" s="78">
        <v>46218</v>
      </c>
      <c r="B3665" s="68">
        <v>1</v>
      </c>
      <c r="C3665" s="159" t="s">
        <v>532</v>
      </c>
      <c r="D3665" s="30">
        <v>2</v>
      </c>
      <c r="E3665" s="30">
        <v>5</v>
      </c>
      <c r="F3665" s="30">
        <f t="shared" si="127"/>
        <v>10</v>
      </c>
      <c r="G3665" s="30" t="s">
        <v>10</v>
      </c>
      <c r="J3665" s="30" t="s">
        <v>392</v>
      </c>
    </row>
    <row r="3666" spans="1:12" x14ac:dyDescent="0.25">
      <c r="A3666" s="78">
        <v>46218</v>
      </c>
      <c r="B3666" s="68">
        <v>2</v>
      </c>
      <c r="C3666" s="70" t="s">
        <v>379</v>
      </c>
      <c r="D3666" s="30">
        <v>2</v>
      </c>
      <c r="E3666" s="30">
        <v>5</v>
      </c>
      <c r="F3666" s="30">
        <f t="shared" si="127"/>
        <v>10</v>
      </c>
      <c r="G3666" s="30" t="s">
        <v>9</v>
      </c>
      <c r="J3666" s="30" t="s">
        <v>392</v>
      </c>
    </row>
    <row r="3667" spans="1:12" x14ac:dyDescent="0.25">
      <c r="A3667" s="78">
        <v>46218</v>
      </c>
      <c r="B3667" s="68">
        <v>2</v>
      </c>
      <c r="C3667" s="33" t="s">
        <v>73</v>
      </c>
      <c r="D3667" s="30">
        <v>1</v>
      </c>
      <c r="E3667" s="30">
        <v>10</v>
      </c>
      <c r="F3667" s="30">
        <f t="shared" si="127"/>
        <v>10</v>
      </c>
      <c r="G3667" s="30" t="s">
        <v>9</v>
      </c>
      <c r="J3667" s="30" t="s">
        <v>392</v>
      </c>
    </row>
    <row r="3668" spans="1:12" x14ac:dyDescent="0.25">
      <c r="A3668" s="78">
        <v>46218</v>
      </c>
      <c r="B3668" s="68">
        <v>3</v>
      </c>
      <c r="C3668" s="33" t="s">
        <v>680</v>
      </c>
      <c r="D3668" s="30">
        <v>1</v>
      </c>
      <c r="E3668" s="30">
        <v>10</v>
      </c>
      <c r="F3668" s="30">
        <f t="shared" si="127"/>
        <v>10</v>
      </c>
      <c r="G3668" s="30" t="s">
        <v>9</v>
      </c>
      <c r="J3668" s="30" t="s">
        <v>392</v>
      </c>
    </row>
    <row r="3669" spans="1:12" x14ac:dyDescent="0.25">
      <c r="A3669" s="78">
        <v>46218</v>
      </c>
      <c r="B3669" s="68">
        <v>4</v>
      </c>
      <c r="C3669" s="33" t="s">
        <v>666</v>
      </c>
      <c r="D3669" s="30">
        <v>3</v>
      </c>
      <c r="E3669" s="30">
        <v>10</v>
      </c>
      <c r="F3669" s="30">
        <f t="shared" si="127"/>
        <v>30</v>
      </c>
      <c r="G3669" s="30" t="s">
        <v>9</v>
      </c>
      <c r="J3669" s="30" t="s">
        <v>392</v>
      </c>
    </row>
    <row r="3670" spans="1:12" x14ac:dyDescent="0.25">
      <c r="A3670" s="78">
        <v>46218</v>
      </c>
      <c r="B3670" s="68">
        <v>5</v>
      </c>
      <c r="C3670" s="33" t="s">
        <v>347</v>
      </c>
      <c r="D3670" s="30">
        <v>2</v>
      </c>
      <c r="E3670" s="30">
        <v>10</v>
      </c>
      <c r="F3670" s="30">
        <f t="shared" si="127"/>
        <v>20</v>
      </c>
      <c r="G3670" s="30" t="s">
        <v>9</v>
      </c>
      <c r="J3670" s="30" t="s">
        <v>392</v>
      </c>
    </row>
    <row r="3671" spans="1:12" x14ac:dyDescent="0.25">
      <c r="A3671" s="78">
        <v>46218</v>
      </c>
      <c r="B3671" s="68">
        <v>5</v>
      </c>
      <c r="C3671" s="33" t="s">
        <v>820</v>
      </c>
      <c r="D3671" s="30">
        <v>1</v>
      </c>
      <c r="E3671" s="30">
        <v>52</v>
      </c>
      <c r="F3671" s="30">
        <f t="shared" si="127"/>
        <v>52</v>
      </c>
      <c r="G3671" s="30" t="s">
        <v>9</v>
      </c>
      <c r="J3671" s="30" t="s">
        <v>392</v>
      </c>
    </row>
    <row r="3672" spans="1:12" x14ac:dyDescent="0.25">
      <c r="A3672" s="78">
        <v>46218</v>
      </c>
      <c r="B3672" s="68">
        <v>5</v>
      </c>
      <c r="C3672" s="70" t="s">
        <v>767</v>
      </c>
      <c r="D3672" s="30">
        <v>1</v>
      </c>
      <c r="E3672" s="30">
        <v>10</v>
      </c>
      <c r="F3672" s="30">
        <f t="shared" si="127"/>
        <v>10</v>
      </c>
      <c r="G3672" s="30" t="s">
        <v>9</v>
      </c>
      <c r="J3672" s="30" t="s">
        <v>392</v>
      </c>
    </row>
    <row r="3673" spans="1:12" x14ac:dyDescent="0.25">
      <c r="A3673" s="78">
        <v>46218</v>
      </c>
      <c r="B3673" s="68">
        <v>5</v>
      </c>
      <c r="C3673" s="33" t="s">
        <v>696</v>
      </c>
      <c r="D3673" s="30">
        <v>1</v>
      </c>
      <c r="E3673" s="30">
        <v>40</v>
      </c>
      <c r="F3673" s="30">
        <f t="shared" si="127"/>
        <v>40</v>
      </c>
      <c r="G3673" s="30" t="s">
        <v>9</v>
      </c>
      <c r="J3673" s="30" t="s">
        <v>392</v>
      </c>
    </row>
    <row r="3674" spans="1:12" x14ac:dyDescent="0.25">
      <c r="A3674" s="78">
        <v>46218</v>
      </c>
      <c r="B3674" s="68">
        <v>5</v>
      </c>
      <c r="C3674" s="33" t="s">
        <v>807</v>
      </c>
      <c r="D3674" s="30">
        <v>0.28599999999999998</v>
      </c>
      <c r="E3674" s="30">
        <v>70</v>
      </c>
      <c r="F3674" s="30">
        <f t="shared" si="127"/>
        <v>20.02</v>
      </c>
      <c r="G3674" s="30" t="s">
        <v>9</v>
      </c>
      <c r="J3674" s="30" t="s">
        <v>392</v>
      </c>
    </row>
    <row r="3675" spans="1:12" x14ac:dyDescent="0.25">
      <c r="A3675" s="78">
        <v>46218</v>
      </c>
      <c r="B3675" s="68">
        <v>6</v>
      </c>
      <c r="C3675" s="33" t="s">
        <v>876</v>
      </c>
      <c r="D3675" s="30">
        <v>1</v>
      </c>
      <c r="E3675" s="30">
        <v>20</v>
      </c>
      <c r="F3675" s="30">
        <f t="shared" si="127"/>
        <v>20</v>
      </c>
      <c r="G3675" s="30" t="s">
        <v>9</v>
      </c>
      <c r="J3675" s="30" t="s">
        <v>392</v>
      </c>
    </row>
    <row r="3676" spans="1:12" x14ac:dyDescent="0.25">
      <c r="A3676" s="78">
        <v>46218</v>
      </c>
      <c r="B3676" s="68">
        <v>7</v>
      </c>
      <c r="C3676" s="33" t="s">
        <v>998</v>
      </c>
      <c r="D3676" s="30">
        <v>3</v>
      </c>
      <c r="E3676" s="30">
        <v>20</v>
      </c>
      <c r="F3676" s="30">
        <f t="shared" si="127"/>
        <v>60</v>
      </c>
      <c r="G3676" s="30" t="s">
        <v>10</v>
      </c>
      <c r="J3676" s="30" t="s">
        <v>392</v>
      </c>
    </row>
    <row r="3677" spans="1:12" x14ac:dyDescent="0.25">
      <c r="A3677" s="78">
        <v>46218</v>
      </c>
      <c r="B3677" s="68">
        <v>7</v>
      </c>
      <c r="C3677" s="33" t="s">
        <v>549</v>
      </c>
      <c r="D3677" s="30">
        <v>1</v>
      </c>
      <c r="E3677" s="30">
        <v>25</v>
      </c>
      <c r="F3677" s="30">
        <f t="shared" si="127"/>
        <v>25</v>
      </c>
      <c r="G3677" s="30" t="s">
        <v>10</v>
      </c>
      <c r="J3677" s="30" t="s">
        <v>392</v>
      </c>
    </row>
    <row r="3678" spans="1:12" s="62" customFormat="1" x14ac:dyDescent="0.25">
      <c r="A3678" s="151">
        <v>46218</v>
      </c>
      <c r="B3678" s="139"/>
      <c r="C3678" s="150"/>
      <c r="H3678" s="139"/>
      <c r="I3678" s="139">
        <f>SUMIF(G3663:G3677, "&lt;&gt;UPI",F3663:F3677)</f>
        <v>222.02</v>
      </c>
    </row>
    <row r="3679" spans="1:12" s="170" customFormat="1" ht="18.75" x14ac:dyDescent="0.3">
      <c r="A3679" s="79">
        <v>46218</v>
      </c>
      <c r="B3679" s="147" t="s">
        <v>987</v>
      </c>
      <c r="C3679" s="169">
        <f>MAX(B3663:B3678)</f>
        <v>7</v>
      </c>
      <c r="D3679" s="147" t="s">
        <v>988</v>
      </c>
      <c r="E3679" s="170">
        <f>SUMIF(G3663:G3678,"UPI",F3663:F3678)</f>
        <v>105</v>
      </c>
      <c r="F3679" s="230" t="s">
        <v>437</v>
      </c>
      <c r="G3679" s="230"/>
      <c r="H3679" s="230"/>
      <c r="I3679" s="231">
        <f>SUM(F3663:F3678)</f>
        <v>327.02</v>
      </c>
      <c r="J3679" s="231"/>
      <c r="K3679" s="231"/>
      <c r="L3679" s="231"/>
    </row>
    <row r="3680" spans="1:12" ht="18.75" x14ac:dyDescent="0.3">
      <c r="A3680" s="78">
        <v>46219</v>
      </c>
      <c r="B3680" s="69"/>
      <c r="D3680" s="69"/>
      <c r="F3680" s="193"/>
      <c r="G3680" s="193"/>
      <c r="H3680" s="193"/>
      <c r="I3680" s="194"/>
      <c r="J3680" s="194"/>
      <c r="K3680" s="194"/>
      <c r="L3680" s="194"/>
    </row>
    <row r="3681" spans="1:12" s="62" customFormat="1" x14ac:dyDescent="0.25">
      <c r="A3681" s="151">
        <v>46219</v>
      </c>
      <c r="B3681" s="139"/>
      <c r="C3681" s="150"/>
      <c r="H3681" s="139"/>
      <c r="I3681" s="139">
        <f>SUMIF(G3680, "&lt;&gt;UPI",F3680)</f>
        <v>0</v>
      </c>
    </row>
    <row r="3682" spans="1:12" s="170" customFormat="1" ht="18.75" x14ac:dyDescent="0.3">
      <c r="A3682" s="79">
        <v>46219</v>
      </c>
      <c r="B3682" s="147" t="s">
        <v>987</v>
      </c>
      <c r="C3682" s="169">
        <f>MAX(B3680:B3681)</f>
        <v>0</v>
      </c>
      <c r="D3682" s="147" t="s">
        <v>988</v>
      </c>
      <c r="E3682" s="170">
        <f>SUMIF(G3680:G3681,"UPI",F3680:F3681)</f>
        <v>0</v>
      </c>
      <c r="F3682" s="230" t="s">
        <v>437</v>
      </c>
      <c r="G3682" s="230"/>
      <c r="H3682" s="230"/>
      <c r="I3682" s="231">
        <f>SUM(F3680:F3681)</f>
        <v>0</v>
      </c>
      <c r="J3682" s="231"/>
      <c r="K3682" s="231"/>
      <c r="L3682" s="231"/>
    </row>
    <row r="3683" spans="1:12" x14ac:dyDescent="0.25">
      <c r="A3683" s="78">
        <v>46220</v>
      </c>
      <c r="B3683" s="68">
        <v>1</v>
      </c>
      <c r="C3683" s="187" t="s">
        <v>763</v>
      </c>
      <c r="D3683" s="68">
        <v>2</v>
      </c>
      <c r="E3683" s="30">
        <v>5</v>
      </c>
      <c r="F3683" s="194">
        <f>E3683*D3683</f>
        <v>10</v>
      </c>
      <c r="G3683" s="194" t="s">
        <v>9</v>
      </c>
      <c r="H3683" s="194"/>
      <c r="I3683" s="194"/>
      <c r="J3683" s="194" t="s">
        <v>392</v>
      </c>
      <c r="K3683" s="194"/>
      <c r="L3683" s="194"/>
    </row>
    <row r="3684" spans="1:12" x14ac:dyDescent="0.25">
      <c r="A3684" s="78">
        <v>46220</v>
      </c>
      <c r="B3684" s="68">
        <v>2</v>
      </c>
      <c r="C3684" s="150" t="s">
        <v>734</v>
      </c>
      <c r="D3684" s="68">
        <v>0.25</v>
      </c>
      <c r="E3684" s="30">
        <v>50</v>
      </c>
      <c r="F3684" s="194">
        <v>25</v>
      </c>
      <c r="G3684" s="194" t="s">
        <v>9</v>
      </c>
      <c r="H3684" s="194"/>
      <c r="I3684" s="194" t="s">
        <v>663</v>
      </c>
      <c r="J3684" s="194" t="s">
        <v>392</v>
      </c>
      <c r="K3684" s="194"/>
      <c r="L3684" s="194"/>
    </row>
    <row r="3685" spans="1:12" x14ac:dyDescent="0.25">
      <c r="A3685" s="78">
        <v>46220</v>
      </c>
      <c r="B3685" s="68">
        <v>2</v>
      </c>
      <c r="C3685" s="150" t="s">
        <v>1071</v>
      </c>
      <c r="D3685" s="68">
        <v>1</v>
      </c>
      <c r="E3685" s="30">
        <v>50</v>
      </c>
      <c r="F3685" s="194">
        <f>E3685*D3685</f>
        <v>50</v>
      </c>
      <c r="G3685" s="194" t="s">
        <v>9</v>
      </c>
      <c r="H3685" s="194"/>
      <c r="I3685" s="194" t="s">
        <v>663</v>
      </c>
      <c r="J3685" s="194" t="s">
        <v>392</v>
      </c>
      <c r="K3685" s="194"/>
      <c r="L3685" s="194"/>
    </row>
    <row r="3686" spans="1:12" ht="30" x14ac:dyDescent="0.25">
      <c r="A3686" s="78">
        <v>46220</v>
      </c>
      <c r="B3686" s="68">
        <v>2</v>
      </c>
      <c r="C3686" s="150" t="s">
        <v>509</v>
      </c>
      <c r="D3686" s="68">
        <v>1</v>
      </c>
      <c r="E3686" s="30">
        <v>135</v>
      </c>
      <c r="F3686" s="194">
        <f>E3686*D3686</f>
        <v>135</v>
      </c>
      <c r="G3686" s="194" t="s">
        <v>1185</v>
      </c>
      <c r="H3686" s="194"/>
      <c r="I3686" s="194" t="s">
        <v>663</v>
      </c>
      <c r="J3686" s="194" t="s">
        <v>392</v>
      </c>
      <c r="K3686" s="194"/>
      <c r="L3686" s="194"/>
    </row>
    <row r="3687" spans="1:12" x14ac:dyDescent="0.25">
      <c r="A3687" s="78">
        <v>46220</v>
      </c>
      <c r="B3687" s="68">
        <v>3</v>
      </c>
      <c r="C3687" s="150" t="s">
        <v>419</v>
      </c>
      <c r="D3687" s="68">
        <v>1</v>
      </c>
      <c r="E3687" s="30">
        <v>20</v>
      </c>
      <c r="F3687" s="194">
        <f>E3687*D3687</f>
        <v>20</v>
      </c>
      <c r="G3687" s="194" t="s">
        <v>9</v>
      </c>
      <c r="H3687" s="194"/>
      <c r="I3687" s="194"/>
      <c r="J3687" s="194" t="s">
        <v>392</v>
      </c>
      <c r="K3687" s="194"/>
      <c r="L3687" s="194"/>
    </row>
    <row r="3688" spans="1:12" ht="30" x14ac:dyDescent="0.25">
      <c r="A3688" s="78">
        <v>46220</v>
      </c>
      <c r="B3688" s="68">
        <v>4</v>
      </c>
      <c r="C3688" s="150" t="s">
        <v>770</v>
      </c>
      <c r="D3688" s="68">
        <v>1</v>
      </c>
      <c r="E3688" s="30">
        <v>90</v>
      </c>
      <c r="F3688" s="194">
        <f>E3688*D3688</f>
        <v>90</v>
      </c>
      <c r="G3688" s="194" t="s">
        <v>9</v>
      </c>
      <c r="H3688" s="194"/>
      <c r="I3688" s="194"/>
      <c r="J3688" s="194" t="s">
        <v>392</v>
      </c>
      <c r="K3688" s="194"/>
      <c r="L3688" s="194"/>
    </row>
    <row r="3689" spans="1:12" ht="30" x14ac:dyDescent="0.25">
      <c r="A3689" s="78">
        <v>46220</v>
      </c>
      <c r="B3689" s="68">
        <v>2</v>
      </c>
      <c r="C3689" s="150" t="s">
        <v>977</v>
      </c>
      <c r="D3689" s="68">
        <v>1</v>
      </c>
      <c r="E3689" s="30">
        <v>10</v>
      </c>
      <c r="F3689" s="194">
        <v>10</v>
      </c>
      <c r="G3689" s="194" t="s">
        <v>1185</v>
      </c>
      <c r="H3689" s="194"/>
      <c r="I3689" s="194" t="s">
        <v>663</v>
      </c>
      <c r="J3689" s="194" t="s">
        <v>392</v>
      </c>
      <c r="K3689" s="194"/>
      <c r="L3689" s="194"/>
    </row>
    <row r="3690" spans="1:12" x14ac:dyDescent="0.25">
      <c r="A3690" s="78">
        <v>46220</v>
      </c>
      <c r="B3690" s="68">
        <v>5</v>
      </c>
      <c r="C3690" s="150" t="s">
        <v>699</v>
      </c>
      <c r="D3690" s="68">
        <v>2</v>
      </c>
      <c r="E3690" s="30">
        <v>15</v>
      </c>
      <c r="F3690" s="194">
        <v>30</v>
      </c>
      <c r="G3690" s="194" t="s">
        <v>9</v>
      </c>
      <c r="H3690" s="194"/>
      <c r="I3690" s="194"/>
      <c r="J3690" s="194" t="s">
        <v>392</v>
      </c>
      <c r="K3690" s="194"/>
      <c r="L3690" s="194"/>
    </row>
    <row r="3691" spans="1:12" x14ac:dyDescent="0.25">
      <c r="A3691" s="78">
        <v>46220</v>
      </c>
      <c r="B3691" s="68">
        <v>6</v>
      </c>
      <c r="C3691" s="150" t="s">
        <v>1063</v>
      </c>
      <c r="D3691" s="68">
        <v>1</v>
      </c>
      <c r="E3691" s="30">
        <v>10</v>
      </c>
      <c r="F3691" s="194">
        <v>10</v>
      </c>
      <c r="G3691" s="194" t="s">
        <v>9</v>
      </c>
      <c r="H3691" s="194"/>
      <c r="I3691" s="194"/>
      <c r="J3691" s="194" t="s">
        <v>392</v>
      </c>
      <c r="K3691" s="194"/>
      <c r="L3691" s="194"/>
    </row>
    <row r="3692" spans="1:12" x14ac:dyDescent="0.25">
      <c r="A3692" s="78">
        <v>46220</v>
      </c>
      <c r="B3692" s="68">
        <v>6</v>
      </c>
      <c r="C3692" s="150" t="s">
        <v>860</v>
      </c>
      <c r="D3692" s="68">
        <v>2</v>
      </c>
      <c r="E3692" s="30">
        <v>5</v>
      </c>
      <c r="F3692" s="194">
        <v>10</v>
      </c>
      <c r="G3692" s="194" t="s">
        <v>1185</v>
      </c>
      <c r="H3692" s="194"/>
      <c r="I3692" s="194"/>
      <c r="J3692" s="194" t="s">
        <v>392</v>
      </c>
      <c r="K3692" s="194"/>
      <c r="L3692" s="194"/>
    </row>
    <row r="3693" spans="1:12" x14ac:dyDescent="0.25">
      <c r="A3693" s="78">
        <v>46220</v>
      </c>
      <c r="B3693" s="68">
        <v>7</v>
      </c>
      <c r="C3693" s="150" t="s">
        <v>159</v>
      </c>
      <c r="D3693" s="68">
        <v>0.15</v>
      </c>
      <c r="E3693" s="30">
        <v>135</v>
      </c>
      <c r="F3693" s="194">
        <v>20</v>
      </c>
      <c r="G3693" s="194" t="s">
        <v>9</v>
      </c>
      <c r="H3693" s="194"/>
      <c r="I3693" s="194"/>
      <c r="J3693" s="194" t="s">
        <v>392</v>
      </c>
      <c r="K3693" s="194"/>
      <c r="L3693" s="194"/>
    </row>
    <row r="3694" spans="1:12" x14ac:dyDescent="0.25">
      <c r="A3694" s="78">
        <v>46220</v>
      </c>
      <c r="B3694" s="68">
        <v>8</v>
      </c>
      <c r="C3694" s="150" t="s">
        <v>1131</v>
      </c>
      <c r="D3694" s="68">
        <v>4</v>
      </c>
      <c r="E3694" s="30">
        <v>5</v>
      </c>
      <c r="F3694" s="194">
        <v>20</v>
      </c>
      <c r="G3694" s="194" t="s">
        <v>9</v>
      </c>
      <c r="H3694" s="194"/>
      <c r="I3694" s="194" t="s">
        <v>1009</v>
      </c>
      <c r="J3694" s="194" t="s">
        <v>392</v>
      </c>
      <c r="K3694" s="194"/>
      <c r="L3694" s="194"/>
    </row>
    <row r="3695" spans="1:12" x14ac:dyDescent="0.25">
      <c r="A3695" s="78">
        <v>46220</v>
      </c>
      <c r="B3695" s="68">
        <v>8</v>
      </c>
      <c r="C3695" s="150" t="s">
        <v>860</v>
      </c>
      <c r="D3695" s="68">
        <v>2</v>
      </c>
      <c r="E3695" s="30">
        <v>5</v>
      </c>
      <c r="F3695" s="194">
        <v>10</v>
      </c>
      <c r="G3695" s="194" t="s">
        <v>9</v>
      </c>
      <c r="H3695" s="194"/>
      <c r="I3695" s="194" t="s">
        <v>1009</v>
      </c>
      <c r="J3695" s="194" t="s">
        <v>392</v>
      </c>
      <c r="K3695" s="194"/>
      <c r="L3695" s="194"/>
    </row>
    <row r="3696" spans="1:12" x14ac:dyDescent="0.25">
      <c r="A3696" s="78">
        <v>46220</v>
      </c>
      <c r="B3696" s="68">
        <v>9</v>
      </c>
      <c r="C3696" s="150" t="s">
        <v>772</v>
      </c>
      <c r="D3696" s="68">
        <v>1</v>
      </c>
      <c r="E3696" s="30">
        <v>20</v>
      </c>
      <c r="F3696" s="194">
        <f>E3696*D3696</f>
        <v>20</v>
      </c>
      <c r="G3696" s="194" t="s">
        <v>9</v>
      </c>
      <c r="H3696" s="194"/>
      <c r="I3696" s="194"/>
      <c r="J3696" s="194" t="s">
        <v>392</v>
      </c>
      <c r="K3696" s="194"/>
      <c r="L3696" s="194"/>
    </row>
    <row r="3697" spans="1:12" x14ac:dyDescent="0.25">
      <c r="A3697" s="78">
        <v>46220</v>
      </c>
      <c r="B3697" s="68">
        <v>10</v>
      </c>
      <c r="C3697" s="150" t="s">
        <v>876</v>
      </c>
      <c r="D3697" s="68">
        <v>2</v>
      </c>
      <c r="E3697" s="30">
        <v>20</v>
      </c>
      <c r="F3697" s="194">
        <f t="shared" ref="F3697:F3715" si="128">E3697*D3697</f>
        <v>40</v>
      </c>
      <c r="G3697" s="194" t="s">
        <v>9</v>
      </c>
      <c r="H3697" s="194"/>
      <c r="I3697" s="194"/>
      <c r="J3697" s="194" t="s">
        <v>392</v>
      </c>
      <c r="K3697" s="194"/>
      <c r="L3697" s="194"/>
    </row>
    <row r="3698" spans="1:12" x14ac:dyDescent="0.25">
      <c r="A3698" s="78">
        <v>46220</v>
      </c>
      <c r="B3698" s="68">
        <v>10</v>
      </c>
      <c r="C3698" s="150" t="s">
        <v>860</v>
      </c>
      <c r="D3698" s="68">
        <v>2</v>
      </c>
      <c r="E3698" s="30">
        <v>5</v>
      </c>
      <c r="F3698" s="194">
        <f t="shared" si="128"/>
        <v>10</v>
      </c>
      <c r="G3698" s="194" t="s">
        <v>9</v>
      </c>
      <c r="H3698" s="194"/>
      <c r="I3698" s="194"/>
      <c r="J3698" s="194" t="s">
        <v>392</v>
      </c>
      <c r="K3698" s="194"/>
      <c r="L3698" s="194"/>
    </row>
    <row r="3699" spans="1:12" x14ac:dyDescent="0.25">
      <c r="A3699" s="78">
        <v>46220</v>
      </c>
      <c r="B3699" s="68">
        <v>11</v>
      </c>
      <c r="C3699" s="150" t="s">
        <v>1139</v>
      </c>
      <c r="D3699" s="68">
        <v>4</v>
      </c>
      <c r="E3699" s="30">
        <v>5</v>
      </c>
      <c r="F3699" s="194">
        <f t="shared" si="128"/>
        <v>20</v>
      </c>
      <c r="G3699" s="194" t="s">
        <v>9</v>
      </c>
      <c r="H3699" s="194"/>
      <c r="I3699" s="194"/>
      <c r="J3699" s="194" t="s">
        <v>392</v>
      </c>
      <c r="K3699" s="194"/>
      <c r="L3699" s="194"/>
    </row>
    <row r="3700" spans="1:12" x14ac:dyDescent="0.25">
      <c r="A3700" s="78">
        <v>46220</v>
      </c>
      <c r="B3700" s="68">
        <v>11</v>
      </c>
      <c r="C3700" s="150" t="s">
        <v>1049</v>
      </c>
      <c r="D3700" s="68">
        <v>1</v>
      </c>
      <c r="E3700" s="30">
        <v>30</v>
      </c>
      <c r="F3700" s="194">
        <f t="shared" si="128"/>
        <v>30</v>
      </c>
      <c r="G3700" s="194" t="s">
        <v>9</v>
      </c>
      <c r="H3700" s="194"/>
      <c r="I3700" s="194"/>
      <c r="J3700" s="194" t="s">
        <v>392</v>
      </c>
      <c r="K3700" s="194"/>
      <c r="L3700" s="194"/>
    </row>
    <row r="3701" spans="1:12" x14ac:dyDescent="0.25">
      <c r="A3701" s="78">
        <v>46220</v>
      </c>
      <c r="B3701" s="68">
        <v>11</v>
      </c>
      <c r="C3701" s="150" t="s">
        <v>947</v>
      </c>
      <c r="D3701" s="68">
        <v>1</v>
      </c>
      <c r="E3701" s="30">
        <v>20</v>
      </c>
      <c r="F3701" s="194">
        <f t="shared" si="128"/>
        <v>20</v>
      </c>
      <c r="G3701" s="194" t="s">
        <v>9</v>
      </c>
      <c r="H3701" s="194"/>
      <c r="I3701" s="194"/>
      <c r="J3701" s="194" t="s">
        <v>392</v>
      </c>
      <c r="K3701" s="194"/>
      <c r="L3701" s="194"/>
    </row>
    <row r="3702" spans="1:12" x14ac:dyDescent="0.25">
      <c r="A3702" s="78">
        <v>46220</v>
      </c>
      <c r="B3702" s="30">
        <v>12</v>
      </c>
      <c r="C3702" s="150" t="s">
        <v>791</v>
      </c>
      <c r="D3702" s="68">
        <v>1</v>
      </c>
      <c r="E3702" s="30">
        <v>10</v>
      </c>
      <c r="F3702" s="194">
        <f t="shared" si="128"/>
        <v>10</v>
      </c>
      <c r="G3702" s="194" t="s">
        <v>9</v>
      </c>
      <c r="H3702" s="194"/>
      <c r="I3702" s="194"/>
      <c r="J3702" s="194" t="s">
        <v>392</v>
      </c>
      <c r="K3702" s="194"/>
      <c r="L3702" s="194"/>
    </row>
    <row r="3703" spans="1:12" x14ac:dyDescent="0.25">
      <c r="A3703" s="78">
        <v>46220</v>
      </c>
      <c r="B3703" s="30">
        <v>12</v>
      </c>
      <c r="C3703" s="150" t="s">
        <v>860</v>
      </c>
      <c r="D3703" s="68">
        <v>1</v>
      </c>
      <c r="E3703" s="30">
        <v>5</v>
      </c>
      <c r="F3703" s="194">
        <f t="shared" si="128"/>
        <v>5</v>
      </c>
      <c r="G3703" s="194" t="s">
        <v>9</v>
      </c>
      <c r="H3703" s="194"/>
      <c r="I3703" s="194"/>
      <c r="J3703" s="194" t="s">
        <v>392</v>
      </c>
      <c r="K3703" s="194"/>
      <c r="L3703" s="194"/>
    </row>
    <row r="3704" spans="1:12" x14ac:dyDescent="0.25">
      <c r="A3704" s="78">
        <v>46220</v>
      </c>
      <c r="B3704" s="30">
        <v>12</v>
      </c>
      <c r="C3704" s="150" t="s">
        <v>1070</v>
      </c>
      <c r="D3704" s="68">
        <v>1</v>
      </c>
      <c r="E3704" s="30">
        <v>20</v>
      </c>
      <c r="F3704" s="194">
        <f t="shared" si="128"/>
        <v>20</v>
      </c>
      <c r="G3704" s="194" t="s">
        <v>9</v>
      </c>
      <c r="H3704" s="194"/>
      <c r="I3704" s="194"/>
      <c r="J3704" s="194" t="s">
        <v>392</v>
      </c>
      <c r="K3704" s="194"/>
      <c r="L3704" s="194"/>
    </row>
    <row r="3705" spans="1:12" ht="30" x14ac:dyDescent="0.25">
      <c r="A3705" s="78">
        <v>46220</v>
      </c>
      <c r="B3705" s="30">
        <v>12</v>
      </c>
      <c r="C3705" s="150" t="s">
        <v>526</v>
      </c>
      <c r="D3705" s="68">
        <v>1</v>
      </c>
      <c r="E3705" s="30">
        <v>65</v>
      </c>
      <c r="F3705" s="194">
        <f t="shared" si="128"/>
        <v>65</v>
      </c>
      <c r="G3705" s="194" t="s">
        <v>9</v>
      </c>
      <c r="H3705" s="194"/>
      <c r="I3705" s="194"/>
      <c r="J3705" s="194" t="s">
        <v>392</v>
      </c>
      <c r="K3705" s="194"/>
      <c r="L3705" s="194"/>
    </row>
    <row r="3706" spans="1:12" ht="30" x14ac:dyDescent="0.25">
      <c r="A3706" s="78">
        <v>46220</v>
      </c>
      <c r="B3706" s="68">
        <v>13</v>
      </c>
      <c r="C3706" s="150" t="s">
        <v>1051</v>
      </c>
      <c r="D3706" s="68">
        <v>1</v>
      </c>
      <c r="E3706" s="30">
        <v>20</v>
      </c>
      <c r="F3706" s="194">
        <f t="shared" si="128"/>
        <v>20</v>
      </c>
      <c r="G3706" s="194" t="s">
        <v>9</v>
      </c>
      <c r="H3706" s="194"/>
      <c r="I3706" s="194"/>
      <c r="J3706" s="194" t="s">
        <v>392</v>
      </c>
      <c r="K3706" s="194"/>
      <c r="L3706" s="194"/>
    </row>
    <row r="3707" spans="1:12" ht="30" customHeight="1" x14ac:dyDescent="0.25">
      <c r="A3707" s="78">
        <v>46220</v>
      </c>
      <c r="B3707" s="68">
        <v>13</v>
      </c>
      <c r="C3707" s="150" t="s">
        <v>997</v>
      </c>
      <c r="D3707" s="68">
        <v>1</v>
      </c>
      <c r="E3707" s="30">
        <v>20</v>
      </c>
      <c r="F3707" s="194">
        <f t="shared" si="128"/>
        <v>20</v>
      </c>
      <c r="G3707" s="194" t="s">
        <v>9</v>
      </c>
      <c r="H3707" s="194"/>
      <c r="I3707" s="194"/>
      <c r="J3707" s="194" t="s">
        <v>392</v>
      </c>
      <c r="K3707" s="194"/>
      <c r="L3707" s="194"/>
    </row>
    <row r="3708" spans="1:12" ht="13.5" customHeight="1" x14ac:dyDescent="0.25">
      <c r="A3708" s="78">
        <v>46220</v>
      </c>
      <c r="B3708" s="68">
        <v>13</v>
      </c>
      <c r="C3708" s="150" t="s">
        <v>1054</v>
      </c>
      <c r="D3708" s="68">
        <v>3</v>
      </c>
      <c r="E3708" s="30">
        <v>10</v>
      </c>
      <c r="F3708" s="194">
        <f t="shared" si="128"/>
        <v>30</v>
      </c>
      <c r="G3708" s="194" t="s">
        <v>9</v>
      </c>
      <c r="H3708" s="194"/>
      <c r="I3708" s="194"/>
      <c r="J3708" s="194" t="s">
        <v>392</v>
      </c>
      <c r="K3708" s="194"/>
      <c r="L3708" s="194"/>
    </row>
    <row r="3709" spans="1:12" ht="13.5" customHeight="1" x14ac:dyDescent="0.25">
      <c r="A3709" s="78">
        <v>46220</v>
      </c>
      <c r="B3709" s="68">
        <v>13</v>
      </c>
      <c r="C3709" s="150" t="s">
        <v>578</v>
      </c>
      <c r="D3709" s="68">
        <v>4</v>
      </c>
      <c r="E3709" s="30">
        <v>5</v>
      </c>
      <c r="F3709" s="194">
        <f t="shared" si="128"/>
        <v>20</v>
      </c>
      <c r="G3709" s="194" t="s">
        <v>9</v>
      </c>
      <c r="H3709" s="194"/>
      <c r="I3709" s="194"/>
      <c r="J3709" s="194" t="s">
        <v>392</v>
      </c>
      <c r="K3709" s="194"/>
      <c r="L3709" s="194"/>
    </row>
    <row r="3710" spans="1:12" ht="13.5" customHeight="1" x14ac:dyDescent="0.25">
      <c r="A3710" s="78">
        <v>46220</v>
      </c>
      <c r="B3710" s="68">
        <v>14</v>
      </c>
      <c r="C3710" s="150" t="s">
        <v>572</v>
      </c>
      <c r="D3710" s="68">
        <v>1</v>
      </c>
      <c r="E3710" s="30">
        <v>10</v>
      </c>
      <c r="F3710" s="194">
        <f t="shared" si="128"/>
        <v>10</v>
      </c>
      <c r="G3710" s="194" t="s">
        <v>9</v>
      </c>
      <c r="H3710" s="194"/>
      <c r="I3710" s="194"/>
      <c r="J3710" s="194" t="s">
        <v>392</v>
      </c>
      <c r="K3710" s="194"/>
      <c r="L3710" s="194"/>
    </row>
    <row r="3711" spans="1:12" ht="13.5" customHeight="1" x14ac:dyDescent="0.25">
      <c r="A3711" s="78">
        <v>46220</v>
      </c>
      <c r="B3711" s="68">
        <v>15</v>
      </c>
      <c r="C3711" s="150" t="s">
        <v>615</v>
      </c>
      <c r="D3711" s="68">
        <v>1</v>
      </c>
      <c r="E3711" s="30">
        <v>30</v>
      </c>
      <c r="F3711" s="194">
        <f t="shared" si="128"/>
        <v>30</v>
      </c>
      <c r="G3711" s="194" t="s">
        <v>9</v>
      </c>
      <c r="H3711" s="194"/>
      <c r="I3711" s="194"/>
      <c r="J3711" s="194" t="s">
        <v>392</v>
      </c>
      <c r="K3711" s="194"/>
      <c r="L3711" s="194"/>
    </row>
    <row r="3712" spans="1:12" ht="13.5" customHeight="1" x14ac:dyDescent="0.25">
      <c r="A3712" s="78">
        <v>46220</v>
      </c>
      <c r="B3712" s="68">
        <v>15</v>
      </c>
      <c r="C3712" s="150" t="s">
        <v>709</v>
      </c>
      <c r="D3712" s="68">
        <v>3</v>
      </c>
      <c r="E3712" s="30">
        <v>10</v>
      </c>
      <c r="F3712" s="194">
        <f t="shared" si="128"/>
        <v>30</v>
      </c>
      <c r="G3712" s="194" t="s">
        <v>9</v>
      </c>
      <c r="H3712" s="194"/>
      <c r="I3712" s="194"/>
      <c r="J3712" s="194" t="s">
        <v>392</v>
      </c>
      <c r="K3712" s="194"/>
      <c r="L3712" s="194"/>
    </row>
    <row r="3713" spans="1:12" ht="13.5" customHeight="1" x14ac:dyDescent="0.25">
      <c r="A3713" s="78">
        <v>46220</v>
      </c>
      <c r="B3713" s="68">
        <v>16</v>
      </c>
      <c r="C3713" s="150" t="s">
        <v>666</v>
      </c>
      <c r="D3713" s="68">
        <v>2</v>
      </c>
      <c r="E3713" s="30">
        <v>10</v>
      </c>
      <c r="F3713" s="194">
        <f t="shared" si="128"/>
        <v>20</v>
      </c>
      <c r="G3713" s="194" t="s">
        <v>9</v>
      </c>
      <c r="H3713" s="194"/>
      <c r="I3713" s="194"/>
      <c r="J3713" s="194" t="s">
        <v>392</v>
      </c>
      <c r="K3713" s="194"/>
      <c r="L3713" s="194"/>
    </row>
    <row r="3714" spans="1:12" ht="13.5" customHeight="1" x14ac:dyDescent="0.25">
      <c r="A3714" s="78">
        <v>46220</v>
      </c>
      <c r="B3714" s="68">
        <v>13</v>
      </c>
      <c r="C3714" s="150" t="s">
        <v>561</v>
      </c>
      <c r="D3714" s="68">
        <v>1</v>
      </c>
      <c r="E3714" s="30">
        <v>10</v>
      </c>
      <c r="F3714" s="194">
        <f t="shared" si="128"/>
        <v>10</v>
      </c>
      <c r="G3714" s="194" t="s">
        <v>9</v>
      </c>
      <c r="H3714" s="194"/>
      <c r="I3714" s="194"/>
      <c r="J3714" s="194" t="s">
        <v>392</v>
      </c>
      <c r="K3714" s="194"/>
      <c r="L3714" s="194"/>
    </row>
    <row r="3715" spans="1:12" ht="13.5" customHeight="1" x14ac:dyDescent="0.25">
      <c r="A3715" s="78">
        <v>46220</v>
      </c>
      <c r="B3715" s="68">
        <v>17</v>
      </c>
      <c r="C3715" s="150" t="s">
        <v>652</v>
      </c>
      <c r="D3715" s="68">
        <v>1</v>
      </c>
      <c r="E3715" s="30">
        <v>20</v>
      </c>
      <c r="F3715" s="194">
        <f t="shared" si="128"/>
        <v>20</v>
      </c>
      <c r="G3715" s="194" t="s">
        <v>9</v>
      </c>
      <c r="H3715" s="194"/>
      <c r="I3715" s="194"/>
      <c r="J3715" s="194" t="s">
        <v>392</v>
      </c>
      <c r="K3715" s="194"/>
      <c r="L3715" s="194"/>
    </row>
    <row r="3716" spans="1:12" s="62" customFormat="1" ht="15" customHeight="1" x14ac:dyDescent="0.25">
      <c r="A3716" s="151">
        <v>46220</v>
      </c>
      <c r="B3716" s="139"/>
      <c r="C3716" s="150"/>
      <c r="F3716" s="195"/>
      <c r="H3716" s="139"/>
      <c r="I3716" s="139">
        <f>SUMIF(G3683:G3708, "&lt;&gt;UPI",F3683:F3708)</f>
        <v>750</v>
      </c>
    </row>
    <row r="3717" spans="1:12" s="170" customFormat="1" ht="18.75" x14ac:dyDescent="0.3">
      <c r="A3717" s="79">
        <v>46220</v>
      </c>
      <c r="B3717" s="147" t="s">
        <v>987</v>
      </c>
      <c r="C3717" s="169">
        <f>MAX(B3683:B3716)</f>
        <v>17</v>
      </c>
      <c r="D3717" s="147" t="s">
        <v>988</v>
      </c>
      <c r="E3717" s="170">
        <f>SUMIF(G3683:G3716,"UPI",F3683:F3716)</f>
        <v>0</v>
      </c>
      <c r="F3717" s="230" t="s">
        <v>437</v>
      </c>
      <c r="G3717" s="230"/>
      <c r="H3717" s="230"/>
      <c r="I3717" s="231">
        <f>SUM(F3683:F3716)</f>
        <v>890</v>
      </c>
      <c r="J3717" s="231"/>
      <c r="K3717" s="231"/>
      <c r="L3717" s="231"/>
    </row>
    <row r="3718" spans="1:12" x14ac:dyDescent="0.25">
      <c r="A3718" s="78">
        <v>46221</v>
      </c>
      <c r="B3718" s="189">
        <v>1</v>
      </c>
      <c r="C3718" s="189" t="s">
        <v>964</v>
      </c>
      <c r="D3718" s="68">
        <v>1</v>
      </c>
      <c r="E3718" s="30">
        <v>10</v>
      </c>
      <c r="F3718" s="194">
        <f>E3718*D3718</f>
        <v>10</v>
      </c>
      <c r="G3718" s="194" t="s">
        <v>9</v>
      </c>
      <c r="H3718" s="194"/>
      <c r="I3718" s="194"/>
      <c r="J3718" s="194" t="s">
        <v>392</v>
      </c>
      <c r="K3718" s="194"/>
      <c r="L3718" s="194"/>
    </row>
    <row r="3719" spans="1:12" ht="30" x14ac:dyDescent="0.25">
      <c r="A3719" s="78">
        <v>46221</v>
      </c>
      <c r="B3719" s="68">
        <v>1</v>
      </c>
      <c r="C3719" s="189" t="s">
        <v>1054</v>
      </c>
      <c r="D3719" s="68">
        <v>1</v>
      </c>
      <c r="E3719" s="30">
        <v>10</v>
      </c>
      <c r="F3719" s="194">
        <f t="shared" ref="F3719:F3743" si="129">E3719*D3719</f>
        <v>10</v>
      </c>
      <c r="G3719" s="194" t="s">
        <v>9</v>
      </c>
      <c r="H3719" s="194"/>
      <c r="I3719" s="194"/>
      <c r="J3719" s="194" t="s">
        <v>392</v>
      </c>
      <c r="K3719" s="194"/>
      <c r="L3719" s="194"/>
    </row>
    <row r="3720" spans="1:12" x14ac:dyDescent="0.25">
      <c r="A3720" s="78">
        <v>46221</v>
      </c>
      <c r="B3720" s="68">
        <v>1</v>
      </c>
      <c r="C3720" s="189" t="s">
        <v>1139</v>
      </c>
      <c r="D3720" s="68">
        <v>1</v>
      </c>
      <c r="E3720" s="30">
        <v>5</v>
      </c>
      <c r="F3720" s="194">
        <f t="shared" si="129"/>
        <v>5</v>
      </c>
      <c r="G3720" s="194" t="s">
        <v>9</v>
      </c>
      <c r="H3720" s="194"/>
      <c r="I3720" s="194"/>
      <c r="J3720" s="194" t="s">
        <v>392</v>
      </c>
      <c r="K3720" s="194"/>
      <c r="L3720" s="194"/>
    </row>
    <row r="3721" spans="1:12" x14ac:dyDescent="0.25">
      <c r="A3721" s="78">
        <v>46221</v>
      </c>
      <c r="B3721" s="68">
        <v>1</v>
      </c>
      <c r="C3721" s="189" t="s">
        <v>1140</v>
      </c>
      <c r="D3721" s="68">
        <v>1</v>
      </c>
      <c r="E3721" s="30">
        <v>5</v>
      </c>
      <c r="F3721" s="194">
        <f t="shared" si="129"/>
        <v>5</v>
      </c>
      <c r="G3721" s="194" t="s">
        <v>9</v>
      </c>
      <c r="H3721" s="194"/>
      <c r="I3721" s="194"/>
      <c r="J3721" s="194" t="s">
        <v>392</v>
      </c>
      <c r="K3721" s="194"/>
      <c r="L3721" s="194"/>
    </row>
    <row r="3722" spans="1:12" x14ac:dyDescent="0.25">
      <c r="A3722" s="78">
        <v>46221</v>
      </c>
      <c r="B3722" s="68">
        <v>2</v>
      </c>
      <c r="C3722" s="188" t="s">
        <v>729</v>
      </c>
      <c r="D3722" s="68">
        <v>3</v>
      </c>
      <c r="E3722" s="30">
        <v>10</v>
      </c>
      <c r="F3722" s="194">
        <f t="shared" si="129"/>
        <v>30</v>
      </c>
      <c r="G3722" s="194" t="s">
        <v>9</v>
      </c>
      <c r="H3722" s="194"/>
      <c r="I3722" s="194"/>
      <c r="J3722" s="194" t="s">
        <v>392</v>
      </c>
      <c r="K3722" s="194"/>
      <c r="L3722" s="194"/>
    </row>
    <row r="3723" spans="1:12" x14ac:dyDescent="0.25">
      <c r="A3723" s="78">
        <v>46221</v>
      </c>
      <c r="B3723" s="68">
        <v>2</v>
      </c>
      <c r="C3723" s="189" t="s">
        <v>896</v>
      </c>
      <c r="D3723" s="68">
        <v>0.25</v>
      </c>
      <c r="E3723" s="30">
        <v>110</v>
      </c>
      <c r="F3723" s="194">
        <f t="shared" si="129"/>
        <v>27.5</v>
      </c>
      <c r="G3723" s="194" t="s">
        <v>9</v>
      </c>
      <c r="H3723" s="194"/>
      <c r="I3723" s="194"/>
      <c r="J3723" s="194" t="s">
        <v>392</v>
      </c>
      <c r="K3723" s="194"/>
      <c r="L3723" s="194"/>
    </row>
    <row r="3724" spans="1:12" x14ac:dyDescent="0.25">
      <c r="A3724" s="78">
        <v>46221</v>
      </c>
      <c r="B3724" s="68">
        <v>3</v>
      </c>
      <c r="C3724" s="189" t="s">
        <v>909</v>
      </c>
      <c r="D3724" s="68">
        <v>1</v>
      </c>
      <c r="E3724" s="30">
        <v>30</v>
      </c>
      <c r="F3724" s="194">
        <f t="shared" si="129"/>
        <v>30</v>
      </c>
      <c r="G3724" s="194" t="s">
        <v>9</v>
      </c>
      <c r="H3724" s="194"/>
      <c r="I3724" s="194"/>
      <c r="J3724" s="194" t="s">
        <v>392</v>
      </c>
      <c r="K3724" s="194"/>
      <c r="L3724" s="194"/>
    </row>
    <row r="3725" spans="1:12" x14ac:dyDescent="0.25">
      <c r="A3725" s="78">
        <v>46221</v>
      </c>
      <c r="B3725" s="68">
        <v>3</v>
      </c>
      <c r="C3725" s="189" t="s">
        <v>1131</v>
      </c>
      <c r="D3725" s="68">
        <v>2</v>
      </c>
      <c r="E3725" s="30">
        <v>5</v>
      </c>
      <c r="F3725" s="194">
        <f t="shared" si="129"/>
        <v>10</v>
      </c>
      <c r="G3725" s="194" t="s">
        <v>9</v>
      </c>
      <c r="H3725" s="194"/>
      <c r="I3725" s="194"/>
      <c r="J3725" s="194" t="s">
        <v>392</v>
      </c>
      <c r="K3725" s="194"/>
      <c r="L3725" s="194"/>
    </row>
    <row r="3726" spans="1:12" x14ac:dyDescent="0.25">
      <c r="A3726" s="78">
        <v>46221</v>
      </c>
      <c r="B3726" s="68">
        <v>3</v>
      </c>
      <c r="C3726" s="189" t="s">
        <v>948</v>
      </c>
      <c r="D3726" s="68">
        <v>1</v>
      </c>
      <c r="E3726" s="30">
        <v>205</v>
      </c>
      <c r="F3726" s="194">
        <f t="shared" si="129"/>
        <v>205</v>
      </c>
      <c r="G3726" s="194" t="s">
        <v>9</v>
      </c>
      <c r="H3726" s="194"/>
      <c r="I3726" s="194"/>
      <c r="J3726" s="194" t="s">
        <v>392</v>
      </c>
      <c r="K3726" s="194"/>
      <c r="L3726" s="194"/>
    </row>
    <row r="3727" spans="1:12" x14ac:dyDescent="0.25">
      <c r="A3727" s="78">
        <v>46221</v>
      </c>
      <c r="B3727" s="68">
        <v>4</v>
      </c>
      <c r="C3727" s="189" t="s">
        <v>1090</v>
      </c>
      <c r="D3727" s="68">
        <v>4</v>
      </c>
      <c r="E3727" s="30">
        <v>9.5</v>
      </c>
      <c r="F3727" s="194">
        <f t="shared" si="129"/>
        <v>38</v>
      </c>
      <c r="G3727" s="194" t="s">
        <v>10</v>
      </c>
      <c r="H3727" s="194"/>
      <c r="I3727" s="194"/>
      <c r="J3727" s="194" t="s">
        <v>392</v>
      </c>
      <c r="K3727" s="194"/>
      <c r="L3727" s="194"/>
    </row>
    <row r="3728" spans="1:12" x14ac:dyDescent="0.25">
      <c r="A3728" s="78">
        <v>46221</v>
      </c>
      <c r="B3728" s="68">
        <v>4</v>
      </c>
      <c r="C3728" s="189" t="s">
        <v>785</v>
      </c>
      <c r="D3728" s="68">
        <v>5</v>
      </c>
      <c r="E3728" s="30">
        <v>1</v>
      </c>
      <c r="F3728" s="194">
        <f t="shared" si="129"/>
        <v>5</v>
      </c>
      <c r="G3728" s="194" t="s">
        <v>10</v>
      </c>
      <c r="H3728" s="194"/>
      <c r="I3728" s="194"/>
      <c r="J3728" s="194" t="s">
        <v>392</v>
      </c>
      <c r="K3728" s="194"/>
      <c r="L3728" s="194"/>
    </row>
    <row r="3729" spans="1:12" x14ac:dyDescent="0.25">
      <c r="A3729" s="78">
        <v>46221</v>
      </c>
      <c r="B3729" s="68">
        <v>4</v>
      </c>
      <c r="C3729" s="189" t="s">
        <v>1131</v>
      </c>
      <c r="D3729" s="68">
        <v>1</v>
      </c>
      <c r="E3729" s="30">
        <v>5</v>
      </c>
      <c r="F3729" s="194">
        <f t="shared" si="129"/>
        <v>5</v>
      </c>
      <c r="G3729" s="194" t="s">
        <v>10</v>
      </c>
      <c r="H3729" s="194"/>
      <c r="I3729" s="194"/>
      <c r="J3729" s="194" t="s">
        <v>392</v>
      </c>
      <c r="K3729" s="194"/>
      <c r="L3729" s="194"/>
    </row>
    <row r="3730" spans="1:12" x14ac:dyDescent="0.25">
      <c r="A3730" s="78">
        <v>46221</v>
      </c>
      <c r="B3730" s="68">
        <v>4</v>
      </c>
      <c r="C3730" s="189" t="s">
        <v>912</v>
      </c>
      <c r="D3730" s="68">
        <v>1</v>
      </c>
      <c r="E3730" s="30">
        <v>10</v>
      </c>
      <c r="F3730" s="194">
        <f t="shared" si="129"/>
        <v>10</v>
      </c>
      <c r="G3730" s="194" t="s">
        <v>10</v>
      </c>
      <c r="H3730" s="194"/>
      <c r="I3730" s="194"/>
      <c r="J3730" s="194" t="s">
        <v>392</v>
      </c>
      <c r="K3730" s="194"/>
      <c r="L3730" s="194"/>
    </row>
    <row r="3731" spans="1:12" x14ac:dyDescent="0.25">
      <c r="A3731" s="78">
        <v>46221</v>
      </c>
      <c r="B3731" s="68">
        <v>4</v>
      </c>
      <c r="C3731" s="189" t="s">
        <v>1145</v>
      </c>
      <c r="D3731" s="68">
        <v>1</v>
      </c>
      <c r="E3731" s="30">
        <v>10</v>
      </c>
      <c r="F3731" s="194">
        <f t="shared" si="129"/>
        <v>10</v>
      </c>
      <c r="G3731" s="194" t="s">
        <v>10</v>
      </c>
      <c r="H3731" s="194"/>
      <c r="I3731" s="194"/>
      <c r="J3731" s="194" t="s">
        <v>392</v>
      </c>
      <c r="K3731" s="194"/>
      <c r="L3731" s="194"/>
    </row>
    <row r="3732" spans="1:12" x14ac:dyDescent="0.25">
      <c r="A3732" s="78">
        <v>46221</v>
      </c>
      <c r="B3732" s="68">
        <v>4</v>
      </c>
      <c r="C3732" s="189" t="s">
        <v>877</v>
      </c>
      <c r="D3732" s="68">
        <v>1</v>
      </c>
      <c r="E3732" s="30">
        <v>10</v>
      </c>
      <c r="F3732" s="194">
        <f t="shared" si="129"/>
        <v>10</v>
      </c>
      <c r="G3732" s="194" t="s">
        <v>10</v>
      </c>
      <c r="H3732" s="194"/>
      <c r="I3732" s="194"/>
      <c r="J3732" s="194" t="s">
        <v>392</v>
      </c>
      <c r="K3732" s="194"/>
      <c r="L3732" s="194"/>
    </row>
    <row r="3733" spans="1:12" x14ac:dyDescent="0.25">
      <c r="A3733" s="78">
        <v>46221</v>
      </c>
      <c r="B3733" s="68">
        <v>5</v>
      </c>
      <c r="C3733" s="189" t="s">
        <v>948</v>
      </c>
      <c r="D3733" s="68">
        <v>1</v>
      </c>
      <c r="E3733" s="30">
        <v>205</v>
      </c>
      <c r="F3733" s="194">
        <f t="shared" si="129"/>
        <v>205</v>
      </c>
      <c r="G3733" s="194" t="s">
        <v>9</v>
      </c>
      <c r="H3733" s="194"/>
      <c r="I3733" s="194" t="s">
        <v>1200</v>
      </c>
      <c r="J3733" s="194" t="s">
        <v>392</v>
      </c>
      <c r="K3733" s="194"/>
      <c r="L3733" s="194"/>
    </row>
    <row r="3734" spans="1:12" x14ac:dyDescent="0.25">
      <c r="A3734" s="78">
        <v>46221</v>
      </c>
      <c r="B3734" s="68">
        <v>5</v>
      </c>
      <c r="C3734" s="188" t="s">
        <v>808</v>
      </c>
      <c r="D3734" s="68">
        <v>1</v>
      </c>
      <c r="E3734" s="30">
        <v>59</v>
      </c>
      <c r="F3734" s="194">
        <f t="shared" si="129"/>
        <v>59</v>
      </c>
      <c r="G3734" s="194" t="s">
        <v>9</v>
      </c>
      <c r="H3734" s="194"/>
      <c r="I3734" s="194" t="s">
        <v>663</v>
      </c>
      <c r="J3734" s="194" t="s">
        <v>392</v>
      </c>
      <c r="K3734" s="194"/>
      <c r="L3734" s="194"/>
    </row>
    <row r="3735" spans="1:12" x14ac:dyDescent="0.25">
      <c r="A3735" s="78">
        <v>46221</v>
      </c>
      <c r="B3735" s="68">
        <v>6</v>
      </c>
      <c r="C3735" s="189" t="s">
        <v>947</v>
      </c>
      <c r="D3735" s="68">
        <v>1</v>
      </c>
      <c r="E3735" s="30">
        <v>20</v>
      </c>
      <c r="F3735" s="194">
        <f t="shared" si="129"/>
        <v>20</v>
      </c>
      <c r="G3735" s="194" t="s">
        <v>10</v>
      </c>
      <c r="H3735" s="194"/>
      <c r="I3735" s="194"/>
      <c r="J3735" s="194" t="s">
        <v>392</v>
      </c>
      <c r="K3735" s="194"/>
      <c r="L3735" s="194"/>
    </row>
    <row r="3736" spans="1:12" x14ac:dyDescent="0.25">
      <c r="A3736" s="78">
        <v>46221</v>
      </c>
      <c r="B3736" s="68">
        <v>6</v>
      </c>
      <c r="C3736" s="189" t="s">
        <v>1053</v>
      </c>
      <c r="D3736" s="68">
        <v>2</v>
      </c>
      <c r="E3736" s="30">
        <v>10</v>
      </c>
      <c r="F3736" s="194">
        <f t="shared" si="129"/>
        <v>20</v>
      </c>
      <c r="G3736" s="194" t="s">
        <v>10</v>
      </c>
      <c r="H3736" s="194"/>
      <c r="I3736" s="194"/>
      <c r="J3736" s="194" t="s">
        <v>392</v>
      </c>
      <c r="K3736" s="194"/>
      <c r="L3736" s="194"/>
    </row>
    <row r="3737" spans="1:12" x14ac:dyDescent="0.25">
      <c r="A3737" s="78">
        <v>46221</v>
      </c>
      <c r="B3737" s="68">
        <v>7</v>
      </c>
      <c r="C3737" s="189" t="s">
        <v>445</v>
      </c>
      <c r="D3737" s="68">
        <v>1</v>
      </c>
      <c r="E3737" s="30">
        <v>10</v>
      </c>
      <c r="F3737" s="194">
        <f t="shared" si="129"/>
        <v>10</v>
      </c>
      <c r="G3737" s="194" t="s">
        <v>9</v>
      </c>
      <c r="H3737" s="194"/>
      <c r="I3737" s="194"/>
      <c r="J3737" s="194" t="s">
        <v>392</v>
      </c>
      <c r="K3737" s="194"/>
      <c r="L3737" s="194"/>
    </row>
    <row r="3738" spans="1:12" x14ac:dyDescent="0.25">
      <c r="A3738" s="78">
        <v>46221</v>
      </c>
      <c r="B3738" s="68">
        <v>8</v>
      </c>
      <c r="C3738" s="189" t="s">
        <v>947</v>
      </c>
      <c r="D3738" s="68">
        <v>1</v>
      </c>
      <c r="E3738" s="30">
        <v>20</v>
      </c>
      <c r="F3738" s="194">
        <f t="shared" si="129"/>
        <v>20</v>
      </c>
      <c r="G3738" s="194" t="s">
        <v>9</v>
      </c>
      <c r="H3738" s="194"/>
      <c r="I3738" s="194"/>
      <c r="J3738" s="194" t="s">
        <v>392</v>
      </c>
      <c r="K3738" s="194"/>
      <c r="L3738" s="194"/>
    </row>
    <row r="3739" spans="1:12" x14ac:dyDescent="0.25">
      <c r="A3739" s="78">
        <v>46221</v>
      </c>
      <c r="B3739" s="68">
        <v>8</v>
      </c>
      <c r="C3739" s="188" t="s">
        <v>903</v>
      </c>
      <c r="D3739" s="68">
        <v>0.1</v>
      </c>
      <c r="E3739" s="30">
        <v>200</v>
      </c>
      <c r="F3739" s="194">
        <f t="shared" si="129"/>
        <v>20</v>
      </c>
      <c r="G3739" s="194" t="s">
        <v>9</v>
      </c>
      <c r="H3739" s="194"/>
      <c r="I3739" s="194"/>
      <c r="J3739" s="194" t="s">
        <v>392</v>
      </c>
      <c r="K3739" s="194"/>
      <c r="L3739" s="194"/>
    </row>
    <row r="3740" spans="1:12" x14ac:dyDescent="0.25">
      <c r="A3740" s="78">
        <v>46221</v>
      </c>
      <c r="B3740" s="68">
        <v>8</v>
      </c>
      <c r="C3740" s="188" t="s">
        <v>693</v>
      </c>
      <c r="D3740" s="68">
        <v>0.56000000000000005</v>
      </c>
      <c r="E3740" s="30">
        <v>45</v>
      </c>
      <c r="F3740" s="194">
        <f t="shared" si="129"/>
        <v>25.200000000000003</v>
      </c>
      <c r="G3740" s="194" t="s">
        <v>9</v>
      </c>
      <c r="H3740" s="194"/>
      <c r="I3740" s="194"/>
      <c r="J3740" s="194" t="s">
        <v>392</v>
      </c>
      <c r="K3740" s="194"/>
      <c r="L3740" s="194"/>
    </row>
    <row r="3741" spans="1:12" x14ac:dyDescent="0.25">
      <c r="A3741" s="78">
        <v>46221</v>
      </c>
      <c r="B3741" s="68">
        <v>9</v>
      </c>
      <c r="C3741" s="189" t="s">
        <v>1072</v>
      </c>
      <c r="D3741" s="68">
        <v>1</v>
      </c>
      <c r="E3741" s="30">
        <v>40</v>
      </c>
      <c r="F3741" s="194">
        <f t="shared" si="129"/>
        <v>40</v>
      </c>
      <c r="G3741" s="194" t="s">
        <v>10</v>
      </c>
      <c r="H3741" s="194"/>
      <c r="I3741" s="194"/>
      <c r="J3741" s="194" t="s">
        <v>392</v>
      </c>
      <c r="K3741" s="194"/>
      <c r="L3741" s="194"/>
    </row>
    <row r="3742" spans="1:12" x14ac:dyDescent="0.25">
      <c r="A3742" s="78">
        <v>46221</v>
      </c>
      <c r="B3742" s="68">
        <v>9</v>
      </c>
      <c r="C3742" s="189" t="s">
        <v>1154</v>
      </c>
      <c r="D3742" s="68">
        <v>0.56000000000000005</v>
      </c>
      <c r="E3742" s="30">
        <v>45</v>
      </c>
      <c r="F3742" s="194">
        <f t="shared" si="129"/>
        <v>25.200000000000003</v>
      </c>
      <c r="G3742" s="194" t="s">
        <v>10</v>
      </c>
      <c r="H3742" s="194"/>
      <c r="I3742" s="194"/>
      <c r="J3742" s="194" t="s">
        <v>392</v>
      </c>
      <c r="K3742" s="194"/>
      <c r="L3742" s="194"/>
    </row>
    <row r="3743" spans="1:12" x14ac:dyDescent="0.25">
      <c r="A3743" s="78">
        <v>46221</v>
      </c>
      <c r="B3743" s="68">
        <v>9</v>
      </c>
      <c r="C3743" s="189" t="s">
        <v>524</v>
      </c>
      <c r="D3743" s="68">
        <v>5</v>
      </c>
      <c r="E3743" s="30">
        <v>1</v>
      </c>
      <c r="F3743" s="194">
        <f t="shared" si="129"/>
        <v>5</v>
      </c>
      <c r="G3743" s="194" t="s">
        <v>9</v>
      </c>
      <c r="H3743" s="194"/>
      <c r="I3743" s="194"/>
      <c r="J3743" s="194" t="s">
        <v>392</v>
      </c>
      <c r="K3743" s="194"/>
      <c r="L3743" s="194"/>
    </row>
    <row r="3744" spans="1:12" s="62" customFormat="1" ht="15" customHeight="1" x14ac:dyDescent="0.25">
      <c r="A3744" s="151">
        <v>46221</v>
      </c>
      <c r="B3744" s="139"/>
      <c r="C3744" s="150"/>
      <c r="F3744" s="195"/>
      <c r="H3744" s="139"/>
      <c r="I3744" s="139">
        <f>SUMIF(G3717:G3743, "&lt;&gt;UPI",F3717:F3743)</f>
        <v>676.7</v>
      </c>
    </row>
    <row r="3745" spans="1:12" s="170" customFormat="1" ht="18.75" x14ac:dyDescent="0.3">
      <c r="A3745" s="79">
        <v>46221</v>
      </c>
      <c r="B3745" s="147" t="s">
        <v>987</v>
      </c>
      <c r="C3745" s="169">
        <f>MAX(B3718:B3745)</f>
        <v>9</v>
      </c>
      <c r="D3745" s="147" t="s">
        <v>988</v>
      </c>
      <c r="E3745" s="170">
        <f>SUMIF(G3718:G3744,"UPI",F3718:F3744)</f>
        <v>183.2</v>
      </c>
      <c r="F3745" s="230" t="s">
        <v>437</v>
      </c>
      <c r="G3745" s="230"/>
      <c r="H3745" s="230"/>
      <c r="I3745" s="231">
        <f>SUM(F3718:F3744)</f>
        <v>859.90000000000009</v>
      </c>
      <c r="J3745" s="231"/>
      <c r="K3745" s="231"/>
      <c r="L3745" s="231"/>
    </row>
    <row r="3746" spans="1:12" x14ac:dyDescent="0.25">
      <c r="A3746" s="78">
        <v>46222</v>
      </c>
      <c r="B3746" s="68">
        <v>1</v>
      </c>
      <c r="C3746" s="189" t="s">
        <v>1151</v>
      </c>
      <c r="D3746" s="68">
        <v>32</v>
      </c>
      <c r="E3746" s="30">
        <v>6.25</v>
      </c>
      <c r="F3746" s="194">
        <f>E3746*D3746</f>
        <v>200</v>
      </c>
      <c r="G3746" s="194" t="s">
        <v>9</v>
      </c>
      <c r="H3746" s="194"/>
      <c r="I3746" s="194"/>
      <c r="J3746" s="194" t="s">
        <v>392</v>
      </c>
      <c r="K3746" s="194"/>
      <c r="L3746" s="194"/>
    </row>
    <row r="3747" spans="1:12" x14ac:dyDescent="0.25">
      <c r="A3747" s="78">
        <v>46222</v>
      </c>
      <c r="B3747" s="68">
        <v>2</v>
      </c>
      <c r="C3747" s="189" t="s">
        <v>968</v>
      </c>
      <c r="D3747" s="68">
        <v>0.85</v>
      </c>
      <c r="E3747" s="30">
        <v>58</v>
      </c>
      <c r="F3747" s="194">
        <f>E3747*D3747</f>
        <v>49.3</v>
      </c>
      <c r="G3747" s="194" t="s">
        <v>9</v>
      </c>
      <c r="H3747" s="194"/>
      <c r="I3747" s="194"/>
      <c r="J3747" s="194" t="s">
        <v>392</v>
      </c>
      <c r="K3747" s="194"/>
      <c r="L3747" s="194"/>
    </row>
    <row r="3748" spans="1:12" x14ac:dyDescent="0.25">
      <c r="A3748" s="78">
        <v>46222</v>
      </c>
      <c r="B3748" s="68">
        <v>3</v>
      </c>
      <c r="C3748" s="189" t="s">
        <v>786</v>
      </c>
      <c r="D3748" s="68">
        <v>1</v>
      </c>
      <c r="E3748" s="30">
        <v>40</v>
      </c>
      <c r="F3748" s="194">
        <f t="shared" ref="F3748:F3781" si="130">E3748*D3748</f>
        <v>40</v>
      </c>
      <c r="G3748" s="194" t="s">
        <v>10</v>
      </c>
      <c r="H3748" s="194"/>
      <c r="I3748" s="194"/>
      <c r="J3748" s="194" t="s">
        <v>392</v>
      </c>
      <c r="K3748" s="194"/>
      <c r="L3748" s="194"/>
    </row>
    <row r="3749" spans="1:12" x14ac:dyDescent="0.25">
      <c r="A3749" s="78">
        <v>46222</v>
      </c>
      <c r="B3749" s="68">
        <v>4</v>
      </c>
      <c r="C3749" s="189" t="s">
        <v>534</v>
      </c>
      <c r="D3749" s="68">
        <v>2</v>
      </c>
      <c r="E3749" s="30">
        <v>5</v>
      </c>
      <c r="F3749" s="194">
        <f t="shared" si="130"/>
        <v>10</v>
      </c>
      <c r="G3749" s="194" t="s">
        <v>9</v>
      </c>
      <c r="H3749" s="194"/>
      <c r="I3749" s="194"/>
      <c r="J3749" s="194" t="s">
        <v>392</v>
      </c>
      <c r="K3749" s="194"/>
      <c r="L3749" s="194"/>
    </row>
    <row r="3750" spans="1:12" x14ac:dyDescent="0.25">
      <c r="A3750" s="78">
        <v>46222</v>
      </c>
      <c r="B3750" s="68">
        <v>5</v>
      </c>
      <c r="C3750" s="189" t="s">
        <v>946</v>
      </c>
      <c r="D3750" s="68">
        <v>1</v>
      </c>
      <c r="E3750" s="30">
        <v>40</v>
      </c>
      <c r="F3750" s="194">
        <f t="shared" si="130"/>
        <v>40</v>
      </c>
      <c r="G3750" s="194" t="s">
        <v>9</v>
      </c>
      <c r="H3750" s="194"/>
      <c r="I3750" s="194"/>
      <c r="J3750" s="194" t="s">
        <v>392</v>
      </c>
      <c r="K3750" s="194"/>
      <c r="L3750" s="194"/>
    </row>
    <row r="3751" spans="1:12" x14ac:dyDescent="0.25">
      <c r="A3751" s="78">
        <v>46222</v>
      </c>
      <c r="B3751" s="68">
        <v>5</v>
      </c>
      <c r="C3751" s="189" t="s">
        <v>860</v>
      </c>
      <c r="D3751" s="68">
        <v>2</v>
      </c>
      <c r="E3751" s="30">
        <v>5</v>
      </c>
      <c r="F3751" s="194">
        <f t="shared" si="130"/>
        <v>10</v>
      </c>
      <c r="G3751" s="194" t="s">
        <v>9</v>
      </c>
      <c r="H3751" s="194"/>
      <c r="I3751" s="194"/>
      <c r="J3751" s="194" t="s">
        <v>392</v>
      </c>
      <c r="K3751" s="194"/>
      <c r="L3751" s="194"/>
    </row>
    <row r="3752" spans="1:12" x14ac:dyDescent="0.25">
      <c r="A3752" s="78">
        <v>46222</v>
      </c>
      <c r="B3752" s="68">
        <v>6</v>
      </c>
      <c r="C3752" s="189" t="s">
        <v>807</v>
      </c>
      <c r="D3752" s="68">
        <v>0.5</v>
      </c>
      <c r="E3752" s="30">
        <v>70</v>
      </c>
      <c r="F3752" s="194">
        <f t="shared" si="130"/>
        <v>35</v>
      </c>
      <c r="G3752" s="194" t="s">
        <v>9</v>
      </c>
      <c r="H3752" s="194"/>
      <c r="I3752" s="194"/>
      <c r="J3752" s="194" t="s">
        <v>392</v>
      </c>
      <c r="K3752" s="194"/>
      <c r="L3752" s="194"/>
    </row>
    <row r="3753" spans="1:12" x14ac:dyDescent="0.25">
      <c r="A3753" s="78">
        <v>46222</v>
      </c>
      <c r="B3753" s="68">
        <v>6</v>
      </c>
      <c r="C3753" s="188" t="s">
        <v>731</v>
      </c>
      <c r="D3753" s="68">
        <v>0.25</v>
      </c>
      <c r="E3753" s="30">
        <v>60</v>
      </c>
      <c r="F3753" s="194">
        <f t="shared" si="130"/>
        <v>15</v>
      </c>
      <c r="G3753" s="194" t="s">
        <v>9</v>
      </c>
      <c r="H3753" s="194"/>
      <c r="I3753" s="194"/>
      <c r="J3753" s="194" t="s">
        <v>392</v>
      </c>
      <c r="K3753" s="194"/>
      <c r="L3753" s="194"/>
    </row>
    <row r="3754" spans="1:12" x14ac:dyDescent="0.25">
      <c r="A3754" s="78">
        <v>46222</v>
      </c>
      <c r="B3754" s="68">
        <v>6</v>
      </c>
      <c r="C3754" s="189" t="s">
        <v>964</v>
      </c>
      <c r="D3754" s="68">
        <v>2</v>
      </c>
      <c r="E3754" s="30">
        <v>10</v>
      </c>
      <c r="F3754" s="194">
        <f t="shared" si="130"/>
        <v>20</v>
      </c>
      <c r="G3754" s="194" t="s">
        <v>9</v>
      </c>
      <c r="H3754" s="194"/>
      <c r="I3754" s="194"/>
      <c r="J3754" s="194" t="s">
        <v>392</v>
      </c>
      <c r="K3754" s="194"/>
      <c r="L3754" s="194"/>
    </row>
    <row r="3755" spans="1:12" x14ac:dyDescent="0.25">
      <c r="A3755" s="78">
        <v>46222</v>
      </c>
      <c r="B3755" s="68">
        <v>7</v>
      </c>
      <c r="C3755" s="189" t="s">
        <v>1039</v>
      </c>
      <c r="D3755" s="68">
        <v>1</v>
      </c>
      <c r="E3755" s="30">
        <v>70</v>
      </c>
      <c r="F3755" s="194">
        <f t="shared" si="130"/>
        <v>70</v>
      </c>
      <c r="G3755" s="194" t="s">
        <v>9</v>
      </c>
      <c r="H3755" s="194"/>
      <c r="I3755" s="194"/>
      <c r="J3755" s="194" t="s">
        <v>392</v>
      </c>
      <c r="K3755" s="194"/>
      <c r="L3755" s="194"/>
    </row>
    <row r="3756" spans="1:12" x14ac:dyDescent="0.25">
      <c r="A3756" s="78">
        <v>46222</v>
      </c>
      <c r="B3756" s="68">
        <v>8</v>
      </c>
      <c r="C3756" s="189" t="s">
        <v>591</v>
      </c>
      <c r="D3756" s="68">
        <v>0.2</v>
      </c>
      <c r="E3756" s="30">
        <v>200</v>
      </c>
      <c r="F3756" s="194">
        <f t="shared" si="130"/>
        <v>40</v>
      </c>
      <c r="G3756" s="194" t="s">
        <v>9</v>
      </c>
      <c r="H3756" s="194"/>
      <c r="I3756" s="194"/>
      <c r="J3756" s="194" t="s">
        <v>392</v>
      </c>
      <c r="K3756" s="194"/>
      <c r="L3756" s="194"/>
    </row>
    <row r="3757" spans="1:12" x14ac:dyDescent="0.25">
      <c r="A3757" s="78">
        <v>46222</v>
      </c>
      <c r="B3757" s="68">
        <v>8</v>
      </c>
      <c r="C3757" s="189" t="s">
        <v>843</v>
      </c>
      <c r="D3757" s="68">
        <v>2</v>
      </c>
      <c r="E3757" s="30">
        <v>10</v>
      </c>
      <c r="F3757" s="194">
        <f t="shared" si="130"/>
        <v>20</v>
      </c>
      <c r="G3757" s="194" t="s">
        <v>9</v>
      </c>
      <c r="H3757" s="194"/>
      <c r="I3757" s="194"/>
      <c r="J3757" s="194" t="s">
        <v>392</v>
      </c>
      <c r="K3757" s="194"/>
      <c r="L3757" s="194"/>
    </row>
    <row r="3758" spans="1:12" x14ac:dyDescent="0.25">
      <c r="A3758" s="78">
        <v>46222</v>
      </c>
      <c r="B3758" s="68">
        <v>8</v>
      </c>
      <c r="C3758" s="189" t="s">
        <v>823</v>
      </c>
      <c r="D3758" s="68">
        <v>2</v>
      </c>
      <c r="E3758" s="30">
        <v>205</v>
      </c>
      <c r="F3758" s="194">
        <f t="shared" si="130"/>
        <v>410</v>
      </c>
      <c r="G3758" s="194" t="s">
        <v>9</v>
      </c>
      <c r="H3758" s="194"/>
      <c r="I3758" s="194"/>
      <c r="J3758" s="194" t="s">
        <v>392</v>
      </c>
      <c r="K3758" s="194"/>
      <c r="L3758" s="194"/>
    </row>
    <row r="3759" spans="1:12" x14ac:dyDescent="0.25">
      <c r="A3759" s="78">
        <v>46222</v>
      </c>
      <c r="B3759" s="68">
        <v>8</v>
      </c>
      <c r="C3759" s="189" t="s">
        <v>721</v>
      </c>
      <c r="D3759" s="68">
        <v>0.1</v>
      </c>
      <c r="E3759" s="30">
        <v>900</v>
      </c>
      <c r="F3759" s="194">
        <f t="shared" si="130"/>
        <v>90</v>
      </c>
      <c r="G3759" s="194" t="s">
        <v>9</v>
      </c>
      <c r="H3759" s="194"/>
      <c r="I3759" s="194"/>
      <c r="J3759" s="194" t="s">
        <v>392</v>
      </c>
      <c r="K3759" s="194"/>
      <c r="L3759" s="194"/>
    </row>
    <row r="3760" spans="1:12" ht="30" x14ac:dyDescent="0.25">
      <c r="A3760" s="78">
        <v>46222</v>
      </c>
      <c r="B3760" s="68">
        <v>8</v>
      </c>
      <c r="C3760" s="189" t="s">
        <v>1114</v>
      </c>
      <c r="D3760" s="68">
        <v>2</v>
      </c>
      <c r="E3760" s="30">
        <v>60</v>
      </c>
      <c r="F3760" s="194">
        <f t="shared" si="130"/>
        <v>120</v>
      </c>
      <c r="G3760" s="194" t="s">
        <v>9</v>
      </c>
      <c r="H3760" s="194"/>
      <c r="I3760" s="194"/>
      <c r="J3760" s="194" t="s">
        <v>392</v>
      </c>
      <c r="K3760" s="194"/>
      <c r="L3760" s="194"/>
    </row>
    <row r="3761" spans="1:12" x14ac:dyDescent="0.25">
      <c r="A3761" s="78">
        <v>46222</v>
      </c>
      <c r="B3761" s="68">
        <v>9</v>
      </c>
      <c r="C3761" s="189" t="s">
        <v>1039</v>
      </c>
      <c r="D3761" s="68">
        <v>1</v>
      </c>
      <c r="E3761" s="30">
        <v>70</v>
      </c>
      <c r="F3761" s="194">
        <f t="shared" si="130"/>
        <v>70</v>
      </c>
      <c r="G3761" s="194" t="s">
        <v>9</v>
      </c>
      <c r="H3761" s="194"/>
      <c r="I3761" s="194" t="s">
        <v>1200</v>
      </c>
      <c r="J3761" s="194" t="s">
        <v>392</v>
      </c>
      <c r="K3761" s="194"/>
      <c r="L3761" s="194"/>
    </row>
    <row r="3762" spans="1:12" x14ac:dyDescent="0.25">
      <c r="A3762" s="78">
        <v>46222</v>
      </c>
      <c r="B3762" s="68">
        <v>9</v>
      </c>
      <c r="C3762" s="189" t="s">
        <v>1090</v>
      </c>
      <c r="D3762" s="68">
        <v>8</v>
      </c>
      <c r="E3762" s="30">
        <v>9.5</v>
      </c>
      <c r="F3762" s="194">
        <f t="shared" si="130"/>
        <v>76</v>
      </c>
      <c r="G3762" s="194" t="s">
        <v>9</v>
      </c>
      <c r="H3762" s="194"/>
      <c r="I3762" s="194" t="s">
        <v>1200</v>
      </c>
      <c r="J3762" s="194" t="s">
        <v>392</v>
      </c>
      <c r="K3762" s="194"/>
      <c r="L3762" s="194"/>
    </row>
    <row r="3763" spans="1:12" x14ac:dyDescent="0.25">
      <c r="A3763" s="78">
        <v>46222</v>
      </c>
      <c r="B3763" s="68">
        <v>9</v>
      </c>
      <c r="C3763" s="189" t="s">
        <v>591</v>
      </c>
      <c r="D3763" s="68">
        <v>0.56000000000000005</v>
      </c>
      <c r="E3763" s="30">
        <v>180</v>
      </c>
      <c r="F3763" s="194">
        <f t="shared" si="130"/>
        <v>100.80000000000001</v>
      </c>
      <c r="G3763" s="194" t="s">
        <v>9</v>
      </c>
      <c r="H3763" s="194"/>
      <c r="I3763" s="194" t="s">
        <v>1200</v>
      </c>
      <c r="J3763" s="194" t="s">
        <v>392</v>
      </c>
      <c r="K3763" s="194"/>
      <c r="L3763" s="194"/>
    </row>
    <row r="3764" spans="1:12" x14ac:dyDescent="0.25">
      <c r="A3764" s="78">
        <v>46222</v>
      </c>
      <c r="B3764" s="68">
        <v>9</v>
      </c>
      <c r="C3764" s="189" t="s">
        <v>588</v>
      </c>
      <c r="D3764" s="68">
        <v>0.5</v>
      </c>
      <c r="E3764" s="30">
        <v>190</v>
      </c>
      <c r="F3764" s="194">
        <f t="shared" si="130"/>
        <v>95</v>
      </c>
      <c r="G3764" s="194" t="s">
        <v>9</v>
      </c>
      <c r="H3764" s="194"/>
      <c r="I3764" s="194" t="s">
        <v>1200</v>
      </c>
      <c r="J3764" s="194" t="s">
        <v>392</v>
      </c>
      <c r="K3764" s="194"/>
      <c r="L3764" s="194"/>
    </row>
    <row r="3765" spans="1:12" ht="30" x14ac:dyDescent="0.25">
      <c r="A3765" s="78">
        <v>46222</v>
      </c>
      <c r="B3765" s="68">
        <v>9</v>
      </c>
      <c r="C3765" s="189" t="s">
        <v>977</v>
      </c>
      <c r="D3765" s="68">
        <v>2</v>
      </c>
      <c r="E3765" s="30">
        <v>10</v>
      </c>
      <c r="F3765" s="194">
        <f t="shared" si="130"/>
        <v>20</v>
      </c>
      <c r="G3765" s="194" t="s">
        <v>9</v>
      </c>
      <c r="H3765" s="194"/>
      <c r="I3765" s="194" t="s">
        <v>1200</v>
      </c>
      <c r="J3765" s="194" t="s">
        <v>392</v>
      </c>
      <c r="K3765" s="194"/>
      <c r="L3765" s="194"/>
    </row>
    <row r="3766" spans="1:12" x14ac:dyDescent="0.25">
      <c r="A3766" s="78">
        <v>46222</v>
      </c>
      <c r="B3766" s="68">
        <v>9</v>
      </c>
      <c r="C3766" s="189" t="s">
        <v>68</v>
      </c>
      <c r="D3766" s="68">
        <v>4</v>
      </c>
      <c r="E3766" s="30">
        <v>10</v>
      </c>
      <c r="F3766" s="194">
        <f t="shared" si="130"/>
        <v>40</v>
      </c>
      <c r="G3766" s="194" t="s">
        <v>9</v>
      </c>
      <c r="H3766" s="194"/>
      <c r="I3766" s="194" t="s">
        <v>1200</v>
      </c>
      <c r="J3766" s="194" t="s">
        <v>392</v>
      </c>
      <c r="K3766" s="194"/>
      <c r="L3766" s="194"/>
    </row>
    <row r="3767" spans="1:12" ht="30" x14ac:dyDescent="0.25">
      <c r="A3767" s="78">
        <v>46222</v>
      </c>
      <c r="B3767" s="68">
        <v>9</v>
      </c>
      <c r="C3767" s="189" t="s">
        <v>370</v>
      </c>
      <c r="D3767" s="68">
        <v>1</v>
      </c>
      <c r="E3767" s="30">
        <v>85</v>
      </c>
      <c r="F3767" s="194">
        <f t="shared" si="130"/>
        <v>85</v>
      </c>
      <c r="G3767" s="194" t="s">
        <v>9</v>
      </c>
      <c r="H3767" s="194"/>
      <c r="I3767" s="194" t="s">
        <v>1200</v>
      </c>
      <c r="J3767" s="194" t="s">
        <v>392</v>
      </c>
      <c r="K3767" s="194"/>
      <c r="L3767" s="194"/>
    </row>
    <row r="3768" spans="1:12" x14ac:dyDescent="0.25">
      <c r="A3768" s="78">
        <v>46222</v>
      </c>
      <c r="B3768" s="68">
        <v>1</v>
      </c>
      <c r="C3768" s="189" t="s">
        <v>1152</v>
      </c>
      <c r="D3768" s="68">
        <v>24</v>
      </c>
      <c r="E3768" s="30">
        <v>8.3000000000000007</v>
      </c>
      <c r="F3768" s="194">
        <f t="shared" si="130"/>
        <v>199.20000000000002</v>
      </c>
      <c r="G3768" s="194" t="s">
        <v>9</v>
      </c>
      <c r="H3768" s="194"/>
      <c r="I3768" s="194"/>
      <c r="J3768" s="194" t="s">
        <v>392</v>
      </c>
      <c r="K3768" s="194"/>
      <c r="L3768" s="194"/>
    </row>
    <row r="3769" spans="1:12" ht="30" x14ac:dyDescent="0.25">
      <c r="A3769" s="78">
        <v>46222</v>
      </c>
      <c r="B3769" s="68">
        <v>10</v>
      </c>
      <c r="C3769" s="189" t="s">
        <v>361</v>
      </c>
      <c r="D3769" s="68">
        <v>1</v>
      </c>
      <c r="E3769" s="30">
        <v>10</v>
      </c>
      <c r="F3769" s="194">
        <f t="shared" si="130"/>
        <v>10</v>
      </c>
      <c r="G3769" s="194" t="s">
        <v>9</v>
      </c>
      <c r="H3769" s="194"/>
      <c r="I3769" s="194"/>
      <c r="J3769" s="194" t="s">
        <v>392</v>
      </c>
      <c r="K3769" s="194"/>
      <c r="L3769" s="194"/>
    </row>
    <row r="3770" spans="1:12" x14ac:dyDescent="0.25">
      <c r="A3770" s="78">
        <v>46222</v>
      </c>
      <c r="B3770" s="68">
        <v>10</v>
      </c>
      <c r="C3770" s="189" t="s">
        <v>381</v>
      </c>
      <c r="D3770" s="68">
        <v>1</v>
      </c>
      <c r="E3770" s="30">
        <v>15</v>
      </c>
      <c r="F3770" s="194">
        <f t="shared" si="130"/>
        <v>15</v>
      </c>
      <c r="G3770" s="194" t="s">
        <v>9</v>
      </c>
      <c r="H3770" s="194"/>
      <c r="I3770" s="194"/>
      <c r="J3770" s="194" t="s">
        <v>392</v>
      </c>
      <c r="K3770" s="194"/>
      <c r="L3770" s="194"/>
    </row>
    <row r="3771" spans="1:12" x14ac:dyDescent="0.25">
      <c r="A3771" s="78">
        <v>46222</v>
      </c>
      <c r="B3771" s="68">
        <v>11</v>
      </c>
      <c r="C3771" s="189" t="s">
        <v>73</v>
      </c>
      <c r="D3771" s="68">
        <v>1</v>
      </c>
      <c r="E3771" s="30">
        <v>10</v>
      </c>
      <c r="F3771" s="194">
        <f t="shared" si="130"/>
        <v>10</v>
      </c>
      <c r="G3771" s="194" t="s">
        <v>9</v>
      </c>
      <c r="H3771" s="194"/>
      <c r="I3771" s="194"/>
      <c r="J3771" s="194" t="s">
        <v>392</v>
      </c>
      <c r="K3771" s="194"/>
      <c r="L3771" s="194"/>
    </row>
    <row r="3772" spans="1:12" x14ac:dyDescent="0.25">
      <c r="A3772" s="78">
        <v>46222</v>
      </c>
      <c r="B3772" s="68">
        <v>11</v>
      </c>
      <c r="C3772" s="189" t="s">
        <v>115</v>
      </c>
      <c r="D3772" s="68">
        <v>1</v>
      </c>
      <c r="E3772" s="30">
        <v>10</v>
      </c>
      <c r="F3772" s="194">
        <f t="shared" si="130"/>
        <v>10</v>
      </c>
      <c r="G3772" s="194" t="s">
        <v>9</v>
      </c>
      <c r="H3772" s="194"/>
      <c r="I3772" s="194"/>
      <c r="J3772" s="194" t="s">
        <v>392</v>
      </c>
      <c r="K3772" s="194"/>
      <c r="L3772" s="194"/>
    </row>
    <row r="3773" spans="1:12" ht="30" x14ac:dyDescent="0.25">
      <c r="A3773" s="78">
        <v>46222</v>
      </c>
      <c r="B3773" s="68">
        <v>12</v>
      </c>
      <c r="C3773" s="189" t="s">
        <v>426</v>
      </c>
      <c r="D3773" s="68">
        <v>1</v>
      </c>
      <c r="E3773" s="30">
        <v>10</v>
      </c>
      <c r="F3773" s="194">
        <f t="shared" si="130"/>
        <v>10</v>
      </c>
      <c r="G3773" s="194" t="s">
        <v>9</v>
      </c>
      <c r="H3773" s="194"/>
      <c r="I3773" s="194"/>
      <c r="J3773" s="194" t="s">
        <v>392</v>
      </c>
      <c r="K3773" s="194"/>
      <c r="L3773" s="194"/>
    </row>
    <row r="3774" spans="1:12" ht="30" x14ac:dyDescent="0.25">
      <c r="A3774" s="78">
        <v>46222</v>
      </c>
      <c r="B3774" s="68">
        <v>13</v>
      </c>
      <c r="C3774" s="189" t="s">
        <v>1177</v>
      </c>
      <c r="D3774" s="68">
        <v>0.9</v>
      </c>
      <c r="E3774" s="30">
        <v>45</v>
      </c>
      <c r="F3774" s="194">
        <f t="shared" si="130"/>
        <v>40.5</v>
      </c>
      <c r="G3774" s="194" t="s">
        <v>9</v>
      </c>
      <c r="H3774" s="194"/>
      <c r="I3774" s="194"/>
      <c r="J3774" s="194" t="s">
        <v>392</v>
      </c>
      <c r="K3774" s="194"/>
      <c r="L3774" s="194"/>
    </row>
    <row r="3775" spans="1:12" x14ac:dyDescent="0.25">
      <c r="A3775" s="78">
        <v>46222</v>
      </c>
      <c r="B3775" s="68">
        <v>13</v>
      </c>
      <c r="C3775" s="189" t="s">
        <v>807</v>
      </c>
      <c r="D3775" s="68">
        <v>0.5</v>
      </c>
      <c r="E3775" s="30">
        <v>70</v>
      </c>
      <c r="F3775" s="194">
        <f t="shared" si="130"/>
        <v>35</v>
      </c>
      <c r="G3775" s="194" t="s">
        <v>9</v>
      </c>
      <c r="H3775" s="194"/>
      <c r="I3775" s="194"/>
      <c r="J3775" s="194" t="s">
        <v>392</v>
      </c>
      <c r="K3775" s="194"/>
      <c r="L3775" s="194"/>
    </row>
    <row r="3776" spans="1:12" x14ac:dyDescent="0.25">
      <c r="A3776" s="78">
        <v>46222</v>
      </c>
      <c r="B3776" s="68">
        <v>13</v>
      </c>
      <c r="C3776" s="188" t="s">
        <v>731</v>
      </c>
      <c r="D3776" s="68">
        <v>0.5</v>
      </c>
      <c r="E3776" s="30">
        <v>60</v>
      </c>
      <c r="F3776" s="194">
        <f t="shared" si="130"/>
        <v>30</v>
      </c>
      <c r="G3776" s="194" t="s">
        <v>9</v>
      </c>
      <c r="H3776" s="194"/>
      <c r="I3776" s="194"/>
      <c r="J3776" s="194" t="s">
        <v>392</v>
      </c>
      <c r="K3776" s="194"/>
      <c r="L3776" s="194"/>
    </row>
    <row r="3777" spans="1:12" x14ac:dyDescent="0.25">
      <c r="A3777" s="78">
        <v>46222</v>
      </c>
      <c r="B3777" s="68">
        <v>13</v>
      </c>
      <c r="C3777" s="188" t="s">
        <v>679</v>
      </c>
      <c r="D3777" s="68">
        <v>1</v>
      </c>
      <c r="E3777" s="30">
        <v>20</v>
      </c>
      <c r="F3777" s="194">
        <f t="shared" si="130"/>
        <v>20</v>
      </c>
      <c r="G3777" s="194" t="s">
        <v>9</v>
      </c>
      <c r="H3777" s="194"/>
      <c r="I3777" s="194"/>
      <c r="J3777" s="194" t="s">
        <v>392</v>
      </c>
      <c r="K3777" s="194"/>
      <c r="L3777" s="194"/>
    </row>
    <row r="3778" spans="1:12" x14ac:dyDescent="0.25">
      <c r="A3778" s="78">
        <v>46222</v>
      </c>
      <c r="B3778" s="68">
        <v>13</v>
      </c>
      <c r="C3778" s="189" t="s">
        <v>87</v>
      </c>
      <c r="D3778" s="68">
        <v>1</v>
      </c>
      <c r="E3778" s="30">
        <v>80</v>
      </c>
      <c r="F3778" s="194">
        <f t="shared" si="130"/>
        <v>80</v>
      </c>
      <c r="G3778" s="194" t="s">
        <v>9</v>
      </c>
      <c r="H3778" s="194"/>
      <c r="I3778" s="194"/>
      <c r="J3778" s="194" t="s">
        <v>392</v>
      </c>
      <c r="K3778" s="194"/>
      <c r="L3778" s="194"/>
    </row>
    <row r="3779" spans="1:12" x14ac:dyDescent="0.25">
      <c r="A3779" s="78">
        <v>46222</v>
      </c>
      <c r="B3779" s="68">
        <v>14</v>
      </c>
      <c r="C3779" s="189" t="s">
        <v>445</v>
      </c>
      <c r="D3779" s="68">
        <v>1</v>
      </c>
      <c r="E3779" s="30">
        <v>10</v>
      </c>
      <c r="F3779" s="194">
        <f t="shared" si="130"/>
        <v>10</v>
      </c>
      <c r="G3779" s="194" t="s">
        <v>9</v>
      </c>
      <c r="H3779" s="194"/>
      <c r="I3779" s="194"/>
      <c r="J3779" s="194" t="s">
        <v>392</v>
      </c>
      <c r="K3779" s="194"/>
      <c r="L3779" s="194"/>
    </row>
    <row r="3780" spans="1:12" x14ac:dyDescent="0.25">
      <c r="A3780" s="78">
        <v>46222</v>
      </c>
      <c r="B3780" s="68">
        <v>14</v>
      </c>
      <c r="C3780" s="189" t="s">
        <v>870</v>
      </c>
      <c r="D3780" s="68">
        <v>1</v>
      </c>
      <c r="E3780" s="30">
        <v>35</v>
      </c>
      <c r="F3780" s="194">
        <f t="shared" si="130"/>
        <v>35</v>
      </c>
      <c r="G3780" s="194" t="s">
        <v>9</v>
      </c>
      <c r="H3780" s="194"/>
      <c r="I3780" s="194"/>
      <c r="J3780" s="194" t="s">
        <v>392</v>
      </c>
      <c r="K3780" s="194"/>
      <c r="L3780" s="194"/>
    </row>
    <row r="3781" spans="1:12" x14ac:dyDescent="0.25">
      <c r="A3781" s="78">
        <v>46222</v>
      </c>
      <c r="B3781" s="68">
        <v>15</v>
      </c>
      <c r="C3781" s="189" t="s">
        <v>151</v>
      </c>
      <c r="D3781" s="68">
        <v>1</v>
      </c>
      <c r="E3781" s="30">
        <v>10</v>
      </c>
      <c r="F3781" s="194">
        <f t="shared" si="130"/>
        <v>10</v>
      </c>
      <c r="G3781" s="194" t="s">
        <v>9</v>
      </c>
      <c r="H3781" s="194"/>
      <c r="I3781" s="194"/>
      <c r="J3781" s="194" t="s">
        <v>392</v>
      </c>
      <c r="K3781" s="194"/>
      <c r="L3781" s="194"/>
    </row>
    <row r="3782" spans="1:12" s="62" customFormat="1" ht="15" customHeight="1" x14ac:dyDescent="0.25">
      <c r="A3782" s="151">
        <v>46222</v>
      </c>
      <c r="B3782" s="139"/>
      <c r="C3782" s="150"/>
      <c r="F3782" s="195"/>
      <c r="H3782" s="139"/>
      <c r="I3782" s="139">
        <f>SUMIF(G3737:G3761, "&lt;&gt;UPI",F3737:F3761)</f>
        <v>1279.5</v>
      </c>
    </row>
    <row r="3783" spans="1:12" s="170" customFormat="1" ht="18.75" x14ac:dyDescent="0.3">
      <c r="A3783" s="79">
        <v>46222</v>
      </c>
      <c r="B3783" s="147" t="s">
        <v>987</v>
      </c>
      <c r="C3783" s="169">
        <f>MAX(B3737:B3783)</f>
        <v>15</v>
      </c>
      <c r="D3783" s="147" t="s">
        <v>988</v>
      </c>
      <c r="E3783" s="170">
        <f>SUMIF(G3737:G3782:'Sales Register'!G3782,"UPI",F3737:F3782)</f>
        <v>105.2</v>
      </c>
      <c r="F3783" s="230" t="s">
        <v>437</v>
      </c>
      <c r="G3783" s="230"/>
      <c r="H3783" s="230"/>
      <c r="I3783" s="231">
        <f>SUM(F3737:F3782)</f>
        <v>2316.1999999999998</v>
      </c>
      <c r="J3783" s="231"/>
      <c r="K3783" s="231"/>
      <c r="L3783" s="231"/>
    </row>
    <row r="3784" spans="1:12" ht="30" x14ac:dyDescent="0.25">
      <c r="A3784" s="78">
        <v>46223</v>
      </c>
      <c r="B3784" s="68">
        <v>1</v>
      </c>
      <c r="C3784" s="189" t="s">
        <v>1054</v>
      </c>
      <c r="D3784" s="68">
        <v>1</v>
      </c>
      <c r="E3784" s="30">
        <v>10</v>
      </c>
      <c r="F3784" s="194">
        <f>E3784*D3784</f>
        <v>10</v>
      </c>
      <c r="G3784" s="194" t="s">
        <v>9</v>
      </c>
      <c r="H3784" s="194"/>
      <c r="I3784" s="194"/>
      <c r="J3784" s="194" t="s">
        <v>392</v>
      </c>
      <c r="K3784" s="194"/>
      <c r="L3784" s="194"/>
    </row>
    <row r="3785" spans="1:12" x14ac:dyDescent="0.25">
      <c r="A3785" s="78">
        <v>46223</v>
      </c>
      <c r="B3785" s="68">
        <v>1</v>
      </c>
      <c r="C3785" s="189" t="s">
        <v>963</v>
      </c>
      <c r="D3785" s="68">
        <v>2</v>
      </c>
      <c r="E3785" s="30">
        <v>5</v>
      </c>
      <c r="F3785" s="194">
        <f t="shared" ref="F3785:F3823" si="131">E3785*D3785</f>
        <v>10</v>
      </c>
      <c r="G3785" s="194" t="s">
        <v>9</v>
      </c>
      <c r="H3785" s="194"/>
      <c r="I3785" s="194"/>
      <c r="J3785" s="194" t="s">
        <v>392</v>
      </c>
      <c r="K3785" s="194"/>
      <c r="L3785" s="194"/>
    </row>
    <row r="3786" spans="1:12" x14ac:dyDescent="0.25">
      <c r="A3786" s="78">
        <v>46223</v>
      </c>
      <c r="B3786" s="68">
        <v>2</v>
      </c>
      <c r="C3786" s="188" t="s">
        <v>440</v>
      </c>
      <c r="D3786" s="68">
        <v>1</v>
      </c>
      <c r="E3786" s="30">
        <v>5</v>
      </c>
      <c r="F3786" s="194">
        <f t="shared" si="131"/>
        <v>5</v>
      </c>
      <c r="G3786" s="194" t="s">
        <v>9</v>
      </c>
      <c r="H3786" s="194"/>
      <c r="I3786" s="194"/>
      <c r="J3786" s="194" t="s">
        <v>392</v>
      </c>
      <c r="K3786" s="194"/>
      <c r="L3786" s="194"/>
    </row>
    <row r="3787" spans="1:12" x14ac:dyDescent="0.25">
      <c r="A3787" s="78">
        <v>46223</v>
      </c>
      <c r="B3787" s="68">
        <v>2</v>
      </c>
      <c r="C3787" s="189" t="s">
        <v>1139</v>
      </c>
      <c r="D3787" s="68">
        <v>1</v>
      </c>
      <c r="E3787" s="30">
        <v>5</v>
      </c>
      <c r="F3787" s="194">
        <f t="shared" si="131"/>
        <v>5</v>
      </c>
      <c r="G3787" s="194" t="s">
        <v>9</v>
      </c>
      <c r="H3787" s="194"/>
      <c r="I3787" s="194"/>
      <c r="J3787" s="194" t="s">
        <v>392</v>
      </c>
      <c r="K3787" s="194"/>
      <c r="L3787" s="194"/>
    </row>
    <row r="3788" spans="1:12" x14ac:dyDescent="0.25">
      <c r="A3788" s="78">
        <v>46223</v>
      </c>
      <c r="B3788" s="68">
        <v>3</v>
      </c>
      <c r="C3788" s="189" t="s">
        <v>723</v>
      </c>
      <c r="D3788" s="68">
        <v>0.2</v>
      </c>
      <c r="E3788" s="30">
        <v>300</v>
      </c>
      <c r="F3788" s="194">
        <f t="shared" si="131"/>
        <v>60</v>
      </c>
      <c r="G3788" s="194" t="s">
        <v>9</v>
      </c>
      <c r="H3788" s="194"/>
      <c r="I3788" s="194"/>
      <c r="J3788" s="194" t="s">
        <v>392</v>
      </c>
      <c r="K3788" s="194"/>
      <c r="L3788" s="194"/>
    </row>
    <row r="3789" spans="1:12" ht="30" x14ac:dyDescent="0.25">
      <c r="A3789" s="78">
        <v>46223</v>
      </c>
      <c r="B3789" s="68">
        <v>3</v>
      </c>
      <c r="C3789" s="189" t="s">
        <v>501</v>
      </c>
      <c r="D3789" s="68">
        <v>2</v>
      </c>
      <c r="E3789" s="30">
        <v>5</v>
      </c>
      <c r="F3789" s="194">
        <f t="shared" si="131"/>
        <v>10</v>
      </c>
      <c r="G3789" s="194" t="s">
        <v>9</v>
      </c>
      <c r="H3789" s="194"/>
      <c r="I3789" s="194"/>
      <c r="J3789" s="194" t="s">
        <v>392</v>
      </c>
      <c r="K3789" s="194"/>
      <c r="L3789" s="194"/>
    </row>
    <row r="3790" spans="1:12" x14ac:dyDescent="0.25">
      <c r="A3790" s="78">
        <v>46223</v>
      </c>
      <c r="B3790" s="68">
        <v>4</v>
      </c>
      <c r="C3790" s="189" t="s">
        <v>94</v>
      </c>
      <c r="D3790" s="68">
        <v>1</v>
      </c>
      <c r="E3790" s="30">
        <v>15</v>
      </c>
      <c r="F3790" s="194">
        <f t="shared" si="131"/>
        <v>15</v>
      </c>
      <c r="G3790" s="194" t="s">
        <v>9</v>
      </c>
      <c r="H3790" s="194"/>
      <c r="I3790" s="194"/>
      <c r="J3790" s="194" t="s">
        <v>392</v>
      </c>
      <c r="K3790" s="194"/>
      <c r="L3790" s="194"/>
    </row>
    <row r="3791" spans="1:12" x14ac:dyDescent="0.25">
      <c r="A3791" s="78">
        <v>46223</v>
      </c>
      <c r="B3791" s="68">
        <v>4</v>
      </c>
      <c r="C3791" s="189" t="s">
        <v>1131</v>
      </c>
      <c r="D3791" s="68">
        <v>1</v>
      </c>
      <c r="E3791" s="30">
        <v>5</v>
      </c>
      <c r="F3791" s="194">
        <f t="shared" si="131"/>
        <v>5</v>
      </c>
      <c r="G3791" s="194" t="s">
        <v>9</v>
      </c>
      <c r="H3791" s="194"/>
      <c r="I3791" s="194"/>
      <c r="J3791" s="194" t="s">
        <v>392</v>
      </c>
      <c r="K3791" s="194"/>
      <c r="L3791" s="194"/>
    </row>
    <row r="3792" spans="1:12" x14ac:dyDescent="0.25">
      <c r="A3792" s="78">
        <v>46223</v>
      </c>
      <c r="B3792" s="68">
        <v>5</v>
      </c>
      <c r="C3792" s="189" t="s">
        <v>791</v>
      </c>
      <c r="D3792" s="68">
        <v>2</v>
      </c>
      <c r="E3792" s="30">
        <v>10</v>
      </c>
      <c r="F3792" s="194">
        <f t="shared" si="131"/>
        <v>20</v>
      </c>
      <c r="G3792" s="194" t="s">
        <v>9</v>
      </c>
      <c r="H3792" s="194"/>
      <c r="I3792" s="194"/>
      <c r="J3792" s="194" t="s">
        <v>392</v>
      </c>
      <c r="K3792" s="194"/>
      <c r="L3792" s="194"/>
    </row>
    <row r="3793" spans="1:12" x14ac:dyDescent="0.25">
      <c r="A3793" s="78">
        <v>46223</v>
      </c>
      <c r="B3793" s="68">
        <v>5</v>
      </c>
      <c r="C3793" s="189" t="s">
        <v>947</v>
      </c>
      <c r="D3793" s="68">
        <v>1</v>
      </c>
      <c r="E3793" s="30">
        <v>20</v>
      </c>
      <c r="F3793" s="194">
        <f t="shared" si="131"/>
        <v>20</v>
      </c>
      <c r="G3793" s="194" t="s">
        <v>9</v>
      </c>
      <c r="H3793" s="194"/>
      <c r="I3793" s="194"/>
      <c r="J3793" s="194" t="s">
        <v>392</v>
      </c>
      <c r="K3793" s="194"/>
      <c r="L3793" s="194"/>
    </row>
    <row r="3794" spans="1:12" x14ac:dyDescent="0.25">
      <c r="A3794" s="78">
        <v>46223</v>
      </c>
      <c r="B3794" s="68">
        <v>6</v>
      </c>
      <c r="C3794" s="189" t="s">
        <v>570</v>
      </c>
      <c r="D3794" s="68">
        <v>1</v>
      </c>
      <c r="E3794" s="30">
        <v>15</v>
      </c>
      <c r="F3794" s="194">
        <f t="shared" si="131"/>
        <v>15</v>
      </c>
      <c r="G3794" s="194" t="s">
        <v>9</v>
      </c>
      <c r="H3794" s="194"/>
      <c r="I3794" s="194"/>
      <c r="J3794" s="194" t="s">
        <v>392</v>
      </c>
      <c r="K3794" s="194"/>
      <c r="L3794" s="194"/>
    </row>
    <row r="3795" spans="1:12" x14ac:dyDescent="0.25">
      <c r="A3795" s="78">
        <v>46223</v>
      </c>
      <c r="B3795" s="68">
        <v>7</v>
      </c>
      <c r="C3795" s="189" t="s">
        <v>1141</v>
      </c>
      <c r="D3795" s="68">
        <v>1</v>
      </c>
      <c r="E3795" s="30">
        <v>10</v>
      </c>
      <c r="F3795" s="194">
        <f t="shared" si="131"/>
        <v>10</v>
      </c>
      <c r="G3795" s="194" t="s">
        <v>9</v>
      </c>
      <c r="H3795" s="194"/>
      <c r="I3795" s="194"/>
      <c r="J3795" s="194" t="s">
        <v>392</v>
      </c>
      <c r="K3795" s="194"/>
      <c r="L3795" s="194"/>
    </row>
    <row r="3796" spans="1:12" x14ac:dyDescent="0.25">
      <c r="A3796" s="78">
        <v>46223</v>
      </c>
      <c r="B3796" s="68">
        <v>7</v>
      </c>
      <c r="C3796" s="189" t="s">
        <v>666</v>
      </c>
      <c r="D3796" s="68">
        <v>2</v>
      </c>
      <c r="E3796" s="30">
        <v>10</v>
      </c>
      <c r="F3796" s="194">
        <f t="shared" si="131"/>
        <v>20</v>
      </c>
      <c r="G3796" s="194" t="s">
        <v>9</v>
      </c>
      <c r="H3796" s="194"/>
      <c r="I3796" s="194"/>
      <c r="J3796" s="194" t="s">
        <v>392</v>
      </c>
      <c r="K3796" s="194"/>
      <c r="L3796" s="194"/>
    </row>
    <row r="3797" spans="1:12" x14ac:dyDescent="0.25">
      <c r="A3797" s="78">
        <v>46223</v>
      </c>
      <c r="B3797" s="68">
        <v>8</v>
      </c>
      <c r="C3797" s="189" t="s">
        <v>915</v>
      </c>
      <c r="D3797" s="68">
        <v>1</v>
      </c>
      <c r="E3797" s="30">
        <v>10</v>
      </c>
      <c r="F3797" s="194">
        <f t="shared" si="131"/>
        <v>10</v>
      </c>
      <c r="G3797" s="194" t="s">
        <v>9</v>
      </c>
      <c r="H3797" s="194"/>
      <c r="I3797" s="194"/>
      <c r="J3797" s="194" t="s">
        <v>392</v>
      </c>
      <c r="K3797" s="194"/>
      <c r="L3797" s="194"/>
    </row>
    <row r="3798" spans="1:12" x14ac:dyDescent="0.25">
      <c r="A3798" s="78">
        <v>46223</v>
      </c>
      <c r="B3798" s="68">
        <v>9</v>
      </c>
      <c r="C3798" s="189" t="s">
        <v>747</v>
      </c>
      <c r="D3798" s="68">
        <v>1</v>
      </c>
      <c r="E3798" s="30">
        <v>10</v>
      </c>
      <c r="F3798" s="194">
        <f t="shared" si="131"/>
        <v>10</v>
      </c>
      <c r="G3798" s="194" t="s">
        <v>9</v>
      </c>
      <c r="H3798" s="194"/>
      <c r="I3798" s="194"/>
      <c r="J3798" s="194" t="s">
        <v>392</v>
      </c>
      <c r="K3798" s="194"/>
      <c r="L3798" s="194"/>
    </row>
    <row r="3799" spans="1:12" x14ac:dyDescent="0.25">
      <c r="A3799" s="78">
        <v>46223</v>
      </c>
      <c r="B3799" s="68">
        <v>9</v>
      </c>
      <c r="C3799" s="189" t="s">
        <v>677</v>
      </c>
      <c r="D3799" s="68">
        <v>1</v>
      </c>
      <c r="E3799" s="30">
        <v>5</v>
      </c>
      <c r="F3799" s="194">
        <f t="shared" si="131"/>
        <v>5</v>
      </c>
      <c r="G3799" s="194" t="s">
        <v>9</v>
      </c>
      <c r="H3799" s="194"/>
      <c r="I3799" s="194"/>
      <c r="J3799" s="194" t="s">
        <v>392</v>
      </c>
      <c r="K3799" s="194"/>
      <c r="L3799" s="194"/>
    </row>
    <row r="3800" spans="1:12" x14ac:dyDescent="0.25">
      <c r="A3800" s="78">
        <v>46223</v>
      </c>
      <c r="B3800" s="68">
        <v>9</v>
      </c>
      <c r="C3800" s="189" t="s">
        <v>759</v>
      </c>
      <c r="D3800" s="68">
        <v>1</v>
      </c>
      <c r="E3800" s="30">
        <v>5</v>
      </c>
      <c r="F3800" s="194">
        <f t="shared" si="131"/>
        <v>5</v>
      </c>
      <c r="G3800" s="194" t="s">
        <v>9</v>
      </c>
      <c r="H3800" s="194"/>
      <c r="I3800" s="194"/>
      <c r="J3800" s="194" t="s">
        <v>392</v>
      </c>
      <c r="K3800" s="194"/>
      <c r="L3800" s="194"/>
    </row>
    <row r="3801" spans="1:12" x14ac:dyDescent="0.25">
      <c r="A3801" s="78">
        <v>46223</v>
      </c>
      <c r="B3801" s="68">
        <v>9</v>
      </c>
      <c r="C3801" s="189" t="s">
        <v>683</v>
      </c>
      <c r="D3801" s="68">
        <v>1</v>
      </c>
      <c r="E3801" s="30">
        <v>10</v>
      </c>
      <c r="F3801" s="194">
        <f t="shared" si="131"/>
        <v>10</v>
      </c>
      <c r="G3801" s="194" t="s">
        <v>9</v>
      </c>
      <c r="H3801" s="194"/>
      <c r="I3801" s="194"/>
      <c r="J3801" s="194" t="s">
        <v>392</v>
      </c>
      <c r="K3801" s="194"/>
      <c r="L3801" s="194"/>
    </row>
    <row r="3802" spans="1:12" x14ac:dyDescent="0.25">
      <c r="A3802" s="78">
        <v>46223</v>
      </c>
      <c r="B3802" s="68">
        <v>10</v>
      </c>
      <c r="C3802" s="189" t="s">
        <v>768</v>
      </c>
      <c r="D3802" s="68">
        <v>1</v>
      </c>
      <c r="E3802" s="30">
        <v>10</v>
      </c>
      <c r="F3802" s="194">
        <f t="shared" si="131"/>
        <v>10</v>
      </c>
      <c r="G3802" s="194" t="s">
        <v>9</v>
      </c>
      <c r="H3802" s="194"/>
      <c r="I3802" s="194"/>
      <c r="J3802" s="194" t="s">
        <v>392</v>
      </c>
      <c r="K3802" s="194"/>
      <c r="L3802" s="194"/>
    </row>
    <row r="3803" spans="1:12" x14ac:dyDescent="0.25">
      <c r="A3803" s="78">
        <v>46223</v>
      </c>
      <c r="B3803" s="68">
        <v>11</v>
      </c>
      <c r="C3803" s="189" t="s">
        <v>73</v>
      </c>
      <c r="D3803" s="68">
        <v>1</v>
      </c>
      <c r="E3803" s="30">
        <v>10</v>
      </c>
      <c r="F3803" s="194">
        <f t="shared" si="131"/>
        <v>10</v>
      </c>
      <c r="G3803" s="194" t="s">
        <v>10</v>
      </c>
      <c r="H3803" s="194"/>
      <c r="I3803" s="194"/>
      <c r="J3803" s="194" t="s">
        <v>392</v>
      </c>
      <c r="K3803" s="194"/>
      <c r="L3803" s="194"/>
    </row>
    <row r="3804" spans="1:12" x14ac:dyDescent="0.25">
      <c r="A3804" s="78">
        <v>46223</v>
      </c>
      <c r="B3804" s="68">
        <v>11</v>
      </c>
      <c r="C3804" s="189" t="s">
        <v>971</v>
      </c>
      <c r="D3804" s="68">
        <v>1</v>
      </c>
      <c r="E3804" s="30">
        <v>10</v>
      </c>
      <c r="F3804" s="194">
        <f t="shared" si="131"/>
        <v>10</v>
      </c>
      <c r="G3804" s="194" t="s">
        <v>10</v>
      </c>
      <c r="H3804" s="194"/>
      <c r="I3804" s="194"/>
      <c r="J3804" s="194" t="s">
        <v>392</v>
      </c>
      <c r="K3804" s="194"/>
      <c r="L3804" s="194"/>
    </row>
    <row r="3805" spans="1:12" x14ac:dyDescent="0.25">
      <c r="A3805" s="78">
        <v>46223</v>
      </c>
      <c r="B3805" s="68">
        <v>12</v>
      </c>
      <c r="C3805" s="189" t="s">
        <v>1131</v>
      </c>
      <c r="D3805" s="68">
        <v>1</v>
      </c>
      <c r="E3805" s="30">
        <v>5</v>
      </c>
      <c r="F3805" s="194">
        <f t="shared" si="131"/>
        <v>5</v>
      </c>
      <c r="G3805" s="194" t="s">
        <v>9</v>
      </c>
      <c r="H3805" s="194"/>
      <c r="I3805" s="194"/>
      <c r="J3805" s="194" t="s">
        <v>392</v>
      </c>
      <c r="K3805" s="194"/>
      <c r="L3805" s="194"/>
    </row>
    <row r="3806" spans="1:12" x14ac:dyDescent="0.25">
      <c r="A3806" s="78">
        <v>46223</v>
      </c>
      <c r="B3806" s="68">
        <v>12</v>
      </c>
      <c r="C3806" s="188" t="s">
        <v>667</v>
      </c>
      <c r="D3806" s="68">
        <v>2</v>
      </c>
      <c r="E3806" s="30">
        <v>5</v>
      </c>
      <c r="F3806" s="194">
        <f t="shared" si="131"/>
        <v>10</v>
      </c>
      <c r="G3806" s="194" t="s">
        <v>9</v>
      </c>
      <c r="H3806" s="194"/>
      <c r="I3806" s="194"/>
      <c r="J3806" s="194" t="s">
        <v>392</v>
      </c>
      <c r="K3806" s="194"/>
      <c r="L3806" s="194"/>
    </row>
    <row r="3807" spans="1:12" x14ac:dyDescent="0.25">
      <c r="A3807" s="78">
        <v>46223</v>
      </c>
      <c r="B3807" s="68">
        <v>12</v>
      </c>
      <c r="C3807" s="189" t="s">
        <v>1162</v>
      </c>
      <c r="D3807" s="68">
        <v>1</v>
      </c>
      <c r="E3807" s="30">
        <v>5</v>
      </c>
      <c r="F3807" s="194">
        <f t="shared" si="131"/>
        <v>5</v>
      </c>
      <c r="G3807" s="194" t="s">
        <v>9</v>
      </c>
      <c r="H3807" s="194"/>
      <c r="I3807" s="194"/>
      <c r="J3807" s="194" t="s">
        <v>392</v>
      </c>
      <c r="K3807" s="194"/>
      <c r="L3807" s="194"/>
    </row>
    <row r="3808" spans="1:12" x14ac:dyDescent="0.25">
      <c r="A3808" s="78">
        <v>46223</v>
      </c>
      <c r="B3808" s="68">
        <v>13</v>
      </c>
      <c r="C3808" s="189" t="s">
        <v>682</v>
      </c>
      <c r="D3808" s="68">
        <v>1</v>
      </c>
      <c r="E3808" s="30">
        <v>10</v>
      </c>
      <c r="F3808" s="194">
        <f t="shared" si="131"/>
        <v>10</v>
      </c>
      <c r="G3808" s="194" t="s">
        <v>10</v>
      </c>
      <c r="H3808" s="194"/>
      <c r="I3808" s="194"/>
      <c r="J3808" s="194" t="s">
        <v>392</v>
      </c>
      <c r="K3808" s="194"/>
      <c r="L3808" s="194"/>
    </row>
    <row r="3809" spans="1:12" x14ac:dyDescent="0.25">
      <c r="A3809" s="78">
        <v>46223</v>
      </c>
      <c r="B3809" s="68">
        <v>13</v>
      </c>
      <c r="C3809" s="189" t="s">
        <v>1070</v>
      </c>
      <c r="D3809" s="68">
        <v>1.05</v>
      </c>
      <c r="E3809" s="30">
        <v>25</v>
      </c>
      <c r="F3809" s="194">
        <f t="shared" si="131"/>
        <v>26.25</v>
      </c>
      <c r="G3809" s="194" t="s">
        <v>10</v>
      </c>
      <c r="H3809" s="194"/>
      <c r="I3809" s="194"/>
      <c r="J3809" s="194" t="s">
        <v>392</v>
      </c>
      <c r="K3809" s="194"/>
      <c r="L3809" s="194"/>
    </row>
    <row r="3810" spans="1:12" x14ac:dyDescent="0.25">
      <c r="A3810" s="78">
        <v>46223</v>
      </c>
      <c r="B3810" s="68">
        <v>14</v>
      </c>
      <c r="C3810" s="189" t="s">
        <v>578</v>
      </c>
      <c r="D3810" s="68">
        <v>1</v>
      </c>
      <c r="E3810" s="30">
        <v>5</v>
      </c>
      <c r="F3810" s="194">
        <f t="shared" si="131"/>
        <v>5</v>
      </c>
      <c r="G3810" s="194" t="s">
        <v>9</v>
      </c>
      <c r="H3810" s="194"/>
      <c r="I3810" s="194"/>
      <c r="J3810" s="194" t="s">
        <v>392</v>
      </c>
      <c r="K3810" s="194"/>
      <c r="L3810" s="194"/>
    </row>
    <row r="3811" spans="1:12" x14ac:dyDescent="0.25">
      <c r="A3811" s="78">
        <v>46223</v>
      </c>
      <c r="B3811" s="68">
        <v>14</v>
      </c>
      <c r="C3811" s="189" t="s">
        <v>1131</v>
      </c>
      <c r="D3811" s="68">
        <v>1</v>
      </c>
      <c r="E3811" s="30">
        <v>5</v>
      </c>
      <c r="F3811" s="194">
        <f t="shared" si="131"/>
        <v>5</v>
      </c>
      <c r="G3811" s="194" t="s">
        <v>9</v>
      </c>
      <c r="H3811" s="194"/>
      <c r="I3811" s="194"/>
      <c r="J3811" s="194" t="s">
        <v>392</v>
      </c>
      <c r="K3811" s="194"/>
      <c r="L3811" s="194"/>
    </row>
    <row r="3812" spans="1:12" x14ac:dyDescent="0.25">
      <c r="A3812" s="78">
        <v>46223</v>
      </c>
      <c r="B3812" s="68">
        <v>14</v>
      </c>
      <c r="C3812" s="189" t="s">
        <v>1063</v>
      </c>
      <c r="D3812" s="68">
        <v>1</v>
      </c>
      <c r="E3812" s="30">
        <v>10</v>
      </c>
      <c r="F3812" s="194">
        <f t="shared" si="131"/>
        <v>10</v>
      </c>
      <c r="G3812" s="194" t="s">
        <v>9</v>
      </c>
      <c r="H3812" s="194"/>
      <c r="I3812" s="194"/>
      <c r="J3812" s="194" t="s">
        <v>392</v>
      </c>
      <c r="K3812" s="194"/>
      <c r="L3812" s="194"/>
    </row>
    <row r="3813" spans="1:12" x14ac:dyDescent="0.25">
      <c r="A3813" s="78">
        <v>46223</v>
      </c>
      <c r="B3813" s="68">
        <v>15</v>
      </c>
      <c r="C3813" s="188" t="s">
        <v>692</v>
      </c>
      <c r="D3813" s="68">
        <v>0.1</v>
      </c>
      <c r="E3813" s="30">
        <v>200</v>
      </c>
      <c r="F3813" s="194">
        <f t="shared" si="131"/>
        <v>20</v>
      </c>
      <c r="G3813" s="194" t="s">
        <v>10</v>
      </c>
      <c r="H3813" s="194"/>
      <c r="I3813" s="194"/>
      <c r="J3813" s="194" t="s">
        <v>392</v>
      </c>
      <c r="K3813" s="194"/>
      <c r="L3813" s="194"/>
    </row>
    <row r="3814" spans="1:12" x14ac:dyDescent="0.25">
      <c r="A3814" s="78">
        <v>46223</v>
      </c>
      <c r="B3814" s="68">
        <v>16</v>
      </c>
      <c r="C3814" s="189" t="s">
        <v>930</v>
      </c>
      <c r="D3814" s="68">
        <v>2</v>
      </c>
      <c r="E3814" s="30">
        <v>58</v>
      </c>
      <c r="F3814" s="194">
        <f t="shared" si="131"/>
        <v>116</v>
      </c>
      <c r="G3814" s="194" t="s">
        <v>9</v>
      </c>
      <c r="H3814" s="194"/>
      <c r="I3814" s="194"/>
      <c r="J3814" s="194" t="s">
        <v>392</v>
      </c>
      <c r="K3814" s="194"/>
      <c r="L3814" s="194"/>
    </row>
    <row r="3815" spans="1:12" x14ac:dyDescent="0.25">
      <c r="A3815" s="78">
        <v>46223</v>
      </c>
      <c r="B3815" s="68">
        <v>16</v>
      </c>
      <c r="C3815" s="189" t="s">
        <v>887</v>
      </c>
      <c r="D3815" s="68">
        <v>1</v>
      </c>
      <c r="E3815" s="30">
        <v>56</v>
      </c>
      <c r="F3815" s="194">
        <f t="shared" si="131"/>
        <v>56</v>
      </c>
      <c r="G3815" s="194" t="s">
        <v>9</v>
      </c>
      <c r="H3815" s="194"/>
      <c r="I3815" s="194"/>
      <c r="J3815" s="194" t="s">
        <v>392</v>
      </c>
      <c r="K3815" s="194"/>
      <c r="L3815" s="194"/>
    </row>
    <row r="3816" spans="1:12" x14ac:dyDescent="0.25">
      <c r="A3816" s="78">
        <v>46223</v>
      </c>
      <c r="B3816" s="68">
        <v>16</v>
      </c>
      <c r="C3816" s="188" t="s">
        <v>693</v>
      </c>
      <c r="D3816" s="68">
        <v>0.45</v>
      </c>
      <c r="E3816" s="30">
        <v>45</v>
      </c>
      <c r="F3816" s="194">
        <f t="shared" si="131"/>
        <v>20.25</v>
      </c>
      <c r="G3816" s="194" t="s">
        <v>9</v>
      </c>
      <c r="H3816" s="194"/>
      <c r="I3816" s="194"/>
      <c r="J3816" s="194" t="s">
        <v>392</v>
      </c>
      <c r="K3816" s="194"/>
      <c r="L3816" s="194"/>
    </row>
    <row r="3817" spans="1:12" x14ac:dyDescent="0.25">
      <c r="A3817" s="78">
        <v>46223</v>
      </c>
      <c r="B3817" s="68">
        <v>16</v>
      </c>
      <c r="C3817" s="189" t="s">
        <v>759</v>
      </c>
      <c r="D3817" s="68">
        <v>1</v>
      </c>
      <c r="E3817" s="30">
        <v>5</v>
      </c>
      <c r="F3817" s="194">
        <f t="shared" si="131"/>
        <v>5</v>
      </c>
      <c r="G3817" s="194" t="s">
        <v>9</v>
      </c>
      <c r="H3817" s="194"/>
      <c r="I3817" s="194"/>
      <c r="J3817" s="194" t="s">
        <v>392</v>
      </c>
      <c r="K3817" s="194"/>
      <c r="L3817" s="194"/>
    </row>
    <row r="3818" spans="1:12" x14ac:dyDescent="0.25">
      <c r="A3818" s="78">
        <v>46223</v>
      </c>
      <c r="B3818" s="68">
        <v>17</v>
      </c>
      <c r="C3818" s="189" t="s">
        <v>807</v>
      </c>
      <c r="D3818" s="68">
        <v>0.28999999999999998</v>
      </c>
      <c r="E3818" s="30">
        <v>70</v>
      </c>
      <c r="F3818" s="194">
        <f t="shared" si="131"/>
        <v>20.299999999999997</v>
      </c>
      <c r="G3818" s="194" t="s">
        <v>10</v>
      </c>
      <c r="H3818" s="194"/>
      <c r="I3818" s="194"/>
      <c r="J3818" s="194" t="s">
        <v>392</v>
      </c>
      <c r="K3818" s="194"/>
      <c r="L3818" s="194"/>
    </row>
    <row r="3819" spans="1:12" x14ac:dyDescent="0.25">
      <c r="A3819" s="78">
        <v>46223</v>
      </c>
      <c r="B3819" s="68">
        <v>17</v>
      </c>
      <c r="C3819" s="189" t="s">
        <v>539</v>
      </c>
      <c r="D3819" s="68">
        <v>2</v>
      </c>
      <c r="E3819" s="30">
        <v>25</v>
      </c>
      <c r="F3819" s="194">
        <f t="shared" si="131"/>
        <v>50</v>
      </c>
      <c r="G3819" s="194" t="s">
        <v>10</v>
      </c>
      <c r="H3819" s="194"/>
      <c r="I3819" s="194"/>
      <c r="J3819" s="194" t="s">
        <v>392</v>
      </c>
      <c r="K3819" s="194"/>
      <c r="L3819" s="194"/>
    </row>
    <row r="3820" spans="1:12" x14ac:dyDescent="0.25">
      <c r="A3820" s="78">
        <v>46223</v>
      </c>
      <c r="B3820" s="68">
        <v>17</v>
      </c>
      <c r="C3820" s="188" t="s">
        <v>676</v>
      </c>
      <c r="D3820" s="68">
        <v>1</v>
      </c>
      <c r="E3820" s="30">
        <v>30</v>
      </c>
      <c r="F3820" s="194">
        <f t="shared" si="131"/>
        <v>30</v>
      </c>
      <c r="G3820" s="194" t="s">
        <v>10</v>
      </c>
      <c r="H3820" s="194"/>
      <c r="I3820" s="194"/>
      <c r="J3820" s="194" t="s">
        <v>392</v>
      </c>
      <c r="K3820" s="194"/>
      <c r="L3820" s="194"/>
    </row>
    <row r="3821" spans="1:12" x14ac:dyDescent="0.25">
      <c r="A3821" s="78">
        <v>46223</v>
      </c>
      <c r="B3821" s="68">
        <v>17</v>
      </c>
      <c r="C3821" s="188" t="s">
        <v>763</v>
      </c>
      <c r="D3821" s="68">
        <v>4</v>
      </c>
      <c r="E3821" s="30">
        <v>5</v>
      </c>
      <c r="F3821" s="194">
        <f t="shared" si="131"/>
        <v>20</v>
      </c>
      <c r="G3821" s="194" t="s">
        <v>10</v>
      </c>
      <c r="H3821" s="194"/>
      <c r="I3821" s="194"/>
      <c r="J3821" s="194" t="s">
        <v>392</v>
      </c>
      <c r="K3821" s="194"/>
      <c r="L3821" s="194"/>
    </row>
    <row r="3822" spans="1:12" x14ac:dyDescent="0.25">
      <c r="A3822" s="78">
        <v>46223</v>
      </c>
      <c r="B3822" s="68">
        <v>18</v>
      </c>
      <c r="C3822" s="189" t="s">
        <v>531</v>
      </c>
      <c r="D3822" s="68">
        <v>1</v>
      </c>
      <c r="E3822" s="30">
        <v>5</v>
      </c>
      <c r="F3822" s="194">
        <f t="shared" si="131"/>
        <v>5</v>
      </c>
      <c r="G3822" s="194" t="s">
        <v>9</v>
      </c>
      <c r="H3822" s="194"/>
      <c r="I3822" s="194"/>
      <c r="J3822" s="194" t="s">
        <v>392</v>
      </c>
      <c r="K3822" s="194"/>
      <c r="L3822" s="194"/>
    </row>
    <row r="3823" spans="1:12" x14ac:dyDescent="0.25">
      <c r="A3823" s="78">
        <v>46223</v>
      </c>
      <c r="B3823" s="68">
        <v>18</v>
      </c>
      <c r="C3823" s="188" t="s">
        <v>821</v>
      </c>
      <c r="D3823" s="68">
        <v>0.9</v>
      </c>
      <c r="E3823" s="30">
        <v>25</v>
      </c>
      <c r="F3823" s="194">
        <f t="shared" si="131"/>
        <v>22.5</v>
      </c>
      <c r="G3823" s="194" t="s">
        <v>9</v>
      </c>
      <c r="H3823" s="194"/>
      <c r="I3823" s="194"/>
      <c r="J3823" s="194" t="s">
        <v>392</v>
      </c>
      <c r="K3823" s="194"/>
      <c r="L3823" s="194"/>
    </row>
    <row r="3824" spans="1:12" s="62" customFormat="1" ht="15" customHeight="1" x14ac:dyDescent="0.25">
      <c r="A3824" s="151">
        <v>46223</v>
      </c>
      <c r="B3824" s="139"/>
      <c r="C3824" s="150"/>
      <c r="F3824" s="195"/>
      <c r="H3824" s="139"/>
      <c r="I3824" s="139">
        <f>SUMIF(G3784:G3824, "&lt;&gt;UPI",F3784:F3824)</f>
        <v>519.75</v>
      </c>
    </row>
    <row r="3825" spans="1:12" s="170" customFormat="1" ht="18.75" x14ac:dyDescent="0.3">
      <c r="A3825" s="79">
        <v>46223</v>
      </c>
      <c r="B3825" s="147" t="s">
        <v>987</v>
      </c>
      <c r="C3825" s="169">
        <f>MAX(B3784:B3824)</f>
        <v>18</v>
      </c>
      <c r="D3825" s="147" t="s">
        <v>988</v>
      </c>
      <c r="E3825" s="170">
        <f>SUMIF(G3784:G3824,"UPI",F3784:F3824)</f>
        <v>196.55</v>
      </c>
      <c r="F3825" s="230" t="s">
        <v>437</v>
      </c>
      <c r="G3825" s="230"/>
      <c r="H3825" s="230"/>
      <c r="I3825" s="231">
        <f>SUM(F3784:F3824)</f>
        <v>716.3</v>
      </c>
      <c r="J3825" s="231"/>
      <c r="K3825" s="231"/>
      <c r="L3825" s="231"/>
    </row>
    <row r="3826" spans="1:12" x14ac:dyDescent="0.25">
      <c r="A3826" s="78">
        <v>46225</v>
      </c>
      <c r="B3826" s="68">
        <v>1</v>
      </c>
      <c r="C3826" s="188" t="s">
        <v>821</v>
      </c>
      <c r="D3826" s="68">
        <v>2</v>
      </c>
      <c r="E3826" s="30">
        <v>25</v>
      </c>
      <c r="F3826" s="194">
        <f>E3826*D3826</f>
        <v>50</v>
      </c>
      <c r="G3826" s="194" t="s">
        <v>9</v>
      </c>
      <c r="H3826" s="194"/>
      <c r="I3826" s="194" t="s">
        <v>663</v>
      </c>
      <c r="J3826" s="194" t="s">
        <v>392</v>
      </c>
      <c r="K3826" s="194"/>
      <c r="L3826" s="194"/>
    </row>
    <row r="3827" spans="1:12" x14ac:dyDescent="0.25">
      <c r="A3827" s="78">
        <v>46225</v>
      </c>
      <c r="B3827" s="68">
        <v>1</v>
      </c>
      <c r="C3827" s="188" t="s">
        <v>693</v>
      </c>
      <c r="D3827" s="68">
        <v>1</v>
      </c>
      <c r="E3827" s="30">
        <v>45</v>
      </c>
      <c r="F3827" s="194">
        <f t="shared" ref="F3827:F3866" si="132">E3827*D3827</f>
        <v>45</v>
      </c>
      <c r="G3827" s="194" t="s">
        <v>9</v>
      </c>
      <c r="H3827" s="194"/>
      <c r="I3827" s="194" t="s">
        <v>663</v>
      </c>
      <c r="J3827" s="194" t="s">
        <v>392</v>
      </c>
      <c r="K3827" s="194"/>
      <c r="L3827" s="194"/>
    </row>
    <row r="3828" spans="1:12" x14ac:dyDescent="0.25">
      <c r="A3828" s="78">
        <v>46225</v>
      </c>
      <c r="B3828" s="68">
        <v>1</v>
      </c>
      <c r="C3828" s="189" t="s">
        <v>1153</v>
      </c>
      <c r="D3828" s="68">
        <v>30</v>
      </c>
      <c r="E3828" s="30">
        <v>9.5</v>
      </c>
      <c r="F3828" s="194">
        <f t="shared" si="132"/>
        <v>285</v>
      </c>
      <c r="G3828" s="194" t="s">
        <v>9</v>
      </c>
      <c r="H3828" s="194"/>
      <c r="I3828" s="194" t="s">
        <v>663</v>
      </c>
      <c r="J3828" s="194" t="s">
        <v>392</v>
      </c>
      <c r="K3828" s="194"/>
      <c r="L3828" s="194"/>
    </row>
    <row r="3829" spans="1:12" x14ac:dyDescent="0.25">
      <c r="A3829" s="78">
        <v>46225</v>
      </c>
      <c r="B3829" s="68">
        <v>2</v>
      </c>
      <c r="C3829" s="188" t="s">
        <v>911</v>
      </c>
      <c r="D3829" s="68">
        <v>8</v>
      </c>
      <c r="E3829" s="30">
        <v>9.5</v>
      </c>
      <c r="F3829" s="194">
        <f t="shared" si="132"/>
        <v>76</v>
      </c>
      <c r="G3829" s="194" t="s">
        <v>9</v>
      </c>
      <c r="H3829" s="194"/>
      <c r="I3829" s="194"/>
      <c r="J3829" s="194" t="s">
        <v>392</v>
      </c>
      <c r="K3829" s="194"/>
      <c r="L3829" s="194"/>
    </row>
    <row r="3830" spans="1:12" x14ac:dyDescent="0.25">
      <c r="A3830" s="78">
        <v>46225</v>
      </c>
      <c r="B3830" s="68">
        <v>2</v>
      </c>
      <c r="C3830" s="189" t="s">
        <v>375</v>
      </c>
      <c r="D3830" s="68">
        <v>4</v>
      </c>
      <c r="E3830" s="30">
        <v>1</v>
      </c>
      <c r="F3830" s="194">
        <f t="shared" si="132"/>
        <v>4</v>
      </c>
      <c r="G3830" s="194" t="s">
        <v>9</v>
      </c>
      <c r="H3830" s="194"/>
      <c r="I3830" s="194"/>
      <c r="J3830" s="194" t="s">
        <v>392</v>
      </c>
      <c r="K3830" s="194"/>
      <c r="L3830" s="194"/>
    </row>
    <row r="3831" spans="1:12" x14ac:dyDescent="0.25">
      <c r="A3831" s="78">
        <v>46225</v>
      </c>
      <c r="B3831" s="68">
        <v>3</v>
      </c>
      <c r="C3831" s="189" t="s">
        <v>1119</v>
      </c>
      <c r="D3831" s="68">
        <v>1.6E-2</v>
      </c>
      <c r="E3831" s="30">
        <v>600</v>
      </c>
      <c r="F3831" s="194">
        <f t="shared" si="132"/>
        <v>9.6</v>
      </c>
      <c r="G3831" s="194" t="s">
        <v>9</v>
      </c>
      <c r="H3831" s="194"/>
      <c r="I3831" s="194"/>
      <c r="J3831" s="194" t="s">
        <v>392</v>
      </c>
      <c r="K3831" s="194"/>
      <c r="L3831" s="194"/>
    </row>
    <row r="3832" spans="1:12" x14ac:dyDescent="0.25">
      <c r="A3832" s="78">
        <v>46225</v>
      </c>
      <c r="B3832" s="68">
        <v>3</v>
      </c>
      <c r="C3832" s="189" t="s">
        <v>811</v>
      </c>
      <c r="D3832" s="68">
        <v>0.125</v>
      </c>
      <c r="E3832" s="30">
        <v>160</v>
      </c>
      <c r="F3832" s="194">
        <f t="shared" si="132"/>
        <v>20</v>
      </c>
      <c r="G3832" s="194" t="s">
        <v>9</v>
      </c>
      <c r="H3832" s="194"/>
      <c r="I3832" s="194"/>
      <c r="J3832" s="194" t="s">
        <v>392</v>
      </c>
      <c r="K3832" s="194"/>
      <c r="L3832" s="194"/>
    </row>
    <row r="3833" spans="1:12" ht="30" x14ac:dyDescent="0.25">
      <c r="A3833" s="78">
        <v>46225</v>
      </c>
      <c r="B3833" s="68">
        <v>3</v>
      </c>
      <c r="C3833" s="189" t="s">
        <v>883</v>
      </c>
      <c r="D3833" s="68">
        <v>1</v>
      </c>
      <c r="E3833" s="30">
        <v>15</v>
      </c>
      <c r="F3833" s="194">
        <f t="shared" si="132"/>
        <v>15</v>
      </c>
      <c r="G3833" s="194" t="s">
        <v>9</v>
      </c>
      <c r="H3833" s="194"/>
      <c r="I3833" s="194"/>
      <c r="J3833" s="194" t="s">
        <v>392</v>
      </c>
      <c r="K3833" s="194"/>
      <c r="L3833" s="194"/>
    </row>
    <row r="3834" spans="1:12" x14ac:dyDescent="0.25">
      <c r="A3834" s="78">
        <v>46225</v>
      </c>
      <c r="B3834" s="68">
        <v>3</v>
      </c>
      <c r="C3834" s="189" t="s">
        <v>524</v>
      </c>
      <c r="D3834" s="68">
        <v>10</v>
      </c>
      <c r="E3834" s="30">
        <v>1</v>
      </c>
      <c r="F3834" s="194">
        <f t="shared" si="132"/>
        <v>10</v>
      </c>
      <c r="G3834" s="194" t="s">
        <v>9</v>
      </c>
      <c r="H3834" s="194"/>
      <c r="I3834" s="194"/>
      <c r="J3834" s="194" t="s">
        <v>392</v>
      </c>
      <c r="K3834" s="194"/>
      <c r="L3834" s="194"/>
    </row>
    <row r="3835" spans="1:12" x14ac:dyDescent="0.25">
      <c r="A3835" s="78">
        <v>46225</v>
      </c>
      <c r="B3835" s="68">
        <v>3</v>
      </c>
      <c r="C3835" s="189" t="s">
        <v>1027</v>
      </c>
      <c r="D3835" s="68">
        <v>0.05</v>
      </c>
      <c r="E3835" s="30">
        <v>200</v>
      </c>
      <c r="F3835" s="194">
        <f t="shared" si="132"/>
        <v>10</v>
      </c>
      <c r="G3835" s="194" t="s">
        <v>9</v>
      </c>
      <c r="H3835" s="194"/>
      <c r="I3835" s="194"/>
      <c r="J3835" s="194" t="s">
        <v>392</v>
      </c>
      <c r="K3835" s="194"/>
      <c r="L3835" s="194"/>
    </row>
    <row r="3836" spans="1:12" x14ac:dyDescent="0.25">
      <c r="A3836" s="78">
        <v>46225</v>
      </c>
      <c r="B3836" s="68">
        <v>3</v>
      </c>
      <c r="C3836" s="189" t="s">
        <v>677</v>
      </c>
      <c r="D3836" s="68">
        <v>1</v>
      </c>
      <c r="E3836" s="30">
        <v>5</v>
      </c>
      <c r="F3836" s="194">
        <f t="shared" si="132"/>
        <v>5</v>
      </c>
      <c r="G3836" s="194" t="s">
        <v>9</v>
      </c>
      <c r="H3836" s="194"/>
      <c r="I3836" s="194"/>
      <c r="J3836" s="194" t="s">
        <v>392</v>
      </c>
      <c r="K3836" s="194"/>
      <c r="L3836" s="194"/>
    </row>
    <row r="3837" spans="1:12" x14ac:dyDescent="0.25">
      <c r="A3837" s="78">
        <v>46225</v>
      </c>
      <c r="B3837" s="68">
        <v>4</v>
      </c>
      <c r="C3837" s="189" t="s">
        <v>860</v>
      </c>
      <c r="D3837" s="68">
        <v>1</v>
      </c>
      <c r="E3837" s="30">
        <v>5</v>
      </c>
      <c r="F3837" s="194">
        <f t="shared" si="132"/>
        <v>5</v>
      </c>
      <c r="G3837" s="194" t="s">
        <v>9</v>
      </c>
      <c r="H3837" s="194"/>
      <c r="I3837" s="194"/>
      <c r="J3837" s="194" t="s">
        <v>392</v>
      </c>
      <c r="K3837" s="194"/>
      <c r="L3837" s="194"/>
    </row>
    <row r="3838" spans="1:12" x14ac:dyDescent="0.25">
      <c r="A3838" s="78">
        <v>46225</v>
      </c>
      <c r="B3838" s="68">
        <v>4</v>
      </c>
      <c r="C3838" s="189" t="s">
        <v>807</v>
      </c>
      <c r="D3838" s="68">
        <v>0.28999999999999998</v>
      </c>
      <c r="E3838" s="30">
        <v>70</v>
      </c>
      <c r="F3838" s="194">
        <f t="shared" si="132"/>
        <v>20.299999999999997</v>
      </c>
      <c r="G3838" s="194" t="s">
        <v>9</v>
      </c>
      <c r="H3838" s="194"/>
      <c r="I3838" s="194"/>
      <c r="J3838" s="194" t="s">
        <v>392</v>
      </c>
      <c r="K3838" s="194"/>
      <c r="L3838" s="194"/>
    </row>
    <row r="3839" spans="1:12" x14ac:dyDescent="0.25">
      <c r="A3839" s="78">
        <v>46225</v>
      </c>
      <c r="B3839" s="68">
        <v>5</v>
      </c>
      <c r="C3839" s="189" t="s">
        <v>666</v>
      </c>
      <c r="D3839" s="68">
        <v>2</v>
      </c>
      <c r="E3839" s="30">
        <v>10</v>
      </c>
      <c r="F3839" s="194">
        <f t="shared" si="132"/>
        <v>20</v>
      </c>
      <c r="G3839" s="194" t="s">
        <v>9</v>
      </c>
      <c r="H3839" s="194"/>
      <c r="I3839" s="194"/>
      <c r="J3839" s="194" t="s">
        <v>392</v>
      </c>
      <c r="K3839" s="194"/>
      <c r="L3839" s="194"/>
    </row>
    <row r="3840" spans="1:12" x14ac:dyDescent="0.25">
      <c r="A3840" s="78">
        <v>46225</v>
      </c>
      <c r="B3840" s="68">
        <v>6</v>
      </c>
      <c r="C3840" s="189" t="s">
        <v>768</v>
      </c>
      <c r="D3840" s="68">
        <v>1</v>
      </c>
      <c r="E3840" s="30">
        <v>10</v>
      </c>
      <c r="F3840" s="194">
        <f t="shared" si="132"/>
        <v>10</v>
      </c>
      <c r="G3840" s="194" t="s">
        <v>9</v>
      </c>
      <c r="H3840" s="194"/>
      <c r="I3840" s="194"/>
      <c r="J3840" s="194" t="s">
        <v>392</v>
      </c>
      <c r="K3840" s="194"/>
      <c r="L3840" s="194"/>
    </row>
    <row r="3841" spans="1:12" x14ac:dyDescent="0.25">
      <c r="A3841" s="78">
        <v>46225</v>
      </c>
      <c r="B3841" s="68">
        <v>6</v>
      </c>
      <c r="C3841" s="189" t="s">
        <v>666</v>
      </c>
      <c r="D3841" s="68">
        <v>1</v>
      </c>
      <c r="E3841" s="30">
        <v>10</v>
      </c>
      <c r="F3841" s="194">
        <f t="shared" si="132"/>
        <v>10</v>
      </c>
      <c r="G3841" s="194" t="s">
        <v>9</v>
      </c>
      <c r="H3841" s="194"/>
      <c r="I3841" s="194"/>
      <c r="J3841" s="194" t="s">
        <v>392</v>
      </c>
      <c r="K3841" s="194"/>
      <c r="L3841" s="194"/>
    </row>
    <row r="3842" spans="1:12" x14ac:dyDescent="0.25">
      <c r="A3842" s="78">
        <v>46225</v>
      </c>
      <c r="B3842" s="68">
        <v>7</v>
      </c>
      <c r="C3842" s="189" t="s">
        <v>645</v>
      </c>
      <c r="D3842" s="68">
        <v>1</v>
      </c>
      <c r="E3842" s="30">
        <v>10</v>
      </c>
      <c r="F3842" s="194">
        <f t="shared" si="132"/>
        <v>10</v>
      </c>
      <c r="G3842" s="194" t="s">
        <v>9</v>
      </c>
      <c r="H3842" s="194"/>
      <c r="I3842" s="194"/>
      <c r="J3842" s="194" t="s">
        <v>392</v>
      </c>
      <c r="K3842" s="194"/>
      <c r="L3842" s="194"/>
    </row>
    <row r="3843" spans="1:12" x14ac:dyDescent="0.25">
      <c r="A3843" s="78">
        <v>46225</v>
      </c>
      <c r="B3843" s="68">
        <v>7</v>
      </c>
      <c r="C3843" s="189" t="s">
        <v>747</v>
      </c>
      <c r="D3843" s="68">
        <v>1</v>
      </c>
      <c r="E3843" s="30">
        <v>10</v>
      </c>
      <c r="F3843" s="194">
        <f t="shared" si="132"/>
        <v>10</v>
      </c>
      <c r="G3843" s="194" t="s">
        <v>9</v>
      </c>
      <c r="H3843" s="194"/>
      <c r="I3843" s="194"/>
      <c r="J3843" s="194" t="s">
        <v>392</v>
      </c>
      <c r="K3843" s="194"/>
      <c r="L3843" s="194"/>
    </row>
    <row r="3844" spans="1:12" ht="30" x14ac:dyDescent="0.25">
      <c r="A3844" s="78">
        <v>46225</v>
      </c>
      <c r="B3844" s="68">
        <v>7</v>
      </c>
      <c r="C3844" s="189" t="s">
        <v>897</v>
      </c>
      <c r="D3844" s="68">
        <v>5</v>
      </c>
      <c r="E3844" s="30">
        <v>1</v>
      </c>
      <c r="F3844" s="194">
        <f t="shared" si="132"/>
        <v>5</v>
      </c>
      <c r="G3844" s="194" t="s">
        <v>9</v>
      </c>
      <c r="H3844" s="194"/>
      <c r="I3844" s="194"/>
      <c r="J3844" s="194" t="s">
        <v>392</v>
      </c>
      <c r="K3844" s="194"/>
      <c r="L3844" s="194"/>
    </row>
    <row r="3845" spans="1:12" x14ac:dyDescent="0.25">
      <c r="A3845" s="78">
        <v>46225</v>
      </c>
      <c r="B3845" s="68">
        <v>7</v>
      </c>
      <c r="C3845" s="189" t="s">
        <v>892</v>
      </c>
      <c r="D3845" s="68">
        <v>1</v>
      </c>
      <c r="E3845" s="30">
        <v>10</v>
      </c>
      <c r="F3845" s="194">
        <f t="shared" si="132"/>
        <v>10</v>
      </c>
      <c r="G3845" s="194" t="s">
        <v>9</v>
      </c>
      <c r="H3845" s="194"/>
      <c r="I3845" s="194"/>
      <c r="J3845" s="194" t="s">
        <v>392</v>
      </c>
      <c r="K3845" s="194"/>
      <c r="L3845" s="194"/>
    </row>
    <row r="3846" spans="1:12" x14ac:dyDescent="0.25">
      <c r="A3846" s="78">
        <v>46225</v>
      </c>
      <c r="B3846" s="68">
        <v>7</v>
      </c>
      <c r="C3846" s="189" t="s">
        <v>878</v>
      </c>
      <c r="D3846" s="68">
        <v>1</v>
      </c>
      <c r="E3846" s="30">
        <v>85</v>
      </c>
      <c r="F3846" s="194">
        <f t="shared" si="132"/>
        <v>85</v>
      </c>
      <c r="G3846" s="194" t="s">
        <v>9</v>
      </c>
      <c r="H3846" s="194"/>
      <c r="I3846" s="194"/>
      <c r="J3846" s="194" t="s">
        <v>392</v>
      </c>
      <c r="K3846" s="194"/>
      <c r="L3846" s="194"/>
    </row>
    <row r="3847" spans="1:12" x14ac:dyDescent="0.25">
      <c r="A3847" s="78">
        <v>46225</v>
      </c>
      <c r="B3847" s="68">
        <v>7</v>
      </c>
      <c r="C3847" s="33" t="s">
        <v>1079</v>
      </c>
      <c r="D3847" s="68">
        <v>1</v>
      </c>
      <c r="E3847" s="30">
        <v>90</v>
      </c>
      <c r="F3847" s="194">
        <f t="shared" si="132"/>
        <v>90</v>
      </c>
      <c r="G3847" s="194" t="s">
        <v>9</v>
      </c>
      <c r="H3847" s="194"/>
      <c r="I3847" s="194"/>
      <c r="J3847" s="194" t="s">
        <v>392</v>
      </c>
      <c r="K3847" s="194"/>
      <c r="L3847" s="194"/>
    </row>
    <row r="3848" spans="1:12" x14ac:dyDescent="0.25">
      <c r="A3848" s="78">
        <v>46225</v>
      </c>
      <c r="B3848" s="68">
        <v>8</v>
      </c>
      <c r="C3848" s="189" t="s">
        <v>807</v>
      </c>
      <c r="D3848" s="68">
        <v>0.5</v>
      </c>
      <c r="E3848" s="30">
        <v>70</v>
      </c>
      <c r="F3848" s="194">
        <f t="shared" si="132"/>
        <v>35</v>
      </c>
      <c r="G3848" s="194" t="s">
        <v>9</v>
      </c>
      <c r="H3848" s="194"/>
      <c r="I3848" s="194"/>
      <c r="J3848" s="194" t="s">
        <v>392</v>
      </c>
      <c r="K3848" s="194"/>
      <c r="L3848" s="194"/>
    </row>
    <row r="3849" spans="1:12" x14ac:dyDescent="0.25">
      <c r="A3849" s="78">
        <v>46225</v>
      </c>
      <c r="B3849" s="68">
        <v>8</v>
      </c>
      <c r="C3849" s="189" t="s">
        <v>814</v>
      </c>
      <c r="D3849" s="68">
        <v>0.26</v>
      </c>
      <c r="E3849" s="30">
        <v>60</v>
      </c>
      <c r="F3849" s="194">
        <f t="shared" si="132"/>
        <v>15.600000000000001</v>
      </c>
      <c r="G3849" s="194" t="s">
        <v>9</v>
      </c>
      <c r="H3849" s="194"/>
      <c r="I3849" s="194"/>
      <c r="J3849" s="194" t="s">
        <v>392</v>
      </c>
      <c r="K3849" s="194"/>
      <c r="L3849" s="194"/>
    </row>
    <row r="3850" spans="1:12" x14ac:dyDescent="0.25">
      <c r="A3850" s="78">
        <v>46225</v>
      </c>
      <c r="B3850" s="68">
        <v>8</v>
      </c>
      <c r="C3850" s="189" t="s">
        <v>1074</v>
      </c>
      <c r="D3850" s="68">
        <v>1</v>
      </c>
      <c r="E3850" s="30">
        <v>10</v>
      </c>
      <c r="F3850" s="194">
        <f t="shared" si="132"/>
        <v>10</v>
      </c>
      <c r="G3850" s="194" t="s">
        <v>9</v>
      </c>
      <c r="H3850" s="194"/>
      <c r="I3850" s="194"/>
      <c r="J3850" s="194" t="s">
        <v>392</v>
      </c>
      <c r="K3850" s="194"/>
      <c r="L3850" s="194"/>
    </row>
    <row r="3851" spans="1:12" x14ac:dyDescent="0.25">
      <c r="A3851" s="78">
        <v>46225</v>
      </c>
      <c r="B3851" s="68">
        <v>8</v>
      </c>
      <c r="C3851" s="189" t="s">
        <v>841</v>
      </c>
      <c r="D3851" s="68">
        <v>0.08</v>
      </c>
      <c r="E3851" s="30">
        <v>120</v>
      </c>
      <c r="F3851" s="194">
        <f t="shared" si="132"/>
        <v>9.6</v>
      </c>
      <c r="G3851" s="194" t="s">
        <v>9</v>
      </c>
      <c r="H3851" s="194"/>
      <c r="I3851" s="194"/>
      <c r="J3851" s="194" t="s">
        <v>392</v>
      </c>
      <c r="K3851" s="194"/>
      <c r="L3851" s="194"/>
    </row>
    <row r="3852" spans="1:12" x14ac:dyDescent="0.25">
      <c r="A3852" s="78">
        <v>46225</v>
      </c>
      <c r="B3852" s="68">
        <v>8</v>
      </c>
      <c r="C3852" s="189" t="s">
        <v>395</v>
      </c>
      <c r="D3852" s="68">
        <v>1</v>
      </c>
      <c r="E3852" s="30">
        <v>10</v>
      </c>
      <c r="F3852" s="194">
        <f t="shared" si="132"/>
        <v>10</v>
      </c>
      <c r="G3852" s="194" t="s">
        <v>9</v>
      </c>
      <c r="H3852" s="194"/>
      <c r="I3852" s="194"/>
      <c r="J3852" s="194" t="s">
        <v>392</v>
      </c>
      <c r="K3852" s="194"/>
      <c r="L3852" s="194"/>
    </row>
    <row r="3853" spans="1:12" x14ac:dyDescent="0.25">
      <c r="A3853" s="78">
        <v>46225</v>
      </c>
      <c r="B3853" s="68">
        <v>1</v>
      </c>
      <c r="C3853" s="189" t="s">
        <v>139</v>
      </c>
      <c r="D3853" s="68">
        <v>1</v>
      </c>
      <c r="E3853" s="30">
        <v>190</v>
      </c>
      <c r="F3853" s="194">
        <f t="shared" si="132"/>
        <v>190</v>
      </c>
      <c r="G3853" s="194" t="s">
        <v>9</v>
      </c>
      <c r="H3853" s="194"/>
      <c r="I3853" s="194" t="s">
        <v>663</v>
      </c>
      <c r="J3853" s="194" t="s">
        <v>392</v>
      </c>
      <c r="K3853" s="194"/>
      <c r="L3853" s="194"/>
    </row>
    <row r="3854" spans="1:12" x14ac:dyDescent="0.25">
      <c r="A3854" s="78">
        <v>46225</v>
      </c>
      <c r="B3854" s="68">
        <v>1</v>
      </c>
      <c r="C3854" s="188" t="s">
        <v>719</v>
      </c>
      <c r="D3854" s="68">
        <v>1</v>
      </c>
      <c r="E3854" s="30">
        <v>45</v>
      </c>
      <c r="F3854" s="194">
        <f t="shared" si="132"/>
        <v>45</v>
      </c>
      <c r="G3854" s="194" t="s">
        <v>9</v>
      </c>
      <c r="H3854" s="194"/>
      <c r="I3854" s="194" t="s">
        <v>663</v>
      </c>
      <c r="J3854" s="194" t="s">
        <v>392</v>
      </c>
      <c r="K3854" s="194"/>
      <c r="L3854" s="194"/>
    </row>
    <row r="3855" spans="1:12" x14ac:dyDescent="0.25">
      <c r="A3855" s="78">
        <v>46225</v>
      </c>
      <c r="B3855" s="68">
        <v>1</v>
      </c>
      <c r="C3855" s="189" t="s">
        <v>680</v>
      </c>
      <c r="D3855" s="68">
        <v>2</v>
      </c>
      <c r="E3855" s="30">
        <v>10</v>
      </c>
      <c r="F3855" s="194">
        <f t="shared" si="132"/>
        <v>20</v>
      </c>
      <c r="G3855" s="194" t="s">
        <v>9</v>
      </c>
      <c r="H3855" s="194"/>
      <c r="I3855" s="194" t="s">
        <v>663</v>
      </c>
      <c r="J3855" s="194" t="s">
        <v>392</v>
      </c>
      <c r="K3855" s="194"/>
      <c r="L3855" s="194"/>
    </row>
    <row r="3856" spans="1:12" ht="30" x14ac:dyDescent="0.25">
      <c r="A3856" s="78">
        <v>46225</v>
      </c>
      <c r="B3856" s="68">
        <v>9</v>
      </c>
      <c r="C3856" s="189" t="s">
        <v>1177</v>
      </c>
      <c r="D3856" s="68">
        <v>0.78</v>
      </c>
      <c r="E3856" s="30">
        <v>45</v>
      </c>
      <c r="F3856" s="194">
        <f t="shared" si="132"/>
        <v>35.1</v>
      </c>
      <c r="G3856" s="194" t="s">
        <v>9</v>
      </c>
      <c r="H3856" s="194"/>
      <c r="I3856" s="194"/>
      <c r="J3856" s="194" t="s">
        <v>392</v>
      </c>
      <c r="K3856" s="194"/>
      <c r="L3856" s="194"/>
    </row>
    <row r="3857" spans="1:12" x14ac:dyDescent="0.25">
      <c r="A3857" s="78">
        <v>46225</v>
      </c>
      <c r="B3857" s="68">
        <v>9</v>
      </c>
      <c r="C3857" s="189" t="s">
        <v>1131</v>
      </c>
      <c r="D3857" s="68">
        <v>1</v>
      </c>
      <c r="E3857" s="30">
        <v>5</v>
      </c>
      <c r="F3857" s="194">
        <f t="shared" si="132"/>
        <v>5</v>
      </c>
      <c r="G3857" s="194" t="s">
        <v>9</v>
      </c>
      <c r="H3857" s="194"/>
      <c r="I3857" s="194"/>
      <c r="J3857" s="194" t="s">
        <v>392</v>
      </c>
      <c r="K3857" s="194"/>
      <c r="L3857" s="194"/>
    </row>
    <row r="3858" spans="1:12" x14ac:dyDescent="0.25">
      <c r="A3858" s="78">
        <v>46225</v>
      </c>
      <c r="B3858" s="68">
        <v>10</v>
      </c>
      <c r="C3858" s="188" t="s">
        <v>903</v>
      </c>
      <c r="D3858" s="68">
        <v>0.1</v>
      </c>
      <c r="E3858" s="30">
        <v>200</v>
      </c>
      <c r="F3858" s="194">
        <f t="shared" si="132"/>
        <v>20</v>
      </c>
      <c r="G3858" s="194" t="s">
        <v>9</v>
      </c>
      <c r="H3858" s="194"/>
      <c r="I3858" s="194"/>
      <c r="J3858" s="194" t="s">
        <v>392</v>
      </c>
      <c r="K3858" s="194"/>
      <c r="L3858" s="194"/>
    </row>
    <row r="3859" spans="1:12" x14ac:dyDescent="0.25">
      <c r="A3859" s="78">
        <v>46225</v>
      </c>
      <c r="B3859" s="68">
        <v>11</v>
      </c>
      <c r="C3859" s="189" t="s">
        <v>115</v>
      </c>
      <c r="D3859" s="68">
        <v>1</v>
      </c>
      <c r="E3859" s="30">
        <v>10</v>
      </c>
      <c r="F3859" s="194">
        <f t="shared" si="132"/>
        <v>10</v>
      </c>
      <c r="G3859" s="194" t="s">
        <v>9</v>
      </c>
      <c r="H3859" s="194"/>
      <c r="I3859" s="194"/>
      <c r="J3859" s="194" t="s">
        <v>392</v>
      </c>
      <c r="K3859" s="194"/>
      <c r="L3859" s="194"/>
    </row>
    <row r="3860" spans="1:12" x14ac:dyDescent="0.25">
      <c r="A3860" s="78">
        <v>46225</v>
      </c>
      <c r="B3860" s="68">
        <v>11</v>
      </c>
      <c r="C3860" s="189" t="s">
        <v>390</v>
      </c>
      <c r="D3860" s="68">
        <v>1</v>
      </c>
      <c r="E3860" s="30">
        <v>5</v>
      </c>
      <c r="F3860" s="194">
        <f t="shared" si="132"/>
        <v>5</v>
      </c>
      <c r="G3860" s="194" t="s">
        <v>9</v>
      </c>
      <c r="H3860" s="194"/>
      <c r="I3860" s="194"/>
      <c r="J3860" s="194" t="s">
        <v>392</v>
      </c>
      <c r="K3860" s="194"/>
      <c r="L3860" s="194"/>
    </row>
    <row r="3861" spans="1:12" x14ac:dyDescent="0.25">
      <c r="A3861" s="78">
        <v>46225</v>
      </c>
      <c r="B3861" s="68">
        <v>12</v>
      </c>
      <c r="C3861" s="188" t="s">
        <v>902</v>
      </c>
      <c r="D3861" s="68">
        <v>0.23</v>
      </c>
      <c r="E3861" s="30">
        <v>45</v>
      </c>
      <c r="F3861" s="194">
        <f t="shared" si="132"/>
        <v>10.35</v>
      </c>
      <c r="G3861" s="194" t="s">
        <v>9</v>
      </c>
      <c r="H3861" s="194"/>
      <c r="I3861" s="194"/>
      <c r="J3861" s="194" t="s">
        <v>392</v>
      </c>
      <c r="K3861" s="194"/>
      <c r="L3861" s="194"/>
    </row>
    <row r="3862" spans="1:12" x14ac:dyDescent="0.25">
      <c r="A3862" s="78">
        <v>46225</v>
      </c>
      <c r="B3862" s="68">
        <v>12</v>
      </c>
      <c r="C3862" s="189" t="s">
        <v>684</v>
      </c>
      <c r="D3862" s="68">
        <v>1</v>
      </c>
      <c r="E3862" s="30">
        <v>10</v>
      </c>
      <c r="F3862" s="194">
        <f t="shared" si="132"/>
        <v>10</v>
      </c>
      <c r="G3862" s="194" t="s">
        <v>9</v>
      </c>
      <c r="H3862" s="194"/>
      <c r="I3862" s="194"/>
      <c r="J3862" s="194" t="s">
        <v>392</v>
      </c>
      <c r="K3862" s="194"/>
      <c r="L3862" s="194"/>
    </row>
    <row r="3863" spans="1:12" x14ac:dyDescent="0.25">
      <c r="A3863" s="78">
        <v>46225</v>
      </c>
      <c r="B3863" s="68">
        <v>12</v>
      </c>
      <c r="C3863" s="188" t="s">
        <v>389</v>
      </c>
      <c r="D3863" s="68">
        <v>2</v>
      </c>
      <c r="E3863" s="30">
        <v>10</v>
      </c>
      <c r="F3863" s="194">
        <f t="shared" si="132"/>
        <v>20</v>
      </c>
      <c r="G3863" s="194" t="s">
        <v>9</v>
      </c>
      <c r="H3863" s="194"/>
      <c r="I3863" s="194"/>
      <c r="J3863" s="194" t="s">
        <v>392</v>
      </c>
      <c r="K3863" s="194"/>
      <c r="L3863" s="194"/>
    </row>
    <row r="3864" spans="1:12" x14ac:dyDescent="0.25">
      <c r="A3864" s="78">
        <v>46225</v>
      </c>
      <c r="B3864" s="68">
        <v>13</v>
      </c>
      <c r="C3864" s="189" t="s">
        <v>807</v>
      </c>
      <c r="D3864" s="68">
        <v>0.27</v>
      </c>
      <c r="E3864" s="30">
        <v>70</v>
      </c>
      <c r="F3864" s="194">
        <f t="shared" si="132"/>
        <v>18.900000000000002</v>
      </c>
      <c r="G3864" s="194" t="s">
        <v>9</v>
      </c>
      <c r="H3864" s="194"/>
      <c r="I3864" s="194"/>
      <c r="J3864" s="194" t="s">
        <v>392</v>
      </c>
      <c r="K3864" s="194"/>
      <c r="L3864" s="194"/>
    </row>
    <row r="3865" spans="1:12" x14ac:dyDescent="0.25">
      <c r="A3865" s="78">
        <v>46225</v>
      </c>
      <c r="B3865" s="68">
        <v>13</v>
      </c>
      <c r="C3865" s="189" t="s">
        <v>891</v>
      </c>
      <c r="D3865" s="68">
        <v>2</v>
      </c>
      <c r="E3865" s="30">
        <v>1</v>
      </c>
      <c r="F3865" s="194">
        <f t="shared" si="132"/>
        <v>2</v>
      </c>
      <c r="G3865" s="194" t="s">
        <v>9</v>
      </c>
      <c r="H3865" s="194"/>
      <c r="I3865" s="194"/>
      <c r="J3865" s="194" t="s">
        <v>392</v>
      </c>
      <c r="K3865" s="194"/>
      <c r="L3865" s="194"/>
    </row>
    <row r="3866" spans="1:12" x14ac:dyDescent="0.25">
      <c r="A3866" s="78">
        <v>46225</v>
      </c>
      <c r="B3866" s="68">
        <v>13</v>
      </c>
      <c r="C3866" s="189" t="s">
        <v>1059</v>
      </c>
      <c r="D3866" s="68">
        <v>1</v>
      </c>
      <c r="E3866" s="30">
        <v>10</v>
      </c>
      <c r="F3866" s="194">
        <f t="shared" si="132"/>
        <v>10</v>
      </c>
      <c r="G3866" s="194" t="s">
        <v>9</v>
      </c>
      <c r="H3866" s="194"/>
      <c r="I3866" s="194"/>
      <c r="J3866" s="194" t="s">
        <v>392</v>
      </c>
      <c r="K3866" s="194"/>
      <c r="L3866" s="194"/>
    </row>
    <row r="3867" spans="1:12" s="62" customFormat="1" ht="15" customHeight="1" x14ac:dyDescent="0.25">
      <c r="A3867" s="151">
        <v>46225</v>
      </c>
      <c r="B3867" s="139"/>
      <c r="C3867" s="150"/>
      <c r="F3867" s="195"/>
      <c r="H3867" s="139"/>
      <c r="I3867" s="139">
        <f>SUMIF(G3826:G3867, "&lt;&gt;UPI",F3826:F3867)</f>
        <v>1286.4499999999998</v>
      </c>
    </row>
    <row r="3868" spans="1:12" s="170" customFormat="1" ht="18.75" x14ac:dyDescent="0.3">
      <c r="A3868" s="79">
        <v>46259</v>
      </c>
      <c r="B3868" s="147" t="s">
        <v>987</v>
      </c>
      <c r="C3868" s="169">
        <f>MAX(B3826:B3867)</f>
        <v>13</v>
      </c>
      <c r="D3868" s="147" t="s">
        <v>988</v>
      </c>
      <c r="E3868" s="170">
        <f>SUMIF(G3826:G3867,"UPI",F3826:F3867)</f>
        <v>0</v>
      </c>
      <c r="F3868" s="230" t="s">
        <v>437</v>
      </c>
      <c r="G3868" s="230"/>
      <c r="H3868" s="230"/>
      <c r="I3868" s="231">
        <f>SUM(F3826:F3867)</f>
        <v>1286.4499999999998</v>
      </c>
      <c r="J3868" s="231"/>
      <c r="K3868" s="231"/>
      <c r="L3868" s="231"/>
    </row>
    <row r="3869" spans="1:12" x14ac:dyDescent="0.25">
      <c r="A3869" s="78">
        <v>46228</v>
      </c>
      <c r="B3869" s="68">
        <v>1</v>
      </c>
      <c r="C3869" s="189" t="s">
        <v>915</v>
      </c>
      <c r="D3869" s="68">
        <v>13</v>
      </c>
      <c r="E3869" s="30">
        <v>10</v>
      </c>
      <c r="F3869" s="194">
        <f>E3869*D3869</f>
        <v>130</v>
      </c>
      <c r="G3869" s="194" t="s">
        <v>9</v>
      </c>
      <c r="H3869" s="194"/>
      <c r="I3869" s="194"/>
      <c r="J3869" s="194" t="s">
        <v>392</v>
      </c>
      <c r="K3869" s="194"/>
      <c r="L3869" s="194"/>
    </row>
    <row r="3870" spans="1:12" x14ac:dyDescent="0.25">
      <c r="A3870" s="78">
        <v>46228</v>
      </c>
      <c r="B3870" s="68">
        <v>2</v>
      </c>
      <c r="C3870" s="189" t="s">
        <v>847</v>
      </c>
      <c r="D3870" s="68">
        <v>1</v>
      </c>
      <c r="E3870" s="30">
        <v>80</v>
      </c>
      <c r="F3870" s="194">
        <f t="shared" ref="F3870:F3896" si="133">E3870*D3870</f>
        <v>80</v>
      </c>
      <c r="G3870" s="194" t="s">
        <v>10</v>
      </c>
      <c r="H3870" s="194"/>
      <c r="I3870" s="194"/>
      <c r="J3870" s="194" t="s">
        <v>392</v>
      </c>
      <c r="K3870" s="194"/>
      <c r="L3870" s="194"/>
    </row>
    <row r="3871" spans="1:12" x14ac:dyDescent="0.25">
      <c r="A3871" s="78">
        <v>46228</v>
      </c>
      <c r="B3871" s="68">
        <v>3</v>
      </c>
      <c r="C3871" s="189" t="s">
        <v>666</v>
      </c>
      <c r="D3871" s="68">
        <v>2</v>
      </c>
      <c r="E3871" s="30">
        <v>10</v>
      </c>
      <c r="F3871" s="194">
        <f t="shared" si="133"/>
        <v>20</v>
      </c>
      <c r="G3871" s="194" t="s">
        <v>9</v>
      </c>
      <c r="H3871" s="194"/>
      <c r="I3871" s="194"/>
      <c r="J3871" s="194" t="s">
        <v>392</v>
      </c>
      <c r="K3871" s="194"/>
      <c r="L3871" s="194"/>
    </row>
    <row r="3872" spans="1:12" ht="30" x14ac:dyDescent="0.25">
      <c r="A3872" s="78">
        <v>46228</v>
      </c>
      <c r="B3872" s="68">
        <v>3</v>
      </c>
      <c r="C3872" s="189" t="s">
        <v>577</v>
      </c>
      <c r="D3872" s="68">
        <v>2</v>
      </c>
      <c r="E3872" s="30">
        <v>5</v>
      </c>
      <c r="F3872" s="194">
        <f t="shared" si="133"/>
        <v>10</v>
      </c>
      <c r="G3872" s="194" t="s">
        <v>9</v>
      </c>
      <c r="H3872" s="194"/>
      <c r="I3872" s="194"/>
      <c r="J3872" s="194" t="s">
        <v>392</v>
      </c>
      <c r="K3872" s="194"/>
      <c r="L3872" s="194"/>
    </row>
    <row r="3873" spans="1:12" x14ac:dyDescent="0.25">
      <c r="A3873" s="78">
        <v>46228</v>
      </c>
      <c r="B3873" s="68">
        <v>4</v>
      </c>
      <c r="C3873" s="189" t="s">
        <v>947</v>
      </c>
      <c r="D3873" s="68">
        <v>1</v>
      </c>
      <c r="E3873" s="30">
        <v>20</v>
      </c>
      <c r="F3873" s="194">
        <f t="shared" si="133"/>
        <v>20</v>
      </c>
      <c r="G3873" s="194" t="s">
        <v>10</v>
      </c>
      <c r="H3873" s="194"/>
      <c r="I3873" s="194"/>
      <c r="J3873" s="194" t="s">
        <v>392</v>
      </c>
      <c r="K3873" s="194"/>
      <c r="L3873" s="194"/>
    </row>
    <row r="3874" spans="1:12" x14ac:dyDescent="0.25">
      <c r="A3874" s="78">
        <v>46228</v>
      </c>
      <c r="B3874" s="68">
        <v>4</v>
      </c>
      <c r="C3874" s="188" t="s">
        <v>556</v>
      </c>
      <c r="D3874" s="68">
        <v>2</v>
      </c>
      <c r="E3874" s="30">
        <v>10</v>
      </c>
      <c r="F3874" s="194">
        <f t="shared" si="133"/>
        <v>20</v>
      </c>
      <c r="G3874" s="194" t="s">
        <v>9</v>
      </c>
      <c r="H3874" s="194"/>
      <c r="I3874" s="194"/>
      <c r="J3874" s="194" t="s">
        <v>392</v>
      </c>
      <c r="K3874" s="194"/>
      <c r="L3874" s="194"/>
    </row>
    <row r="3875" spans="1:12" x14ac:dyDescent="0.25">
      <c r="A3875" s="78">
        <v>46228</v>
      </c>
      <c r="B3875" s="68">
        <v>5</v>
      </c>
      <c r="C3875" s="189" t="s">
        <v>1163</v>
      </c>
      <c r="D3875" s="68">
        <v>2</v>
      </c>
      <c r="E3875" s="30">
        <v>10</v>
      </c>
      <c r="F3875" s="194">
        <f t="shared" si="133"/>
        <v>20</v>
      </c>
      <c r="G3875" s="194" t="s">
        <v>9</v>
      </c>
      <c r="H3875" s="194"/>
      <c r="I3875" s="194"/>
      <c r="J3875" s="194" t="s">
        <v>392</v>
      </c>
      <c r="K3875" s="194"/>
      <c r="L3875" s="194"/>
    </row>
    <row r="3876" spans="1:12" ht="30" x14ac:dyDescent="0.25">
      <c r="A3876" s="78">
        <v>46228</v>
      </c>
      <c r="B3876" s="68">
        <v>6</v>
      </c>
      <c r="C3876" s="189" t="s">
        <v>977</v>
      </c>
      <c r="D3876" s="68">
        <v>2</v>
      </c>
      <c r="E3876" s="30">
        <v>10</v>
      </c>
      <c r="F3876" s="194">
        <f t="shared" si="133"/>
        <v>20</v>
      </c>
      <c r="G3876" s="194" t="s">
        <v>10</v>
      </c>
      <c r="H3876" s="194"/>
      <c r="I3876" s="194"/>
      <c r="J3876" s="194" t="s">
        <v>392</v>
      </c>
      <c r="K3876" s="194"/>
      <c r="L3876" s="194"/>
    </row>
    <row r="3877" spans="1:12" x14ac:dyDescent="0.25">
      <c r="A3877" s="78">
        <v>46228</v>
      </c>
      <c r="B3877" s="68">
        <v>7</v>
      </c>
      <c r="C3877" s="189" t="s">
        <v>93</v>
      </c>
      <c r="D3877" s="68">
        <v>1</v>
      </c>
      <c r="E3877" s="30">
        <v>35</v>
      </c>
      <c r="F3877" s="194">
        <f t="shared" si="133"/>
        <v>35</v>
      </c>
      <c r="G3877" s="194" t="s">
        <v>9</v>
      </c>
      <c r="H3877" s="194"/>
      <c r="I3877" s="194"/>
      <c r="J3877" s="194" t="s">
        <v>392</v>
      </c>
      <c r="K3877" s="194"/>
      <c r="L3877" s="194"/>
    </row>
    <row r="3878" spans="1:12" x14ac:dyDescent="0.25">
      <c r="A3878" s="78">
        <v>46228</v>
      </c>
      <c r="B3878" s="68">
        <v>8</v>
      </c>
      <c r="C3878" s="189" t="s">
        <v>1042</v>
      </c>
      <c r="D3878" s="68">
        <v>0.5</v>
      </c>
      <c r="E3878" s="30">
        <v>60</v>
      </c>
      <c r="F3878" s="194">
        <f t="shared" si="133"/>
        <v>30</v>
      </c>
      <c r="G3878" s="194" t="s">
        <v>9</v>
      </c>
      <c r="H3878" s="194"/>
      <c r="I3878" s="194"/>
      <c r="J3878" s="194" t="s">
        <v>392</v>
      </c>
      <c r="K3878" s="194"/>
      <c r="L3878" s="194"/>
    </row>
    <row r="3879" spans="1:12" x14ac:dyDescent="0.25">
      <c r="A3879" s="78">
        <v>46228</v>
      </c>
      <c r="B3879" s="68">
        <v>8</v>
      </c>
      <c r="C3879" s="189" t="s">
        <v>1210</v>
      </c>
      <c r="D3879" s="68">
        <v>2</v>
      </c>
      <c r="E3879" s="30">
        <v>5</v>
      </c>
      <c r="F3879" s="194">
        <f t="shared" si="133"/>
        <v>10</v>
      </c>
      <c r="G3879" s="194" t="s">
        <v>9</v>
      </c>
      <c r="H3879" s="194"/>
      <c r="I3879" s="194"/>
      <c r="J3879" s="194" t="s">
        <v>392</v>
      </c>
      <c r="K3879" s="194"/>
      <c r="L3879" s="194"/>
    </row>
    <row r="3880" spans="1:12" x14ac:dyDescent="0.25">
      <c r="A3880" s="78">
        <v>46228</v>
      </c>
      <c r="B3880" s="68">
        <v>8</v>
      </c>
      <c r="C3880" s="189" t="s">
        <v>1141</v>
      </c>
      <c r="D3880" s="68">
        <v>1</v>
      </c>
      <c r="E3880" s="30">
        <v>10</v>
      </c>
      <c r="F3880" s="194">
        <f t="shared" si="133"/>
        <v>10</v>
      </c>
      <c r="G3880" s="194" t="s">
        <v>9</v>
      </c>
      <c r="H3880" s="194"/>
      <c r="I3880" s="194"/>
      <c r="J3880" s="194" t="s">
        <v>392</v>
      </c>
      <c r="K3880" s="194"/>
      <c r="L3880" s="194"/>
    </row>
    <row r="3881" spans="1:12" x14ac:dyDescent="0.25">
      <c r="A3881" s="78">
        <v>46228</v>
      </c>
      <c r="B3881" s="68">
        <v>9</v>
      </c>
      <c r="C3881" s="189" t="s">
        <v>652</v>
      </c>
      <c r="D3881" s="68">
        <v>1</v>
      </c>
      <c r="E3881" s="30">
        <v>20</v>
      </c>
      <c r="F3881" s="194">
        <f t="shared" si="133"/>
        <v>20</v>
      </c>
      <c r="G3881" s="194" t="s">
        <v>9</v>
      </c>
      <c r="H3881" s="194"/>
      <c r="I3881" s="194"/>
      <c r="J3881" s="194" t="s">
        <v>392</v>
      </c>
      <c r="K3881" s="194"/>
      <c r="L3881" s="194"/>
    </row>
    <row r="3882" spans="1:12" x14ac:dyDescent="0.25">
      <c r="A3882" s="78">
        <v>46228</v>
      </c>
      <c r="B3882" s="68">
        <v>10</v>
      </c>
      <c r="C3882" s="189" t="s">
        <v>571</v>
      </c>
      <c r="D3882" s="68">
        <v>1</v>
      </c>
      <c r="E3882" s="30">
        <v>20</v>
      </c>
      <c r="F3882" s="194">
        <f t="shared" si="133"/>
        <v>20</v>
      </c>
      <c r="G3882" s="194" t="s">
        <v>9</v>
      </c>
      <c r="H3882" s="194"/>
      <c r="I3882" s="194"/>
      <c r="J3882" s="194" t="s">
        <v>392</v>
      </c>
      <c r="K3882" s="194"/>
      <c r="L3882" s="194"/>
    </row>
    <row r="3883" spans="1:12" x14ac:dyDescent="0.25">
      <c r="A3883" s="78">
        <v>46228</v>
      </c>
      <c r="B3883" s="68">
        <v>11</v>
      </c>
      <c r="C3883" s="189" t="s">
        <v>622</v>
      </c>
      <c r="D3883" s="68">
        <v>1</v>
      </c>
      <c r="E3883" s="30">
        <v>9</v>
      </c>
      <c r="F3883" s="194">
        <f t="shared" si="133"/>
        <v>9</v>
      </c>
      <c r="G3883" s="194" t="s">
        <v>9</v>
      </c>
      <c r="H3883" s="194"/>
      <c r="I3883" s="194"/>
      <c r="J3883" s="194" t="s">
        <v>392</v>
      </c>
      <c r="K3883" s="194"/>
      <c r="L3883" s="194"/>
    </row>
    <row r="3884" spans="1:12" x14ac:dyDescent="0.25">
      <c r="A3884" s="78">
        <v>46228</v>
      </c>
      <c r="B3884" s="68">
        <v>11</v>
      </c>
      <c r="C3884" s="189" t="s">
        <v>855</v>
      </c>
      <c r="D3884" s="68">
        <v>1</v>
      </c>
      <c r="E3884" s="30">
        <v>10</v>
      </c>
      <c r="F3884" s="194">
        <f t="shared" si="133"/>
        <v>10</v>
      </c>
      <c r="G3884" s="194" t="s">
        <v>9</v>
      </c>
      <c r="H3884" s="194"/>
      <c r="I3884" s="194"/>
      <c r="J3884" s="194" t="s">
        <v>392</v>
      </c>
      <c r="K3884" s="194"/>
      <c r="L3884" s="194"/>
    </row>
    <row r="3885" spans="1:12" x14ac:dyDescent="0.25">
      <c r="A3885" s="78">
        <v>46228</v>
      </c>
      <c r="B3885" s="68">
        <v>11</v>
      </c>
      <c r="C3885" s="189" t="s">
        <v>784</v>
      </c>
      <c r="D3885" s="68">
        <v>1</v>
      </c>
      <c r="E3885" s="30">
        <v>1</v>
      </c>
      <c r="F3885" s="194">
        <f t="shared" si="133"/>
        <v>1</v>
      </c>
      <c r="G3885" s="194" t="s">
        <v>9</v>
      </c>
      <c r="H3885" s="194"/>
      <c r="I3885" s="194"/>
      <c r="J3885" s="194" t="s">
        <v>392</v>
      </c>
      <c r="K3885" s="194"/>
      <c r="L3885" s="194"/>
    </row>
    <row r="3886" spans="1:12" x14ac:dyDescent="0.25">
      <c r="A3886" s="78">
        <v>46228</v>
      </c>
      <c r="B3886" s="68">
        <v>12</v>
      </c>
      <c r="C3886" s="189" t="s">
        <v>1042</v>
      </c>
      <c r="D3886" s="68">
        <v>0.25</v>
      </c>
      <c r="E3886" s="30">
        <v>60</v>
      </c>
      <c r="F3886" s="194">
        <f t="shared" si="133"/>
        <v>15</v>
      </c>
      <c r="G3886" s="194" t="s">
        <v>9</v>
      </c>
      <c r="H3886" s="194"/>
      <c r="I3886" s="194"/>
      <c r="J3886" s="194" t="s">
        <v>392</v>
      </c>
      <c r="K3886" s="194"/>
      <c r="L3886" s="194"/>
    </row>
    <row r="3887" spans="1:12" x14ac:dyDescent="0.25">
      <c r="A3887" s="78">
        <v>46228</v>
      </c>
      <c r="B3887" s="68">
        <v>13</v>
      </c>
      <c r="C3887" s="189" t="s">
        <v>1141</v>
      </c>
      <c r="D3887" s="68">
        <v>1</v>
      </c>
      <c r="E3887" s="30">
        <v>10</v>
      </c>
      <c r="F3887" s="194">
        <f t="shared" si="133"/>
        <v>10</v>
      </c>
      <c r="G3887" s="194" t="s">
        <v>9</v>
      </c>
      <c r="H3887" s="194"/>
      <c r="I3887" s="194"/>
      <c r="J3887" s="194" t="s">
        <v>392</v>
      </c>
      <c r="K3887" s="194"/>
      <c r="L3887" s="194"/>
    </row>
    <row r="3888" spans="1:12" ht="30" x14ac:dyDescent="0.25">
      <c r="A3888" s="78">
        <v>46228</v>
      </c>
      <c r="B3888" s="68">
        <v>14</v>
      </c>
      <c r="C3888" s="189" t="s">
        <v>689</v>
      </c>
      <c r="D3888" s="68">
        <v>1</v>
      </c>
      <c r="E3888" s="30">
        <v>158</v>
      </c>
      <c r="F3888" s="194">
        <f t="shared" si="133"/>
        <v>158</v>
      </c>
      <c r="G3888" s="194" t="s">
        <v>9</v>
      </c>
      <c r="H3888" s="194"/>
      <c r="I3888" s="194"/>
      <c r="J3888" s="194" t="s">
        <v>392</v>
      </c>
      <c r="K3888" s="194"/>
      <c r="L3888" s="194"/>
    </row>
    <row r="3889" spans="1:12" x14ac:dyDescent="0.25">
      <c r="A3889" s="78">
        <v>46228</v>
      </c>
      <c r="B3889" s="68">
        <v>14</v>
      </c>
      <c r="C3889" s="189" t="s">
        <v>1153</v>
      </c>
      <c r="D3889" s="68">
        <v>10</v>
      </c>
      <c r="E3889" s="30">
        <v>10</v>
      </c>
      <c r="F3889" s="194">
        <f t="shared" si="133"/>
        <v>100</v>
      </c>
      <c r="G3889" s="194" t="s">
        <v>9</v>
      </c>
      <c r="H3889" s="194"/>
      <c r="I3889" s="194"/>
      <c r="J3889" s="194" t="s">
        <v>392</v>
      </c>
      <c r="K3889" s="194"/>
      <c r="L3889" s="194"/>
    </row>
    <row r="3890" spans="1:12" x14ac:dyDescent="0.25">
      <c r="A3890" s="78">
        <v>46228</v>
      </c>
      <c r="B3890" s="68">
        <v>14</v>
      </c>
      <c r="C3890" s="189" t="s">
        <v>1162</v>
      </c>
      <c r="D3890" s="68">
        <v>3</v>
      </c>
      <c r="E3890" s="30">
        <v>5</v>
      </c>
      <c r="F3890" s="194">
        <f t="shared" si="133"/>
        <v>15</v>
      </c>
      <c r="G3890" s="194" t="s">
        <v>9</v>
      </c>
      <c r="H3890" s="194"/>
      <c r="I3890" s="194"/>
      <c r="J3890" s="194" t="s">
        <v>392</v>
      </c>
      <c r="K3890" s="194"/>
      <c r="L3890" s="194"/>
    </row>
    <row r="3891" spans="1:12" x14ac:dyDescent="0.25">
      <c r="A3891" s="78">
        <v>46228</v>
      </c>
      <c r="B3891" s="68">
        <v>14</v>
      </c>
      <c r="C3891" s="189" t="s">
        <v>855</v>
      </c>
      <c r="D3891" s="68">
        <v>2</v>
      </c>
      <c r="E3891" s="30">
        <v>10</v>
      </c>
      <c r="F3891" s="194">
        <f t="shared" si="133"/>
        <v>20</v>
      </c>
      <c r="G3891" s="194" t="s">
        <v>9</v>
      </c>
      <c r="H3891" s="194"/>
      <c r="I3891" s="194"/>
      <c r="J3891" s="194" t="s">
        <v>392</v>
      </c>
      <c r="K3891" s="194"/>
      <c r="L3891" s="194"/>
    </row>
    <row r="3892" spans="1:12" x14ac:dyDescent="0.25">
      <c r="A3892" s="78">
        <v>46228</v>
      </c>
      <c r="B3892" s="68">
        <v>15</v>
      </c>
      <c r="C3892" s="189" t="s">
        <v>963</v>
      </c>
      <c r="D3892" s="68">
        <v>1</v>
      </c>
      <c r="E3892" s="30">
        <v>5</v>
      </c>
      <c r="F3892" s="194">
        <f t="shared" si="133"/>
        <v>5</v>
      </c>
      <c r="G3892" s="194" t="s">
        <v>9</v>
      </c>
      <c r="H3892" s="194"/>
      <c r="I3892" s="194"/>
      <c r="J3892" s="194" t="s">
        <v>392</v>
      </c>
      <c r="K3892" s="194"/>
      <c r="L3892" s="194"/>
    </row>
    <row r="3893" spans="1:12" x14ac:dyDescent="0.25">
      <c r="A3893" s="78">
        <v>46228</v>
      </c>
      <c r="B3893" s="68">
        <v>15</v>
      </c>
      <c r="C3893" s="189" t="s">
        <v>962</v>
      </c>
      <c r="D3893" s="68">
        <v>1</v>
      </c>
      <c r="E3893" s="30">
        <v>5</v>
      </c>
      <c r="F3893" s="194">
        <f t="shared" si="133"/>
        <v>5</v>
      </c>
      <c r="G3893" s="194" t="s">
        <v>9</v>
      </c>
      <c r="H3893" s="194"/>
      <c r="I3893" s="194"/>
      <c r="J3893" s="194" t="s">
        <v>392</v>
      </c>
      <c r="K3893" s="194"/>
      <c r="L3893" s="194"/>
    </row>
    <row r="3894" spans="1:12" x14ac:dyDescent="0.25">
      <c r="A3894" s="78">
        <v>46228</v>
      </c>
      <c r="B3894" s="68">
        <v>16</v>
      </c>
      <c r="C3894" s="188" t="s">
        <v>861</v>
      </c>
      <c r="D3894" s="68">
        <v>1</v>
      </c>
      <c r="E3894" s="30">
        <v>25</v>
      </c>
      <c r="F3894" s="194">
        <f t="shared" si="133"/>
        <v>25</v>
      </c>
      <c r="G3894" s="194" t="s">
        <v>9</v>
      </c>
      <c r="H3894" s="194"/>
      <c r="I3894" s="194"/>
      <c r="J3894" s="194" t="s">
        <v>392</v>
      </c>
      <c r="K3894" s="194"/>
      <c r="L3894" s="194"/>
    </row>
    <row r="3895" spans="1:12" x14ac:dyDescent="0.25">
      <c r="A3895" s="78">
        <v>46228</v>
      </c>
      <c r="B3895" s="68">
        <v>17</v>
      </c>
      <c r="C3895" s="189" t="s">
        <v>445</v>
      </c>
      <c r="D3895" s="68">
        <v>1</v>
      </c>
      <c r="E3895" s="30">
        <v>10</v>
      </c>
      <c r="F3895" s="194">
        <f t="shared" si="133"/>
        <v>10</v>
      </c>
      <c r="G3895" s="194" t="s">
        <v>9</v>
      </c>
      <c r="H3895" s="194"/>
      <c r="I3895" s="194"/>
      <c r="J3895" s="194" t="s">
        <v>392</v>
      </c>
      <c r="K3895" s="194"/>
      <c r="L3895" s="194"/>
    </row>
    <row r="3896" spans="1:12" ht="30" x14ac:dyDescent="0.25">
      <c r="A3896" s="78">
        <v>46228</v>
      </c>
      <c r="B3896" s="68">
        <v>17</v>
      </c>
      <c r="C3896" s="189" t="s">
        <v>1102</v>
      </c>
      <c r="D3896" s="68">
        <v>1</v>
      </c>
      <c r="E3896" s="30">
        <v>230</v>
      </c>
      <c r="F3896" s="194">
        <f t="shared" si="133"/>
        <v>230</v>
      </c>
      <c r="G3896" s="194" t="s">
        <v>9</v>
      </c>
      <c r="H3896" s="194"/>
      <c r="I3896" s="194"/>
      <c r="J3896" s="194" t="s">
        <v>392</v>
      </c>
      <c r="K3896" s="194"/>
      <c r="L3896" s="194"/>
    </row>
    <row r="3897" spans="1:12" x14ac:dyDescent="0.25">
      <c r="A3897" s="78">
        <v>46228</v>
      </c>
      <c r="B3897" s="68">
        <v>17</v>
      </c>
      <c r="D3897" s="68"/>
      <c r="F3897" s="194"/>
      <c r="G3897" s="194"/>
      <c r="H3897" s="194"/>
      <c r="I3897" s="194"/>
      <c r="J3897" s="194"/>
      <c r="K3897" s="194"/>
      <c r="L3897" s="194"/>
    </row>
    <row r="3898" spans="1:12" x14ac:dyDescent="0.25">
      <c r="A3898" s="78">
        <v>46228</v>
      </c>
      <c r="B3898" s="68">
        <v>17</v>
      </c>
      <c r="C3898" s="189" t="s">
        <v>1163</v>
      </c>
      <c r="D3898" s="68">
        <v>1</v>
      </c>
      <c r="E3898" s="30">
        <v>10</v>
      </c>
      <c r="F3898" s="194">
        <f>E3898*D3898</f>
        <v>10</v>
      </c>
      <c r="G3898" s="194" t="s">
        <v>9</v>
      </c>
      <c r="H3898" s="194"/>
      <c r="I3898" s="194"/>
      <c r="J3898" s="194" t="s">
        <v>1209</v>
      </c>
      <c r="K3898" s="194"/>
      <c r="L3898" s="194"/>
    </row>
    <row r="3899" spans="1:12" x14ac:dyDescent="0.25">
      <c r="A3899" s="78">
        <v>46228</v>
      </c>
      <c r="B3899" s="68">
        <v>18</v>
      </c>
      <c r="C3899" s="189" t="s">
        <v>1138</v>
      </c>
      <c r="D3899" s="68">
        <v>2</v>
      </c>
      <c r="E3899" s="30">
        <v>5</v>
      </c>
      <c r="F3899" s="194">
        <f t="shared" ref="F3899:F3906" si="134">E3899*D3899</f>
        <v>10</v>
      </c>
      <c r="G3899" s="194" t="s">
        <v>9</v>
      </c>
      <c r="H3899" s="194"/>
      <c r="I3899" s="194"/>
      <c r="J3899" s="194" t="s">
        <v>1209</v>
      </c>
      <c r="K3899" s="194"/>
      <c r="L3899" s="194"/>
    </row>
    <row r="3900" spans="1:12" x14ac:dyDescent="0.25">
      <c r="A3900" s="78">
        <v>46228</v>
      </c>
      <c r="B3900" s="68">
        <v>19</v>
      </c>
      <c r="C3900" s="189" t="s">
        <v>720</v>
      </c>
      <c r="D3900" s="68">
        <v>0.255</v>
      </c>
      <c r="E3900" s="30">
        <v>135</v>
      </c>
      <c r="F3900" s="194">
        <f t="shared" si="134"/>
        <v>34.424999999999997</v>
      </c>
      <c r="G3900" s="194" t="s">
        <v>9</v>
      </c>
      <c r="H3900" s="194"/>
      <c r="I3900" s="194"/>
      <c r="J3900" s="194" t="s">
        <v>1209</v>
      </c>
      <c r="K3900" s="194"/>
      <c r="L3900" s="194"/>
    </row>
    <row r="3901" spans="1:12" x14ac:dyDescent="0.25">
      <c r="A3901" s="78">
        <v>46228</v>
      </c>
      <c r="B3901" s="68">
        <v>20</v>
      </c>
      <c r="C3901" s="189" t="s">
        <v>624</v>
      </c>
      <c r="D3901" s="68">
        <v>1</v>
      </c>
      <c r="E3901" s="30">
        <v>20</v>
      </c>
      <c r="F3901" s="194">
        <f t="shared" si="134"/>
        <v>20</v>
      </c>
      <c r="G3901" s="194" t="s">
        <v>9</v>
      </c>
      <c r="H3901" s="194"/>
      <c r="I3901" s="194"/>
      <c r="J3901" s="194" t="s">
        <v>1209</v>
      </c>
      <c r="K3901" s="194"/>
      <c r="L3901" s="194"/>
    </row>
    <row r="3902" spans="1:12" x14ac:dyDescent="0.25">
      <c r="A3902" s="78">
        <v>46228</v>
      </c>
      <c r="B3902" s="68">
        <v>21</v>
      </c>
      <c r="C3902" s="189" t="s">
        <v>1163</v>
      </c>
      <c r="D3902" s="68">
        <v>1</v>
      </c>
      <c r="E3902" s="30">
        <v>10</v>
      </c>
      <c r="F3902" s="194">
        <f t="shared" si="134"/>
        <v>10</v>
      </c>
      <c r="G3902" s="194" t="s">
        <v>9</v>
      </c>
      <c r="H3902" s="194"/>
      <c r="I3902" s="194"/>
      <c r="J3902" s="194" t="s">
        <v>1209</v>
      </c>
      <c r="K3902" s="194"/>
      <c r="L3902" s="194"/>
    </row>
    <row r="3903" spans="1:12" x14ac:dyDescent="0.25">
      <c r="A3903" s="78">
        <v>46228</v>
      </c>
      <c r="B3903" s="68">
        <v>21</v>
      </c>
      <c r="C3903" s="189" t="s">
        <v>859</v>
      </c>
      <c r="D3903" s="68">
        <v>1</v>
      </c>
      <c r="E3903" s="30">
        <v>10</v>
      </c>
      <c r="F3903" s="194">
        <f t="shared" si="134"/>
        <v>10</v>
      </c>
      <c r="G3903" s="194" t="s">
        <v>9</v>
      </c>
      <c r="H3903" s="194"/>
      <c r="I3903" s="194"/>
      <c r="J3903" s="194" t="s">
        <v>1209</v>
      </c>
      <c r="K3903" s="194"/>
      <c r="L3903" s="194"/>
    </row>
    <row r="3904" spans="1:12" x14ac:dyDescent="0.25">
      <c r="A3904" s="78">
        <v>46228</v>
      </c>
      <c r="B3904" s="68">
        <v>22</v>
      </c>
      <c r="C3904" s="189" t="s">
        <v>947</v>
      </c>
      <c r="D3904" s="68">
        <v>1</v>
      </c>
      <c r="E3904" s="30">
        <v>20</v>
      </c>
      <c r="F3904" s="194">
        <f t="shared" si="134"/>
        <v>20</v>
      </c>
      <c r="G3904" s="194" t="s">
        <v>9</v>
      </c>
      <c r="H3904" s="194"/>
      <c r="I3904" s="194"/>
      <c r="J3904" s="194" t="s">
        <v>1209</v>
      </c>
      <c r="K3904" s="194"/>
      <c r="L3904" s="194"/>
    </row>
    <row r="3905" spans="1:12" x14ac:dyDescent="0.25">
      <c r="A3905" s="78">
        <v>46228</v>
      </c>
      <c r="B3905" s="68">
        <v>22</v>
      </c>
      <c r="C3905" s="189" t="s">
        <v>549</v>
      </c>
      <c r="D3905" s="68">
        <v>1</v>
      </c>
      <c r="E3905" s="30">
        <v>25</v>
      </c>
      <c r="F3905" s="194">
        <f t="shared" si="134"/>
        <v>25</v>
      </c>
      <c r="G3905" s="194" t="s">
        <v>9</v>
      </c>
      <c r="H3905" s="194"/>
      <c r="I3905" s="194"/>
      <c r="J3905" s="194" t="s">
        <v>1209</v>
      </c>
      <c r="K3905" s="194"/>
      <c r="L3905" s="194"/>
    </row>
    <row r="3906" spans="1:12" x14ac:dyDescent="0.25">
      <c r="A3906" s="78">
        <v>46228</v>
      </c>
      <c r="B3906" s="68">
        <v>22</v>
      </c>
      <c r="C3906" s="189" t="s">
        <v>1139</v>
      </c>
      <c r="D3906" s="68">
        <v>1</v>
      </c>
      <c r="E3906" s="30">
        <v>5</v>
      </c>
      <c r="F3906" s="194">
        <f t="shared" si="134"/>
        <v>5</v>
      </c>
      <c r="G3906" s="194" t="s">
        <v>9</v>
      </c>
      <c r="H3906" s="194"/>
      <c r="I3906" s="194"/>
      <c r="J3906" s="194" t="s">
        <v>392</v>
      </c>
      <c r="K3906" s="194"/>
      <c r="L3906" s="194"/>
    </row>
    <row r="3907" spans="1:12" s="62" customFormat="1" ht="15" customHeight="1" x14ac:dyDescent="0.25">
      <c r="A3907" s="151">
        <v>46228</v>
      </c>
      <c r="B3907" s="139"/>
      <c r="C3907" s="150"/>
      <c r="F3907" s="195"/>
      <c r="H3907" s="139"/>
      <c r="I3907" s="139">
        <f>SUMIF(G3869:G3907, "&lt;&gt;UPI",F3869:F3907)</f>
        <v>1082.425</v>
      </c>
    </row>
    <row r="3908" spans="1:12" s="170" customFormat="1" ht="18.75" x14ac:dyDescent="0.3">
      <c r="A3908" s="79">
        <v>46259</v>
      </c>
      <c r="B3908" s="147" t="s">
        <v>987</v>
      </c>
      <c r="C3908" s="169">
        <f>MAX(B3869:B3907)</f>
        <v>22</v>
      </c>
      <c r="D3908" s="147" t="s">
        <v>988</v>
      </c>
      <c r="E3908" s="170">
        <f>SUMIF(G3869:G3907,"UPI",F3869:F3907)</f>
        <v>120</v>
      </c>
      <c r="F3908" s="230" t="s">
        <v>437</v>
      </c>
      <c r="G3908" s="230"/>
      <c r="H3908" s="230"/>
      <c r="I3908" s="231">
        <f>SUM(F3869:F3907)</f>
        <v>1202.425</v>
      </c>
      <c r="J3908" s="231"/>
      <c r="K3908" s="231"/>
      <c r="L3908" s="231"/>
    </row>
    <row r="3909" spans="1:12" x14ac:dyDescent="0.25">
      <c r="A3909" s="78">
        <v>46229</v>
      </c>
      <c r="B3909" s="68">
        <v>1</v>
      </c>
      <c r="C3909" s="189" t="s">
        <v>917</v>
      </c>
      <c r="D3909" s="68">
        <v>1</v>
      </c>
      <c r="E3909" s="30">
        <v>70</v>
      </c>
      <c r="F3909" s="194">
        <f>E3909*D3909</f>
        <v>70</v>
      </c>
      <c r="G3909" s="194" t="s">
        <v>9</v>
      </c>
      <c r="H3909" s="194"/>
      <c r="I3909" s="194" t="s">
        <v>663</v>
      </c>
      <c r="J3909" s="194" t="s">
        <v>392</v>
      </c>
      <c r="K3909" s="194"/>
      <c r="L3909" s="194"/>
    </row>
    <row r="3910" spans="1:12" x14ac:dyDescent="0.25">
      <c r="A3910" s="78">
        <v>46229</v>
      </c>
      <c r="B3910" s="68">
        <v>2</v>
      </c>
      <c r="C3910" s="189" t="s">
        <v>615</v>
      </c>
      <c r="D3910" s="68">
        <v>1</v>
      </c>
      <c r="E3910" s="30">
        <v>30</v>
      </c>
      <c r="F3910" s="194">
        <f t="shared" ref="F3910:F4009" si="135">E3910*D3910</f>
        <v>30</v>
      </c>
      <c r="G3910" s="194" t="s">
        <v>9</v>
      </c>
      <c r="H3910" s="194"/>
      <c r="I3910" s="194"/>
      <c r="J3910" s="194" t="s">
        <v>392</v>
      </c>
      <c r="K3910" s="194"/>
      <c r="L3910" s="194"/>
    </row>
    <row r="3911" spans="1:12" ht="30" x14ac:dyDescent="0.25">
      <c r="A3911" s="78">
        <v>46229</v>
      </c>
      <c r="B3911" s="68">
        <v>2</v>
      </c>
      <c r="C3911" s="189" t="s">
        <v>1183</v>
      </c>
      <c r="D3911" s="68">
        <v>1</v>
      </c>
      <c r="E3911" s="30">
        <v>10</v>
      </c>
      <c r="F3911" s="194">
        <f t="shared" si="135"/>
        <v>10</v>
      </c>
      <c r="G3911" s="194" t="s">
        <v>9</v>
      </c>
      <c r="H3911" s="194"/>
      <c r="I3911" s="194"/>
      <c r="J3911" s="194" t="s">
        <v>392</v>
      </c>
      <c r="K3911" s="194"/>
      <c r="L3911" s="194"/>
    </row>
    <row r="3912" spans="1:12" x14ac:dyDescent="0.25">
      <c r="A3912" s="78">
        <v>46229</v>
      </c>
      <c r="B3912" s="68">
        <v>3</v>
      </c>
      <c r="C3912" s="189" t="s">
        <v>768</v>
      </c>
      <c r="D3912" s="68">
        <v>1</v>
      </c>
      <c r="E3912" s="30">
        <v>10</v>
      </c>
      <c r="F3912" s="194">
        <f t="shared" si="135"/>
        <v>10</v>
      </c>
      <c r="G3912" s="194" t="s">
        <v>9</v>
      </c>
      <c r="H3912" s="194"/>
      <c r="I3912" s="194"/>
      <c r="J3912" s="194" t="s">
        <v>392</v>
      </c>
      <c r="K3912" s="194"/>
      <c r="L3912" s="194"/>
    </row>
    <row r="3913" spans="1:12" x14ac:dyDescent="0.25">
      <c r="A3913" s="78">
        <v>46229</v>
      </c>
      <c r="B3913" s="68">
        <v>4</v>
      </c>
      <c r="C3913" s="189" t="s">
        <v>1090</v>
      </c>
      <c r="D3913" s="68">
        <v>2</v>
      </c>
      <c r="E3913" s="30">
        <v>10</v>
      </c>
      <c r="F3913" s="194">
        <f t="shared" si="135"/>
        <v>20</v>
      </c>
      <c r="G3913" s="194" t="s">
        <v>9</v>
      </c>
      <c r="H3913" s="194"/>
      <c r="I3913" s="194"/>
      <c r="J3913" s="194" t="s">
        <v>392</v>
      </c>
      <c r="K3913" s="194"/>
      <c r="L3913" s="194"/>
    </row>
    <row r="3914" spans="1:12" x14ac:dyDescent="0.25">
      <c r="A3914" s="78">
        <v>46229</v>
      </c>
      <c r="B3914" s="68">
        <v>5</v>
      </c>
      <c r="C3914" s="188" t="s">
        <v>862</v>
      </c>
      <c r="D3914" s="68">
        <v>0.45</v>
      </c>
      <c r="E3914" s="30">
        <v>45</v>
      </c>
      <c r="F3914" s="194">
        <f t="shared" si="135"/>
        <v>20.25</v>
      </c>
      <c r="G3914" s="194" t="s">
        <v>9</v>
      </c>
      <c r="H3914" s="194"/>
      <c r="I3914" s="194"/>
      <c r="J3914" s="194" t="s">
        <v>392</v>
      </c>
      <c r="K3914" s="194"/>
      <c r="L3914" s="194"/>
    </row>
    <row r="3915" spans="1:12" x14ac:dyDescent="0.25">
      <c r="A3915" s="78">
        <v>46229</v>
      </c>
      <c r="B3915" s="68">
        <v>5</v>
      </c>
      <c r="C3915" s="188" t="s">
        <v>701</v>
      </c>
      <c r="D3915" s="68">
        <v>4</v>
      </c>
      <c r="E3915" s="30">
        <v>10</v>
      </c>
      <c r="F3915" s="194">
        <f t="shared" si="135"/>
        <v>40</v>
      </c>
      <c r="G3915" s="194" t="s">
        <v>9</v>
      </c>
      <c r="H3915" s="194"/>
      <c r="I3915" s="194"/>
      <c r="J3915" s="194" t="s">
        <v>392</v>
      </c>
      <c r="K3915" s="194"/>
      <c r="L3915" s="194"/>
    </row>
    <row r="3916" spans="1:12" x14ac:dyDescent="0.25">
      <c r="A3916" s="78">
        <v>46229</v>
      </c>
      <c r="B3916" s="68">
        <v>6</v>
      </c>
      <c r="C3916" s="189" t="s">
        <v>348</v>
      </c>
      <c r="D3916" s="68">
        <v>5</v>
      </c>
      <c r="E3916" s="30">
        <v>1</v>
      </c>
      <c r="F3916" s="194">
        <f t="shared" si="135"/>
        <v>5</v>
      </c>
      <c r="G3916" s="194" t="s">
        <v>9</v>
      </c>
      <c r="H3916" s="194"/>
      <c r="I3916" s="194"/>
      <c r="J3916" s="194" t="s">
        <v>392</v>
      </c>
      <c r="K3916" s="194"/>
      <c r="L3916" s="194"/>
    </row>
    <row r="3917" spans="1:12" x14ac:dyDescent="0.25">
      <c r="A3917" s="78">
        <v>46229</v>
      </c>
      <c r="B3917" s="68">
        <v>6</v>
      </c>
      <c r="C3917" s="189" t="s">
        <v>784</v>
      </c>
      <c r="D3917" s="68">
        <v>5</v>
      </c>
      <c r="E3917" s="30">
        <v>1</v>
      </c>
      <c r="F3917" s="194">
        <f t="shared" si="135"/>
        <v>5</v>
      </c>
      <c r="G3917" s="194" t="s">
        <v>9</v>
      </c>
      <c r="H3917" s="194"/>
      <c r="I3917" s="194"/>
      <c r="J3917" s="194" t="s">
        <v>392</v>
      </c>
      <c r="K3917" s="194"/>
      <c r="L3917" s="194"/>
    </row>
    <row r="3918" spans="1:12" x14ac:dyDescent="0.25">
      <c r="A3918" s="78">
        <v>46229</v>
      </c>
      <c r="B3918" s="68">
        <v>7</v>
      </c>
      <c r="C3918" s="189" t="s">
        <v>591</v>
      </c>
      <c r="D3918" s="68">
        <v>0.25</v>
      </c>
      <c r="E3918" s="30">
        <v>200</v>
      </c>
      <c r="F3918" s="194">
        <f t="shared" si="135"/>
        <v>50</v>
      </c>
      <c r="G3918" s="194" t="s">
        <v>10</v>
      </c>
      <c r="H3918" s="194"/>
      <c r="I3918" s="194"/>
      <c r="J3918" s="194" t="s">
        <v>392</v>
      </c>
      <c r="K3918" s="194"/>
      <c r="L3918" s="194"/>
    </row>
    <row r="3919" spans="1:12" x14ac:dyDescent="0.25">
      <c r="A3919" s="78">
        <v>46229</v>
      </c>
      <c r="B3919" s="68">
        <v>7</v>
      </c>
      <c r="C3919" s="189" t="s">
        <v>1043</v>
      </c>
      <c r="D3919" s="68">
        <v>0.5</v>
      </c>
      <c r="E3919" s="30">
        <v>135</v>
      </c>
      <c r="F3919" s="194">
        <f t="shared" si="135"/>
        <v>67.5</v>
      </c>
      <c r="G3919" s="194" t="s">
        <v>9</v>
      </c>
      <c r="H3919" s="194"/>
      <c r="I3919" s="194"/>
      <c r="J3919" s="194" t="s">
        <v>392</v>
      </c>
      <c r="K3919" s="194"/>
      <c r="L3919" s="194"/>
    </row>
    <row r="3920" spans="1:12" ht="30" x14ac:dyDescent="0.25">
      <c r="A3920" s="78">
        <v>46229</v>
      </c>
      <c r="B3920" s="68">
        <v>8</v>
      </c>
      <c r="C3920" s="189" t="s">
        <v>840</v>
      </c>
      <c r="D3920" s="68">
        <v>1</v>
      </c>
      <c r="E3920" s="30">
        <v>50</v>
      </c>
      <c r="F3920" s="194">
        <v>50</v>
      </c>
      <c r="G3920" s="194" t="s">
        <v>10</v>
      </c>
      <c r="H3920" s="194"/>
      <c r="I3920" s="194"/>
      <c r="J3920" s="194" t="s">
        <v>392</v>
      </c>
      <c r="K3920" s="194"/>
      <c r="L3920" s="194"/>
    </row>
    <row r="3921" spans="1:12" x14ac:dyDescent="0.25">
      <c r="A3921" s="78">
        <v>46229</v>
      </c>
      <c r="B3921" s="68">
        <v>9</v>
      </c>
      <c r="C3921" s="189" t="s">
        <v>783</v>
      </c>
      <c r="D3921" s="68">
        <v>1</v>
      </c>
      <c r="E3921" s="30">
        <v>10</v>
      </c>
      <c r="F3921" s="194">
        <f t="shared" si="135"/>
        <v>10</v>
      </c>
      <c r="G3921" s="194" t="s">
        <v>10</v>
      </c>
      <c r="H3921" s="194"/>
      <c r="I3921" s="194"/>
      <c r="J3921" s="194" t="s">
        <v>392</v>
      </c>
      <c r="K3921" s="194"/>
      <c r="L3921" s="194"/>
    </row>
    <row r="3922" spans="1:12" x14ac:dyDescent="0.25">
      <c r="A3922" s="78">
        <v>46229</v>
      </c>
      <c r="B3922" s="68">
        <v>10</v>
      </c>
      <c r="C3922" s="189" t="s">
        <v>759</v>
      </c>
      <c r="D3922" s="68">
        <v>2</v>
      </c>
      <c r="E3922" s="30">
        <v>5</v>
      </c>
      <c r="F3922" s="194">
        <f t="shared" si="135"/>
        <v>10</v>
      </c>
      <c r="G3922" s="194" t="s">
        <v>9</v>
      </c>
      <c r="H3922" s="194"/>
      <c r="I3922" s="194"/>
      <c r="J3922" s="194" t="s">
        <v>392</v>
      </c>
      <c r="K3922" s="194"/>
      <c r="L3922" s="194"/>
    </row>
    <row r="3923" spans="1:12" x14ac:dyDescent="0.25">
      <c r="A3923" s="78">
        <v>46229</v>
      </c>
      <c r="B3923" s="68">
        <v>11</v>
      </c>
      <c r="C3923" s="189" t="s">
        <v>971</v>
      </c>
      <c r="D3923" s="68">
        <v>1</v>
      </c>
      <c r="E3923" s="30">
        <v>10</v>
      </c>
      <c r="F3923" s="194">
        <f t="shared" si="135"/>
        <v>10</v>
      </c>
      <c r="G3923" s="194" t="s">
        <v>9</v>
      </c>
      <c r="H3923" s="194"/>
      <c r="I3923" s="194"/>
      <c r="J3923" s="194" t="s">
        <v>392</v>
      </c>
      <c r="K3923" s="194"/>
      <c r="L3923" s="194"/>
    </row>
    <row r="3924" spans="1:12" x14ac:dyDescent="0.25">
      <c r="A3924" s="78">
        <v>46229</v>
      </c>
      <c r="B3924" s="68">
        <v>12</v>
      </c>
      <c r="C3924" s="189" t="s">
        <v>752</v>
      </c>
      <c r="D3924" s="68">
        <v>1</v>
      </c>
      <c r="E3924" s="30">
        <v>50</v>
      </c>
      <c r="F3924" s="194">
        <f t="shared" si="135"/>
        <v>50</v>
      </c>
      <c r="G3924" s="194" t="s">
        <v>9</v>
      </c>
      <c r="H3924" s="194"/>
      <c r="I3924" s="194"/>
      <c r="J3924" s="194" t="s">
        <v>392</v>
      </c>
      <c r="K3924" s="194"/>
      <c r="L3924" s="194"/>
    </row>
    <row r="3925" spans="1:12" x14ac:dyDescent="0.25">
      <c r="A3925" s="78">
        <v>46229</v>
      </c>
      <c r="B3925" s="68">
        <v>13</v>
      </c>
      <c r="C3925" s="189" t="s">
        <v>40</v>
      </c>
      <c r="D3925" s="68">
        <v>1</v>
      </c>
      <c r="E3925" s="30">
        <v>240</v>
      </c>
      <c r="F3925" s="194">
        <f t="shared" si="135"/>
        <v>240</v>
      </c>
      <c r="G3925" s="194" t="s">
        <v>9</v>
      </c>
      <c r="H3925" s="194"/>
      <c r="I3925" s="194"/>
      <c r="J3925" s="194" t="s">
        <v>392</v>
      </c>
      <c r="K3925" s="194"/>
      <c r="L3925" s="194"/>
    </row>
    <row r="3926" spans="1:12" x14ac:dyDescent="0.25">
      <c r="A3926" s="78">
        <v>46229</v>
      </c>
      <c r="B3926" s="68">
        <v>14</v>
      </c>
      <c r="C3926" s="189" t="s">
        <v>1091</v>
      </c>
      <c r="D3926" s="68">
        <v>1</v>
      </c>
      <c r="E3926" s="30">
        <v>40</v>
      </c>
      <c r="F3926" s="194">
        <f t="shared" si="135"/>
        <v>40</v>
      </c>
      <c r="G3926" s="194" t="s">
        <v>9</v>
      </c>
      <c r="H3926" s="194"/>
      <c r="I3926" s="194"/>
      <c r="J3926" s="194" t="s">
        <v>392</v>
      </c>
      <c r="K3926" s="194"/>
      <c r="L3926" s="194"/>
    </row>
    <row r="3927" spans="1:12" x14ac:dyDescent="0.25">
      <c r="A3927" s="78">
        <v>46229</v>
      </c>
      <c r="B3927" s="68">
        <v>15</v>
      </c>
      <c r="C3927" s="189" t="s">
        <v>1139</v>
      </c>
      <c r="D3927" s="68">
        <v>2</v>
      </c>
      <c r="E3927" s="30">
        <v>5</v>
      </c>
      <c r="F3927" s="194">
        <f t="shared" si="135"/>
        <v>10</v>
      </c>
      <c r="G3927" s="194" t="s">
        <v>9</v>
      </c>
      <c r="H3927" s="194"/>
      <c r="I3927" s="194"/>
      <c r="J3927" s="194" t="s">
        <v>392</v>
      </c>
      <c r="K3927" s="194"/>
      <c r="L3927" s="194"/>
    </row>
    <row r="3928" spans="1:12" x14ac:dyDescent="0.25">
      <c r="A3928" s="78">
        <v>46229</v>
      </c>
      <c r="B3928" s="68">
        <v>16</v>
      </c>
      <c r="C3928" s="188" t="s">
        <v>821</v>
      </c>
      <c r="D3928" s="68">
        <v>1</v>
      </c>
      <c r="E3928" s="30">
        <v>25</v>
      </c>
      <c r="F3928" s="194">
        <f t="shared" si="135"/>
        <v>25</v>
      </c>
      <c r="G3928" s="194" t="s">
        <v>9</v>
      </c>
      <c r="H3928" s="194"/>
      <c r="I3928" s="194"/>
      <c r="J3928" s="194" t="s">
        <v>392</v>
      </c>
      <c r="K3928" s="194"/>
      <c r="L3928" s="194"/>
    </row>
    <row r="3929" spans="1:12" x14ac:dyDescent="0.25">
      <c r="A3929" s="78">
        <v>46229</v>
      </c>
      <c r="B3929" s="68">
        <v>16</v>
      </c>
      <c r="C3929" s="189" t="s">
        <v>1131</v>
      </c>
      <c r="D3929" s="68">
        <v>1</v>
      </c>
      <c r="E3929" s="30">
        <v>5</v>
      </c>
      <c r="F3929" s="194">
        <f t="shared" si="135"/>
        <v>5</v>
      </c>
      <c r="G3929" s="194" t="s">
        <v>9</v>
      </c>
      <c r="H3929" s="194"/>
      <c r="I3929" s="194"/>
      <c r="J3929" s="194" t="s">
        <v>392</v>
      </c>
      <c r="K3929" s="194"/>
      <c r="L3929" s="194"/>
    </row>
    <row r="3930" spans="1:12" x14ac:dyDescent="0.25">
      <c r="A3930" s="78">
        <v>46229</v>
      </c>
      <c r="B3930" s="68">
        <v>16</v>
      </c>
      <c r="C3930" s="189" t="s">
        <v>1048</v>
      </c>
      <c r="D3930" s="68">
        <v>1</v>
      </c>
      <c r="E3930" s="30">
        <v>20</v>
      </c>
      <c r="F3930" s="194">
        <f t="shared" si="135"/>
        <v>20</v>
      </c>
      <c r="G3930" s="194" t="s">
        <v>9</v>
      </c>
      <c r="H3930" s="194"/>
      <c r="I3930" s="194"/>
      <c r="J3930" s="194" t="s">
        <v>392</v>
      </c>
      <c r="K3930" s="194"/>
      <c r="L3930" s="194"/>
    </row>
    <row r="3931" spans="1:12" ht="30" x14ac:dyDescent="0.25">
      <c r="A3931" s="78">
        <v>46229</v>
      </c>
      <c r="B3931" s="68">
        <v>17</v>
      </c>
      <c r="C3931" s="189" t="s">
        <v>1102</v>
      </c>
      <c r="D3931" s="68">
        <v>1</v>
      </c>
      <c r="E3931" s="30">
        <v>190</v>
      </c>
      <c r="F3931" s="194">
        <f t="shared" si="135"/>
        <v>190</v>
      </c>
      <c r="G3931" s="194" t="s">
        <v>9</v>
      </c>
      <c r="H3931" s="194"/>
      <c r="I3931" s="194"/>
      <c r="J3931" s="194" t="s">
        <v>392</v>
      </c>
      <c r="K3931" s="194"/>
      <c r="L3931" s="194"/>
    </row>
    <row r="3932" spans="1:12" x14ac:dyDescent="0.25">
      <c r="A3932" s="78">
        <v>46229</v>
      </c>
      <c r="B3932" s="68">
        <v>18</v>
      </c>
      <c r="C3932" s="189" t="s">
        <v>1062</v>
      </c>
      <c r="D3932" s="68">
        <v>2</v>
      </c>
      <c r="E3932" s="30">
        <v>10</v>
      </c>
      <c r="F3932" s="194">
        <f t="shared" si="135"/>
        <v>20</v>
      </c>
      <c r="G3932" s="194" t="s">
        <v>9</v>
      </c>
      <c r="H3932" s="194"/>
      <c r="I3932" s="194"/>
      <c r="J3932" s="194" t="s">
        <v>392</v>
      </c>
      <c r="K3932" s="194"/>
      <c r="L3932" s="194"/>
    </row>
    <row r="3933" spans="1:12" x14ac:dyDescent="0.25">
      <c r="A3933" s="78">
        <v>46229</v>
      </c>
      <c r="B3933" s="68">
        <v>19</v>
      </c>
      <c r="C3933" s="189" t="s">
        <v>784</v>
      </c>
      <c r="D3933" s="68">
        <v>25</v>
      </c>
      <c r="E3933" s="30">
        <v>1</v>
      </c>
      <c r="F3933" s="194">
        <f t="shared" si="135"/>
        <v>25</v>
      </c>
      <c r="G3933" s="194" t="s">
        <v>9</v>
      </c>
      <c r="H3933" s="194"/>
      <c r="I3933" s="194"/>
      <c r="J3933" s="194" t="s">
        <v>392</v>
      </c>
      <c r="K3933" s="194"/>
      <c r="L3933" s="194"/>
    </row>
    <row r="3934" spans="1:12" x14ac:dyDescent="0.25">
      <c r="A3934" s="78">
        <v>46229</v>
      </c>
      <c r="B3934" s="68">
        <v>19</v>
      </c>
      <c r="C3934" s="189" t="s">
        <v>951</v>
      </c>
      <c r="D3934" s="68">
        <v>25</v>
      </c>
      <c r="E3934" s="30">
        <v>1</v>
      </c>
      <c r="F3934" s="194">
        <f t="shared" si="135"/>
        <v>25</v>
      </c>
      <c r="G3934" s="194" t="s">
        <v>9</v>
      </c>
      <c r="H3934" s="194"/>
      <c r="I3934" s="194"/>
      <c r="J3934" s="194" t="s">
        <v>392</v>
      </c>
      <c r="K3934" s="194"/>
      <c r="L3934" s="194"/>
    </row>
    <row r="3935" spans="1:12" x14ac:dyDescent="0.25">
      <c r="A3935" s="78">
        <v>46229</v>
      </c>
      <c r="B3935" s="68">
        <v>20</v>
      </c>
      <c r="C3935" s="189" t="s">
        <v>666</v>
      </c>
      <c r="D3935" s="68">
        <v>2</v>
      </c>
      <c r="E3935" s="30">
        <v>10</v>
      </c>
      <c r="F3935" s="194">
        <f t="shared" si="135"/>
        <v>20</v>
      </c>
      <c r="G3935" s="194" t="s">
        <v>9</v>
      </c>
      <c r="H3935" s="194"/>
      <c r="I3935" s="194"/>
      <c r="J3935" s="194" t="s">
        <v>392</v>
      </c>
      <c r="K3935" s="194"/>
      <c r="L3935" s="194"/>
    </row>
    <row r="3936" spans="1:12" x14ac:dyDescent="0.25">
      <c r="A3936" s="78">
        <v>46229</v>
      </c>
      <c r="B3936" s="68">
        <v>21</v>
      </c>
      <c r="C3936" s="189" t="s">
        <v>783</v>
      </c>
      <c r="D3936" s="68">
        <v>1</v>
      </c>
      <c r="E3936" s="30">
        <v>10</v>
      </c>
      <c r="F3936" s="194">
        <f t="shared" si="135"/>
        <v>10</v>
      </c>
      <c r="G3936" s="194" t="s">
        <v>9</v>
      </c>
      <c r="H3936" s="194"/>
      <c r="I3936" s="194"/>
      <c r="J3936" s="194" t="s">
        <v>392</v>
      </c>
      <c r="K3936" s="194"/>
      <c r="L3936" s="194"/>
    </row>
    <row r="3937" spans="1:12" x14ac:dyDescent="0.25">
      <c r="A3937" s="78">
        <v>46229</v>
      </c>
      <c r="B3937" s="68">
        <v>22</v>
      </c>
      <c r="C3937" s="189" t="s">
        <v>1210</v>
      </c>
      <c r="D3937" s="68">
        <v>2</v>
      </c>
      <c r="E3937" s="30">
        <v>5</v>
      </c>
      <c r="F3937" s="194">
        <f t="shared" si="135"/>
        <v>10</v>
      </c>
      <c r="G3937" s="194" t="s">
        <v>9</v>
      </c>
      <c r="H3937" s="194"/>
      <c r="I3937" s="194"/>
      <c r="J3937" s="194" t="s">
        <v>392</v>
      </c>
      <c r="K3937" s="194"/>
      <c r="L3937" s="194"/>
    </row>
    <row r="3938" spans="1:12" x14ac:dyDescent="0.25">
      <c r="A3938" s="78">
        <v>46229</v>
      </c>
      <c r="B3938" s="68">
        <v>22</v>
      </c>
      <c r="C3938" s="189" t="s">
        <v>912</v>
      </c>
      <c r="D3938" s="68">
        <v>1</v>
      </c>
      <c r="E3938" s="30">
        <v>10</v>
      </c>
      <c r="F3938" s="194">
        <f t="shared" si="135"/>
        <v>10</v>
      </c>
      <c r="G3938" s="194" t="s">
        <v>9</v>
      </c>
      <c r="H3938" s="194"/>
      <c r="I3938" s="194"/>
      <c r="J3938" s="194" t="s">
        <v>392</v>
      </c>
      <c r="K3938" s="194"/>
      <c r="L3938" s="194"/>
    </row>
    <row r="3939" spans="1:12" x14ac:dyDescent="0.25">
      <c r="A3939" s="78">
        <v>46229</v>
      </c>
      <c r="B3939" s="68">
        <v>23</v>
      </c>
      <c r="C3939" s="189" t="s">
        <v>947</v>
      </c>
      <c r="D3939" s="68">
        <v>1</v>
      </c>
      <c r="E3939" s="30">
        <v>20</v>
      </c>
      <c r="F3939" s="194">
        <f t="shared" si="135"/>
        <v>20</v>
      </c>
      <c r="G3939" s="194" t="s">
        <v>9</v>
      </c>
      <c r="H3939" s="194"/>
      <c r="I3939" s="194"/>
      <c r="J3939" s="194" t="s">
        <v>392</v>
      </c>
      <c r="K3939" s="194"/>
      <c r="L3939" s="194"/>
    </row>
    <row r="3940" spans="1:12" x14ac:dyDescent="0.25">
      <c r="A3940" s="78">
        <v>46229</v>
      </c>
      <c r="B3940" s="68">
        <v>24</v>
      </c>
      <c r="C3940" s="189" t="s">
        <v>1159</v>
      </c>
      <c r="D3940" s="68">
        <v>0.34</v>
      </c>
      <c r="E3940" s="30">
        <v>60</v>
      </c>
      <c r="F3940" s="194">
        <f t="shared" si="135"/>
        <v>20.400000000000002</v>
      </c>
      <c r="G3940" s="194" t="s">
        <v>9</v>
      </c>
      <c r="H3940" s="194"/>
      <c r="I3940" s="194"/>
      <c r="J3940" s="194" t="s">
        <v>392</v>
      </c>
      <c r="K3940" s="194"/>
      <c r="L3940" s="194"/>
    </row>
    <row r="3941" spans="1:12" x14ac:dyDescent="0.25">
      <c r="A3941" s="78">
        <v>46229</v>
      </c>
      <c r="B3941" s="68">
        <v>24</v>
      </c>
      <c r="C3941" s="188" t="s">
        <v>389</v>
      </c>
      <c r="D3941" s="68">
        <v>4</v>
      </c>
      <c r="E3941" s="30">
        <v>10</v>
      </c>
      <c r="F3941" s="194">
        <f t="shared" si="135"/>
        <v>40</v>
      </c>
      <c r="G3941" s="194" t="s">
        <v>9</v>
      </c>
      <c r="H3941" s="194"/>
      <c r="I3941" s="194"/>
      <c r="J3941" s="194" t="s">
        <v>392</v>
      </c>
      <c r="K3941" s="194"/>
      <c r="L3941" s="194"/>
    </row>
    <row r="3942" spans="1:12" x14ac:dyDescent="0.25">
      <c r="A3942" s="78">
        <v>46229</v>
      </c>
      <c r="B3942" s="68">
        <v>24</v>
      </c>
      <c r="C3942" s="189" t="s">
        <v>677</v>
      </c>
      <c r="D3942" s="68">
        <v>2</v>
      </c>
      <c r="E3942" s="30">
        <v>5</v>
      </c>
      <c r="F3942" s="194">
        <f t="shared" si="135"/>
        <v>10</v>
      </c>
      <c r="G3942" s="194" t="s">
        <v>9</v>
      </c>
      <c r="H3942" s="194"/>
      <c r="I3942" s="194"/>
      <c r="J3942" s="194" t="s">
        <v>392</v>
      </c>
      <c r="K3942" s="194"/>
      <c r="L3942" s="194"/>
    </row>
    <row r="3943" spans="1:12" x14ac:dyDescent="0.25">
      <c r="A3943" s="78">
        <v>46229</v>
      </c>
      <c r="B3943" s="68">
        <v>25</v>
      </c>
      <c r="C3943" s="189" t="s">
        <v>666</v>
      </c>
      <c r="D3943" s="68">
        <v>1</v>
      </c>
      <c r="E3943" s="30">
        <v>10</v>
      </c>
      <c r="F3943" s="194">
        <f t="shared" si="135"/>
        <v>10</v>
      </c>
      <c r="G3943" s="194" t="s">
        <v>9</v>
      </c>
      <c r="H3943" s="194"/>
      <c r="I3943" s="194"/>
      <c r="J3943" s="194" t="s">
        <v>392</v>
      </c>
      <c r="K3943" s="194"/>
      <c r="L3943" s="194"/>
    </row>
    <row r="3944" spans="1:12" x14ac:dyDescent="0.25">
      <c r="A3944" s="78">
        <v>46229</v>
      </c>
      <c r="B3944" s="68">
        <v>26</v>
      </c>
      <c r="C3944" s="189" t="s">
        <v>720</v>
      </c>
      <c r="D3944" s="68">
        <v>0.22500000000000001</v>
      </c>
      <c r="E3944" s="30">
        <v>135</v>
      </c>
      <c r="F3944" s="194">
        <f t="shared" si="135"/>
        <v>30.375</v>
      </c>
      <c r="G3944" s="194" t="s">
        <v>9</v>
      </c>
      <c r="H3944" s="194"/>
      <c r="I3944" s="194"/>
      <c r="J3944" s="194" t="s">
        <v>392</v>
      </c>
      <c r="K3944" s="194"/>
      <c r="L3944" s="194"/>
    </row>
    <row r="3945" spans="1:12" x14ac:dyDescent="0.25">
      <c r="A3945" s="78">
        <v>46229</v>
      </c>
      <c r="B3945" s="68">
        <v>26</v>
      </c>
      <c r="C3945" s="189" t="s">
        <v>1150</v>
      </c>
      <c r="D3945" s="68">
        <v>0.22</v>
      </c>
      <c r="E3945" s="30">
        <v>120</v>
      </c>
      <c r="F3945" s="194">
        <f t="shared" si="135"/>
        <v>26.4</v>
      </c>
      <c r="G3945" s="194" t="s">
        <v>9</v>
      </c>
      <c r="H3945" s="194"/>
      <c r="I3945" s="194"/>
      <c r="J3945" s="194" t="s">
        <v>392</v>
      </c>
      <c r="K3945" s="194"/>
      <c r="L3945" s="194"/>
    </row>
    <row r="3946" spans="1:12" x14ac:dyDescent="0.25">
      <c r="A3946" s="78">
        <v>46229</v>
      </c>
      <c r="B3946" s="68">
        <v>26</v>
      </c>
      <c r="C3946" s="33" t="s">
        <v>1217</v>
      </c>
      <c r="D3946" s="68">
        <v>2</v>
      </c>
      <c r="E3946" s="30">
        <v>5</v>
      </c>
      <c r="F3946" s="194">
        <f t="shared" si="135"/>
        <v>10</v>
      </c>
      <c r="G3946" s="194" t="s">
        <v>9</v>
      </c>
      <c r="H3946" s="194"/>
      <c r="I3946" s="194"/>
      <c r="J3946" s="194" t="s">
        <v>392</v>
      </c>
      <c r="K3946" s="194"/>
      <c r="L3946" s="194"/>
    </row>
    <row r="3947" spans="1:12" x14ac:dyDescent="0.25">
      <c r="A3947" s="78">
        <v>46229</v>
      </c>
      <c r="B3947" s="68">
        <v>26</v>
      </c>
      <c r="C3947" s="189" t="s">
        <v>951</v>
      </c>
      <c r="D3947" s="68">
        <v>3</v>
      </c>
      <c r="E3947" s="30">
        <v>1</v>
      </c>
      <c r="F3947" s="194">
        <f t="shared" si="135"/>
        <v>3</v>
      </c>
      <c r="G3947" s="194" t="s">
        <v>9</v>
      </c>
      <c r="H3947" s="194"/>
      <c r="I3947" s="194"/>
      <c r="J3947" s="194" t="s">
        <v>1209</v>
      </c>
      <c r="K3947" s="194"/>
      <c r="L3947" s="194"/>
    </row>
    <row r="3948" spans="1:12" x14ac:dyDescent="0.25">
      <c r="A3948" s="78">
        <v>46229</v>
      </c>
      <c r="B3948" s="68">
        <v>26</v>
      </c>
      <c r="C3948" s="189" t="s">
        <v>785</v>
      </c>
      <c r="D3948" s="68">
        <v>3</v>
      </c>
      <c r="E3948" s="30">
        <v>1</v>
      </c>
      <c r="F3948" s="194">
        <f t="shared" si="135"/>
        <v>3</v>
      </c>
      <c r="G3948" s="194" t="s">
        <v>9</v>
      </c>
      <c r="H3948" s="194"/>
      <c r="I3948" s="194"/>
      <c r="J3948" s="194" t="s">
        <v>1209</v>
      </c>
      <c r="K3948" s="194"/>
      <c r="L3948" s="194"/>
    </row>
    <row r="3949" spans="1:12" x14ac:dyDescent="0.25">
      <c r="A3949" s="78">
        <v>46229</v>
      </c>
      <c r="B3949" s="68">
        <v>27</v>
      </c>
      <c r="C3949" s="189" t="s">
        <v>1090</v>
      </c>
      <c r="D3949" s="68">
        <v>2</v>
      </c>
      <c r="E3949" s="30">
        <v>10</v>
      </c>
      <c r="F3949" s="194">
        <f t="shared" si="135"/>
        <v>20</v>
      </c>
      <c r="G3949" s="194" t="s">
        <v>9</v>
      </c>
      <c r="H3949" s="194"/>
      <c r="I3949" s="194"/>
      <c r="J3949" s="194" t="s">
        <v>1209</v>
      </c>
      <c r="K3949" s="194"/>
      <c r="L3949" s="194"/>
    </row>
    <row r="3950" spans="1:12" x14ac:dyDescent="0.25">
      <c r="A3950" s="78">
        <v>46229</v>
      </c>
      <c r="B3950" s="68">
        <v>27</v>
      </c>
      <c r="C3950" s="189" t="s">
        <v>1136</v>
      </c>
      <c r="D3950" s="68">
        <v>1</v>
      </c>
      <c r="E3950" s="30">
        <v>10</v>
      </c>
      <c r="F3950" s="194">
        <f t="shared" si="135"/>
        <v>10</v>
      </c>
      <c r="G3950" s="194" t="s">
        <v>9</v>
      </c>
      <c r="H3950" s="194"/>
      <c r="I3950" s="194"/>
      <c r="J3950" s="194" t="s">
        <v>1209</v>
      </c>
      <c r="K3950" s="194"/>
      <c r="L3950" s="194"/>
    </row>
    <row r="3951" spans="1:12" x14ac:dyDescent="0.25">
      <c r="A3951" s="78">
        <v>46229</v>
      </c>
      <c r="B3951" s="68">
        <v>27</v>
      </c>
      <c r="C3951" s="189" t="s">
        <v>1141</v>
      </c>
      <c r="D3951" s="68">
        <v>1</v>
      </c>
      <c r="E3951" s="30">
        <v>10</v>
      </c>
      <c r="F3951" s="194">
        <f t="shared" si="135"/>
        <v>10</v>
      </c>
      <c r="G3951" s="194" t="s">
        <v>9</v>
      </c>
      <c r="H3951" s="194"/>
      <c r="I3951" s="194"/>
      <c r="J3951" s="194" t="s">
        <v>1209</v>
      </c>
      <c r="K3951" s="194"/>
      <c r="L3951" s="194"/>
    </row>
    <row r="3952" spans="1:12" x14ac:dyDescent="0.25">
      <c r="A3952" s="78">
        <v>46229</v>
      </c>
      <c r="B3952" s="68">
        <v>27</v>
      </c>
      <c r="C3952" s="189" t="s">
        <v>1063</v>
      </c>
      <c r="D3952" s="68">
        <v>1</v>
      </c>
      <c r="E3952" s="30">
        <v>10</v>
      </c>
      <c r="F3952" s="194">
        <f t="shared" si="135"/>
        <v>10</v>
      </c>
      <c r="G3952" s="194" t="s">
        <v>9</v>
      </c>
      <c r="H3952" s="194"/>
      <c r="I3952" s="194"/>
      <c r="J3952" s="194" t="s">
        <v>1209</v>
      </c>
      <c r="K3952" s="194"/>
      <c r="L3952" s="194"/>
    </row>
    <row r="3953" spans="1:12" s="62" customFormat="1" ht="15" customHeight="1" x14ac:dyDescent="0.25">
      <c r="A3953" s="151">
        <v>46229</v>
      </c>
      <c r="B3953" s="139"/>
      <c r="C3953" s="150"/>
      <c r="F3953" s="195">
        <f t="shared" ref="F3953" si="136">E3953*D3953</f>
        <v>0</v>
      </c>
      <c r="H3953" s="139"/>
      <c r="I3953" s="139">
        <f>SUMIF(G3909:G3953, "&lt;&gt;UPI",F3909:F3953)</f>
        <v>1220.9250000000002</v>
      </c>
    </row>
    <row r="3954" spans="1:12" s="170" customFormat="1" ht="18.75" x14ac:dyDescent="0.3">
      <c r="A3954" s="79">
        <v>46229</v>
      </c>
      <c r="B3954" s="147" t="s">
        <v>987</v>
      </c>
      <c r="C3954" s="169">
        <f>MAX(B3909:B3953)</f>
        <v>27</v>
      </c>
      <c r="D3954" s="147" t="s">
        <v>988</v>
      </c>
      <c r="E3954" s="170">
        <f>SUMIF(G3909:G3953,"UPI",F3909:F3953)</f>
        <v>110</v>
      </c>
      <c r="F3954" s="230" t="s">
        <v>437</v>
      </c>
      <c r="G3954" s="230"/>
      <c r="H3954" s="230"/>
      <c r="I3954" s="231">
        <f>SUM(F3909:F3953)</f>
        <v>1330.9250000000002</v>
      </c>
      <c r="J3954" s="231"/>
      <c r="K3954" s="231"/>
      <c r="L3954" s="231"/>
    </row>
    <row r="3955" spans="1:12" x14ac:dyDescent="0.25">
      <c r="A3955" s="78">
        <v>46231</v>
      </c>
      <c r="B3955" s="68">
        <v>1</v>
      </c>
      <c r="C3955" s="188" t="s">
        <v>808</v>
      </c>
      <c r="D3955" s="68">
        <v>1</v>
      </c>
      <c r="E3955" s="30">
        <v>59</v>
      </c>
      <c r="F3955" s="194">
        <f>E3955*D3955</f>
        <v>59</v>
      </c>
      <c r="G3955" s="194" t="s">
        <v>9</v>
      </c>
      <c r="H3955" s="194"/>
      <c r="I3955" s="194" t="s">
        <v>663</v>
      </c>
      <c r="J3955" s="194" t="s">
        <v>392</v>
      </c>
      <c r="K3955" s="194"/>
      <c r="L3955" s="194"/>
    </row>
    <row r="3956" spans="1:12" x14ac:dyDescent="0.25">
      <c r="A3956" s="78">
        <v>46231</v>
      </c>
      <c r="B3956" s="68">
        <v>1</v>
      </c>
      <c r="C3956" s="33" t="s">
        <v>198</v>
      </c>
      <c r="D3956" s="68">
        <v>5</v>
      </c>
      <c r="E3956" s="30">
        <v>50</v>
      </c>
      <c r="F3956" s="194">
        <f t="shared" ref="F3956:F3987" si="137">E3956*D3956</f>
        <v>250</v>
      </c>
      <c r="G3956" s="194" t="s">
        <v>9</v>
      </c>
      <c r="H3956" s="194"/>
      <c r="I3956" s="194" t="s">
        <v>663</v>
      </c>
      <c r="J3956" s="194" t="s">
        <v>1209</v>
      </c>
      <c r="K3956" s="194"/>
      <c r="L3956" s="194"/>
    </row>
    <row r="3957" spans="1:12" x14ac:dyDescent="0.25">
      <c r="A3957" s="78">
        <v>46231</v>
      </c>
      <c r="B3957" s="68">
        <v>1</v>
      </c>
      <c r="C3957" s="189" t="s">
        <v>1157</v>
      </c>
      <c r="D3957" s="68">
        <v>30</v>
      </c>
      <c r="E3957" s="30">
        <v>9.5</v>
      </c>
      <c r="F3957" s="194">
        <f t="shared" si="137"/>
        <v>285</v>
      </c>
      <c r="G3957" s="194" t="s">
        <v>9</v>
      </c>
      <c r="H3957" s="194"/>
      <c r="I3957" s="194" t="s">
        <v>663</v>
      </c>
      <c r="J3957" s="194" t="s">
        <v>392</v>
      </c>
      <c r="K3957" s="194"/>
      <c r="L3957" s="194"/>
    </row>
    <row r="3958" spans="1:12" x14ac:dyDescent="0.25">
      <c r="A3958" s="78">
        <v>46231</v>
      </c>
      <c r="B3958" s="68">
        <v>1</v>
      </c>
      <c r="C3958" s="33" t="s">
        <v>1210</v>
      </c>
      <c r="D3958" s="68">
        <v>2</v>
      </c>
      <c r="E3958" s="30">
        <v>5</v>
      </c>
      <c r="F3958" s="194">
        <f t="shared" si="137"/>
        <v>10</v>
      </c>
      <c r="G3958" s="194" t="s">
        <v>9</v>
      </c>
      <c r="H3958" s="194"/>
      <c r="I3958" s="194" t="s">
        <v>663</v>
      </c>
      <c r="J3958" s="194" t="s">
        <v>392</v>
      </c>
      <c r="K3958" s="194"/>
      <c r="L3958" s="194"/>
    </row>
    <row r="3959" spans="1:12" x14ac:dyDescent="0.25">
      <c r="A3959" s="78">
        <v>46231</v>
      </c>
      <c r="B3959" s="68">
        <v>2</v>
      </c>
      <c r="C3959" s="189" t="s">
        <v>860</v>
      </c>
      <c r="D3959" s="68">
        <v>4</v>
      </c>
      <c r="E3959" s="30">
        <v>5</v>
      </c>
      <c r="F3959" s="194">
        <f t="shared" si="137"/>
        <v>20</v>
      </c>
      <c r="G3959" s="194" t="s">
        <v>9</v>
      </c>
      <c r="H3959" s="194"/>
      <c r="I3959" s="194"/>
      <c r="J3959" s="194" t="s">
        <v>392</v>
      </c>
      <c r="K3959" s="194"/>
      <c r="L3959" s="194"/>
    </row>
    <row r="3960" spans="1:12" ht="30" x14ac:dyDescent="0.25">
      <c r="A3960" s="78">
        <v>46231</v>
      </c>
      <c r="B3960" s="68">
        <v>1</v>
      </c>
      <c r="C3960" s="189" t="s">
        <v>1177</v>
      </c>
      <c r="D3960" s="68">
        <v>1</v>
      </c>
      <c r="E3960" s="30">
        <v>45</v>
      </c>
      <c r="F3960" s="194">
        <f t="shared" si="137"/>
        <v>45</v>
      </c>
      <c r="G3960" s="194" t="s">
        <v>9</v>
      </c>
      <c r="H3960" s="194"/>
      <c r="I3960" s="194" t="s">
        <v>663</v>
      </c>
      <c r="J3960" s="194" t="s">
        <v>392</v>
      </c>
      <c r="K3960" s="194"/>
      <c r="L3960" s="194"/>
    </row>
    <row r="3961" spans="1:12" x14ac:dyDescent="0.25">
      <c r="A3961" s="78">
        <v>46231</v>
      </c>
      <c r="B3961" s="68">
        <v>1</v>
      </c>
      <c r="C3961" s="189" t="s">
        <v>1027</v>
      </c>
      <c r="D3961" s="68">
        <v>0.18</v>
      </c>
      <c r="E3961" s="30">
        <v>200</v>
      </c>
      <c r="F3961" s="194">
        <f t="shared" si="137"/>
        <v>36</v>
      </c>
      <c r="G3961" s="194" t="s">
        <v>9</v>
      </c>
      <c r="H3961" s="194"/>
      <c r="I3961" s="194" t="s">
        <v>663</v>
      </c>
      <c r="J3961" s="194" t="s">
        <v>392</v>
      </c>
      <c r="K3961" s="194"/>
      <c r="L3961" s="194"/>
    </row>
    <row r="3962" spans="1:12" x14ac:dyDescent="0.25">
      <c r="A3962" s="78">
        <v>46231</v>
      </c>
      <c r="B3962" s="68">
        <v>1</v>
      </c>
      <c r="C3962" s="189" t="s">
        <v>590</v>
      </c>
      <c r="D3962" s="68">
        <v>0.5</v>
      </c>
      <c r="E3962" s="30">
        <v>44</v>
      </c>
      <c r="F3962" s="194">
        <f t="shared" si="137"/>
        <v>22</v>
      </c>
      <c r="G3962" s="194" t="s">
        <v>9</v>
      </c>
      <c r="H3962" s="194"/>
      <c r="I3962" s="194" t="s">
        <v>663</v>
      </c>
      <c r="J3962" s="194" t="s">
        <v>392</v>
      </c>
      <c r="K3962" s="194"/>
      <c r="L3962" s="194"/>
    </row>
    <row r="3963" spans="1:12" x14ac:dyDescent="0.25">
      <c r="A3963" s="78">
        <v>46231</v>
      </c>
      <c r="B3963" s="68">
        <v>1</v>
      </c>
      <c r="C3963" s="189" t="s">
        <v>845</v>
      </c>
      <c r="D3963" s="68">
        <v>0.05</v>
      </c>
      <c r="E3963" s="30">
        <v>420</v>
      </c>
      <c r="F3963" s="194">
        <f t="shared" si="137"/>
        <v>21</v>
      </c>
      <c r="G3963" s="194" t="s">
        <v>9</v>
      </c>
      <c r="H3963" s="194"/>
      <c r="I3963" s="194" t="s">
        <v>663</v>
      </c>
      <c r="J3963" s="194" t="s">
        <v>392</v>
      </c>
      <c r="K3963" s="194"/>
      <c r="L3963" s="194"/>
    </row>
    <row r="3964" spans="1:12" x14ac:dyDescent="0.25">
      <c r="A3964" s="78">
        <v>46231</v>
      </c>
      <c r="B3964" s="68">
        <v>1</v>
      </c>
      <c r="C3964" s="189" t="s">
        <v>948</v>
      </c>
      <c r="D3964" s="68">
        <v>1</v>
      </c>
      <c r="E3964" s="30">
        <v>205</v>
      </c>
      <c r="F3964" s="194">
        <f t="shared" si="137"/>
        <v>205</v>
      </c>
      <c r="G3964" s="194" t="s">
        <v>9</v>
      </c>
      <c r="H3964" s="194"/>
      <c r="I3964" s="194" t="s">
        <v>663</v>
      </c>
      <c r="J3964" s="194" t="s">
        <v>392</v>
      </c>
      <c r="K3964" s="194"/>
      <c r="L3964" s="194"/>
    </row>
    <row r="3965" spans="1:12" ht="30" x14ac:dyDescent="0.25">
      <c r="A3965" s="78">
        <v>46231</v>
      </c>
      <c r="B3965" s="68">
        <v>1</v>
      </c>
      <c r="C3965" s="189" t="s">
        <v>1170</v>
      </c>
      <c r="D3965" s="68">
        <v>1</v>
      </c>
      <c r="E3965" s="30">
        <v>158</v>
      </c>
      <c r="F3965" s="194">
        <f t="shared" si="137"/>
        <v>158</v>
      </c>
      <c r="G3965" s="194" t="s">
        <v>9</v>
      </c>
      <c r="H3965" s="194"/>
      <c r="I3965" s="194" t="s">
        <v>663</v>
      </c>
      <c r="J3965" s="194" t="s">
        <v>392</v>
      </c>
      <c r="K3965" s="194"/>
      <c r="L3965" s="194"/>
    </row>
    <row r="3966" spans="1:12" x14ac:dyDescent="0.25">
      <c r="A3966" s="78">
        <v>46231</v>
      </c>
      <c r="B3966" s="68">
        <v>1</v>
      </c>
      <c r="C3966" s="188" t="s">
        <v>861</v>
      </c>
      <c r="D3966" s="68">
        <v>1</v>
      </c>
      <c r="E3966" s="30">
        <v>25</v>
      </c>
      <c r="F3966" s="194">
        <f t="shared" si="137"/>
        <v>25</v>
      </c>
      <c r="G3966" s="194" t="s">
        <v>9</v>
      </c>
      <c r="H3966" s="194"/>
      <c r="I3966" s="194" t="s">
        <v>663</v>
      </c>
      <c r="J3966" s="194" t="s">
        <v>392</v>
      </c>
      <c r="K3966" s="194"/>
      <c r="L3966" s="194"/>
    </row>
    <row r="3967" spans="1:12" x14ac:dyDescent="0.25">
      <c r="A3967" s="78">
        <v>46231</v>
      </c>
      <c r="B3967" s="68">
        <v>1</v>
      </c>
      <c r="C3967" s="189" t="s">
        <v>523</v>
      </c>
      <c r="D3967" s="68">
        <v>0.2</v>
      </c>
      <c r="E3967" s="30">
        <v>280</v>
      </c>
      <c r="F3967" s="194">
        <f t="shared" si="137"/>
        <v>56</v>
      </c>
      <c r="G3967" s="194" t="s">
        <v>9</v>
      </c>
      <c r="H3967" s="194"/>
      <c r="I3967" s="194" t="s">
        <v>663</v>
      </c>
      <c r="J3967" s="194" t="s">
        <v>392</v>
      </c>
      <c r="K3967" s="194"/>
      <c r="L3967" s="194"/>
    </row>
    <row r="3968" spans="1:12" x14ac:dyDescent="0.25">
      <c r="A3968" s="78">
        <v>46231</v>
      </c>
      <c r="B3968" s="68">
        <v>2</v>
      </c>
      <c r="C3968" s="33" t="s">
        <v>1210</v>
      </c>
      <c r="D3968" s="68">
        <v>3</v>
      </c>
      <c r="E3968" s="30">
        <v>5</v>
      </c>
      <c r="F3968" s="194">
        <f t="shared" si="137"/>
        <v>15</v>
      </c>
      <c r="G3968" s="194" t="s">
        <v>9</v>
      </c>
      <c r="H3968" s="194"/>
      <c r="I3968" s="194"/>
      <c r="J3968" s="194" t="s">
        <v>392</v>
      </c>
      <c r="K3968" s="194"/>
      <c r="L3968" s="194"/>
    </row>
    <row r="3969" spans="1:12" x14ac:dyDescent="0.25">
      <c r="A3969" s="78">
        <v>46231</v>
      </c>
      <c r="B3969" s="68">
        <v>3</v>
      </c>
      <c r="C3969" s="189" t="s">
        <v>375</v>
      </c>
      <c r="D3969" s="68">
        <v>5</v>
      </c>
      <c r="E3969" s="30">
        <v>1</v>
      </c>
      <c r="F3969" s="194">
        <f t="shared" si="137"/>
        <v>5</v>
      </c>
      <c r="G3969" s="194" t="s">
        <v>9</v>
      </c>
      <c r="H3969" s="194"/>
      <c r="I3969" s="194"/>
      <c r="J3969" s="194" t="s">
        <v>392</v>
      </c>
      <c r="K3969" s="194"/>
      <c r="L3969" s="194"/>
    </row>
    <row r="3970" spans="1:12" x14ac:dyDescent="0.25">
      <c r="A3970" s="78">
        <v>46231</v>
      </c>
      <c r="B3970" s="68">
        <v>4</v>
      </c>
      <c r="C3970" s="189" t="s">
        <v>1092</v>
      </c>
      <c r="D3970" s="68">
        <v>1</v>
      </c>
      <c r="E3970" s="30">
        <v>20</v>
      </c>
      <c r="F3970" s="194">
        <f t="shared" si="137"/>
        <v>20</v>
      </c>
      <c r="G3970" s="194" t="s">
        <v>9</v>
      </c>
      <c r="H3970" s="194"/>
      <c r="I3970" s="194"/>
      <c r="J3970" s="194" t="s">
        <v>392</v>
      </c>
      <c r="K3970" s="194"/>
      <c r="L3970" s="194"/>
    </row>
    <row r="3971" spans="1:12" x14ac:dyDescent="0.25">
      <c r="A3971" s="78">
        <v>46231</v>
      </c>
      <c r="B3971" s="68">
        <v>5</v>
      </c>
      <c r="C3971" s="189" t="s">
        <v>807</v>
      </c>
      <c r="D3971" s="68">
        <v>0.14499999999999999</v>
      </c>
      <c r="E3971" s="30">
        <v>70</v>
      </c>
      <c r="F3971" s="194">
        <f t="shared" si="137"/>
        <v>10.149999999999999</v>
      </c>
      <c r="G3971" s="194" t="s">
        <v>9</v>
      </c>
      <c r="H3971" s="194"/>
      <c r="I3971" s="194"/>
      <c r="J3971" s="194" t="s">
        <v>392</v>
      </c>
      <c r="K3971" s="194"/>
      <c r="L3971" s="194"/>
    </row>
    <row r="3972" spans="1:12" x14ac:dyDescent="0.25">
      <c r="A3972" s="78">
        <v>46231</v>
      </c>
      <c r="B3972" s="68">
        <v>6</v>
      </c>
      <c r="C3972" s="189" t="s">
        <v>1159</v>
      </c>
      <c r="D3972" s="68">
        <v>1</v>
      </c>
      <c r="E3972" s="30">
        <v>60</v>
      </c>
      <c r="F3972" s="194">
        <f t="shared" si="137"/>
        <v>60</v>
      </c>
      <c r="G3972" s="194" t="s">
        <v>9</v>
      </c>
      <c r="H3972" s="194"/>
      <c r="I3972" s="194"/>
      <c r="J3972" s="194" t="s">
        <v>392</v>
      </c>
      <c r="K3972" s="194"/>
      <c r="L3972" s="194"/>
    </row>
    <row r="3973" spans="1:12" x14ac:dyDescent="0.25">
      <c r="A3973" s="78">
        <v>46231</v>
      </c>
      <c r="B3973" s="68">
        <v>5</v>
      </c>
      <c r="C3973" s="189" t="s">
        <v>1163</v>
      </c>
      <c r="D3973" s="68">
        <v>2</v>
      </c>
      <c r="E3973" s="30">
        <v>10</v>
      </c>
      <c r="F3973" s="194">
        <f t="shared" si="137"/>
        <v>20</v>
      </c>
      <c r="G3973" s="194" t="s">
        <v>9</v>
      </c>
      <c r="H3973" s="194"/>
      <c r="I3973" s="194"/>
      <c r="J3973" s="194" t="s">
        <v>392</v>
      </c>
      <c r="K3973" s="194"/>
      <c r="L3973" s="194"/>
    </row>
    <row r="3974" spans="1:12" x14ac:dyDescent="0.25">
      <c r="A3974" s="78">
        <v>46231</v>
      </c>
      <c r="B3974" s="68">
        <v>5</v>
      </c>
      <c r="C3974" s="189" t="s">
        <v>1062</v>
      </c>
      <c r="D3974" s="68">
        <v>1</v>
      </c>
      <c r="E3974" s="30">
        <v>10</v>
      </c>
      <c r="F3974" s="194">
        <f t="shared" si="137"/>
        <v>10</v>
      </c>
      <c r="G3974" s="194" t="s">
        <v>9</v>
      </c>
      <c r="H3974" s="194"/>
      <c r="I3974" s="194"/>
      <c r="J3974" s="194" t="s">
        <v>392</v>
      </c>
      <c r="K3974" s="194"/>
      <c r="L3974" s="194"/>
    </row>
    <row r="3975" spans="1:12" x14ac:dyDescent="0.25">
      <c r="A3975" s="78">
        <v>46231</v>
      </c>
      <c r="B3975" s="68">
        <v>7</v>
      </c>
      <c r="C3975" s="33" t="s">
        <v>1218</v>
      </c>
      <c r="D3975" s="68">
        <v>1</v>
      </c>
      <c r="E3975" s="30">
        <v>20</v>
      </c>
      <c r="F3975" s="194">
        <f t="shared" si="137"/>
        <v>20</v>
      </c>
      <c r="G3975" s="194" t="s">
        <v>9</v>
      </c>
      <c r="H3975" s="194"/>
      <c r="I3975" s="194"/>
      <c r="J3975" s="194" t="s">
        <v>392</v>
      </c>
      <c r="K3975" s="194"/>
      <c r="L3975" s="194"/>
    </row>
    <row r="3976" spans="1:12" x14ac:dyDescent="0.25">
      <c r="A3976" s="78">
        <v>46231</v>
      </c>
      <c r="B3976" s="68">
        <v>7</v>
      </c>
      <c r="C3976" s="33" t="s">
        <v>1219</v>
      </c>
      <c r="D3976" s="68">
        <v>1</v>
      </c>
      <c r="E3976" s="30">
        <v>30</v>
      </c>
      <c r="F3976" s="194">
        <f t="shared" si="137"/>
        <v>30</v>
      </c>
      <c r="G3976" s="194" t="s">
        <v>9</v>
      </c>
      <c r="H3976" s="194"/>
      <c r="I3976" s="194"/>
      <c r="J3976" s="194" t="s">
        <v>392</v>
      </c>
      <c r="K3976" s="194"/>
      <c r="L3976" s="194"/>
    </row>
    <row r="3977" spans="1:12" x14ac:dyDescent="0.25">
      <c r="A3977" s="78">
        <v>46231</v>
      </c>
      <c r="B3977" s="68">
        <v>7</v>
      </c>
      <c r="C3977" s="189" t="s">
        <v>996</v>
      </c>
      <c r="D3977" s="68">
        <v>1</v>
      </c>
      <c r="E3977" s="30">
        <v>30</v>
      </c>
      <c r="F3977" s="194">
        <f t="shared" si="137"/>
        <v>30</v>
      </c>
      <c r="G3977" s="194" t="s">
        <v>9</v>
      </c>
      <c r="H3977" s="194"/>
      <c r="I3977" s="194"/>
      <c r="J3977" s="194" t="s">
        <v>392</v>
      </c>
      <c r="K3977" s="194"/>
      <c r="L3977" s="194"/>
    </row>
    <row r="3978" spans="1:12" ht="30" x14ac:dyDescent="0.25">
      <c r="A3978" s="78">
        <v>46231</v>
      </c>
      <c r="B3978" s="68">
        <v>7</v>
      </c>
      <c r="C3978" s="189" t="s">
        <v>1170</v>
      </c>
      <c r="D3978" s="68">
        <v>1</v>
      </c>
      <c r="E3978" s="30">
        <v>158</v>
      </c>
      <c r="F3978" s="194">
        <f t="shared" si="137"/>
        <v>158</v>
      </c>
      <c r="G3978" s="194" t="s">
        <v>9</v>
      </c>
      <c r="H3978" s="194"/>
      <c r="I3978" s="194"/>
      <c r="J3978" s="194" t="s">
        <v>392</v>
      </c>
      <c r="K3978" s="194"/>
      <c r="L3978" s="194"/>
    </row>
    <row r="3979" spans="1:12" x14ac:dyDescent="0.25">
      <c r="A3979" s="78">
        <v>46231</v>
      </c>
      <c r="B3979" s="68">
        <v>8</v>
      </c>
      <c r="C3979" s="189" t="s">
        <v>119</v>
      </c>
      <c r="D3979" s="68">
        <v>1</v>
      </c>
      <c r="E3979" s="30">
        <v>10</v>
      </c>
      <c r="F3979" s="194">
        <f t="shared" si="137"/>
        <v>10</v>
      </c>
      <c r="G3979" s="194" t="s">
        <v>9</v>
      </c>
      <c r="H3979" s="194"/>
      <c r="I3979" s="194"/>
      <c r="J3979" s="194" t="s">
        <v>392</v>
      </c>
      <c r="K3979" s="194"/>
      <c r="L3979" s="194"/>
    </row>
    <row r="3980" spans="1:12" x14ac:dyDescent="0.25">
      <c r="A3980" s="78">
        <v>46231</v>
      </c>
      <c r="B3980" s="68">
        <v>9</v>
      </c>
      <c r="C3980" s="189" t="s">
        <v>549</v>
      </c>
      <c r="D3980" s="68">
        <v>1</v>
      </c>
      <c r="E3980" s="30">
        <v>30</v>
      </c>
      <c r="F3980" s="194">
        <f t="shared" si="137"/>
        <v>30</v>
      </c>
      <c r="G3980" s="194" t="s">
        <v>9</v>
      </c>
      <c r="H3980" s="194"/>
      <c r="I3980" s="194"/>
      <c r="J3980" s="194" t="s">
        <v>392</v>
      </c>
      <c r="K3980" s="194"/>
      <c r="L3980" s="194"/>
    </row>
    <row r="3981" spans="1:12" x14ac:dyDescent="0.25">
      <c r="A3981" s="78">
        <v>46231</v>
      </c>
      <c r="B3981" s="68">
        <v>10</v>
      </c>
      <c r="C3981" s="189" t="s">
        <v>783</v>
      </c>
      <c r="D3981" s="68">
        <v>1</v>
      </c>
      <c r="E3981" s="30">
        <v>10</v>
      </c>
      <c r="F3981" s="194">
        <f t="shared" si="137"/>
        <v>10</v>
      </c>
      <c r="G3981" s="194" t="s">
        <v>9</v>
      </c>
      <c r="H3981" s="194"/>
      <c r="I3981" s="194"/>
      <c r="J3981" s="194" t="s">
        <v>392</v>
      </c>
      <c r="K3981" s="194"/>
      <c r="L3981" s="194"/>
    </row>
    <row r="3982" spans="1:12" x14ac:dyDescent="0.25">
      <c r="A3982" s="78">
        <v>46231</v>
      </c>
      <c r="B3982" s="68">
        <v>10</v>
      </c>
      <c r="C3982" s="189" t="s">
        <v>1159</v>
      </c>
      <c r="D3982" s="68">
        <v>1</v>
      </c>
      <c r="E3982" s="30">
        <v>60</v>
      </c>
      <c r="F3982" s="194">
        <f t="shared" si="137"/>
        <v>60</v>
      </c>
      <c r="G3982" s="194" t="s">
        <v>9</v>
      </c>
      <c r="H3982" s="194"/>
      <c r="I3982" s="194"/>
      <c r="J3982" s="194" t="s">
        <v>392</v>
      </c>
      <c r="K3982" s="194"/>
      <c r="L3982" s="194"/>
    </row>
    <row r="3983" spans="1:12" ht="30" x14ac:dyDescent="0.25">
      <c r="A3983" s="78">
        <v>46231</v>
      </c>
      <c r="B3983" s="68">
        <v>9</v>
      </c>
      <c r="C3983" s="189" t="s">
        <v>1114</v>
      </c>
      <c r="D3983" s="68">
        <v>1</v>
      </c>
      <c r="E3983" s="30">
        <v>70</v>
      </c>
      <c r="F3983" s="194">
        <f t="shared" si="137"/>
        <v>70</v>
      </c>
      <c r="G3983" s="194" t="s">
        <v>9</v>
      </c>
      <c r="H3983" s="194"/>
      <c r="I3983" s="194"/>
      <c r="J3983" s="194" t="s">
        <v>392</v>
      </c>
      <c r="K3983" s="194"/>
      <c r="L3983" s="194"/>
    </row>
    <row r="3984" spans="1:12" x14ac:dyDescent="0.25">
      <c r="A3984" s="78">
        <v>46231</v>
      </c>
      <c r="B3984" s="68">
        <v>11</v>
      </c>
      <c r="C3984" s="189" t="s">
        <v>1049</v>
      </c>
      <c r="D3984" s="68">
        <v>1</v>
      </c>
      <c r="E3984" s="30">
        <v>30</v>
      </c>
      <c r="F3984" s="194">
        <f t="shared" si="137"/>
        <v>30</v>
      </c>
      <c r="G3984" s="194" t="s">
        <v>9</v>
      </c>
      <c r="H3984" s="194"/>
      <c r="I3984" s="194"/>
      <c r="J3984" s="194" t="s">
        <v>392</v>
      </c>
      <c r="K3984" s="194"/>
      <c r="L3984" s="194"/>
    </row>
    <row r="3985" spans="1:12" x14ac:dyDescent="0.25">
      <c r="A3985" s="78">
        <v>46231</v>
      </c>
      <c r="B3985" s="68">
        <v>9</v>
      </c>
      <c r="C3985" s="189" t="s">
        <v>574</v>
      </c>
      <c r="D3985" s="68">
        <v>1</v>
      </c>
      <c r="E3985" s="30">
        <v>10</v>
      </c>
      <c r="F3985" s="194">
        <f t="shared" si="137"/>
        <v>10</v>
      </c>
      <c r="G3985" s="194" t="s">
        <v>9</v>
      </c>
      <c r="H3985" s="194"/>
      <c r="I3985" s="194"/>
      <c r="J3985" s="194" t="s">
        <v>392</v>
      </c>
      <c r="K3985" s="194"/>
      <c r="L3985" s="194"/>
    </row>
    <row r="3986" spans="1:12" x14ac:dyDescent="0.25">
      <c r="A3986" s="78">
        <v>46231</v>
      </c>
      <c r="B3986" s="68">
        <v>12</v>
      </c>
      <c r="C3986" s="189" t="s">
        <v>783</v>
      </c>
      <c r="D3986" s="68">
        <v>2</v>
      </c>
      <c r="E3986" s="30">
        <v>10</v>
      </c>
      <c r="F3986" s="194">
        <f t="shared" si="137"/>
        <v>20</v>
      </c>
      <c r="G3986" s="194" t="s">
        <v>9</v>
      </c>
      <c r="H3986" s="194"/>
      <c r="I3986" s="194"/>
      <c r="J3986" s="194" t="s">
        <v>392</v>
      </c>
      <c r="K3986" s="194"/>
      <c r="L3986" s="194"/>
    </row>
    <row r="3987" spans="1:12" s="62" customFormat="1" ht="15" customHeight="1" x14ac:dyDescent="0.25">
      <c r="A3987" s="151">
        <v>46231</v>
      </c>
      <c r="B3987" s="139"/>
      <c r="C3987" s="150"/>
      <c r="F3987" s="195">
        <f t="shared" si="137"/>
        <v>0</v>
      </c>
      <c r="H3987" s="139"/>
      <c r="I3987" s="139">
        <f>SUMIF(G3955:G3987, "&lt;&gt;UPI",F3955:F3987)</f>
        <v>1810.15</v>
      </c>
    </row>
    <row r="3988" spans="1:12" s="170" customFormat="1" ht="18.75" x14ac:dyDescent="0.3">
      <c r="A3988" s="79">
        <v>46231</v>
      </c>
      <c r="B3988" s="147" t="s">
        <v>987</v>
      </c>
      <c r="C3988" s="169">
        <f>MAX(B3955:B3987)</f>
        <v>12</v>
      </c>
      <c r="D3988" s="147" t="s">
        <v>988</v>
      </c>
      <c r="E3988" s="170">
        <f>SUMIF(G3955:G3987,"UPI",F3955:F3987)</f>
        <v>0</v>
      </c>
      <c r="F3988" s="230" t="s">
        <v>437</v>
      </c>
      <c r="G3988" s="230"/>
      <c r="H3988" s="230"/>
      <c r="I3988" s="231">
        <f>SUM(F3955:F3987)</f>
        <v>1810.15</v>
      </c>
      <c r="J3988" s="231"/>
      <c r="K3988" s="231"/>
      <c r="L3988" s="231"/>
    </row>
    <row r="3989" spans="1:12" x14ac:dyDescent="0.25">
      <c r="A3989" s="78">
        <v>46234</v>
      </c>
      <c r="B3989" s="68">
        <v>1</v>
      </c>
      <c r="C3989" s="189" t="s">
        <v>524</v>
      </c>
      <c r="D3989" s="68">
        <v>10</v>
      </c>
      <c r="E3989" s="30">
        <v>1</v>
      </c>
      <c r="F3989" s="194">
        <f>E3989*D3989</f>
        <v>10</v>
      </c>
      <c r="G3989" s="194" t="s">
        <v>9</v>
      </c>
      <c r="H3989" s="194"/>
      <c r="I3989" s="194"/>
      <c r="J3989" s="194" t="s">
        <v>392</v>
      </c>
      <c r="K3989" s="194"/>
      <c r="L3989" s="194"/>
    </row>
    <row r="3990" spans="1:12" x14ac:dyDescent="0.25">
      <c r="A3990" s="78">
        <v>46234</v>
      </c>
      <c r="B3990" s="68">
        <v>2</v>
      </c>
      <c r="C3990" s="189" t="s">
        <v>666</v>
      </c>
      <c r="D3990" s="68">
        <v>1</v>
      </c>
      <c r="E3990" s="30">
        <v>10</v>
      </c>
      <c r="F3990" s="194">
        <f t="shared" ref="F3990:F4008" si="138">E3990*D3990</f>
        <v>10</v>
      </c>
      <c r="G3990" s="194" t="s">
        <v>9</v>
      </c>
      <c r="H3990" s="194"/>
      <c r="I3990" s="194"/>
      <c r="J3990" s="194" t="s">
        <v>392</v>
      </c>
      <c r="K3990" s="194"/>
      <c r="L3990" s="194"/>
    </row>
    <row r="3991" spans="1:12" x14ac:dyDescent="0.25">
      <c r="A3991" s="78">
        <v>46234</v>
      </c>
      <c r="B3991" s="68">
        <v>3</v>
      </c>
      <c r="C3991" s="188" t="s">
        <v>714</v>
      </c>
      <c r="D3991" s="68">
        <v>1</v>
      </c>
      <c r="E3991" s="30">
        <v>30</v>
      </c>
      <c r="F3991" s="194">
        <f t="shared" si="138"/>
        <v>30</v>
      </c>
      <c r="G3991" s="194" t="s">
        <v>9</v>
      </c>
      <c r="H3991" s="194"/>
      <c r="I3991" s="194"/>
      <c r="J3991" s="194" t="s">
        <v>392</v>
      </c>
      <c r="K3991" s="194"/>
      <c r="L3991" s="194"/>
    </row>
    <row r="3992" spans="1:12" x14ac:dyDescent="0.25">
      <c r="A3992" s="78">
        <v>46234</v>
      </c>
      <c r="B3992" s="68">
        <v>3</v>
      </c>
      <c r="C3992" s="189" t="s">
        <v>668</v>
      </c>
      <c r="D3992" s="68">
        <v>4</v>
      </c>
      <c r="E3992" s="30">
        <v>5</v>
      </c>
      <c r="F3992" s="194">
        <f t="shared" si="138"/>
        <v>20</v>
      </c>
      <c r="G3992" s="194" t="s">
        <v>9</v>
      </c>
      <c r="H3992" s="194"/>
      <c r="I3992" s="194"/>
      <c r="J3992" s="194" t="s">
        <v>392</v>
      </c>
      <c r="K3992" s="194"/>
      <c r="L3992" s="194"/>
    </row>
    <row r="3993" spans="1:12" x14ac:dyDescent="0.25">
      <c r="A3993" s="78">
        <v>46234</v>
      </c>
      <c r="B3993" s="68">
        <v>4</v>
      </c>
      <c r="C3993" s="188" t="s">
        <v>693</v>
      </c>
      <c r="D3993" s="68">
        <v>1</v>
      </c>
      <c r="E3993" s="30">
        <v>45</v>
      </c>
      <c r="F3993" s="194">
        <f t="shared" si="138"/>
        <v>45</v>
      </c>
      <c r="G3993" s="194" t="s">
        <v>9</v>
      </c>
      <c r="H3993" s="194"/>
      <c r="I3993" s="194" t="s">
        <v>663</v>
      </c>
      <c r="J3993" s="194" t="s">
        <v>392</v>
      </c>
      <c r="K3993" s="194"/>
      <c r="L3993" s="194"/>
    </row>
    <row r="3994" spans="1:12" x14ac:dyDescent="0.25">
      <c r="A3994" s="78">
        <v>46234</v>
      </c>
      <c r="B3994" s="68">
        <v>4</v>
      </c>
      <c r="C3994" s="188" t="s">
        <v>903</v>
      </c>
      <c r="D3994" s="68">
        <v>0.1</v>
      </c>
      <c r="E3994" s="30">
        <v>200</v>
      </c>
      <c r="F3994" s="194">
        <f t="shared" si="138"/>
        <v>20</v>
      </c>
      <c r="G3994" s="194" t="s">
        <v>9</v>
      </c>
      <c r="H3994" s="194"/>
      <c r="I3994" s="194" t="s">
        <v>663</v>
      </c>
      <c r="J3994" s="194" t="s">
        <v>392</v>
      </c>
      <c r="K3994" s="194"/>
      <c r="L3994" s="194"/>
    </row>
    <row r="3995" spans="1:12" x14ac:dyDescent="0.25">
      <c r="A3995" s="78">
        <v>46234</v>
      </c>
      <c r="B3995" s="68">
        <v>4</v>
      </c>
      <c r="C3995" s="189" t="s">
        <v>395</v>
      </c>
      <c r="D3995" s="68">
        <v>1</v>
      </c>
      <c r="E3995" s="30">
        <v>10</v>
      </c>
      <c r="F3995" s="194">
        <f t="shared" si="138"/>
        <v>10</v>
      </c>
      <c r="G3995" s="194" t="s">
        <v>9</v>
      </c>
      <c r="H3995" s="194"/>
      <c r="I3995" s="194" t="s">
        <v>663</v>
      </c>
      <c r="J3995" s="194" t="s">
        <v>392</v>
      </c>
      <c r="K3995" s="194"/>
      <c r="L3995" s="194"/>
    </row>
    <row r="3996" spans="1:12" ht="30" x14ac:dyDescent="0.25">
      <c r="A3996" s="78">
        <v>46234</v>
      </c>
      <c r="B3996" s="68">
        <v>4</v>
      </c>
      <c r="C3996" s="189" t="s">
        <v>974</v>
      </c>
      <c r="D3996" s="68">
        <v>1</v>
      </c>
      <c r="E3996" s="30">
        <v>65</v>
      </c>
      <c r="F3996" s="194">
        <f t="shared" si="138"/>
        <v>65</v>
      </c>
      <c r="G3996" s="194" t="s">
        <v>9</v>
      </c>
      <c r="H3996" s="194"/>
      <c r="I3996" s="194" t="s">
        <v>663</v>
      </c>
      <c r="J3996" s="194" t="s">
        <v>392</v>
      </c>
      <c r="K3996" s="194"/>
      <c r="L3996" s="194"/>
    </row>
    <row r="3997" spans="1:12" ht="30" x14ac:dyDescent="0.25">
      <c r="A3997" s="78">
        <v>46234</v>
      </c>
      <c r="B3997" s="68">
        <v>4</v>
      </c>
      <c r="C3997" s="189" t="s">
        <v>1169</v>
      </c>
      <c r="D3997" s="68">
        <v>1</v>
      </c>
      <c r="E3997" s="30">
        <v>47</v>
      </c>
      <c r="F3997" s="194">
        <f t="shared" si="138"/>
        <v>47</v>
      </c>
      <c r="G3997" s="194" t="s">
        <v>9</v>
      </c>
      <c r="H3997" s="194"/>
      <c r="I3997" s="194" t="s">
        <v>663</v>
      </c>
      <c r="J3997" s="194" t="s">
        <v>392</v>
      </c>
      <c r="K3997" s="194"/>
      <c r="L3997" s="194"/>
    </row>
    <row r="3998" spans="1:12" ht="30" x14ac:dyDescent="0.25">
      <c r="A3998" s="78">
        <v>46234</v>
      </c>
      <c r="B3998" s="68">
        <v>4</v>
      </c>
      <c r="C3998" s="189" t="s">
        <v>642</v>
      </c>
      <c r="D3998" s="68">
        <v>1</v>
      </c>
      <c r="E3998" s="30">
        <v>85</v>
      </c>
      <c r="F3998" s="194">
        <f t="shared" si="138"/>
        <v>85</v>
      </c>
      <c r="G3998" s="194" t="s">
        <v>9</v>
      </c>
      <c r="H3998" s="194"/>
      <c r="I3998" s="194" t="s">
        <v>663</v>
      </c>
      <c r="J3998" s="194" t="s">
        <v>392</v>
      </c>
      <c r="K3998" s="194"/>
      <c r="L3998" s="194"/>
    </row>
    <row r="3999" spans="1:12" x14ac:dyDescent="0.25">
      <c r="A3999" s="78">
        <v>46234</v>
      </c>
      <c r="B3999" s="68">
        <v>5</v>
      </c>
      <c r="C3999" s="189" t="s">
        <v>785</v>
      </c>
      <c r="D3999" s="68">
        <v>5</v>
      </c>
      <c r="E3999" s="30">
        <v>1</v>
      </c>
      <c r="F3999" s="194">
        <f t="shared" si="138"/>
        <v>5</v>
      </c>
      <c r="G3999" s="194" t="s">
        <v>9</v>
      </c>
      <c r="H3999" s="194"/>
      <c r="I3999" s="194"/>
      <c r="J3999" s="194" t="s">
        <v>392</v>
      </c>
      <c r="K3999" s="194"/>
      <c r="L3999" s="194"/>
    </row>
    <row r="4000" spans="1:12" x14ac:dyDescent="0.25">
      <c r="A4000" s="78">
        <v>46234</v>
      </c>
      <c r="B4000" s="68">
        <v>5</v>
      </c>
      <c r="C4000" s="189" t="s">
        <v>860</v>
      </c>
      <c r="D4000" s="68">
        <v>1</v>
      </c>
      <c r="E4000" s="30">
        <v>5</v>
      </c>
      <c r="F4000" s="194">
        <f t="shared" si="138"/>
        <v>5</v>
      </c>
      <c r="G4000" s="194" t="s">
        <v>9</v>
      </c>
      <c r="H4000" s="194"/>
      <c r="I4000" s="194"/>
      <c r="J4000" s="194" t="s">
        <v>392</v>
      </c>
      <c r="K4000" s="194"/>
      <c r="L4000" s="194"/>
    </row>
    <row r="4001" spans="1:12" x14ac:dyDescent="0.25">
      <c r="A4001" s="78">
        <v>46234</v>
      </c>
      <c r="B4001" s="68">
        <v>4</v>
      </c>
      <c r="C4001" s="189" t="s">
        <v>726</v>
      </c>
      <c r="D4001" s="68">
        <v>0.78</v>
      </c>
      <c r="E4001" s="30">
        <v>110</v>
      </c>
      <c r="F4001" s="194">
        <f t="shared" si="138"/>
        <v>85.8</v>
      </c>
      <c r="G4001" s="194" t="s">
        <v>9</v>
      </c>
      <c r="H4001" s="194"/>
      <c r="I4001" s="194" t="s">
        <v>663</v>
      </c>
      <c r="J4001" s="194" t="s">
        <v>392</v>
      </c>
      <c r="K4001" s="194"/>
      <c r="L4001" s="194"/>
    </row>
    <row r="4002" spans="1:12" x14ac:dyDescent="0.25">
      <c r="A4002" s="78">
        <v>46234</v>
      </c>
      <c r="B4002" s="68">
        <v>6</v>
      </c>
      <c r="C4002" s="189" t="s">
        <v>1163</v>
      </c>
      <c r="D4002" s="68">
        <v>1</v>
      </c>
      <c r="E4002" s="30">
        <v>10</v>
      </c>
      <c r="F4002" s="194">
        <f t="shared" si="138"/>
        <v>10</v>
      </c>
      <c r="G4002" s="194" t="s">
        <v>9</v>
      </c>
      <c r="H4002" s="194"/>
      <c r="I4002" s="194"/>
      <c r="J4002" s="194" t="s">
        <v>392</v>
      </c>
      <c r="K4002" s="194"/>
      <c r="L4002" s="194"/>
    </row>
    <row r="4003" spans="1:12" x14ac:dyDescent="0.25">
      <c r="A4003" s="78">
        <v>46234</v>
      </c>
      <c r="B4003" s="68">
        <v>4</v>
      </c>
      <c r="C4003" s="189" t="s">
        <v>1139</v>
      </c>
      <c r="D4003" s="68">
        <v>1</v>
      </c>
      <c r="E4003" s="30">
        <v>5</v>
      </c>
      <c r="F4003" s="194">
        <f t="shared" si="138"/>
        <v>5</v>
      </c>
      <c r="G4003" s="194" t="s">
        <v>9</v>
      </c>
      <c r="H4003" s="194"/>
      <c r="I4003" s="194"/>
      <c r="J4003" s="194" t="s">
        <v>392</v>
      </c>
      <c r="K4003" s="194"/>
      <c r="L4003" s="194"/>
    </row>
    <row r="4004" spans="1:12" x14ac:dyDescent="0.25">
      <c r="A4004" s="78">
        <v>46234</v>
      </c>
      <c r="B4004" s="68">
        <v>7</v>
      </c>
      <c r="C4004" s="189" t="s">
        <v>721</v>
      </c>
      <c r="D4004" s="68">
        <v>0.1</v>
      </c>
      <c r="E4004" s="30">
        <v>900</v>
      </c>
      <c r="F4004" s="194">
        <f t="shared" si="138"/>
        <v>90</v>
      </c>
      <c r="G4004" s="194" t="s">
        <v>9</v>
      </c>
      <c r="H4004" s="194"/>
      <c r="I4004" s="194"/>
      <c r="J4004" s="194" t="s">
        <v>392</v>
      </c>
      <c r="K4004" s="194"/>
      <c r="L4004" s="194"/>
    </row>
    <row r="4005" spans="1:12" ht="30" x14ac:dyDescent="0.25">
      <c r="A4005" s="78">
        <v>46234</v>
      </c>
      <c r="B4005" s="68">
        <v>7</v>
      </c>
      <c r="C4005" s="189" t="s">
        <v>1122</v>
      </c>
      <c r="D4005" s="68">
        <v>1</v>
      </c>
      <c r="E4005" s="30">
        <v>95</v>
      </c>
      <c r="F4005" s="194">
        <f t="shared" si="138"/>
        <v>95</v>
      </c>
      <c r="G4005" s="194" t="s">
        <v>9</v>
      </c>
      <c r="H4005" s="194"/>
      <c r="I4005" s="194"/>
      <c r="J4005" s="194" t="s">
        <v>392</v>
      </c>
      <c r="K4005" s="194"/>
      <c r="L4005" s="194"/>
    </row>
    <row r="4006" spans="1:12" x14ac:dyDescent="0.25">
      <c r="A4006" s="78">
        <v>46234</v>
      </c>
      <c r="B4006" s="68">
        <v>7</v>
      </c>
      <c r="C4006" s="189" t="s">
        <v>791</v>
      </c>
      <c r="D4006" s="68">
        <v>1</v>
      </c>
      <c r="E4006" s="30">
        <v>10</v>
      </c>
      <c r="F4006" s="194">
        <f t="shared" si="138"/>
        <v>10</v>
      </c>
      <c r="G4006" s="194" t="s">
        <v>9</v>
      </c>
      <c r="H4006" s="194"/>
      <c r="I4006" s="194"/>
      <c r="J4006" s="194" t="s">
        <v>392</v>
      </c>
      <c r="K4006" s="194"/>
      <c r="L4006" s="194"/>
    </row>
    <row r="4007" spans="1:12" x14ac:dyDescent="0.25">
      <c r="A4007" s="78">
        <v>46234</v>
      </c>
      <c r="B4007" s="68">
        <v>7</v>
      </c>
      <c r="C4007" s="189" t="s">
        <v>947</v>
      </c>
      <c r="D4007" s="68">
        <v>1</v>
      </c>
      <c r="E4007" s="30">
        <v>20</v>
      </c>
      <c r="F4007" s="194">
        <f t="shared" si="138"/>
        <v>20</v>
      </c>
      <c r="G4007" s="194" t="s">
        <v>9</v>
      </c>
      <c r="H4007" s="194"/>
      <c r="I4007" s="194"/>
      <c r="J4007" s="194" t="s">
        <v>392</v>
      </c>
      <c r="K4007" s="194"/>
      <c r="L4007" s="194"/>
    </row>
    <row r="4008" spans="1:12" x14ac:dyDescent="0.25">
      <c r="A4008" s="78">
        <v>46234</v>
      </c>
      <c r="B4008" s="68">
        <v>8</v>
      </c>
      <c r="C4008" s="189" t="s">
        <v>1148</v>
      </c>
      <c r="D4008" s="68">
        <v>1</v>
      </c>
      <c r="E4008" s="30">
        <v>10</v>
      </c>
      <c r="F4008" s="194">
        <f t="shared" si="138"/>
        <v>10</v>
      </c>
      <c r="G4008" s="194" t="s">
        <v>9</v>
      </c>
      <c r="H4008" s="194" t="s">
        <v>1206</v>
      </c>
      <c r="I4008" s="194" t="s">
        <v>1211</v>
      </c>
      <c r="J4008" s="194" t="s">
        <v>392</v>
      </c>
      <c r="K4008" s="194"/>
      <c r="L4008" s="194"/>
    </row>
    <row r="4009" spans="1:12" s="62" customFormat="1" ht="15" customHeight="1" x14ac:dyDescent="0.25">
      <c r="A4009" s="151">
        <v>46234</v>
      </c>
      <c r="B4009" s="139"/>
      <c r="C4009" s="150"/>
      <c r="F4009" s="195">
        <f t="shared" si="135"/>
        <v>0</v>
      </c>
      <c r="H4009" s="139"/>
      <c r="I4009" s="139">
        <f>SUMIF(G3989:G4009, "&lt;&gt;UPI",F3989:F4009)</f>
        <v>677.8</v>
      </c>
    </row>
    <row r="4010" spans="1:12" s="170" customFormat="1" ht="18.75" x14ac:dyDescent="0.3">
      <c r="A4010" s="79">
        <v>46234</v>
      </c>
      <c r="B4010" s="147" t="s">
        <v>987</v>
      </c>
      <c r="C4010" s="169">
        <f>MAX(B3989:B4009)</f>
        <v>8</v>
      </c>
      <c r="D4010" s="147" t="s">
        <v>988</v>
      </c>
      <c r="E4010" s="170">
        <f>SUMIF(G3989:G4009,"UPI",F3989:F4009)</f>
        <v>0</v>
      </c>
      <c r="F4010" s="230" t="s">
        <v>437</v>
      </c>
      <c r="G4010" s="230"/>
      <c r="H4010" s="230"/>
      <c r="I4010" s="231">
        <f>SUM(F3989:F4009)</f>
        <v>677.8</v>
      </c>
      <c r="J4010" s="231"/>
      <c r="K4010" s="231"/>
      <c r="L4010" s="231"/>
    </row>
    <row r="4011" spans="1:12" x14ac:dyDescent="0.25">
      <c r="A4011" s="78">
        <v>46235</v>
      </c>
      <c r="B4011" s="68">
        <v>1</v>
      </c>
      <c r="C4011" s="33" t="s">
        <v>534</v>
      </c>
      <c r="D4011" s="30">
        <v>2</v>
      </c>
      <c r="E4011" s="30">
        <v>5</v>
      </c>
      <c r="F4011" s="30">
        <f>E4011*D4011</f>
        <v>10</v>
      </c>
      <c r="G4011" s="30" t="s">
        <v>9</v>
      </c>
      <c r="J4011" s="30" t="s">
        <v>391</v>
      </c>
    </row>
    <row r="4012" spans="1:12" x14ac:dyDescent="0.25">
      <c r="A4012" s="78">
        <v>46235</v>
      </c>
      <c r="B4012" s="68">
        <v>1</v>
      </c>
      <c r="C4012" s="187" t="s">
        <v>706</v>
      </c>
      <c r="D4012" s="30">
        <v>2</v>
      </c>
      <c r="E4012" s="30">
        <v>5</v>
      </c>
      <c r="F4012" s="30">
        <f t="shared" ref="F4012:F4050" si="139">E4012*D4012</f>
        <v>10</v>
      </c>
      <c r="G4012" s="30" t="s">
        <v>9</v>
      </c>
      <c r="J4012" s="30" t="s">
        <v>391</v>
      </c>
    </row>
    <row r="4013" spans="1:12" x14ac:dyDescent="0.25">
      <c r="A4013" s="78">
        <v>46235</v>
      </c>
      <c r="B4013" s="68">
        <v>2</v>
      </c>
      <c r="C4013" s="150" t="s">
        <v>1155</v>
      </c>
      <c r="D4013" s="30">
        <v>1.2</v>
      </c>
      <c r="E4013" s="30">
        <v>25</v>
      </c>
      <c r="F4013" s="30">
        <f t="shared" si="139"/>
        <v>30</v>
      </c>
      <c r="G4013" s="30" t="s">
        <v>10</v>
      </c>
      <c r="J4013" s="30" t="s">
        <v>391</v>
      </c>
    </row>
    <row r="4014" spans="1:12" ht="30" x14ac:dyDescent="0.25">
      <c r="A4014" s="78">
        <v>46235</v>
      </c>
      <c r="B4014" s="68">
        <v>2</v>
      </c>
      <c r="C4014" s="150" t="s">
        <v>1054</v>
      </c>
      <c r="D4014" s="30">
        <v>3</v>
      </c>
      <c r="E4014" s="30">
        <v>10</v>
      </c>
      <c r="F4014" s="30">
        <f t="shared" si="139"/>
        <v>30</v>
      </c>
      <c r="G4014" s="30" t="s">
        <v>10</v>
      </c>
      <c r="J4014" s="30" t="s">
        <v>391</v>
      </c>
    </row>
    <row r="4015" spans="1:12" x14ac:dyDescent="0.25">
      <c r="A4015" s="78">
        <v>46235</v>
      </c>
      <c r="B4015" s="68">
        <v>2</v>
      </c>
      <c r="C4015" s="150" t="s">
        <v>1088</v>
      </c>
      <c r="D4015" s="30">
        <v>4</v>
      </c>
      <c r="E4015" s="30">
        <v>10</v>
      </c>
      <c r="F4015" s="30">
        <f t="shared" si="139"/>
        <v>40</v>
      </c>
      <c r="G4015" s="30" t="s">
        <v>10</v>
      </c>
      <c r="J4015" s="30" t="s">
        <v>391</v>
      </c>
    </row>
    <row r="4016" spans="1:12" x14ac:dyDescent="0.25">
      <c r="A4016" s="78">
        <v>46235</v>
      </c>
      <c r="B4016" s="68">
        <v>3</v>
      </c>
      <c r="C4016" s="150" t="s">
        <v>1149</v>
      </c>
      <c r="D4016" s="30">
        <v>1</v>
      </c>
      <c r="E4016" s="30">
        <v>30</v>
      </c>
      <c r="F4016" s="30">
        <f t="shared" si="139"/>
        <v>30</v>
      </c>
      <c r="G4016" s="30" t="s">
        <v>9</v>
      </c>
      <c r="J4016" s="30" t="s">
        <v>391</v>
      </c>
    </row>
    <row r="4017" spans="1:10" x14ac:dyDescent="0.25">
      <c r="A4017" s="78">
        <v>46235</v>
      </c>
      <c r="B4017" s="68">
        <v>4</v>
      </c>
      <c r="C4017" s="150" t="s">
        <v>807</v>
      </c>
      <c r="D4017" s="30">
        <v>0.5</v>
      </c>
      <c r="E4017" s="30">
        <v>70</v>
      </c>
      <c r="F4017" s="30">
        <f t="shared" si="139"/>
        <v>35</v>
      </c>
      <c r="G4017" s="30" t="s">
        <v>9</v>
      </c>
      <c r="I4017" s="68" t="s">
        <v>1045</v>
      </c>
      <c r="J4017" s="30" t="s">
        <v>391</v>
      </c>
    </row>
    <row r="4018" spans="1:10" x14ac:dyDescent="0.25">
      <c r="A4018" s="78">
        <v>46235</v>
      </c>
      <c r="B4018" s="68">
        <v>4</v>
      </c>
      <c r="C4018" s="150" t="s">
        <v>860</v>
      </c>
      <c r="D4018" s="30">
        <v>1</v>
      </c>
      <c r="E4018" s="30">
        <v>5</v>
      </c>
      <c r="F4018" s="30">
        <f t="shared" si="139"/>
        <v>5</v>
      </c>
      <c r="G4018" s="30" t="s">
        <v>9</v>
      </c>
      <c r="I4018" s="68" t="s">
        <v>1045</v>
      </c>
      <c r="J4018" s="30" t="s">
        <v>391</v>
      </c>
    </row>
    <row r="4019" spans="1:10" x14ac:dyDescent="0.25">
      <c r="A4019" s="78">
        <v>46235</v>
      </c>
      <c r="B4019" s="68">
        <v>5</v>
      </c>
      <c r="C4019" s="189" t="s">
        <v>1139</v>
      </c>
      <c r="D4019" s="30">
        <v>1</v>
      </c>
      <c r="E4019" s="30">
        <v>5</v>
      </c>
      <c r="F4019" s="30">
        <f t="shared" si="139"/>
        <v>5</v>
      </c>
      <c r="G4019" s="30" t="s">
        <v>9</v>
      </c>
      <c r="I4019" s="68" t="s">
        <v>1199</v>
      </c>
      <c r="J4019" s="30" t="s">
        <v>391</v>
      </c>
    </row>
    <row r="4020" spans="1:10" x14ac:dyDescent="0.25">
      <c r="A4020" s="78">
        <v>46235</v>
      </c>
      <c r="B4020" s="68">
        <v>5</v>
      </c>
      <c r="C4020" s="189" t="s">
        <v>1140</v>
      </c>
      <c r="D4020" s="30">
        <v>1</v>
      </c>
      <c r="E4020" s="30">
        <v>5</v>
      </c>
      <c r="F4020" s="30">
        <f t="shared" si="139"/>
        <v>5</v>
      </c>
      <c r="G4020" s="30" t="s">
        <v>9</v>
      </c>
      <c r="I4020" s="68" t="s">
        <v>1199</v>
      </c>
      <c r="J4020" s="30" t="s">
        <v>391</v>
      </c>
    </row>
    <row r="4021" spans="1:10" x14ac:dyDescent="0.25">
      <c r="A4021" s="78">
        <v>46235</v>
      </c>
      <c r="B4021" s="68">
        <v>6</v>
      </c>
      <c r="C4021" s="189" t="s">
        <v>740</v>
      </c>
      <c r="D4021" s="30">
        <v>1</v>
      </c>
      <c r="E4021" s="30">
        <v>10</v>
      </c>
      <c r="F4021" s="30">
        <f t="shared" si="139"/>
        <v>10</v>
      </c>
      <c r="G4021" s="30" t="s">
        <v>9</v>
      </c>
      <c r="J4021" s="30" t="s">
        <v>391</v>
      </c>
    </row>
    <row r="4022" spans="1:10" x14ac:dyDescent="0.25">
      <c r="A4022" s="78">
        <v>46235</v>
      </c>
      <c r="B4022" s="68">
        <v>6</v>
      </c>
      <c r="C4022" s="189" t="s">
        <v>683</v>
      </c>
      <c r="D4022" s="30">
        <v>1</v>
      </c>
      <c r="E4022" s="30">
        <v>10</v>
      </c>
      <c r="F4022" s="30">
        <f t="shared" si="139"/>
        <v>10</v>
      </c>
      <c r="G4022" s="30" t="s">
        <v>9</v>
      </c>
      <c r="J4022" s="30" t="s">
        <v>391</v>
      </c>
    </row>
    <row r="4023" spans="1:10" ht="30" x14ac:dyDescent="0.25">
      <c r="A4023" s="78">
        <v>46235</v>
      </c>
      <c r="B4023" s="68">
        <v>7</v>
      </c>
      <c r="C4023" s="189" t="s">
        <v>1054</v>
      </c>
      <c r="D4023" s="30">
        <v>1</v>
      </c>
      <c r="E4023" s="30">
        <v>10</v>
      </c>
      <c r="F4023" s="30">
        <f t="shared" si="139"/>
        <v>10</v>
      </c>
      <c r="G4023" s="30" t="s">
        <v>9</v>
      </c>
      <c r="J4023" s="30" t="s">
        <v>392</v>
      </c>
    </row>
    <row r="4024" spans="1:10" x14ac:dyDescent="0.25">
      <c r="A4024" s="78">
        <v>46235</v>
      </c>
      <c r="B4024" s="68">
        <v>8</v>
      </c>
      <c r="C4024" s="189" t="s">
        <v>783</v>
      </c>
      <c r="D4024" s="30">
        <v>1</v>
      </c>
      <c r="E4024" s="30">
        <v>10</v>
      </c>
      <c r="F4024" s="30">
        <f t="shared" si="139"/>
        <v>10</v>
      </c>
      <c r="G4024" s="30" t="s">
        <v>9</v>
      </c>
      <c r="J4024" s="30" t="s">
        <v>392</v>
      </c>
    </row>
    <row r="4025" spans="1:10" x14ac:dyDescent="0.25">
      <c r="A4025" s="78">
        <v>46235</v>
      </c>
      <c r="B4025" s="68">
        <v>8</v>
      </c>
      <c r="C4025" s="189" t="s">
        <v>683</v>
      </c>
      <c r="D4025" s="30">
        <v>1</v>
      </c>
      <c r="E4025" s="30">
        <v>10</v>
      </c>
      <c r="F4025" s="30">
        <f t="shared" si="139"/>
        <v>10</v>
      </c>
      <c r="G4025" s="30" t="s">
        <v>9</v>
      </c>
      <c r="J4025" s="30" t="s">
        <v>392</v>
      </c>
    </row>
    <row r="4026" spans="1:10" x14ac:dyDescent="0.25">
      <c r="A4026" s="78">
        <v>46235</v>
      </c>
      <c r="B4026" s="68">
        <v>9</v>
      </c>
      <c r="C4026" s="188" t="s">
        <v>667</v>
      </c>
      <c r="D4026" s="30">
        <v>2</v>
      </c>
      <c r="E4026" s="30">
        <v>5</v>
      </c>
      <c r="F4026" s="30">
        <f t="shared" si="139"/>
        <v>10</v>
      </c>
      <c r="G4026" s="30" t="s">
        <v>9</v>
      </c>
      <c r="J4026" s="30" t="s">
        <v>392</v>
      </c>
    </row>
    <row r="4027" spans="1:10" x14ac:dyDescent="0.25">
      <c r="A4027" s="78">
        <v>46235</v>
      </c>
      <c r="B4027" s="68">
        <v>10</v>
      </c>
      <c r="C4027" s="189" t="s">
        <v>666</v>
      </c>
      <c r="D4027" s="30">
        <v>2</v>
      </c>
      <c r="E4027" s="30">
        <v>10</v>
      </c>
      <c r="F4027" s="30">
        <f t="shared" si="139"/>
        <v>20</v>
      </c>
      <c r="G4027" s="30" t="s">
        <v>10</v>
      </c>
      <c r="J4027" s="30" t="s">
        <v>392</v>
      </c>
    </row>
    <row r="4028" spans="1:10" x14ac:dyDescent="0.25">
      <c r="A4028" s="78">
        <v>46235</v>
      </c>
      <c r="B4028" s="68">
        <v>11</v>
      </c>
      <c r="C4028" s="189" t="s">
        <v>947</v>
      </c>
      <c r="D4028" s="30">
        <v>1</v>
      </c>
      <c r="E4028" s="30">
        <v>20</v>
      </c>
      <c r="F4028" s="30">
        <f t="shared" si="139"/>
        <v>20</v>
      </c>
      <c r="G4028" s="30" t="s">
        <v>10</v>
      </c>
      <c r="J4028" s="30" t="s">
        <v>392</v>
      </c>
    </row>
    <row r="4029" spans="1:10" x14ac:dyDescent="0.25">
      <c r="A4029" s="78">
        <v>46235</v>
      </c>
      <c r="B4029" s="68">
        <v>10</v>
      </c>
      <c r="C4029" s="189" t="s">
        <v>909</v>
      </c>
      <c r="D4029" s="30">
        <v>1</v>
      </c>
      <c r="E4029" s="30">
        <v>30</v>
      </c>
      <c r="F4029" s="30">
        <f t="shared" si="139"/>
        <v>30</v>
      </c>
      <c r="G4029" s="30" t="s">
        <v>10</v>
      </c>
      <c r="J4029" s="30" t="s">
        <v>392</v>
      </c>
    </row>
    <row r="4030" spans="1:10" x14ac:dyDescent="0.25">
      <c r="A4030" s="78">
        <v>46235</v>
      </c>
      <c r="B4030" s="68">
        <v>11</v>
      </c>
      <c r="C4030" s="189" t="s">
        <v>528</v>
      </c>
      <c r="D4030" s="30">
        <v>0.2</v>
      </c>
      <c r="E4030" s="30">
        <v>200</v>
      </c>
      <c r="F4030" s="30">
        <f t="shared" si="139"/>
        <v>40</v>
      </c>
      <c r="G4030" s="30" t="s">
        <v>9</v>
      </c>
      <c r="J4030" s="30" t="s">
        <v>392</v>
      </c>
    </row>
    <row r="4031" spans="1:10" x14ac:dyDescent="0.25">
      <c r="A4031" s="78">
        <v>46235</v>
      </c>
      <c r="B4031" s="68">
        <v>11</v>
      </c>
      <c r="C4031" s="189" t="s">
        <v>1090</v>
      </c>
      <c r="D4031" s="30">
        <v>2</v>
      </c>
      <c r="E4031" s="30">
        <v>10</v>
      </c>
      <c r="F4031" s="30">
        <f t="shared" si="139"/>
        <v>20</v>
      </c>
      <c r="G4031" s="30" t="s">
        <v>9</v>
      </c>
      <c r="J4031" s="30" t="s">
        <v>392</v>
      </c>
    </row>
    <row r="4032" spans="1:10" x14ac:dyDescent="0.25">
      <c r="A4032" s="78">
        <v>46235</v>
      </c>
      <c r="B4032" s="68">
        <v>11</v>
      </c>
      <c r="C4032" s="189" t="s">
        <v>539</v>
      </c>
      <c r="D4032" s="30">
        <v>1</v>
      </c>
      <c r="E4032" s="30">
        <v>25</v>
      </c>
      <c r="F4032" s="30">
        <f t="shared" si="139"/>
        <v>25</v>
      </c>
      <c r="G4032" s="30" t="s">
        <v>9</v>
      </c>
      <c r="J4032" s="30" t="s">
        <v>392</v>
      </c>
    </row>
    <row r="4033" spans="1:10" ht="30" x14ac:dyDescent="0.25">
      <c r="A4033" s="78">
        <v>46235</v>
      </c>
      <c r="B4033" s="68">
        <v>11</v>
      </c>
      <c r="C4033" s="189" t="s">
        <v>599</v>
      </c>
      <c r="D4033" s="30">
        <v>1</v>
      </c>
      <c r="E4033" s="30">
        <v>235</v>
      </c>
      <c r="F4033" s="30">
        <f t="shared" si="139"/>
        <v>235</v>
      </c>
      <c r="G4033" s="30" t="s">
        <v>9</v>
      </c>
      <c r="J4033" s="30" t="s">
        <v>392</v>
      </c>
    </row>
    <row r="4034" spans="1:10" x14ac:dyDescent="0.25">
      <c r="A4034" s="78">
        <v>46235</v>
      </c>
      <c r="B4034" s="68">
        <v>11</v>
      </c>
      <c r="C4034" s="189" t="s">
        <v>792</v>
      </c>
      <c r="D4034" s="30">
        <v>1</v>
      </c>
      <c r="E4034" s="30">
        <v>160</v>
      </c>
      <c r="F4034" s="30">
        <f t="shared" si="139"/>
        <v>160</v>
      </c>
      <c r="G4034" s="30" t="s">
        <v>9</v>
      </c>
      <c r="J4034" s="30" t="s">
        <v>392</v>
      </c>
    </row>
    <row r="4035" spans="1:10" x14ac:dyDescent="0.25">
      <c r="A4035" s="78">
        <v>46235</v>
      </c>
      <c r="B4035" s="68">
        <v>12</v>
      </c>
      <c r="C4035" s="189" t="s">
        <v>1182</v>
      </c>
      <c r="D4035" s="30">
        <v>5</v>
      </c>
      <c r="E4035" s="30">
        <v>15</v>
      </c>
      <c r="F4035" s="30">
        <f t="shared" si="139"/>
        <v>75</v>
      </c>
      <c r="G4035" s="30" t="s">
        <v>9</v>
      </c>
      <c r="I4035" s="68" t="s">
        <v>663</v>
      </c>
      <c r="J4035" s="30" t="s">
        <v>392</v>
      </c>
    </row>
    <row r="4036" spans="1:10" x14ac:dyDescent="0.25">
      <c r="A4036" s="78">
        <v>46235</v>
      </c>
      <c r="B4036" s="68">
        <v>12</v>
      </c>
      <c r="C4036" s="189" t="s">
        <v>1168</v>
      </c>
      <c r="D4036" s="30">
        <v>5</v>
      </c>
      <c r="E4036" s="30">
        <v>10</v>
      </c>
      <c r="F4036" s="30">
        <f t="shared" si="139"/>
        <v>50</v>
      </c>
      <c r="G4036" s="30" t="s">
        <v>9</v>
      </c>
      <c r="I4036" s="68" t="s">
        <v>663</v>
      </c>
      <c r="J4036" s="30" t="s">
        <v>392</v>
      </c>
    </row>
    <row r="4037" spans="1:10" x14ac:dyDescent="0.25">
      <c r="A4037" s="78">
        <v>46235</v>
      </c>
      <c r="B4037" s="68">
        <v>13</v>
      </c>
      <c r="C4037" s="189" t="s">
        <v>1071</v>
      </c>
      <c r="D4037" s="30">
        <v>0.55000000000000004</v>
      </c>
      <c r="E4037" s="30">
        <v>45</v>
      </c>
      <c r="F4037" s="30">
        <f t="shared" si="139"/>
        <v>24.750000000000004</v>
      </c>
      <c r="G4037" s="30" t="s">
        <v>10</v>
      </c>
      <c r="J4037" s="30" t="s">
        <v>392</v>
      </c>
    </row>
    <row r="4038" spans="1:10" x14ac:dyDescent="0.25">
      <c r="A4038" s="78">
        <v>46235</v>
      </c>
      <c r="B4038" s="68">
        <v>13</v>
      </c>
      <c r="C4038" s="189" t="s">
        <v>666</v>
      </c>
      <c r="D4038" s="30">
        <v>1</v>
      </c>
      <c r="E4038" s="30">
        <v>10</v>
      </c>
      <c r="F4038" s="30">
        <f t="shared" si="139"/>
        <v>10</v>
      </c>
      <c r="G4038" s="30" t="s">
        <v>10</v>
      </c>
      <c r="J4038" s="30" t="s">
        <v>392</v>
      </c>
    </row>
    <row r="4039" spans="1:10" ht="30" x14ac:dyDescent="0.25">
      <c r="A4039" s="78">
        <v>46235</v>
      </c>
      <c r="B4039" s="68">
        <v>14</v>
      </c>
      <c r="C4039" s="189" t="s">
        <v>599</v>
      </c>
      <c r="D4039" s="30">
        <v>1</v>
      </c>
      <c r="E4039" s="30">
        <v>188</v>
      </c>
      <c r="F4039" s="30">
        <f t="shared" si="139"/>
        <v>188</v>
      </c>
      <c r="G4039" s="30" t="s">
        <v>9</v>
      </c>
      <c r="I4039" s="68" t="s">
        <v>1023</v>
      </c>
      <c r="J4039" s="30" t="s">
        <v>392</v>
      </c>
    </row>
    <row r="4040" spans="1:10" x14ac:dyDescent="0.25">
      <c r="A4040" s="78">
        <v>46235</v>
      </c>
      <c r="B4040" s="68">
        <v>14</v>
      </c>
      <c r="C4040" s="189" t="s">
        <v>852</v>
      </c>
      <c r="D4040" s="30">
        <v>1</v>
      </c>
      <c r="E4040" s="30">
        <v>105</v>
      </c>
      <c r="F4040" s="30">
        <f t="shared" si="139"/>
        <v>105</v>
      </c>
      <c r="G4040" s="30" t="s">
        <v>9</v>
      </c>
      <c r="I4040" s="68" t="s">
        <v>1023</v>
      </c>
      <c r="J4040" s="30" t="s">
        <v>392</v>
      </c>
    </row>
    <row r="4041" spans="1:10" x14ac:dyDescent="0.25">
      <c r="A4041" s="78">
        <v>46235</v>
      </c>
      <c r="B4041" s="68">
        <v>15</v>
      </c>
      <c r="C4041" s="189" t="s">
        <v>1088</v>
      </c>
      <c r="D4041" s="30">
        <v>4</v>
      </c>
      <c r="E4041" s="30">
        <v>10</v>
      </c>
      <c r="F4041" s="30">
        <f t="shared" si="139"/>
        <v>40</v>
      </c>
      <c r="G4041" s="30" t="s">
        <v>9</v>
      </c>
      <c r="J4041" s="30" t="s">
        <v>392</v>
      </c>
    </row>
    <row r="4042" spans="1:10" x14ac:dyDescent="0.25">
      <c r="A4042" s="78">
        <v>46235</v>
      </c>
      <c r="B4042" s="68">
        <v>16</v>
      </c>
      <c r="C4042" s="189" t="s">
        <v>381</v>
      </c>
      <c r="D4042" s="30">
        <v>1</v>
      </c>
      <c r="E4042" s="30">
        <v>18</v>
      </c>
      <c r="F4042" s="30">
        <f t="shared" si="139"/>
        <v>18</v>
      </c>
      <c r="G4042" s="30" t="s">
        <v>9</v>
      </c>
      <c r="J4042" s="30" t="s">
        <v>392</v>
      </c>
    </row>
    <row r="4043" spans="1:10" ht="30" x14ac:dyDescent="0.25">
      <c r="A4043" s="78">
        <v>46235</v>
      </c>
      <c r="B4043" s="68">
        <v>16</v>
      </c>
      <c r="C4043" s="189" t="s">
        <v>562</v>
      </c>
      <c r="D4043" s="30">
        <v>2</v>
      </c>
      <c r="E4043" s="30">
        <v>1</v>
      </c>
      <c r="F4043" s="30">
        <f t="shared" si="139"/>
        <v>2</v>
      </c>
      <c r="G4043" s="30" t="s">
        <v>9</v>
      </c>
      <c r="J4043" s="30" t="s">
        <v>392</v>
      </c>
    </row>
    <row r="4044" spans="1:10" x14ac:dyDescent="0.25">
      <c r="A4044" s="78">
        <v>46235</v>
      </c>
      <c r="B4044" s="68">
        <v>17</v>
      </c>
      <c r="C4044" s="189" t="s">
        <v>699</v>
      </c>
      <c r="D4044" s="30">
        <v>1</v>
      </c>
      <c r="E4044" s="30">
        <v>15</v>
      </c>
      <c r="F4044" s="30">
        <f t="shared" si="139"/>
        <v>15</v>
      </c>
      <c r="G4044" s="30" t="s">
        <v>9</v>
      </c>
      <c r="J4044" s="30" t="s">
        <v>392</v>
      </c>
    </row>
    <row r="4045" spans="1:10" x14ac:dyDescent="0.25">
      <c r="A4045" s="78">
        <v>46235</v>
      </c>
      <c r="B4045" s="68">
        <v>17</v>
      </c>
      <c r="C4045" s="189" t="s">
        <v>759</v>
      </c>
      <c r="D4045" s="30">
        <v>1</v>
      </c>
      <c r="E4045" s="30">
        <v>5</v>
      </c>
      <c r="F4045" s="30">
        <f t="shared" si="139"/>
        <v>5</v>
      </c>
      <c r="G4045" s="30" t="s">
        <v>9</v>
      </c>
      <c r="J4045" s="30" t="s">
        <v>392</v>
      </c>
    </row>
    <row r="4046" spans="1:10" x14ac:dyDescent="0.25">
      <c r="A4046" s="78">
        <v>46235</v>
      </c>
      <c r="B4046" s="68">
        <v>18</v>
      </c>
      <c r="C4046" s="189" t="s">
        <v>1088</v>
      </c>
      <c r="D4046" s="30">
        <v>8</v>
      </c>
      <c r="E4046" s="30">
        <v>10</v>
      </c>
      <c r="F4046" s="30">
        <f t="shared" si="139"/>
        <v>80</v>
      </c>
      <c r="G4046" s="30" t="s">
        <v>9</v>
      </c>
      <c r="J4046" s="30" t="s">
        <v>392</v>
      </c>
    </row>
    <row r="4047" spans="1:10" x14ac:dyDescent="0.25">
      <c r="A4047" s="78">
        <v>46235</v>
      </c>
      <c r="B4047" s="68">
        <v>18</v>
      </c>
      <c r="C4047" s="189" t="s">
        <v>673</v>
      </c>
      <c r="D4047" s="30">
        <v>1</v>
      </c>
      <c r="E4047" s="30">
        <v>60</v>
      </c>
      <c r="F4047" s="30">
        <f t="shared" si="139"/>
        <v>60</v>
      </c>
      <c r="G4047" s="30" t="s">
        <v>9</v>
      </c>
      <c r="J4047" s="30" t="s">
        <v>392</v>
      </c>
    </row>
    <row r="4048" spans="1:10" x14ac:dyDescent="0.25">
      <c r="A4048" s="78">
        <v>46235</v>
      </c>
      <c r="B4048" s="68">
        <v>18</v>
      </c>
      <c r="C4048" s="189" t="s">
        <v>1048</v>
      </c>
      <c r="D4048" s="30">
        <v>1</v>
      </c>
      <c r="E4048" s="30">
        <v>20</v>
      </c>
      <c r="F4048" s="30">
        <f t="shared" si="139"/>
        <v>20</v>
      </c>
      <c r="G4048" s="30" t="s">
        <v>9</v>
      </c>
      <c r="J4048" s="30" t="s">
        <v>392</v>
      </c>
    </row>
    <row r="4049" spans="1:12" x14ac:dyDescent="0.25">
      <c r="A4049" s="78">
        <v>46235</v>
      </c>
      <c r="B4049" s="68">
        <v>18</v>
      </c>
      <c r="C4049" s="188" t="s">
        <v>607</v>
      </c>
      <c r="D4049" s="30">
        <v>1</v>
      </c>
      <c r="E4049" s="30">
        <v>30</v>
      </c>
      <c r="F4049" s="30">
        <f t="shared" si="139"/>
        <v>30</v>
      </c>
      <c r="G4049" s="30" t="s">
        <v>9</v>
      </c>
      <c r="J4049" s="30" t="s">
        <v>392</v>
      </c>
    </row>
    <row r="4050" spans="1:12" x14ac:dyDescent="0.25">
      <c r="A4050" s="78">
        <v>46235</v>
      </c>
      <c r="B4050" s="68">
        <v>18</v>
      </c>
      <c r="C4050" s="189" t="s">
        <v>677</v>
      </c>
      <c r="D4050" s="30">
        <v>2</v>
      </c>
      <c r="E4050" s="30">
        <v>5</v>
      </c>
      <c r="F4050" s="30">
        <f t="shared" si="139"/>
        <v>10</v>
      </c>
      <c r="G4050" s="30" t="s">
        <v>9</v>
      </c>
      <c r="J4050" s="30" t="s">
        <v>392</v>
      </c>
    </row>
    <row r="4051" spans="1:12" s="62" customFormat="1" x14ac:dyDescent="0.25">
      <c r="A4051" s="151">
        <v>46235</v>
      </c>
      <c r="B4051" s="139"/>
      <c r="C4051" s="150"/>
      <c r="H4051" s="139"/>
      <c r="I4051" s="139">
        <f>SUMIF(G4011:G4050, "&lt;&gt;UPI",F4011:F4050)</f>
        <v>1338</v>
      </c>
    </row>
    <row r="4052" spans="1:12" s="170" customFormat="1" ht="18.75" x14ac:dyDescent="0.3">
      <c r="A4052" s="79">
        <v>46235</v>
      </c>
      <c r="B4052" s="147" t="s">
        <v>987</v>
      </c>
      <c r="C4052" s="169">
        <f>MAX(B4011:B4051)</f>
        <v>18</v>
      </c>
      <c r="D4052" s="147" t="s">
        <v>988</v>
      </c>
      <c r="E4052" s="170">
        <f>SUMIF(G4011:G4051,"UPI",F4011:F4051)</f>
        <v>204.75</v>
      </c>
      <c r="F4052" s="230" t="s">
        <v>437</v>
      </c>
      <c r="G4052" s="230"/>
      <c r="H4052" s="230"/>
      <c r="I4052" s="231">
        <f>SUM(F4011:F4051)</f>
        <v>1542.75</v>
      </c>
      <c r="J4052" s="231"/>
      <c r="K4052" s="231"/>
      <c r="L4052" s="231"/>
    </row>
    <row r="4053" spans="1:12" x14ac:dyDescent="0.25">
      <c r="A4053" s="78">
        <v>46236</v>
      </c>
      <c r="B4053" s="68">
        <v>1</v>
      </c>
      <c r="C4053" s="189" t="s">
        <v>1070</v>
      </c>
      <c r="D4053" s="30">
        <v>1</v>
      </c>
      <c r="E4053" s="30">
        <v>25</v>
      </c>
      <c r="F4053" s="30">
        <f>E4053*D4053</f>
        <v>25</v>
      </c>
      <c r="G4053" s="30" t="s">
        <v>9</v>
      </c>
      <c r="J4053" s="30" t="s">
        <v>391</v>
      </c>
    </row>
    <row r="4054" spans="1:12" x14ac:dyDescent="0.25">
      <c r="A4054" s="78">
        <v>46236</v>
      </c>
      <c r="B4054" s="68">
        <v>1</v>
      </c>
      <c r="C4054" s="189" t="s">
        <v>1098</v>
      </c>
      <c r="D4054" s="30">
        <v>1</v>
      </c>
      <c r="E4054" s="30">
        <v>20</v>
      </c>
      <c r="F4054" s="30">
        <f t="shared" ref="F4054:F4106" si="140">E4054*D4054</f>
        <v>20</v>
      </c>
      <c r="G4054" s="30" t="s">
        <v>9</v>
      </c>
      <c r="J4054" s="30" t="s">
        <v>391</v>
      </c>
    </row>
    <row r="4055" spans="1:12" x14ac:dyDescent="0.25">
      <c r="A4055" s="78">
        <v>46236</v>
      </c>
      <c r="B4055" s="68">
        <v>2</v>
      </c>
      <c r="C4055" s="189" t="s">
        <v>1070</v>
      </c>
      <c r="D4055" s="30">
        <v>1</v>
      </c>
      <c r="E4055" s="30">
        <v>25</v>
      </c>
      <c r="F4055" s="30">
        <f t="shared" si="140"/>
        <v>25</v>
      </c>
      <c r="G4055" s="30" t="s">
        <v>9</v>
      </c>
      <c r="J4055" s="30" t="s">
        <v>391</v>
      </c>
    </row>
    <row r="4056" spans="1:12" x14ac:dyDescent="0.25">
      <c r="A4056" s="78">
        <v>46236</v>
      </c>
      <c r="B4056" s="68">
        <v>2</v>
      </c>
      <c r="C4056" s="189" t="s">
        <v>848</v>
      </c>
      <c r="D4056" s="30">
        <v>3</v>
      </c>
      <c r="E4056" s="30">
        <v>5</v>
      </c>
      <c r="F4056" s="30">
        <f t="shared" si="140"/>
        <v>15</v>
      </c>
      <c r="G4056" s="30" t="s">
        <v>9</v>
      </c>
      <c r="J4056" s="30" t="s">
        <v>391</v>
      </c>
    </row>
    <row r="4057" spans="1:12" x14ac:dyDescent="0.25">
      <c r="A4057" s="78">
        <v>46236</v>
      </c>
      <c r="B4057" s="68">
        <v>3</v>
      </c>
      <c r="C4057" s="189" t="s">
        <v>946</v>
      </c>
      <c r="D4057" s="30">
        <v>1</v>
      </c>
      <c r="E4057" s="30">
        <v>40</v>
      </c>
      <c r="F4057" s="30">
        <f t="shared" si="140"/>
        <v>40</v>
      </c>
      <c r="G4057" s="30" t="s">
        <v>9</v>
      </c>
      <c r="J4057" s="30" t="s">
        <v>391</v>
      </c>
    </row>
    <row r="4058" spans="1:12" x14ac:dyDescent="0.25">
      <c r="A4058" s="78">
        <v>46236</v>
      </c>
      <c r="B4058" s="68">
        <v>4</v>
      </c>
      <c r="C4058" s="189" t="s">
        <v>820</v>
      </c>
      <c r="D4058" s="30">
        <v>1</v>
      </c>
      <c r="E4058" s="30">
        <v>52</v>
      </c>
      <c r="F4058" s="30">
        <f t="shared" si="140"/>
        <v>52</v>
      </c>
      <c r="G4058" s="30" t="s">
        <v>9</v>
      </c>
      <c r="J4058" s="30" t="s">
        <v>391</v>
      </c>
    </row>
    <row r="4059" spans="1:12" ht="30" x14ac:dyDescent="0.25">
      <c r="A4059" s="78">
        <v>46236</v>
      </c>
      <c r="B4059" s="68">
        <v>4</v>
      </c>
      <c r="C4059" s="189" t="s">
        <v>897</v>
      </c>
      <c r="D4059" s="30">
        <v>6</v>
      </c>
      <c r="E4059" s="30">
        <v>1</v>
      </c>
      <c r="F4059" s="30">
        <f t="shared" si="140"/>
        <v>6</v>
      </c>
      <c r="G4059" s="30" t="s">
        <v>9</v>
      </c>
      <c r="J4059" s="30" t="s">
        <v>391</v>
      </c>
    </row>
    <row r="4060" spans="1:12" ht="30" x14ac:dyDescent="0.25">
      <c r="A4060" s="78">
        <v>46236</v>
      </c>
      <c r="B4060" s="68">
        <v>4</v>
      </c>
      <c r="C4060" s="189" t="s">
        <v>827</v>
      </c>
      <c r="D4060" s="30">
        <v>2</v>
      </c>
      <c r="E4060" s="30">
        <v>1</v>
      </c>
      <c r="F4060" s="30">
        <f t="shared" si="140"/>
        <v>2</v>
      </c>
      <c r="G4060" s="30" t="s">
        <v>9</v>
      </c>
      <c r="J4060" s="30" t="s">
        <v>391</v>
      </c>
    </row>
    <row r="4061" spans="1:12" x14ac:dyDescent="0.25">
      <c r="A4061" s="78">
        <v>46236</v>
      </c>
      <c r="B4061" s="68">
        <v>5</v>
      </c>
      <c r="C4061" s="189" t="s">
        <v>1141</v>
      </c>
      <c r="D4061" s="30">
        <v>1</v>
      </c>
      <c r="E4061" s="30">
        <v>10</v>
      </c>
      <c r="F4061" s="30">
        <f t="shared" si="140"/>
        <v>10</v>
      </c>
      <c r="G4061" s="30" t="s">
        <v>9</v>
      </c>
      <c r="J4061" s="30" t="s">
        <v>391</v>
      </c>
    </row>
    <row r="4062" spans="1:12" x14ac:dyDescent="0.25">
      <c r="A4062" s="78">
        <v>46236</v>
      </c>
      <c r="B4062" s="68">
        <v>6</v>
      </c>
      <c r="C4062" s="189" t="s">
        <v>666</v>
      </c>
      <c r="D4062" s="30">
        <v>1</v>
      </c>
      <c r="E4062" s="30">
        <v>10</v>
      </c>
      <c r="F4062" s="30">
        <f t="shared" si="140"/>
        <v>10</v>
      </c>
      <c r="G4062" s="30" t="s">
        <v>9</v>
      </c>
      <c r="J4062" s="30" t="s">
        <v>391</v>
      </c>
    </row>
    <row r="4063" spans="1:12" x14ac:dyDescent="0.25">
      <c r="A4063" s="78">
        <v>46236</v>
      </c>
      <c r="B4063" s="68">
        <v>7</v>
      </c>
      <c r="C4063" s="189" t="s">
        <v>1168</v>
      </c>
      <c r="D4063" s="30">
        <v>1</v>
      </c>
      <c r="E4063" s="30">
        <v>10</v>
      </c>
      <c r="F4063" s="30">
        <f t="shared" si="140"/>
        <v>10</v>
      </c>
      <c r="G4063" s="30" t="s">
        <v>9</v>
      </c>
      <c r="J4063" s="30" t="s">
        <v>391</v>
      </c>
    </row>
    <row r="4064" spans="1:12" x14ac:dyDescent="0.25">
      <c r="A4064" s="78">
        <v>46236</v>
      </c>
      <c r="B4064" s="68">
        <v>7</v>
      </c>
      <c r="C4064" s="189" t="s">
        <v>666</v>
      </c>
      <c r="D4064" s="30">
        <v>2</v>
      </c>
      <c r="E4064" s="30">
        <v>10</v>
      </c>
      <c r="F4064" s="30">
        <f t="shared" si="140"/>
        <v>20</v>
      </c>
      <c r="G4064" s="30" t="s">
        <v>9</v>
      </c>
      <c r="J4064" s="30" t="s">
        <v>391</v>
      </c>
    </row>
    <row r="4065" spans="1:10" x14ac:dyDescent="0.25">
      <c r="A4065" s="78">
        <v>46236</v>
      </c>
      <c r="B4065" s="68">
        <v>7</v>
      </c>
      <c r="C4065" s="189" t="s">
        <v>666</v>
      </c>
      <c r="D4065" s="30">
        <v>1</v>
      </c>
      <c r="E4065" s="30">
        <v>10</v>
      </c>
      <c r="F4065" s="30">
        <f t="shared" si="140"/>
        <v>10</v>
      </c>
      <c r="G4065" s="30" t="s">
        <v>9</v>
      </c>
      <c r="J4065" s="30" t="s">
        <v>391</v>
      </c>
    </row>
    <row r="4066" spans="1:10" x14ac:dyDescent="0.25">
      <c r="A4066" s="78">
        <v>46236</v>
      </c>
      <c r="B4066" s="68">
        <v>8</v>
      </c>
      <c r="C4066" s="188" t="s">
        <v>692</v>
      </c>
      <c r="D4066" s="30">
        <v>0.1</v>
      </c>
      <c r="E4066" s="30">
        <v>200</v>
      </c>
      <c r="F4066" s="30">
        <f t="shared" si="140"/>
        <v>20</v>
      </c>
      <c r="G4066" s="30" t="s">
        <v>9</v>
      </c>
      <c r="J4066" s="30" t="s">
        <v>391</v>
      </c>
    </row>
    <row r="4067" spans="1:10" x14ac:dyDescent="0.25">
      <c r="A4067" s="78">
        <v>46236</v>
      </c>
      <c r="B4067" s="68">
        <v>9</v>
      </c>
      <c r="C4067" s="189" t="s">
        <v>568</v>
      </c>
      <c r="D4067" s="30">
        <v>1</v>
      </c>
      <c r="E4067" s="30">
        <v>1</v>
      </c>
      <c r="F4067" s="30">
        <f t="shared" si="140"/>
        <v>1</v>
      </c>
      <c r="G4067" s="30" t="s">
        <v>10</v>
      </c>
      <c r="I4067" s="68" t="s">
        <v>1202</v>
      </c>
      <c r="J4067" s="30" t="s">
        <v>391</v>
      </c>
    </row>
    <row r="4068" spans="1:10" x14ac:dyDescent="0.25">
      <c r="A4068" s="78">
        <v>46236</v>
      </c>
      <c r="B4068" s="68">
        <v>10</v>
      </c>
      <c r="C4068" s="189" t="s">
        <v>694</v>
      </c>
      <c r="D4068" s="30">
        <v>1</v>
      </c>
      <c r="E4068" s="30">
        <v>25</v>
      </c>
      <c r="F4068" s="30">
        <f t="shared" si="140"/>
        <v>25</v>
      </c>
      <c r="G4068" s="30" t="s">
        <v>10</v>
      </c>
      <c r="J4068" s="30" t="s">
        <v>391</v>
      </c>
    </row>
    <row r="4069" spans="1:10" x14ac:dyDescent="0.25">
      <c r="A4069" s="78">
        <v>46236</v>
      </c>
      <c r="B4069" s="68">
        <v>10</v>
      </c>
      <c r="C4069" s="189" t="s">
        <v>395</v>
      </c>
      <c r="D4069" s="30">
        <v>1</v>
      </c>
      <c r="E4069" s="30">
        <v>10</v>
      </c>
      <c r="F4069" s="30">
        <f t="shared" si="140"/>
        <v>10</v>
      </c>
      <c r="G4069" s="30" t="s">
        <v>9</v>
      </c>
      <c r="J4069" s="30" t="s">
        <v>391</v>
      </c>
    </row>
    <row r="4070" spans="1:10" x14ac:dyDescent="0.25">
      <c r="A4070" s="78">
        <v>46236</v>
      </c>
      <c r="B4070" s="68">
        <v>1</v>
      </c>
      <c r="C4070" s="189" t="s">
        <v>717</v>
      </c>
      <c r="D4070" s="30">
        <v>1</v>
      </c>
      <c r="E4070" s="30">
        <v>90</v>
      </c>
      <c r="F4070" s="30">
        <f t="shared" si="140"/>
        <v>90</v>
      </c>
      <c r="G4070" s="30" t="s">
        <v>9</v>
      </c>
      <c r="J4070" s="30" t="s">
        <v>391</v>
      </c>
    </row>
    <row r="4071" spans="1:10" x14ac:dyDescent="0.25">
      <c r="A4071" s="78">
        <v>46236</v>
      </c>
      <c r="B4071" s="68">
        <v>1</v>
      </c>
      <c r="C4071" s="188" t="s">
        <v>679</v>
      </c>
      <c r="D4071" s="30">
        <v>1</v>
      </c>
      <c r="E4071" s="30">
        <v>20</v>
      </c>
      <c r="F4071" s="30">
        <f t="shared" si="140"/>
        <v>20</v>
      </c>
      <c r="G4071" s="30" t="s">
        <v>9</v>
      </c>
      <c r="J4071" s="30" t="s">
        <v>391</v>
      </c>
    </row>
    <row r="4072" spans="1:10" x14ac:dyDescent="0.25">
      <c r="A4072" s="78">
        <v>46236</v>
      </c>
      <c r="B4072" s="68">
        <v>1</v>
      </c>
      <c r="C4072" s="189" t="s">
        <v>886</v>
      </c>
      <c r="D4072" s="30">
        <v>1</v>
      </c>
      <c r="E4072" s="30">
        <v>10</v>
      </c>
      <c r="F4072" s="30">
        <f t="shared" si="140"/>
        <v>10</v>
      </c>
      <c r="G4072" s="30" t="s">
        <v>9</v>
      </c>
      <c r="J4072" s="30" t="s">
        <v>391</v>
      </c>
    </row>
    <row r="4073" spans="1:10" x14ac:dyDescent="0.25">
      <c r="A4073" s="78">
        <v>46236</v>
      </c>
      <c r="B4073" s="68">
        <v>9</v>
      </c>
      <c r="C4073" s="189" t="s">
        <v>860</v>
      </c>
      <c r="D4073" s="30">
        <v>1</v>
      </c>
      <c r="E4073" s="30">
        <v>5</v>
      </c>
      <c r="F4073" s="30">
        <f t="shared" si="140"/>
        <v>5</v>
      </c>
      <c r="G4073" s="30" t="s">
        <v>10</v>
      </c>
      <c r="I4073" s="68" t="s">
        <v>1202</v>
      </c>
      <c r="J4073" s="30" t="s">
        <v>391</v>
      </c>
    </row>
    <row r="4074" spans="1:10" ht="30" x14ac:dyDescent="0.25">
      <c r="A4074" s="78">
        <v>46236</v>
      </c>
      <c r="B4074" s="68">
        <v>11</v>
      </c>
      <c r="C4074" s="189" t="s">
        <v>1114</v>
      </c>
      <c r="D4074" s="30">
        <v>1</v>
      </c>
      <c r="E4074" s="30">
        <v>60</v>
      </c>
      <c r="F4074" s="30">
        <f t="shared" si="140"/>
        <v>60</v>
      </c>
      <c r="G4074" s="30" t="s">
        <v>10</v>
      </c>
      <c r="H4074" s="68" t="s">
        <v>1206</v>
      </c>
      <c r="I4074" s="68" t="s">
        <v>1203</v>
      </c>
      <c r="J4074" s="30" t="s">
        <v>391</v>
      </c>
    </row>
    <row r="4075" spans="1:10" x14ac:dyDescent="0.25">
      <c r="A4075" s="78">
        <v>46236</v>
      </c>
      <c r="B4075" s="68">
        <v>11</v>
      </c>
      <c r="C4075" s="189" t="s">
        <v>757</v>
      </c>
      <c r="D4075" s="30">
        <v>0.28999999999999998</v>
      </c>
      <c r="E4075" s="30">
        <v>140</v>
      </c>
      <c r="F4075" s="30">
        <f t="shared" si="140"/>
        <v>40.599999999999994</v>
      </c>
      <c r="G4075" s="30" t="s">
        <v>10</v>
      </c>
      <c r="H4075" s="68" t="s">
        <v>1206</v>
      </c>
      <c r="I4075" s="68" t="s">
        <v>1203</v>
      </c>
      <c r="J4075" s="30" t="s">
        <v>391</v>
      </c>
    </row>
    <row r="4076" spans="1:10" x14ac:dyDescent="0.25">
      <c r="A4076" s="78">
        <v>46236</v>
      </c>
      <c r="B4076" s="68">
        <v>12</v>
      </c>
      <c r="C4076" s="188" t="s">
        <v>794</v>
      </c>
      <c r="D4076" s="30">
        <v>0.34</v>
      </c>
      <c r="E4076" s="30">
        <v>60</v>
      </c>
      <c r="F4076" s="30">
        <f t="shared" si="140"/>
        <v>20.400000000000002</v>
      </c>
      <c r="G4076" s="30" t="s">
        <v>9</v>
      </c>
      <c r="J4076" s="30" t="s">
        <v>392</v>
      </c>
    </row>
    <row r="4077" spans="1:10" x14ac:dyDescent="0.25">
      <c r="A4077" s="78">
        <v>46236</v>
      </c>
      <c r="B4077" s="68">
        <v>13</v>
      </c>
      <c r="C4077" s="189" t="s">
        <v>891</v>
      </c>
      <c r="D4077" s="30">
        <v>5</v>
      </c>
      <c r="E4077" s="30">
        <v>1</v>
      </c>
      <c r="F4077" s="30">
        <f t="shared" si="140"/>
        <v>5</v>
      </c>
      <c r="G4077" s="30" t="s">
        <v>9</v>
      </c>
      <c r="J4077" s="30" t="s">
        <v>392</v>
      </c>
    </row>
    <row r="4078" spans="1:10" x14ac:dyDescent="0.25">
      <c r="A4078" s="78">
        <v>46236</v>
      </c>
      <c r="B4078" s="68">
        <v>13</v>
      </c>
      <c r="C4078" s="189" t="s">
        <v>769</v>
      </c>
      <c r="D4078" s="30">
        <v>1</v>
      </c>
      <c r="E4078" s="30">
        <v>20</v>
      </c>
      <c r="F4078" s="30">
        <f t="shared" si="140"/>
        <v>20</v>
      </c>
      <c r="G4078" s="30" t="s">
        <v>9</v>
      </c>
      <c r="J4078" s="30" t="s">
        <v>392</v>
      </c>
    </row>
    <row r="4079" spans="1:10" x14ac:dyDescent="0.25">
      <c r="A4079" s="78">
        <v>46236</v>
      </c>
      <c r="B4079" s="68">
        <v>14</v>
      </c>
      <c r="C4079" s="189" t="s">
        <v>567</v>
      </c>
      <c r="D4079" s="30">
        <v>2</v>
      </c>
      <c r="E4079" s="30">
        <v>2.5</v>
      </c>
      <c r="F4079" s="30">
        <f t="shared" si="140"/>
        <v>5</v>
      </c>
      <c r="G4079" s="30" t="s">
        <v>9</v>
      </c>
      <c r="J4079" s="30" t="s">
        <v>392</v>
      </c>
    </row>
    <row r="4080" spans="1:10" x14ac:dyDescent="0.25">
      <c r="A4080" s="78">
        <v>46236</v>
      </c>
      <c r="B4080" s="68">
        <v>15</v>
      </c>
      <c r="C4080" s="189" t="s">
        <v>759</v>
      </c>
      <c r="D4080" s="30">
        <v>2</v>
      </c>
      <c r="E4080" s="30">
        <v>5</v>
      </c>
      <c r="F4080" s="30">
        <f t="shared" si="140"/>
        <v>10</v>
      </c>
      <c r="G4080" s="30" t="s">
        <v>9</v>
      </c>
      <c r="J4080" s="30" t="s">
        <v>392</v>
      </c>
    </row>
    <row r="4081" spans="1:10" x14ac:dyDescent="0.25">
      <c r="A4081" s="78">
        <v>46236</v>
      </c>
      <c r="B4081" s="68">
        <v>16</v>
      </c>
      <c r="C4081" s="188" t="s">
        <v>626</v>
      </c>
      <c r="D4081" s="30">
        <v>1</v>
      </c>
      <c r="E4081" s="30">
        <v>10</v>
      </c>
      <c r="F4081" s="30">
        <f t="shared" si="140"/>
        <v>10</v>
      </c>
      <c r="G4081" s="30" t="s">
        <v>9</v>
      </c>
      <c r="J4081" s="30" t="s">
        <v>392</v>
      </c>
    </row>
    <row r="4082" spans="1:10" x14ac:dyDescent="0.25">
      <c r="A4082" s="78">
        <v>46236</v>
      </c>
      <c r="B4082" s="68">
        <v>17</v>
      </c>
      <c r="C4082" s="189" t="s">
        <v>1166</v>
      </c>
      <c r="D4082" s="30">
        <v>5</v>
      </c>
      <c r="E4082" s="30">
        <v>1</v>
      </c>
      <c r="F4082" s="30">
        <f t="shared" si="140"/>
        <v>5</v>
      </c>
      <c r="G4082" s="30" t="s">
        <v>9</v>
      </c>
      <c r="J4082" s="30" t="s">
        <v>392</v>
      </c>
    </row>
    <row r="4083" spans="1:10" x14ac:dyDescent="0.25">
      <c r="A4083" s="78">
        <v>46236</v>
      </c>
      <c r="B4083" s="68">
        <v>18</v>
      </c>
      <c r="C4083" s="189" t="s">
        <v>1043</v>
      </c>
      <c r="D4083" s="30">
        <v>0.375</v>
      </c>
      <c r="E4083" s="30">
        <v>135</v>
      </c>
      <c r="F4083" s="30">
        <f t="shared" si="140"/>
        <v>50.625</v>
      </c>
      <c r="G4083" s="30" t="s">
        <v>9</v>
      </c>
      <c r="J4083" s="30" t="s">
        <v>392</v>
      </c>
    </row>
    <row r="4084" spans="1:10" x14ac:dyDescent="0.25">
      <c r="A4084" s="78">
        <v>46236</v>
      </c>
      <c r="B4084" s="68">
        <v>18</v>
      </c>
      <c r="C4084" s="188" t="s">
        <v>905</v>
      </c>
      <c r="D4084" s="30">
        <v>2</v>
      </c>
      <c r="E4084" s="30">
        <v>10</v>
      </c>
      <c r="F4084" s="30">
        <f t="shared" si="140"/>
        <v>20</v>
      </c>
      <c r="G4084" s="30" t="s">
        <v>9</v>
      </c>
      <c r="J4084" s="30" t="s">
        <v>392</v>
      </c>
    </row>
    <row r="4085" spans="1:10" x14ac:dyDescent="0.25">
      <c r="A4085" s="78">
        <v>46236</v>
      </c>
      <c r="B4085" s="68">
        <v>19</v>
      </c>
      <c r="C4085" s="189" t="s">
        <v>768</v>
      </c>
      <c r="D4085" s="30">
        <v>1</v>
      </c>
      <c r="E4085" s="30">
        <v>10</v>
      </c>
      <c r="F4085" s="30">
        <f t="shared" si="140"/>
        <v>10</v>
      </c>
      <c r="G4085" s="30" t="s">
        <v>9</v>
      </c>
      <c r="J4085" s="30" t="s">
        <v>392</v>
      </c>
    </row>
    <row r="4086" spans="1:10" x14ac:dyDescent="0.25">
      <c r="A4086" s="78">
        <v>46236</v>
      </c>
      <c r="B4086" s="68">
        <v>19</v>
      </c>
      <c r="C4086" s="189" t="s">
        <v>1139</v>
      </c>
      <c r="D4086" s="30">
        <v>1</v>
      </c>
      <c r="E4086" s="30">
        <v>5</v>
      </c>
      <c r="F4086" s="30">
        <f t="shared" si="140"/>
        <v>5</v>
      </c>
      <c r="G4086" s="30" t="s">
        <v>9</v>
      </c>
      <c r="J4086" s="30" t="s">
        <v>392</v>
      </c>
    </row>
    <row r="4087" spans="1:10" x14ac:dyDescent="0.25">
      <c r="A4087" s="78">
        <v>46236</v>
      </c>
      <c r="B4087" s="68">
        <v>19</v>
      </c>
      <c r="C4087" s="189" t="s">
        <v>531</v>
      </c>
      <c r="D4087" s="30">
        <v>1</v>
      </c>
      <c r="E4087" s="30">
        <v>5</v>
      </c>
      <c r="F4087" s="30">
        <f t="shared" si="140"/>
        <v>5</v>
      </c>
      <c r="G4087" s="30" t="s">
        <v>9</v>
      </c>
      <c r="J4087" s="30" t="s">
        <v>392</v>
      </c>
    </row>
    <row r="4088" spans="1:10" x14ac:dyDescent="0.25">
      <c r="A4088" s="78">
        <v>46236</v>
      </c>
      <c r="B4088" s="68">
        <v>20</v>
      </c>
      <c r="C4088" s="189" t="s">
        <v>666</v>
      </c>
      <c r="D4088" s="30">
        <v>2</v>
      </c>
      <c r="E4088" s="30">
        <v>10</v>
      </c>
      <c r="F4088" s="30">
        <f t="shared" si="140"/>
        <v>20</v>
      </c>
      <c r="G4088" s="30" t="s">
        <v>9</v>
      </c>
      <c r="J4088" s="30" t="s">
        <v>392</v>
      </c>
    </row>
    <row r="4089" spans="1:10" x14ac:dyDescent="0.25">
      <c r="A4089" s="78">
        <v>46236</v>
      </c>
      <c r="B4089" s="68">
        <v>21</v>
      </c>
      <c r="C4089" s="189" t="s">
        <v>1149</v>
      </c>
      <c r="D4089" s="30">
        <v>1</v>
      </c>
      <c r="E4089" s="30">
        <v>30</v>
      </c>
      <c r="F4089" s="30">
        <f t="shared" si="140"/>
        <v>30</v>
      </c>
      <c r="G4089" s="30" t="s">
        <v>10</v>
      </c>
      <c r="J4089" s="30" t="s">
        <v>392</v>
      </c>
    </row>
    <row r="4090" spans="1:10" x14ac:dyDescent="0.25">
      <c r="A4090" s="78">
        <v>46236</v>
      </c>
      <c r="B4090" s="68">
        <v>21</v>
      </c>
      <c r="C4090" s="189" t="s">
        <v>1047</v>
      </c>
      <c r="D4090" s="30">
        <v>1</v>
      </c>
      <c r="E4090" s="30">
        <v>60</v>
      </c>
      <c r="F4090" s="30">
        <f t="shared" si="140"/>
        <v>60</v>
      </c>
      <c r="G4090" s="30" t="s">
        <v>10</v>
      </c>
      <c r="J4090" s="30" t="s">
        <v>392</v>
      </c>
    </row>
    <row r="4091" spans="1:10" x14ac:dyDescent="0.25">
      <c r="A4091" s="78">
        <v>46236</v>
      </c>
      <c r="B4091" s="68">
        <v>21</v>
      </c>
      <c r="C4091" s="189" t="s">
        <v>1088</v>
      </c>
      <c r="D4091" s="30">
        <v>8</v>
      </c>
      <c r="E4091" s="30">
        <v>10</v>
      </c>
      <c r="F4091" s="30">
        <f t="shared" si="140"/>
        <v>80</v>
      </c>
      <c r="G4091" s="30" t="s">
        <v>10</v>
      </c>
      <c r="J4091" s="30" t="s">
        <v>392</v>
      </c>
    </row>
    <row r="4092" spans="1:10" ht="30" x14ac:dyDescent="0.25">
      <c r="A4092" s="78">
        <v>46236</v>
      </c>
      <c r="B4092" s="68">
        <v>22</v>
      </c>
      <c r="C4092" s="189" t="s">
        <v>1144</v>
      </c>
      <c r="D4092" s="30">
        <v>4</v>
      </c>
      <c r="E4092" s="30">
        <v>5</v>
      </c>
      <c r="F4092" s="30">
        <f t="shared" si="140"/>
        <v>20</v>
      </c>
      <c r="G4092" s="30" t="s">
        <v>9</v>
      </c>
      <c r="J4092" s="30" t="s">
        <v>392</v>
      </c>
    </row>
    <row r="4093" spans="1:10" ht="30" x14ac:dyDescent="0.25">
      <c r="A4093" s="78">
        <v>46236</v>
      </c>
      <c r="B4093" s="68">
        <v>23</v>
      </c>
      <c r="C4093" s="189" t="s">
        <v>1054</v>
      </c>
      <c r="D4093" s="30">
        <v>2</v>
      </c>
      <c r="E4093" s="30">
        <v>10</v>
      </c>
      <c r="F4093" s="30">
        <f t="shared" si="140"/>
        <v>20</v>
      </c>
      <c r="G4093" s="30" t="s">
        <v>9</v>
      </c>
      <c r="J4093" s="30" t="s">
        <v>392</v>
      </c>
    </row>
    <row r="4094" spans="1:10" x14ac:dyDescent="0.25">
      <c r="A4094" s="78">
        <v>46236</v>
      </c>
      <c r="B4094" s="68">
        <v>24</v>
      </c>
      <c r="C4094" s="188" t="str">
        <f>PA!A237</f>
        <v>MOUNTAIN DEW 400 ML LOT 1</v>
      </c>
      <c r="D4094" s="30">
        <v>1</v>
      </c>
      <c r="E4094" s="30">
        <v>20</v>
      </c>
      <c r="F4094" s="30">
        <f t="shared" si="140"/>
        <v>20</v>
      </c>
      <c r="G4094" s="30" t="s">
        <v>9</v>
      </c>
      <c r="J4094" s="30" t="s">
        <v>392</v>
      </c>
    </row>
    <row r="4095" spans="1:10" x14ac:dyDescent="0.25">
      <c r="A4095" s="78">
        <v>46236</v>
      </c>
      <c r="B4095" s="68">
        <v>25</v>
      </c>
      <c r="C4095" s="188" t="s">
        <v>767</v>
      </c>
      <c r="D4095" s="30">
        <v>1</v>
      </c>
      <c r="E4095" s="30">
        <v>10</v>
      </c>
      <c r="F4095" s="30">
        <f t="shared" si="140"/>
        <v>10</v>
      </c>
      <c r="G4095" s="30" t="s">
        <v>9</v>
      </c>
      <c r="J4095" s="30" t="s">
        <v>392</v>
      </c>
    </row>
    <row r="4096" spans="1:10" x14ac:dyDescent="0.25">
      <c r="A4096" s="78">
        <v>46236</v>
      </c>
      <c r="B4096" s="68">
        <v>25</v>
      </c>
      <c r="C4096" s="188" t="s">
        <v>43</v>
      </c>
      <c r="D4096" s="30">
        <v>2</v>
      </c>
      <c r="E4096" s="30">
        <v>5</v>
      </c>
      <c r="F4096" s="30">
        <f t="shared" si="140"/>
        <v>10</v>
      </c>
      <c r="G4096" s="30" t="s">
        <v>9</v>
      </c>
      <c r="J4096" s="30" t="s">
        <v>392</v>
      </c>
    </row>
    <row r="4097" spans="1:12" x14ac:dyDescent="0.25">
      <c r="A4097" s="78">
        <v>46236</v>
      </c>
      <c r="B4097" s="68">
        <v>26</v>
      </c>
      <c r="C4097" s="189" t="s">
        <v>582</v>
      </c>
      <c r="D4097" s="30">
        <v>1</v>
      </c>
      <c r="E4097" s="30">
        <v>10</v>
      </c>
      <c r="F4097" s="30">
        <f t="shared" si="140"/>
        <v>10</v>
      </c>
      <c r="G4097" s="30" t="s">
        <v>9</v>
      </c>
      <c r="J4097" s="30" t="s">
        <v>392</v>
      </c>
    </row>
    <row r="4098" spans="1:12" x14ac:dyDescent="0.25">
      <c r="A4098" s="78">
        <v>46236</v>
      </c>
      <c r="B4098" s="68">
        <v>27</v>
      </c>
      <c r="C4098" s="189" t="s">
        <v>666</v>
      </c>
      <c r="D4098" s="30">
        <v>2</v>
      </c>
      <c r="E4098" s="30">
        <v>10</v>
      </c>
      <c r="F4098" s="30">
        <f t="shared" si="140"/>
        <v>20</v>
      </c>
      <c r="G4098" s="30" t="s">
        <v>9</v>
      </c>
      <c r="J4098" s="30" t="s">
        <v>392</v>
      </c>
    </row>
    <row r="4099" spans="1:12" x14ac:dyDescent="0.25">
      <c r="A4099" s="78">
        <v>46236</v>
      </c>
      <c r="B4099" s="68">
        <v>28</v>
      </c>
      <c r="C4099" s="189" t="s">
        <v>807</v>
      </c>
      <c r="D4099" s="30">
        <v>0.14299999999999999</v>
      </c>
      <c r="E4099" s="30">
        <v>70</v>
      </c>
      <c r="F4099" s="30">
        <f t="shared" si="140"/>
        <v>10.01</v>
      </c>
      <c r="G4099" s="30" t="s">
        <v>9</v>
      </c>
      <c r="J4099" s="30" t="s">
        <v>392</v>
      </c>
    </row>
    <row r="4100" spans="1:12" x14ac:dyDescent="0.25">
      <c r="A4100" s="78">
        <v>46236</v>
      </c>
      <c r="B4100" s="68">
        <v>28</v>
      </c>
      <c r="C4100" s="189" t="s">
        <v>1162</v>
      </c>
      <c r="D4100" s="30">
        <v>1</v>
      </c>
      <c r="E4100" s="30">
        <v>5</v>
      </c>
      <c r="F4100" s="30">
        <f t="shared" si="140"/>
        <v>5</v>
      </c>
      <c r="G4100" s="30" t="s">
        <v>9</v>
      </c>
      <c r="J4100" s="30" t="s">
        <v>392</v>
      </c>
    </row>
    <row r="4101" spans="1:12" x14ac:dyDescent="0.25">
      <c r="A4101" s="78">
        <v>46236</v>
      </c>
      <c r="B4101" s="68">
        <v>28</v>
      </c>
      <c r="C4101" s="189" t="s">
        <v>888</v>
      </c>
      <c r="D4101" s="30">
        <v>1</v>
      </c>
      <c r="E4101" s="30">
        <v>35</v>
      </c>
      <c r="F4101" s="30">
        <f t="shared" si="140"/>
        <v>35</v>
      </c>
      <c r="G4101" s="30" t="s">
        <v>9</v>
      </c>
      <c r="J4101" s="30" t="s">
        <v>392</v>
      </c>
    </row>
    <row r="4102" spans="1:12" x14ac:dyDescent="0.25">
      <c r="A4102" s="78">
        <v>46236</v>
      </c>
      <c r="B4102" s="68">
        <v>29</v>
      </c>
      <c r="C4102" s="189" t="s">
        <v>915</v>
      </c>
      <c r="D4102" s="30">
        <v>1</v>
      </c>
      <c r="E4102" s="30">
        <v>10</v>
      </c>
      <c r="F4102" s="30">
        <f t="shared" si="140"/>
        <v>10</v>
      </c>
      <c r="G4102" s="30" t="s">
        <v>9</v>
      </c>
      <c r="J4102" s="30" t="s">
        <v>392</v>
      </c>
    </row>
    <row r="4103" spans="1:12" x14ac:dyDescent="0.25">
      <c r="A4103" s="78">
        <v>46236</v>
      </c>
      <c r="B4103" s="68">
        <v>30</v>
      </c>
      <c r="C4103" s="189" t="s">
        <v>1007</v>
      </c>
      <c r="D4103" s="30">
        <v>2</v>
      </c>
      <c r="E4103" s="30">
        <v>35</v>
      </c>
      <c r="F4103" s="30">
        <f t="shared" si="140"/>
        <v>70</v>
      </c>
      <c r="G4103" s="30" t="s">
        <v>10</v>
      </c>
      <c r="J4103" s="30" t="s">
        <v>392</v>
      </c>
    </row>
    <row r="4104" spans="1:12" x14ac:dyDescent="0.25">
      <c r="A4104" s="78">
        <v>46236</v>
      </c>
      <c r="B4104" s="68">
        <v>30</v>
      </c>
      <c r="C4104" s="189" t="s">
        <v>670</v>
      </c>
      <c r="D4104" s="30">
        <v>1</v>
      </c>
      <c r="E4104" s="30">
        <v>10</v>
      </c>
      <c r="F4104" s="30">
        <f t="shared" si="140"/>
        <v>10</v>
      </c>
      <c r="G4104" s="30" t="s">
        <v>10</v>
      </c>
      <c r="J4104" s="30" t="s">
        <v>392</v>
      </c>
    </row>
    <row r="4105" spans="1:12" x14ac:dyDescent="0.25">
      <c r="A4105" s="78">
        <v>46236</v>
      </c>
      <c r="B4105" s="68">
        <v>30</v>
      </c>
      <c r="C4105" s="189" t="s">
        <v>912</v>
      </c>
      <c r="D4105" s="30">
        <v>1</v>
      </c>
      <c r="E4105" s="30">
        <v>10</v>
      </c>
      <c r="F4105" s="30">
        <f t="shared" si="140"/>
        <v>10</v>
      </c>
      <c r="G4105" s="30" t="s">
        <v>10</v>
      </c>
      <c r="J4105" s="30" t="s">
        <v>392</v>
      </c>
    </row>
    <row r="4106" spans="1:12" x14ac:dyDescent="0.25">
      <c r="A4106" s="78">
        <v>46236</v>
      </c>
      <c r="B4106" s="68">
        <v>31</v>
      </c>
      <c r="C4106" s="189" t="s">
        <v>1174</v>
      </c>
      <c r="D4106" s="30">
        <v>1</v>
      </c>
      <c r="E4106" s="30">
        <v>37</v>
      </c>
      <c r="F4106" s="30">
        <f t="shared" si="140"/>
        <v>37</v>
      </c>
      <c r="G4106" s="30" t="s">
        <v>10</v>
      </c>
      <c r="J4106" s="30" t="s">
        <v>392</v>
      </c>
    </row>
    <row r="4107" spans="1:12" x14ac:dyDescent="0.25">
      <c r="A4107" s="78">
        <v>46236</v>
      </c>
      <c r="C4107" s="188"/>
      <c r="J4107" s="30" t="s">
        <v>392</v>
      </c>
    </row>
    <row r="4108" spans="1:12" s="62" customFormat="1" x14ac:dyDescent="0.25">
      <c r="A4108" s="151">
        <v>46236</v>
      </c>
      <c r="B4108" s="139"/>
      <c r="C4108" s="150"/>
      <c r="H4108" s="139"/>
      <c r="I4108" s="139">
        <f>SUMIF(G4053:G4107, "&lt;&gt;UPI",F4053:F4107)</f>
        <v>751.03499999999997</v>
      </c>
    </row>
    <row r="4109" spans="1:12" s="170" customFormat="1" ht="18.75" x14ac:dyDescent="0.3">
      <c r="A4109" s="79">
        <v>46236</v>
      </c>
      <c r="B4109" s="147" t="s">
        <v>987</v>
      </c>
      <c r="C4109" s="169">
        <f>MAX(B4053:B4107)</f>
        <v>31</v>
      </c>
      <c r="D4109" s="147" t="s">
        <v>988</v>
      </c>
      <c r="E4109" s="170">
        <f>SUMIF(G4053:G4107,"UPI",F4053:F4107)</f>
        <v>428.6</v>
      </c>
      <c r="F4109" s="230" t="s">
        <v>437</v>
      </c>
      <c r="G4109" s="230"/>
      <c r="H4109" s="230"/>
      <c r="I4109" s="231">
        <f>SUM(F4053:F4107)</f>
        <v>1179.635</v>
      </c>
      <c r="J4109" s="231"/>
      <c r="K4109" s="231"/>
      <c r="L4109" s="231"/>
    </row>
    <row r="4110" spans="1:12" ht="30" x14ac:dyDescent="0.25">
      <c r="A4110" s="78">
        <v>46237</v>
      </c>
      <c r="B4110" s="68">
        <v>1</v>
      </c>
      <c r="C4110" s="189" t="s">
        <v>689</v>
      </c>
      <c r="D4110" s="30">
        <v>2</v>
      </c>
      <c r="E4110" s="30">
        <v>155</v>
      </c>
      <c r="F4110" s="30">
        <f>E4110*D4110</f>
        <v>310</v>
      </c>
      <c r="G4110" s="30" t="s">
        <v>9</v>
      </c>
      <c r="J4110" s="30" t="s">
        <v>391</v>
      </c>
    </row>
    <row r="4111" spans="1:12" x14ac:dyDescent="0.25">
      <c r="A4111" s="78">
        <v>46237</v>
      </c>
      <c r="B4111" s="68">
        <v>2</v>
      </c>
      <c r="C4111" s="189" t="s">
        <v>666</v>
      </c>
      <c r="D4111" s="30">
        <v>1</v>
      </c>
      <c r="E4111" s="30">
        <v>10</v>
      </c>
      <c r="F4111" s="30">
        <f t="shared" ref="F4111:F4136" si="141">E4111*D4111</f>
        <v>10</v>
      </c>
      <c r="G4111" s="30" t="s">
        <v>9</v>
      </c>
      <c r="J4111" s="30" t="s">
        <v>391</v>
      </c>
    </row>
    <row r="4112" spans="1:12" x14ac:dyDescent="0.25">
      <c r="A4112" s="78">
        <v>46237</v>
      </c>
      <c r="B4112" s="68">
        <v>2</v>
      </c>
      <c r="C4112" s="189" t="s">
        <v>1141</v>
      </c>
      <c r="D4112" s="30">
        <v>1</v>
      </c>
      <c r="E4112" s="30">
        <v>10</v>
      </c>
      <c r="F4112" s="30">
        <f t="shared" si="141"/>
        <v>10</v>
      </c>
      <c r="G4112" s="30" t="s">
        <v>9</v>
      </c>
      <c r="J4112" s="30" t="s">
        <v>391</v>
      </c>
    </row>
    <row r="4113" spans="1:10" x14ac:dyDescent="0.25">
      <c r="A4113" s="78">
        <v>46237</v>
      </c>
      <c r="B4113" s="68">
        <v>3</v>
      </c>
      <c r="C4113" s="189" t="s">
        <v>31</v>
      </c>
      <c r="D4113" s="30">
        <v>0.2</v>
      </c>
      <c r="E4113" s="30">
        <v>190</v>
      </c>
      <c r="F4113" s="30">
        <f t="shared" si="141"/>
        <v>38</v>
      </c>
      <c r="G4113" s="30" t="s">
        <v>10</v>
      </c>
      <c r="J4113" s="30" t="s">
        <v>391</v>
      </c>
    </row>
    <row r="4114" spans="1:10" x14ac:dyDescent="0.25">
      <c r="A4114" s="78">
        <v>46237</v>
      </c>
      <c r="B4114" s="68">
        <v>4</v>
      </c>
      <c r="C4114" s="188" t="s">
        <v>821</v>
      </c>
      <c r="D4114" s="30">
        <v>1.2</v>
      </c>
      <c r="E4114" s="30">
        <v>25</v>
      </c>
      <c r="F4114" s="30">
        <f t="shared" si="141"/>
        <v>30</v>
      </c>
      <c r="G4114" s="30" t="s">
        <v>9</v>
      </c>
      <c r="J4114" s="30" t="s">
        <v>391</v>
      </c>
    </row>
    <row r="4115" spans="1:10" x14ac:dyDescent="0.25">
      <c r="A4115" s="78">
        <v>46237</v>
      </c>
      <c r="B4115" s="68">
        <v>4</v>
      </c>
      <c r="C4115" s="188" t="s">
        <v>903</v>
      </c>
      <c r="D4115" s="30">
        <v>0.1</v>
      </c>
      <c r="E4115" s="30">
        <v>200</v>
      </c>
      <c r="F4115" s="30">
        <f t="shared" si="141"/>
        <v>20</v>
      </c>
      <c r="G4115" s="30" t="s">
        <v>9</v>
      </c>
      <c r="J4115" s="30" t="s">
        <v>391</v>
      </c>
    </row>
    <row r="4116" spans="1:10" x14ac:dyDescent="0.25">
      <c r="A4116" s="78">
        <v>46237</v>
      </c>
      <c r="B4116" s="68">
        <v>5</v>
      </c>
      <c r="C4116" s="189" t="s">
        <v>1048</v>
      </c>
      <c r="D4116" s="30">
        <v>1</v>
      </c>
      <c r="E4116" s="30">
        <v>20</v>
      </c>
      <c r="F4116" s="30">
        <f t="shared" si="141"/>
        <v>20</v>
      </c>
      <c r="G4116" s="30" t="s">
        <v>10</v>
      </c>
      <c r="J4116" s="30" t="s">
        <v>391</v>
      </c>
    </row>
    <row r="4117" spans="1:10" x14ac:dyDescent="0.25">
      <c r="A4117" s="78">
        <v>46237</v>
      </c>
      <c r="B4117" s="68">
        <v>6</v>
      </c>
      <c r="C4117" s="189" t="s">
        <v>758</v>
      </c>
      <c r="D4117" s="30">
        <v>1</v>
      </c>
      <c r="E4117" s="30">
        <v>25</v>
      </c>
      <c r="F4117" s="30">
        <f t="shared" si="141"/>
        <v>25</v>
      </c>
      <c r="G4117" s="30" t="s">
        <v>10</v>
      </c>
      <c r="J4117" s="30" t="s">
        <v>391</v>
      </c>
    </row>
    <row r="4118" spans="1:10" x14ac:dyDescent="0.25">
      <c r="A4118" s="78">
        <v>46237</v>
      </c>
      <c r="B4118" s="68">
        <v>6</v>
      </c>
      <c r="C4118" s="189" t="s">
        <v>768</v>
      </c>
      <c r="D4118" s="30">
        <v>1</v>
      </c>
      <c r="E4118" s="30">
        <v>10</v>
      </c>
      <c r="F4118" s="30">
        <f t="shared" si="141"/>
        <v>10</v>
      </c>
      <c r="G4118" s="30" t="s">
        <v>10</v>
      </c>
      <c r="J4118" s="30" t="s">
        <v>391</v>
      </c>
    </row>
    <row r="4119" spans="1:10" x14ac:dyDescent="0.25">
      <c r="A4119" s="78">
        <v>46237</v>
      </c>
      <c r="B4119" s="68">
        <v>7</v>
      </c>
      <c r="C4119" s="189" t="s">
        <v>666</v>
      </c>
      <c r="D4119" s="30">
        <v>1</v>
      </c>
      <c r="E4119" s="30">
        <v>10</v>
      </c>
      <c r="F4119" s="30">
        <f t="shared" si="141"/>
        <v>10</v>
      </c>
      <c r="G4119" s="30" t="s">
        <v>9</v>
      </c>
      <c r="H4119" s="68" t="s">
        <v>1206</v>
      </c>
      <c r="I4119" s="68" t="s">
        <v>1203</v>
      </c>
      <c r="J4119" s="30" t="s">
        <v>391</v>
      </c>
    </row>
    <row r="4120" spans="1:10" x14ac:dyDescent="0.25">
      <c r="A4120" s="78">
        <v>46237</v>
      </c>
      <c r="B4120" s="68">
        <v>5</v>
      </c>
      <c r="C4120" s="189" t="s">
        <v>445</v>
      </c>
      <c r="D4120" s="30">
        <v>1</v>
      </c>
      <c r="E4120" s="30">
        <v>10</v>
      </c>
      <c r="F4120" s="30">
        <f t="shared" si="141"/>
        <v>10</v>
      </c>
      <c r="G4120" s="30" t="s">
        <v>10</v>
      </c>
      <c r="J4120" s="30" t="s">
        <v>391</v>
      </c>
    </row>
    <row r="4121" spans="1:10" x14ac:dyDescent="0.25">
      <c r="A4121" s="78">
        <v>46237</v>
      </c>
      <c r="B4121" s="68">
        <v>5</v>
      </c>
      <c r="C4121" s="189" t="s">
        <v>856</v>
      </c>
      <c r="D4121" s="30">
        <v>1</v>
      </c>
      <c r="E4121" s="30">
        <v>10</v>
      </c>
      <c r="F4121" s="30">
        <f t="shared" si="141"/>
        <v>10</v>
      </c>
      <c r="G4121" s="30" t="s">
        <v>10</v>
      </c>
      <c r="J4121" s="30" t="s">
        <v>391</v>
      </c>
    </row>
    <row r="4122" spans="1:10" x14ac:dyDescent="0.25">
      <c r="A4122" s="78">
        <v>46237</v>
      </c>
      <c r="B4122" s="68">
        <v>8</v>
      </c>
      <c r="C4122" s="189" t="s">
        <v>863</v>
      </c>
      <c r="D4122" s="30">
        <v>1</v>
      </c>
      <c r="E4122" s="30">
        <v>40</v>
      </c>
      <c r="F4122" s="30">
        <f t="shared" si="141"/>
        <v>40</v>
      </c>
      <c r="G4122" s="30" t="s">
        <v>9</v>
      </c>
      <c r="I4122" s="68" t="s">
        <v>1204</v>
      </c>
      <c r="J4122" s="30" t="s">
        <v>391</v>
      </c>
    </row>
    <row r="4123" spans="1:10" x14ac:dyDescent="0.25">
      <c r="A4123" s="78">
        <v>46237</v>
      </c>
      <c r="B4123" s="68">
        <v>8</v>
      </c>
      <c r="C4123" s="188" t="s">
        <v>850</v>
      </c>
      <c r="D4123" s="30">
        <v>1</v>
      </c>
      <c r="E4123" s="30">
        <v>35</v>
      </c>
      <c r="F4123" s="30">
        <f t="shared" si="141"/>
        <v>35</v>
      </c>
      <c r="G4123" s="30" t="s">
        <v>9</v>
      </c>
      <c r="I4123" s="68" t="s">
        <v>1204</v>
      </c>
      <c r="J4123" s="30" t="s">
        <v>391</v>
      </c>
    </row>
    <row r="4124" spans="1:10" x14ac:dyDescent="0.25">
      <c r="A4124" s="78">
        <v>46237</v>
      </c>
      <c r="B4124" s="68">
        <v>8</v>
      </c>
      <c r="C4124" s="189" t="s">
        <v>814</v>
      </c>
      <c r="D4124" s="30">
        <v>0.5</v>
      </c>
      <c r="E4124" s="30">
        <v>60</v>
      </c>
      <c r="F4124" s="30">
        <f t="shared" si="141"/>
        <v>30</v>
      </c>
      <c r="G4124" s="30" t="s">
        <v>9</v>
      </c>
      <c r="I4124" s="68" t="s">
        <v>1204</v>
      </c>
      <c r="J4124" s="30" t="s">
        <v>391</v>
      </c>
    </row>
    <row r="4125" spans="1:10" x14ac:dyDescent="0.25">
      <c r="A4125" s="78">
        <v>46237</v>
      </c>
      <c r="B4125" s="68">
        <v>9</v>
      </c>
      <c r="C4125" s="189" t="s">
        <v>1162</v>
      </c>
      <c r="D4125" s="30">
        <v>1</v>
      </c>
      <c r="E4125" s="30">
        <v>5</v>
      </c>
      <c r="F4125" s="30">
        <f t="shared" si="141"/>
        <v>5</v>
      </c>
      <c r="G4125" s="30" t="s">
        <v>9</v>
      </c>
      <c r="J4125" s="30" t="s">
        <v>391</v>
      </c>
    </row>
    <row r="4126" spans="1:10" x14ac:dyDescent="0.25">
      <c r="A4126" s="78">
        <v>46237</v>
      </c>
      <c r="B4126" s="68">
        <v>9</v>
      </c>
      <c r="C4126" s="189" t="s">
        <v>680</v>
      </c>
      <c r="D4126" s="30">
        <v>1</v>
      </c>
      <c r="E4126" s="30">
        <v>10</v>
      </c>
      <c r="F4126" s="30">
        <f t="shared" si="141"/>
        <v>10</v>
      </c>
      <c r="G4126" s="30" t="s">
        <v>9</v>
      </c>
      <c r="J4126" s="30" t="s">
        <v>391</v>
      </c>
    </row>
    <row r="4127" spans="1:10" x14ac:dyDescent="0.25">
      <c r="A4127" s="78">
        <v>46237</v>
      </c>
      <c r="B4127" s="68">
        <v>9</v>
      </c>
      <c r="C4127" s="189" t="s">
        <v>1139</v>
      </c>
      <c r="D4127" s="30">
        <v>1</v>
      </c>
      <c r="E4127" s="30">
        <v>5</v>
      </c>
      <c r="F4127" s="30">
        <f t="shared" si="141"/>
        <v>5</v>
      </c>
      <c r="G4127" s="30" t="s">
        <v>9</v>
      </c>
      <c r="J4127" s="30" t="s">
        <v>391</v>
      </c>
    </row>
    <row r="4128" spans="1:10" x14ac:dyDescent="0.25">
      <c r="A4128" s="78">
        <v>46237</v>
      </c>
      <c r="B4128" s="68">
        <v>10</v>
      </c>
      <c r="C4128" s="189" t="s">
        <v>759</v>
      </c>
      <c r="D4128" s="30">
        <v>2</v>
      </c>
      <c r="E4128" s="30">
        <v>5</v>
      </c>
      <c r="F4128" s="30">
        <f t="shared" si="141"/>
        <v>10</v>
      </c>
      <c r="G4128" s="30" t="s">
        <v>10</v>
      </c>
      <c r="I4128" s="68" t="s">
        <v>1205</v>
      </c>
      <c r="J4128" s="30" t="s">
        <v>391</v>
      </c>
    </row>
    <row r="4129" spans="1:10" x14ac:dyDescent="0.25">
      <c r="A4129" s="78">
        <v>46237</v>
      </c>
      <c r="B4129" s="68">
        <v>11</v>
      </c>
      <c r="C4129" s="188" t="s">
        <v>388</v>
      </c>
      <c r="D4129" s="30">
        <v>2</v>
      </c>
      <c r="E4129" s="30">
        <v>10</v>
      </c>
      <c r="F4129" s="30">
        <f t="shared" si="141"/>
        <v>20</v>
      </c>
      <c r="G4129" s="30" t="s">
        <v>9</v>
      </c>
      <c r="J4129" s="30" t="s">
        <v>391</v>
      </c>
    </row>
    <row r="4130" spans="1:10" x14ac:dyDescent="0.25">
      <c r="A4130" s="78">
        <v>46237</v>
      </c>
      <c r="B4130" s="68">
        <v>11</v>
      </c>
      <c r="C4130" s="189" t="s">
        <v>561</v>
      </c>
      <c r="D4130" s="30">
        <v>1</v>
      </c>
      <c r="E4130" s="30">
        <v>10</v>
      </c>
      <c r="F4130" s="30">
        <f t="shared" si="141"/>
        <v>10</v>
      </c>
      <c r="G4130" s="30" t="s">
        <v>9</v>
      </c>
      <c r="J4130" s="30" t="s">
        <v>391</v>
      </c>
    </row>
    <row r="4131" spans="1:10" x14ac:dyDescent="0.25">
      <c r="A4131" s="78">
        <v>46237</v>
      </c>
      <c r="B4131" s="68">
        <v>12</v>
      </c>
      <c r="C4131" s="189" t="s">
        <v>964</v>
      </c>
      <c r="D4131" s="30">
        <v>1</v>
      </c>
      <c r="E4131" s="30">
        <v>10</v>
      </c>
      <c r="F4131" s="30">
        <f t="shared" si="141"/>
        <v>10</v>
      </c>
      <c r="G4131" s="30" t="s">
        <v>9</v>
      </c>
      <c r="J4131" s="30" t="s">
        <v>391</v>
      </c>
    </row>
    <row r="4132" spans="1:10" x14ac:dyDescent="0.25">
      <c r="A4132" s="78">
        <v>46237</v>
      </c>
      <c r="B4132" s="68">
        <v>13</v>
      </c>
      <c r="C4132" s="189" t="s">
        <v>588</v>
      </c>
      <c r="D4132" s="30">
        <v>0.105</v>
      </c>
      <c r="E4132" s="30">
        <v>190</v>
      </c>
      <c r="F4132" s="30">
        <f t="shared" si="141"/>
        <v>19.95</v>
      </c>
      <c r="G4132" s="30" t="s">
        <v>9</v>
      </c>
      <c r="J4132" s="30" t="s">
        <v>391</v>
      </c>
    </row>
    <row r="4133" spans="1:10" x14ac:dyDescent="0.25">
      <c r="A4133" s="78">
        <v>46237</v>
      </c>
      <c r="B4133" s="68">
        <v>14</v>
      </c>
      <c r="C4133" s="189" t="s">
        <v>38</v>
      </c>
      <c r="D4133" s="30">
        <v>1</v>
      </c>
      <c r="E4133" s="30">
        <v>50</v>
      </c>
      <c r="F4133" s="30">
        <f t="shared" si="141"/>
        <v>50</v>
      </c>
      <c r="G4133" s="30" t="s">
        <v>9</v>
      </c>
      <c r="I4133" s="68" t="s">
        <v>663</v>
      </c>
      <c r="J4133" s="30" t="s">
        <v>391</v>
      </c>
    </row>
    <row r="4134" spans="1:10" x14ac:dyDescent="0.25">
      <c r="A4134" s="78">
        <v>46237</v>
      </c>
      <c r="B4134" s="68">
        <v>15</v>
      </c>
      <c r="C4134" s="189" t="s">
        <v>445</v>
      </c>
      <c r="D4134" s="30">
        <v>1</v>
      </c>
      <c r="E4134" s="30">
        <v>10</v>
      </c>
      <c r="F4134" s="30">
        <f t="shared" si="141"/>
        <v>10</v>
      </c>
      <c r="G4134" s="30" t="s">
        <v>9</v>
      </c>
      <c r="J4134" s="30" t="s">
        <v>391</v>
      </c>
    </row>
    <row r="4135" spans="1:10" x14ac:dyDescent="0.25">
      <c r="A4135" s="78">
        <v>46237</v>
      </c>
      <c r="B4135" s="68">
        <v>16</v>
      </c>
      <c r="C4135" s="189" t="s">
        <v>702</v>
      </c>
      <c r="D4135" s="30">
        <v>1</v>
      </c>
      <c r="E4135" s="30">
        <v>10</v>
      </c>
      <c r="F4135" s="30">
        <f t="shared" si="141"/>
        <v>10</v>
      </c>
      <c r="G4135" s="30" t="s">
        <v>9</v>
      </c>
      <c r="J4135" s="30" t="s">
        <v>391</v>
      </c>
    </row>
    <row r="4136" spans="1:10" x14ac:dyDescent="0.25">
      <c r="A4136" s="78">
        <v>46237</v>
      </c>
      <c r="B4136" s="68">
        <v>16</v>
      </c>
      <c r="C4136" s="189" t="s">
        <v>1141</v>
      </c>
      <c r="D4136" s="30">
        <v>1</v>
      </c>
      <c r="E4136" s="30">
        <v>10</v>
      </c>
      <c r="F4136" s="30">
        <f t="shared" si="141"/>
        <v>10</v>
      </c>
      <c r="G4136" s="30" t="s">
        <v>9</v>
      </c>
      <c r="J4136" s="30" t="s">
        <v>391</v>
      </c>
    </row>
    <row r="4137" spans="1:10" x14ac:dyDescent="0.25">
      <c r="A4137" s="78">
        <v>46237</v>
      </c>
      <c r="B4137" s="68">
        <v>17</v>
      </c>
      <c r="C4137" s="189" t="s">
        <v>683</v>
      </c>
      <c r="D4137" s="30">
        <v>2</v>
      </c>
      <c r="E4137" s="30">
        <v>10</v>
      </c>
      <c r="F4137" s="30">
        <f t="shared" ref="F4137:F4151" si="142">E4137*D4137</f>
        <v>20</v>
      </c>
      <c r="G4137" s="30" t="s">
        <v>9</v>
      </c>
      <c r="J4137" s="30" t="s">
        <v>391</v>
      </c>
    </row>
    <row r="4138" spans="1:10" x14ac:dyDescent="0.25">
      <c r="A4138" s="78">
        <v>46237</v>
      </c>
      <c r="B4138" s="68">
        <v>18</v>
      </c>
      <c r="C4138" s="189" t="s">
        <v>1150</v>
      </c>
      <c r="D4138" s="30">
        <v>0.15</v>
      </c>
      <c r="E4138" s="30">
        <v>120</v>
      </c>
      <c r="F4138" s="30">
        <f t="shared" si="142"/>
        <v>18</v>
      </c>
      <c r="G4138" s="30" t="s">
        <v>9</v>
      </c>
      <c r="J4138" s="30" t="s">
        <v>391</v>
      </c>
    </row>
    <row r="4139" spans="1:10" x14ac:dyDescent="0.25">
      <c r="A4139" s="78">
        <v>46237</v>
      </c>
      <c r="B4139" s="68">
        <v>19</v>
      </c>
      <c r="C4139" s="189" t="s">
        <v>702</v>
      </c>
      <c r="D4139" s="30">
        <v>1</v>
      </c>
      <c r="E4139" s="30">
        <v>10</v>
      </c>
      <c r="F4139" s="30">
        <f t="shared" si="142"/>
        <v>10</v>
      </c>
      <c r="G4139" s="30" t="s">
        <v>9</v>
      </c>
      <c r="J4139" s="30" t="s">
        <v>391</v>
      </c>
    </row>
    <row r="4140" spans="1:10" x14ac:dyDescent="0.25">
      <c r="A4140" s="78">
        <v>46237</v>
      </c>
      <c r="B4140" s="68">
        <v>20</v>
      </c>
      <c r="C4140" s="189" t="s">
        <v>1182</v>
      </c>
      <c r="D4140" s="30">
        <v>1</v>
      </c>
      <c r="E4140" s="30">
        <v>15</v>
      </c>
      <c r="F4140" s="30">
        <f t="shared" si="142"/>
        <v>15</v>
      </c>
      <c r="G4140" s="30" t="s">
        <v>9</v>
      </c>
      <c r="H4140" s="68" t="s">
        <v>1206</v>
      </c>
      <c r="I4140" s="68" t="s">
        <v>1203</v>
      </c>
      <c r="J4140" s="30" t="s">
        <v>391</v>
      </c>
    </row>
    <row r="4141" spans="1:10" x14ac:dyDescent="0.25">
      <c r="A4141" s="78">
        <v>46237</v>
      </c>
      <c r="B4141" s="68">
        <v>21</v>
      </c>
      <c r="C4141" s="188" t="s">
        <v>667</v>
      </c>
      <c r="D4141" s="30">
        <v>1</v>
      </c>
      <c r="E4141" s="30">
        <v>5</v>
      </c>
      <c r="F4141" s="30">
        <f t="shared" si="142"/>
        <v>5</v>
      </c>
      <c r="G4141" s="30" t="s">
        <v>9</v>
      </c>
      <c r="H4141" s="68" t="s">
        <v>1206</v>
      </c>
      <c r="I4141" s="68" t="s">
        <v>1207</v>
      </c>
      <c r="J4141" s="30" t="s">
        <v>392</v>
      </c>
    </row>
    <row r="4142" spans="1:10" x14ac:dyDescent="0.25">
      <c r="A4142" s="78">
        <v>46237</v>
      </c>
      <c r="B4142" s="68">
        <v>21</v>
      </c>
      <c r="C4142" s="189" t="s">
        <v>1138</v>
      </c>
      <c r="D4142" s="30">
        <v>1</v>
      </c>
      <c r="E4142" s="30">
        <v>5</v>
      </c>
      <c r="F4142" s="30">
        <f t="shared" si="142"/>
        <v>5</v>
      </c>
      <c r="G4142" s="30" t="s">
        <v>9</v>
      </c>
      <c r="H4142" s="68" t="s">
        <v>1206</v>
      </c>
      <c r="I4142" s="68" t="s">
        <v>1208</v>
      </c>
      <c r="J4142" s="30" t="s">
        <v>392</v>
      </c>
    </row>
    <row r="4143" spans="1:10" ht="30" x14ac:dyDescent="0.25">
      <c r="A4143" s="78">
        <v>46237</v>
      </c>
      <c r="B4143" s="68">
        <v>21</v>
      </c>
      <c r="C4143" s="189" t="s">
        <v>1054</v>
      </c>
      <c r="D4143" s="30">
        <v>1</v>
      </c>
      <c r="E4143" s="30">
        <v>10</v>
      </c>
      <c r="F4143" s="30">
        <f t="shared" si="142"/>
        <v>10</v>
      </c>
      <c r="G4143" s="30" t="s">
        <v>9</v>
      </c>
      <c r="H4143" s="68" t="s">
        <v>1206</v>
      </c>
      <c r="I4143" s="68" t="s">
        <v>1208</v>
      </c>
      <c r="J4143" s="30" t="s">
        <v>392</v>
      </c>
    </row>
    <row r="4144" spans="1:10" x14ac:dyDescent="0.25">
      <c r="A4144" s="78">
        <v>46237</v>
      </c>
      <c r="B4144" s="68">
        <v>22</v>
      </c>
      <c r="C4144" s="189" t="s">
        <v>1148</v>
      </c>
      <c r="D4144" s="30">
        <v>1</v>
      </c>
      <c r="E4144" s="30">
        <v>10</v>
      </c>
      <c r="F4144" s="30">
        <f t="shared" si="142"/>
        <v>10</v>
      </c>
      <c r="G4144" s="30" t="s">
        <v>9</v>
      </c>
      <c r="J4144" s="30" t="s">
        <v>392</v>
      </c>
    </row>
    <row r="4145" spans="1:12" x14ac:dyDescent="0.25">
      <c r="A4145" s="78">
        <v>46237</v>
      </c>
      <c r="B4145" s="68">
        <v>23</v>
      </c>
      <c r="C4145" s="189" t="s">
        <v>85</v>
      </c>
      <c r="D4145" s="30">
        <v>1</v>
      </c>
      <c r="E4145" s="30">
        <v>20</v>
      </c>
      <c r="F4145" s="30">
        <f t="shared" si="142"/>
        <v>20</v>
      </c>
      <c r="G4145" s="30" t="s">
        <v>9</v>
      </c>
      <c r="J4145" s="30" t="s">
        <v>392</v>
      </c>
    </row>
    <row r="4146" spans="1:12" x14ac:dyDescent="0.25">
      <c r="A4146" s="78">
        <v>46237</v>
      </c>
      <c r="B4146" s="68">
        <v>23</v>
      </c>
      <c r="C4146" s="189" t="s">
        <v>540</v>
      </c>
      <c r="D4146" s="30">
        <v>1</v>
      </c>
      <c r="E4146" s="30">
        <v>15</v>
      </c>
      <c r="F4146" s="30">
        <f t="shared" si="142"/>
        <v>15</v>
      </c>
      <c r="G4146" s="30" t="s">
        <v>9</v>
      </c>
      <c r="J4146" s="30" t="s">
        <v>392</v>
      </c>
    </row>
    <row r="4147" spans="1:12" x14ac:dyDescent="0.25">
      <c r="A4147" s="78">
        <v>46237</v>
      </c>
      <c r="B4147" s="68">
        <v>23</v>
      </c>
      <c r="C4147" s="189" t="s">
        <v>1163</v>
      </c>
      <c r="D4147" s="30">
        <v>1</v>
      </c>
      <c r="E4147" s="30">
        <v>10</v>
      </c>
      <c r="F4147" s="30">
        <f t="shared" si="142"/>
        <v>10</v>
      </c>
      <c r="G4147" s="30" t="s">
        <v>9</v>
      </c>
      <c r="J4147" s="30" t="s">
        <v>392</v>
      </c>
    </row>
    <row r="4148" spans="1:12" ht="30" x14ac:dyDescent="0.25">
      <c r="A4148" s="78">
        <v>46237</v>
      </c>
      <c r="B4148" s="68">
        <v>23</v>
      </c>
      <c r="C4148" s="189" t="s">
        <v>999</v>
      </c>
      <c r="D4148" s="30">
        <v>1</v>
      </c>
      <c r="E4148" s="30">
        <v>20</v>
      </c>
      <c r="F4148" s="30">
        <f t="shared" si="142"/>
        <v>20</v>
      </c>
      <c r="G4148" s="30" t="s">
        <v>9</v>
      </c>
      <c r="J4148" s="30" t="s">
        <v>392</v>
      </c>
    </row>
    <row r="4149" spans="1:12" x14ac:dyDescent="0.25">
      <c r="A4149" s="78">
        <v>46237</v>
      </c>
      <c r="B4149" s="68">
        <v>23</v>
      </c>
      <c r="C4149" s="189" t="s">
        <v>1166</v>
      </c>
      <c r="D4149" s="30">
        <v>5</v>
      </c>
      <c r="E4149" s="30">
        <v>1</v>
      </c>
      <c r="F4149" s="30">
        <f t="shared" si="142"/>
        <v>5</v>
      </c>
      <c r="G4149" s="30" t="s">
        <v>9</v>
      </c>
      <c r="J4149" s="30" t="s">
        <v>392</v>
      </c>
    </row>
    <row r="4150" spans="1:12" x14ac:dyDescent="0.25">
      <c r="A4150" s="78">
        <v>46237</v>
      </c>
      <c r="B4150" s="68">
        <v>24</v>
      </c>
      <c r="C4150" s="189" t="s">
        <v>419</v>
      </c>
      <c r="D4150" s="30">
        <v>1</v>
      </c>
      <c r="E4150" s="30">
        <v>10</v>
      </c>
      <c r="F4150" s="30">
        <f t="shared" si="142"/>
        <v>10</v>
      </c>
      <c r="G4150" s="30" t="s">
        <v>9</v>
      </c>
      <c r="I4150" s="68" t="s">
        <v>663</v>
      </c>
      <c r="J4150" s="30" t="s">
        <v>392</v>
      </c>
    </row>
    <row r="4151" spans="1:12" x14ac:dyDescent="0.25">
      <c r="A4151" s="78">
        <v>46237</v>
      </c>
      <c r="B4151" s="68">
        <v>25</v>
      </c>
      <c r="C4151" s="189" t="s">
        <v>1091</v>
      </c>
      <c r="D4151" s="30">
        <v>24</v>
      </c>
      <c r="E4151" s="30">
        <v>39</v>
      </c>
      <c r="F4151" s="30">
        <f t="shared" si="142"/>
        <v>936</v>
      </c>
      <c r="G4151" s="30" t="s">
        <v>10</v>
      </c>
      <c r="J4151" s="30" t="s">
        <v>392</v>
      </c>
    </row>
    <row r="4152" spans="1:12" x14ac:dyDescent="0.25">
      <c r="A4152" s="78">
        <v>46237</v>
      </c>
      <c r="B4152" s="68">
        <v>26</v>
      </c>
      <c r="C4152" s="189" t="s">
        <v>1093</v>
      </c>
      <c r="D4152" s="30">
        <v>1</v>
      </c>
      <c r="E4152" s="30">
        <v>70</v>
      </c>
      <c r="F4152" s="30">
        <f t="shared" ref="F4152:F4153" si="143">E4152*D4152</f>
        <v>70</v>
      </c>
      <c r="G4152" s="30" t="s">
        <v>9</v>
      </c>
      <c r="J4152" s="30" t="s">
        <v>392</v>
      </c>
    </row>
    <row r="4153" spans="1:12" x14ac:dyDescent="0.25">
      <c r="A4153" s="78">
        <v>46237</v>
      </c>
      <c r="B4153" s="68">
        <v>27</v>
      </c>
      <c r="C4153" s="189" t="s">
        <v>1159</v>
      </c>
      <c r="D4153" s="30">
        <v>0.5</v>
      </c>
      <c r="E4153" s="30">
        <v>60</v>
      </c>
      <c r="F4153" s="30">
        <f t="shared" si="143"/>
        <v>30</v>
      </c>
      <c r="G4153" s="30" t="s">
        <v>9</v>
      </c>
      <c r="J4153" s="30" t="s">
        <v>392</v>
      </c>
    </row>
    <row r="4154" spans="1:12" s="62" customFormat="1" x14ac:dyDescent="0.25">
      <c r="A4154" s="151">
        <v>46237</v>
      </c>
      <c r="B4154" s="139"/>
      <c r="C4154" s="150"/>
      <c r="H4154" s="139"/>
      <c r="I4154" s="139">
        <f>SUMIF(G4110:G4153, "&lt;&gt;UPI",F4110:F4153)</f>
        <v>927.95</v>
      </c>
    </row>
    <row r="4155" spans="1:12" s="170" customFormat="1" ht="18.75" x14ac:dyDescent="0.3">
      <c r="A4155" s="79">
        <v>46237</v>
      </c>
      <c r="B4155" s="147" t="s">
        <v>987</v>
      </c>
      <c r="C4155" s="169">
        <f>MAX(B4110:B4153)</f>
        <v>27</v>
      </c>
      <c r="D4155" s="147" t="s">
        <v>988</v>
      </c>
      <c r="E4155" s="170">
        <f>SUMIF(G4110:G4153,"UPI",F4110:F4153)</f>
        <v>1059</v>
      </c>
      <c r="F4155" s="230" t="s">
        <v>437</v>
      </c>
      <c r="G4155" s="230"/>
      <c r="H4155" s="230"/>
      <c r="I4155" s="231">
        <f>SUM(F4110:F4153)</f>
        <v>1986.95</v>
      </c>
      <c r="J4155" s="231"/>
      <c r="K4155" s="231"/>
      <c r="L4155" s="231"/>
    </row>
    <row r="4156" spans="1:12" x14ac:dyDescent="0.25">
      <c r="A4156" s="78">
        <v>46238</v>
      </c>
      <c r="B4156" s="68">
        <v>1</v>
      </c>
      <c r="C4156" s="189" t="s">
        <v>970</v>
      </c>
      <c r="D4156" s="30">
        <v>1</v>
      </c>
      <c r="E4156" s="30">
        <v>10</v>
      </c>
      <c r="F4156" s="30">
        <f>E4156*D4156</f>
        <v>10</v>
      </c>
      <c r="G4156" s="30" t="s">
        <v>9</v>
      </c>
      <c r="J4156" s="30" t="s">
        <v>391</v>
      </c>
    </row>
    <row r="4157" spans="1:12" x14ac:dyDescent="0.25">
      <c r="A4157" s="78">
        <v>46238</v>
      </c>
      <c r="B4157" s="68">
        <v>1</v>
      </c>
      <c r="C4157" s="189" t="s">
        <v>1059</v>
      </c>
      <c r="D4157" s="30">
        <v>1</v>
      </c>
      <c r="E4157" s="30">
        <v>10</v>
      </c>
      <c r="F4157" s="30">
        <f t="shared" ref="F4157:F4191" si="144">E4157*D4157</f>
        <v>10</v>
      </c>
      <c r="G4157" s="30" t="s">
        <v>9</v>
      </c>
      <c r="J4157" s="30" t="s">
        <v>391</v>
      </c>
    </row>
    <row r="4158" spans="1:12" x14ac:dyDescent="0.25">
      <c r="A4158" s="78">
        <v>46238</v>
      </c>
      <c r="B4158" s="68">
        <v>2</v>
      </c>
      <c r="C4158" s="189" t="s">
        <v>1042</v>
      </c>
      <c r="D4158" s="30">
        <v>0.25</v>
      </c>
      <c r="E4158" s="30">
        <v>60</v>
      </c>
      <c r="F4158" s="30">
        <f t="shared" si="144"/>
        <v>15</v>
      </c>
      <c r="G4158" s="30" t="s">
        <v>9</v>
      </c>
      <c r="J4158" s="30" t="s">
        <v>391</v>
      </c>
    </row>
    <row r="4159" spans="1:12" x14ac:dyDescent="0.25">
      <c r="A4159" s="78">
        <v>46238</v>
      </c>
      <c r="B4159" s="68">
        <v>2</v>
      </c>
      <c r="C4159" s="189" t="s">
        <v>886</v>
      </c>
      <c r="D4159" s="30">
        <v>1</v>
      </c>
      <c r="E4159" s="30">
        <v>10</v>
      </c>
      <c r="F4159" s="30">
        <f t="shared" si="144"/>
        <v>10</v>
      </c>
      <c r="G4159" s="30" t="s">
        <v>9</v>
      </c>
      <c r="J4159" s="30" t="s">
        <v>391</v>
      </c>
    </row>
    <row r="4160" spans="1:12" x14ac:dyDescent="0.25">
      <c r="A4160" s="78">
        <v>46238</v>
      </c>
      <c r="B4160" s="68">
        <v>4</v>
      </c>
      <c r="C4160" s="189" t="s">
        <v>859</v>
      </c>
      <c r="D4160" s="30">
        <v>1</v>
      </c>
      <c r="E4160" s="30">
        <v>10</v>
      </c>
      <c r="F4160" s="30">
        <f t="shared" si="144"/>
        <v>10</v>
      </c>
      <c r="G4160" s="30" t="s">
        <v>9</v>
      </c>
      <c r="H4160" s="68" t="s">
        <v>1206</v>
      </c>
      <c r="I4160" s="68" t="s">
        <v>1203</v>
      </c>
      <c r="J4160" s="30" t="s">
        <v>391</v>
      </c>
    </row>
    <row r="4161" spans="1:10" x14ac:dyDescent="0.25">
      <c r="A4161" s="78">
        <v>46238</v>
      </c>
      <c r="B4161" s="68">
        <v>5</v>
      </c>
      <c r="C4161" s="189" t="s">
        <v>680</v>
      </c>
      <c r="D4161" s="30">
        <v>1</v>
      </c>
      <c r="E4161" s="30">
        <v>10</v>
      </c>
      <c r="F4161" s="30">
        <f t="shared" si="144"/>
        <v>10</v>
      </c>
      <c r="G4161" s="30" t="s">
        <v>9</v>
      </c>
      <c r="J4161" s="30" t="s">
        <v>391</v>
      </c>
    </row>
    <row r="4162" spans="1:10" x14ac:dyDescent="0.25">
      <c r="A4162" s="78">
        <v>46238</v>
      </c>
      <c r="B4162" s="68">
        <v>6</v>
      </c>
      <c r="C4162" s="189" t="s">
        <v>753</v>
      </c>
      <c r="D4162" s="30">
        <v>1</v>
      </c>
      <c r="E4162" s="30">
        <v>10</v>
      </c>
      <c r="F4162" s="30">
        <f t="shared" si="144"/>
        <v>10</v>
      </c>
      <c r="G4162" s="30" t="s">
        <v>10</v>
      </c>
      <c r="J4162" s="30" t="s">
        <v>391</v>
      </c>
    </row>
    <row r="4163" spans="1:10" x14ac:dyDescent="0.25">
      <c r="A4163" s="78">
        <v>46238</v>
      </c>
      <c r="B4163" s="68">
        <v>7</v>
      </c>
      <c r="C4163" s="189" t="s">
        <v>915</v>
      </c>
      <c r="D4163" s="30">
        <v>1</v>
      </c>
      <c r="E4163" s="30">
        <v>10</v>
      </c>
      <c r="F4163" s="30">
        <f t="shared" si="144"/>
        <v>10</v>
      </c>
      <c r="G4163" s="30" t="s">
        <v>10</v>
      </c>
      <c r="J4163" s="30" t="s">
        <v>391</v>
      </c>
    </row>
    <row r="4164" spans="1:10" x14ac:dyDescent="0.25">
      <c r="A4164" s="78">
        <v>46238</v>
      </c>
      <c r="B4164" s="68">
        <v>1</v>
      </c>
      <c r="C4164" s="189" t="s">
        <v>720</v>
      </c>
      <c r="D4164" s="30">
        <v>0.3</v>
      </c>
      <c r="E4164" s="30">
        <v>135</v>
      </c>
      <c r="F4164" s="30">
        <f t="shared" si="144"/>
        <v>40.5</v>
      </c>
      <c r="G4164" s="30" t="s">
        <v>9</v>
      </c>
      <c r="J4164" s="30" t="s">
        <v>391</v>
      </c>
    </row>
    <row r="4165" spans="1:10" x14ac:dyDescent="0.25">
      <c r="A4165" s="78">
        <v>46238</v>
      </c>
      <c r="B4165" s="68">
        <v>1</v>
      </c>
      <c r="C4165" s="189" t="s">
        <v>569</v>
      </c>
      <c r="D4165" s="30">
        <v>1</v>
      </c>
      <c r="E4165" s="30">
        <v>10</v>
      </c>
      <c r="F4165" s="30">
        <f t="shared" si="144"/>
        <v>10</v>
      </c>
      <c r="G4165" s="30" t="s">
        <v>9</v>
      </c>
      <c r="J4165" s="30" t="s">
        <v>391</v>
      </c>
    </row>
    <row r="4166" spans="1:10" x14ac:dyDescent="0.25">
      <c r="A4166" s="78">
        <v>46238</v>
      </c>
      <c r="B4166" s="68">
        <v>8</v>
      </c>
      <c r="C4166" s="189" t="s">
        <v>728</v>
      </c>
      <c r="D4166" s="30">
        <v>0.12</v>
      </c>
      <c r="E4166" s="30">
        <v>170</v>
      </c>
      <c r="F4166" s="30">
        <f t="shared" si="144"/>
        <v>20.399999999999999</v>
      </c>
      <c r="G4166" s="30" t="s">
        <v>9</v>
      </c>
      <c r="J4166" s="30" t="s">
        <v>391</v>
      </c>
    </row>
    <row r="4167" spans="1:10" x14ac:dyDescent="0.25">
      <c r="A4167" s="78">
        <v>46238</v>
      </c>
      <c r="B4167" s="68">
        <v>8</v>
      </c>
      <c r="C4167" s="189" t="s">
        <v>725</v>
      </c>
      <c r="D4167" s="30">
        <v>0.13500000000000001</v>
      </c>
      <c r="E4167" s="30">
        <v>150</v>
      </c>
      <c r="F4167" s="30">
        <f t="shared" si="144"/>
        <v>20.25</v>
      </c>
      <c r="G4167" s="30" t="s">
        <v>9</v>
      </c>
      <c r="J4167" s="30" t="s">
        <v>391</v>
      </c>
    </row>
    <row r="4168" spans="1:10" x14ac:dyDescent="0.25">
      <c r="A4168" s="78">
        <v>46238</v>
      </c>
      <c r="B4168" s="68">
        <v>9</v>
      </c>
      <c r="C4168" s="189" t="s">
        <v>710</v>
      </c>
      <c r="D4168" s="30">
        <v>2</v>
      </c>
      <c r="E4168" s="30">
        <v>5</v>
      </c>
      <c r="F4168" s="30">
        <f t="shared" si="144"/>
        <v>10</v>
      </c>
      <c r="G4168" s="30" t="s">
        <v>9</v>
      </c>
      <c r="J4168" s="30" t="s">
        <v>391</v>
      </c>
    </row>
    <row r="4169" spans="1:10" x14ac:dyDescent="0.25">
      <c r="A4169" s="78">
        <v>46238</v>
      </c>
      <c r="B4169" s="68">
        <v>10</v>
      </c>
      <c r="C4169" s="189" t="s">
        <v>588</v>
      </c>
      <c r="D4169" s="30">
        <v>0.5</v>
      </c>
      <c r="E4169" s="30">
        <v>190</v>
      </c>
      <c r="F4169" s="30">
        <f t="shared" si="144"/>
        <v>95</v>
      </c>
      <c r="G4169" s="30" t="s">
        <v>9</v>
      </c>
      <c r="I4169" s="68" t="s">
        <v>663</v>
      </c>
      <c r="J4169" s="30" t="s">
        <v>391</v>
      </c>
    </row>
    <row r="4170" spans="1:10" x14ac:dyDescent="0.25">
      <c r="A4170" s="78">
        <v>46238</v>
      </c>
      <c r="B4170" s="68">
        <v>10</v>
      </c>
      <c r="C4170" s="189" t="s">
        <v>1171</v>
      </c>
      <c r="D4170" s="30">
        <v>1</v>
      </c>
      <c r="E4170" s="30">
        <v>59</v>
      </c>
      <c r="F4170" s="30">
        <f t="shared" si="144"/>
        <v>59</v>
      </c>
      <c r="G4170" s="30" t="s">
        <v>9</v>
      </c>
      <c r="I4170" s="68" t="s">
        <v>663</v>
      </c>
      <c r="J4170" s="30" t="s">
        <v>391</v>
      </c>
    </row>
    <row r="4171" spans="1:10" x14ac:dyDescent="0.25">
      <c r="A4171" s="78">
        <v>46238</v>
      </c>
      <c r="B4171" s="68">
        <v>10</v>
      </c>
      <c r="C4171" s="188" t="s">
        <v>319</v>
      </c>
      <c r="D4171" s="30">
        <v>1</v>
      </c>
      <c r="E4171" s="30">
        <v>98</v>
      </c>
      <c r="F4171" s="30">
        <f t="shared" si="144"/>
        <v>98</v>
      </c>
      <c r="G4171" s="30" t="s">
        <v>9</v>
      </c>
      <c r="I4171" s="68" t="s">
        <v>663</v>
      </c>
      <c r="J4171" s="30" t="s">
        <v>391</v>
      </c>
    </row>
    <row r="4172" spans="1:10" x14ac:dyDescent="0.25">
      <c r="A4172" s="78">
        <v>46238</v>
      </c>
      <c r="B4172" s="68">
        <v>10</v>
      </c>
      <c r="C4172" s="33" t="s">
        <v>1212</v>
      </c>
      <c r="D4172" s="30">
        <v>1</v>
      </c>
      <c r="E4172" s="30">
        <v>20</v>
      </c>
      <c r="F4172" s="30">
        <f t="shared" si="144"/>
        <v>20</v>
      </c>
      <c r="G4172" s="30" t="s">
        <v>9</v>
      </c>
      <c r="I4172" s="68" t="s">
        <v>663</v>
      </c>
      <c r="J4172" s="30" t="s">
        <v>391</v>
      </c>
    </row>
    <row r="4173" spans="1:10" x14ac:dyDescent="0.25">
      <c r="A4173" s="78">
        <v>46238</v>
      </c>
      <c r="B4173" s="68">
        <v>11</v>
      </c>
      <c r="C4173" s="189" t="s">
        <v>856</v>
      </c>
      <c r="D4173" s="30">
        <v>2</v>
      </c>
      <c r="E4173" s="30">
        <v>10</v>
      </c>
      <c r="F4173" s="30">
        <f t="shared" si="144"/>
        <v>20</v>
      </c>
      <c r="G4173" s="30" t="s">
        <v>9</v>
      </c>
      <c r="J4173" s="30" t="s">
        <v>391</v>
      </c>
    </row>
    <row r="4174" spans="1:10" x14ac:dyDescent="0.25">
      <c r="A4174" s="78">
        <v>46238</v>
      </c>
      <c r="B4174" s="68">
        <v>12</v>
      </c>
      <c r="C4174" s="189" t="s">
        <v>856</v>
      </c>
      <c r="D4174" s="30">
        <v>1</v>
      </c>
      <c r="E4174" s="30">
        <v>10</v>
      </c>
      <c r="F4174" s="30">
        <f t="shared" si="144"/>
        <v>10</v>
      </c>
      <c r="G4174" s="30" t="s">
        <v>9</v>
      </c>
      <c r="J4174" s="30" t="s">
        <v>391</v>
      </c>
    </row>
    <row r="4175" spans="1:10" x14ac:dyDescent="0.25">
      <c r="A4175" s="78">
        <v>46238</v>
      </c>
      <c r="B4175" s="68">
        <v>4</v>
      </c>
      <c r="C4175" s="189" t="s">
        <v>860</v>
      </c>
      <c r="D4175" s="30">
        <v>2</v>
      </c>
      <c r="E4175" s="30">
        <v>5</v>
      </c>
      <c r="F4175" s="30">
        <f t="shared" si="144"/>
        <v>10</v>
      </c>
      <c r="G4175" s="30" t="s">
        <v>9</v>
      </c>
      <c r="H4175" s="68" t="s">
        <v>1206</v>
      </c>
      <c r="I4175" s="68" t="s">
        <v>1203</v>
      </c>
      <c r="J4175" s="30" t="s">
        <v>391</v>
      </c>
    </row>
    <row r="4176" spans="1:10" x14ac:dyDescent="0.25">
      <c r="A4176" s="78">
        <v>46238</v>
      </c>
      <c r="B4176" s="68">
        <v>13</v>
      </c>
      <c r="C4176" s="189" t="s">
        <v>1097</v>
      </c>
      <c r="D4176" s="30">
        <v>5</v>
      </c>
      <c r="E4176" s="30">
        <v>2</v>
      </c>
      <c r="F4176" s="30">
        <f t="shared" si="144"/>
        <v>10</v>
      </c>
      <c r="G4176" s="30" t="s">
        <v>9</v>
      </c>
      <c r="J4176" s="30" t="s">
        <v>391</v>
      </c>
    </row>
    <row r="4177" spans="1:10" x14ac:dyDescent="0.25">
      <c r="A4177" s="78">
        <v>46238</v>
      </c>
      <c r="B4177" s="68">
        <v>13</v>
      </c>
      <c r="C4177" s="189" t="s">
        <v>413</v>
      </c>
      <c r="D4177" s="30">
        <v>1</v>
      </c>
      <c r="E4177" s="30">
        <v>70</v>
      </c>
      <c r="F4177" s="30">
        <f t="shared" si="144"/>
        <v>70</v>
      </c>
      <c r="G4177" s="30" t="s">
        <v>9</v>
      </c>
      <c r="J4177" s="30" t="s">
        <v>391</v>
      </c>
    </row>
    <row r="4178" spans="1:10" x14ac:dyDescent="0.25">
      <c r="A4178" s="78">
        <v>46238</v>
      </c>
      <c r="B4178" s="68">
        <v>14</v>
      </c>
      <c r="C4178" s="189" t="s">
        <v>856</v>
      </c>
      <c r="D4178" s="30">
        <v>2</v>
      </c>
      <c r="E4178" s="30">
        <v>10</v>
      </c>
      <c r="F4178" s="30">
        <f t="shared" si="144"/>
        <v>20</v>
      </c>
      <c r="G4178" s="30" t="s">
        <v>9</v>
      </c>
      <c r="J4178" s="30" t="s">
        <v>391</v>
      </c>
    </row>
    <row r="4179" spans="1:10" x14ac:dyDescent="0.25">
      <c r="A4179" s="78">
        <v>46238</v>
      </c>
      <c r="B4179" s="68">
        <v>4</v>
      </c>
      <c r="C4179" s="189" t="s">
        <v>1071</v>
      </c>
      <c r="D4179" s="30">
        <v>0.45</v>
      </c>
      <c r="E4179" s="30">
        <v>45</v>
      </c>
      <c r="F4179" s="30">
        <f t="shared" si="144"/>
        <v>20.25</v>
      </c>
      <c r="G4179" s="30" t="s">
        <v>9</v>
      </c>
      <c r="H4179" s="68" t="s">
        <v>1206</v>
      </c>
      <c r="I4179" s="68" t="s">
        <v>1203</v>
      </c>
      <c r="J4179" s="30" t="s">
        <v>391</v>
      </c>
    </row>
    <row r="4180" spans="1:10" x14ac:dyDescent="0.25">
      <c r="A4180" s="78">
        <v>46238</v>
      </c>
      <c r="B4180" s="68">
        <v>4</v>
      </c>
      <c r="C4180" s="189" t="s">
        <v>588</v>
      </c>
      <c r="D4180" s="30">
        <v>0.11</v>
      </c>
      <c r="E4180" s="30">
        <v>190</v>
      </c>
      <c r="F4180" s="30">
        <f t="shared" si="144"/>
        <v>20.9</v>
      </c>
      <c r="G4180" s="30" t="s">
        <v>9</v>
      </c>
      <c r="H4180" s="68" t="s">
        <v>1206</v>
      </c>
      <c r="I4180" s="68" t="s">
        <v>1203</v>
      </c>
      <c r="J4180" s="30" t="s">
        <v>391</v>
      </c>
    </row>
    <row r="4181" spans="1:10" x14ac:dyDescent="0.25">
      <c r="A4181" s="78">
        <v>46238</v>
      </c>
      <c r="B4181" s="68">
        <v>4</v>
      </c>
      <c r="C4181" s="189" t="s">
        <v>542</v>
      </c>
      <c r="D4181" s="30">
        <v>0.21</v>
      </c>
      <c r="E4181" s="30">
        <v>95</v>
      </c>
      <c r="F4181" s="30">
        <f t="shared" si="144"/>
        <v>19.95</v>
      </c>
      <c r="G4181" s="30" t="s">
        <v>9</v>
      </c>
      <c r="H4181" s="68" t="s">
        <v>1206</v>
      </c>
      <c r="I4181" s="68" t="s">
        <v>1203</v>
      </c>
      <c r="J4181" s="30" t="s">
        <v>391</v>
      </c>
    </row>
    <row r="4182" spans="1:10" x14ac:dyDescent="0.25">
      <c r="A4182" s="78">
        <v>46238</v>
      </c>
      <c r="B4182" s="68">
        <v>4</v>
      </c>
      <c r="C4182" s="189" t="s">
        <v>1120</v>
      </c>
      <c r="D4182" s="30">
        <v>1</v>
      </c>
      <c r="E4182" s="30">
        <v>55</v>
      </c>
      <c r="F4182" s="30">
        <f t="shared" si="144"/>
        <v>55</v>
      </c>
      <c r="G4182" s="30" t="s">
        <v>9</v>
      </c>
      <c r="J4182" s="30" t="s">
        <v>391</v>
      </c>
    </row>
    <row r="4183" spans="1:10" x14ac:dyDescent="0.25">
      <c r="A4183" s="78">
        <v>46238</v>
      </c>
      <c r="B4183" s="68">
        <v>4</v>
      </c>
      <c r="C4183" s="189" t="s">
        <v>947</v>
      </c>
      <c r="D4183" s="30">
        <v>1</v>
      </c>
      <c r="E4183" s="30">
        <v>20</v>
      </c>
      <c r="F4183" s="30">
        <f t="shared" si="144"/>
        <v>20</v>
      </c>
      <c r="G4183" s="30" t="s">
        <v>9</v>
      </c>
      <c r="J4183" s="30" t="s">
        <v>391</v>
      </c>
    </row>
    <row r="4184" spans="1:10" x14ac:dyDescent="0.25">
      <c r="A4184" s="78">
        <v>46238</v>
      </c>
      <c r="B4184" s="68">
        <v>15</v>
      </c>
      <c r="C4184" s="189" t="s">
        <v>666</v>
      </c>
      <c r="D4184" s="30">
        <v>1</v>
      </c>
      <c r="E4184" s="30">
        <v>10</v>
      </c>
      <c r="F4184" s="30">
        <f t="shared" si="144"/>
        <v>10</v>
      </c>
      <c r="G4184" s="30" t="s">
        <v>9</v>
      </c>
      <c r="J4184" s="30" t="s">
        <v>392</v>
      </c>
    </row>
    <row r="4185" spans="1:10" x14ac:dyDescent="0.25">
      <c r="A4185" s="78">
        <v>46238</v>
      </c>
      <c r="B4185" s="68">
        <v>15</v>
      </c>
      <c r="C4185" s="189" t="s">
        <v>419</v>
      </c>
      <c r="D4185" s="30">
        <v>1</v>
      </c>
      <c r="E4185" s="30">
        <v>10</v>
      </c>
      <c r="F4185" s="30">
        <f t="shared" si="144"/>
        <v>10</v>
      </c>
      <c r="G4185" s="30" t="s">
        <v>9</v>
      </c>
      <c r="J4185" s="30" t="s">
        <v>392</v>
      </c>
    </row>
    <row r="4186" spans="1:10" ht="30" x14ac:dyDescent="0.25">
      <c r="A4186" s="78">
        <v>46238</v>
      </c>
      <c r="B4186" s="68">
        <v>16</v>
      </c>
      <c r="C4186" s="189" t="s">
        <v>1183</v>
      </c>
      <c r="D4186" s="30">
        <v>1</v>
      </c>
      <c r="E4186" s="30">
        <v>10</v>
      </c>
      <c r="F4186" s="30">
        <f t="shared" si="144"/>
        <v>10</v>
      </c>
      <c r="G4186" s="30" t="s">
        <v>9</v>
      </c>
      <c r="J4186" s="30" t="s">
        <v>392</v>
      </c>
    </row>
    <row r="4187" spans="1:10" x14ac:dyDescent="0.25">
      <c r="A4187" s="78">
        <v>46238</v>
      </c>
      <c r="B4187" s="68">
        <v>17</v>
      </c>
      <c r="C4187" s="189" t="s">
        <v>445</v>
      </c>
      <c r="D4187" s="30">
        <v>1</v>
      </c>
      <c r="E4187" s="30">
        <v>10</v>
      </c>
      <c r="F4187" s="30">
        <f t="shared" si="144"/>
        <v>10</v>
      </c>
      <c r="G4187" s="30" t="s">
        <v>10</v>
      </c>
      <c r="J4187" s="30" t="s">
        <v>392</v>
      </c>
    </row>
    <row r="4188" spans="1:10" x14ac:dyDescent="0.25">
      <c r="A4188" s="78">
        <v>46238</v>
      </c>
      <c r="B4188" s="68">
        <v>18</v>
      </c>
      <c r="C4188" s="189" t="s">
        <v>1153</v>
      </c>
      <c r="D4188" s="30">
        <v>8</v>
      </c>
      <c r="E4188" s="30">
        <v>10</v>
      </c>
      <c r="F4188" s="30">
        <f t="shared" si="144"/>
        <v>80</v>
      </c>
      <c r="G4188" s="30" t="s">
        <v>9</v>
      </c>
      <c r="J4188" s="30" t="s">
        <v>392</v>
      </c>
    </row>
    <row r="4189" spans="1:10" x14ac:dyDescent="0.25">
      <c r="A4189" s="78">
        <v>46238</v>
      </c>
      <c r="B4189" s="68">
        <v>19</v>
      </c>
      <c r="C4189" s="189" t="s">
        <v>876</v>
      </c>
      <c r="D4189" s="30">
        <v>1</v>
      </c>
      <c r="E4189" s="30">
        <v>20</v>
      </c>
      <c r="F4189" s="30">
        <f t="shared" si="144"/>
        <v>20</v>
      </c>
      <c r="G4189" s="30" t="s">
        <v>9</v>
      </c>
      <c r="J4189" s="30" t="s">
        <v>392</v>
      </c>
    </row>
    <row r="4190" spans="1:10" x14ac:dyDescent="0.25">
      <c r="A4190" s="78">
        <v>46238</v>
      </c>
      <c r="B4190" s="68">
        <v>20</v>
      </c>
      <c r="C4190" s="189" t="s">
        <v>1148</v>
      </c>
      <c r="D4190" s="30">
        <v>1</v>
      </c>
      <c r="E4190" s="30">
        <v>10</v>
      </c>
      <c r="F4190" s="30">
        <f t="shared" si="144"/>
        <v>10</v>
      </c>
      <c r="G4190" s="30" t="s">
        <v>9</v>
      </c>
      <c r="J4190" s="30" t="s">
        <v>392</v>
      </c>
    </row>
    <row r="4191" spans="1:10" x14ac:dyDescent="0.25">
      <c r="A4191" s="78">
        <v>46238</v>
      </c>
      <c r="B4191" s="68">
        <v>21</v>
      </c>
      <c r="C4191" s="189" t="s">
        <v>728</v>
      </c>
      <c r="D4191" s="30">
        <v>0.12</v>
      </c>
      <c r="E4191" s="30">
        <v>170</v>
      </c>
      <c r="F4191" s="30">
        <f t="shared" si="144"/>
        <v>20.399999999999999</v>
      </c>
      <c r="G4191" s="30" t="s">
        <v>9</v>
      </c>
      <c r="J4191" s="30" t="s">
        <v>392</v>
      </c>
    </row>
    <row r="4192" spans="1:10" s="62" customFormat="1" x14ac:dyDescent="0.25">
      <c r="A4192" s="151">
        <v>46238</v>
      </c>
      <c r="B4192" s="139"/>
      <c r="C4192" s="150"/>
      <c r="H4192" s="139"/>
      <c r="I4192" s="139">
        <f>SUMIF(G4156:G4191, "&lt;&gt;UPI",F4156:F4191)</f>
        <v>874.65</v>
      </c>
    </row>
    <row r="4193" spans="1:12" s="170" customFormat="1" ht="18.75" x14ac:dyDescent="0.3">
      <c r="A4193" s="79">
        <v>46238</v>
      </c>
      <c r="B4193" s="147" t="s">
        <v>987</v>
      </c>
      <c r="C4193" s="169">
        <f>MAX(B4156:B4191)</f>
        <v>21</v>
      </c>
      <c r="D4193" s="147" t="s">
        <v>988</v>
      </c>
      <c r="E4193" s="170">
        <f>SUMIF(G4156:G4191,"UPI",F4156:F4191)</f>
        <v>30</v>
      </c>
      <c r="F4193" s="230" t="s">
        <v>437</v>
      </c>
      <c r="G4193" s="230"/>
      <c r="H4193" s="230"/>
      <c r="I4193" s="231">
        <f>SUM(F4156:F4191)</f>
        <v>904.65</v>
      </c>
      <c r="J4193" s="231"/>
      <c r="K4193" s="231"/>
      <c r="L4193" s="231"/>
    </row>
    <row r="4194" spans="1:12" x14ac:dyDescent="0.25">
      <c r="A4194" s="78">
        <v>46239</v>
      </c>
      <c r="B4194" s="68">
        <v>1</v>
      </c>
      <c r="C4194" s="188" t="s">
        <v>813</v>
      </c>
      <c r="D4194" s="30">
        <v>1</v>
      </c>
      <c r="E4194" s="30">
        <v>30</v>
      </c>
      <c r="F4194" s="30">
        <f>E4194*D4194</f>
        <v>30</v>
      </c>
      <c r="G4194" s="30" t="s">
        <v>9</v>
      </c>
      <c r="J4194" s="30" t="s">
        <v>391</v>
      </c>
    </row>
    <row r="4195" spans="1:12" x14ac:dyDescent="0.25">
      <c r="A4195" s="78">
        <v>46239</v>
      </c>
      <c r="B4195" s="68">
        <v>2</v>
      </c>
      <c r="C4195" s="189" t="s">
        <v>1088</v>
      </c>
      <c r="D4195" s="30">
        <v>4</v>
      </c>
      <c r="E4195" s="30">
        <v>10</v>
      </c>
      <c r="F4195" s="30">
        <f t="shared" ref="F4195:F4257" si="145">E4195*D4195</f>
        <v>40</v>
      </c>
      <c r="G4195" s="30" t="s">
        <v>9</v>
      </c>
      <c r="J4195" s="30" t="s">
        <v>391</v>
      </c>
    </row>
    <row r="4196" spans="1:12" x14ac:dyDescent="0.25">
      <c r="A4196" s="78">
        <v>46239</v>
      </c>
      <c r="B4196" s="68">
        <v>2</v>
      </c>
      <c r="C4196" s="189" t="s">
        <v>1091</v>
      </c>
      <c r="D4196" s="30">
        <v>1</v>
      </c>
      <c r="E4196" s="30">
        <v>40</v>
      </c>
      <c r="F4196" s="30">
        <f t="shared" si="145"/>
        <v>40</v>
      </c>
      <c r="G4196" s="30" t="s">
        <v>9</v>
      </c>
      <c r="J4196" s="30" t="s">
        <v>391</v>
      </c>
    </row>
    <row r="4197" spans="1:12" x14ac:dyDescent="0.25">
      <c r="A4197" s="78">
        <v>46239</v>
      </c>
      <c r="B4197" s="68">
        <v>3</v>
      </c>
      <c r="C4197" s="189" t="s">
        <v>1140</v>
      </c>
      <c r="D4197" s="30">
        <v>2</v>
      </c>
      <c r="E4197" s="30">
        <v>5</v>
      </c>
      <c r="F4197" s="30">
        <f t="shared" si="145"/>
        <v>10</v>
      </c>
      <c r="G4197" s="30" t="s">
        <v>10</v>
      </c>
      <c r="J4197" s="30" t="s">
        <v>391</v>
      </c>
    </row>
    <row r="4198" spans="1:12" x14ac:dyDescent="0.25">
      <c r="A4198" s="78">
        <v>46239</v>
      </c>
      <c r="B4198" s="68">
        <v>3</v>
      </c>
      <c r="C4198" s="33" t="s">
        <v>1210</v>
      </c>
      <c r="D4198" s="30">
        <v>1</v>
      </c>
      <c r="E4198" s="30">
        <v>5</v>
      </c>
      <c r="F4198" s="30">
        <f t="shared" si="145"/>
        <v>5</v>
      </c>
      <c r="G4198" s="30" t="s">
        <v>10</v>
      </c>
      <c r="J4198" s="30" t="s">
        <v>391</v>
      </c>
    </row>
    <row r="4199" spans="1:12" x14ac:dyDescent="0.25">
      <c r="A4199" s="78">
        <v>46239</v>
      </c>
      <c r="B4199" s="68">
        <v>4</v>
      </c>
      <c r="C4199" s="189" t="s">
        <v>759</v>
      </c>
      <c r="D4199" s="30">
        <v>1</v>
      </c>
      <c r="E4199" s="30">
        <v>5</v>
      </c>
      <c r="F4199" s="30">
        <f t="shared" si="145"/>
        <v>5</v>
      </c>
      <c r="G4199" s="30" t="s">
        <v>9</v>
      </c>
      <c r="J4199" s="30" t="s">
        <v>391</v>
      </c>
    </row>
    <row r="4200" spans="1:12" x14ac:dyDescent="0.25">
      <c r="A4200" s="78">
        <v>46239</v>
      </c>
      <c r="B4200" s="68">
        <v>5</v>
      </c>
      <c r="C4200" s="189" t="s">
        <v>1171</v>
      </c>
      <c r="D4200" s="30">
        <v>1</v>
      </c>
      <c r="E4200" s="30">
        <v>59</v>
      </c>
      <c r="F4200" s="30">
        <f t="shared" si="145"/>
        <v>59</v>
      </c>
      <c r="G4200" s="30" t="s">
        <v>10</v>
      </c>
      <c r="J4200" s="30" t="s">
        <v>391</v>
      </c>
    </row>
    <row r="4201" spans="1:12" x14ac:dyDescent="0.25">
      <c r="A4201" s="78">
        <v>46239</v>
      </c>
      <c r="B4201" s="68">
        <v>5</v>
      </c>
      <c r="C4201" s="189" t="s">
        <v>1140</v>
      </c>
      <c r="D4201" s="30">
        <v>3</v>
      </c>
      <c r="E4201" s="30">
        <v>5</v>
      </c>
      <c r="F4201" s="30">
        <f t="shared" si="145"/>
        <v>15</v>
      </c>
      <c r="G4201" s="30" t="s">
        <v>10</v>
      </c>
      <c r="J4201" s="30" t="s">
        <v>391</v>
      </c>
    </row>
    <row r="4202" spans="1:12" x14ac:dyDescent="0.25">
      <c r="A4202" s="78">
        <v>46239</v>
      </c>
      <c r="B4202" s="68">
        <v>6</v>
      </c>
      <c r="C4202" s="189" t="s">
        <v>1163</v>
      </c>
      <c r="D4202" s="30">
        <v>1</v>
      </c>
      <c r="E4202" s="30">
        <v>10</v>
      </c>
      <c r="F4202" s="30">
        <f t="shared" si="145"/>
        <v>10</v>
      </c>
      <c r="G4202" s="30" t="s">
        <v>9</v>
      </c>
      <c r="J4202" s="30" t="s">
        <v>391</v>
      </c>
    </row>
    <row r="4203" spans="1:12" x14ac:dyDescent="0.25">
      <c r="A4203" s="78">
        <v>46239</v>
      </c>
      <c r="B4203" s="68">
        <v>6</v>
      </c>
      <c r="C4203" s="189" t="s">
        <v>533</v>
      </c>
      <c r="D4203" s="30">
        <v>1</v>
      </c>
      <c r="E4203" s="30">
        <v>10</v>
      </c>
      <c r="F4203" s="30">
        <f t="shared" si="145"/>
        <v>10</v>
      </c>
      <c r="G4203" s="30" t="s">
        <v>9</v>
      </c>
      <c r="J4203" s="30" t="s">
        <v>391</v>
      </c>
    </row>
    <row r="4204" spans="1:12" ht="30" x14ac:dyDescent="0.25">
      <c r="A4204" s="78">
        <v>46239</v>
      </c>
      <c r="B4204" s="68">
        <v>7</v>
      </c>
      <c r="C4204" s="189" t="s">
        <v>1114</v>
      </c>
      <c r="D4204" s="30">
        <v>1</v>
      </c>
      <c r="E4204" s="30">
        <v>62</v>
      </c>
      <c r="F4204" s="30">
        <f t="shared" si="145"/>
        <v>62</v>
      </c>
      <c r="G4204" s="30" t="s">
        <v>10</v>
      </c>
      <c r="J4204" s="30" t="s">
        <v>391</v>
      </c>
    </row>
    <row r="4205" spans="1:12" x14ac:dyDescent="0.25">
      <c r="A4205" s="78">
        <v>46239</v>
      </c>
      <c r="B4205" s="68">
        <v>7</v>
      </c>
      <c r="C4205" s="189" t="s">
        <v>969</v>
      </c>
      <c r="D4205" s="30">
        <v>0.2</v>
      </c>
      <c r="E4205" s="30">
        <v>160</v>
      </c>
      <c r="F4205" s="30">
        <f t="shared" si="145"/>
        <v>32</v>
      </c>
      <c r="G4205" s="30" t="s">
        <v>10</v>
      </c>
      <c r="I4205" s="68" t="s">
        <v>1204</v>
      </c>
      <c r="J4205" s="30" t="s">
        <v>391</v>
      </c>
    </row>
    <row r="4206" spans="1:12" x14ac:dyDescent="0.25">
      <c r="A4206" s="78">
        <v>46239</v>
      </c>
      <c r="B4206" s="68">
        <v>8</v>
      </c>
      <c r="C4206" s="189" t="s">
        <v>970</v>
      </c>
      <c r="D4206" s="30">
        <v>1</v>
      </c>
      <c r="E4206" s="30">
        <v>10</v>
      </c>
      <c r="F4206" s="30">
        <f t="shared" si="145"/>
        <v>10</v>
      </c>
      <c r="G4206" s="30" t="s">
        <v>9</v>
      </c>
      <c r="J4206" s="30" t="s">
        <v>391</v>
      </c>
    </row>
    <row r="4207" spans="1:12" x14ac:dyDescent="0.25">
      <c r="A4207" s="78">
        <v>46239</v>
      </c>
      <c r="B4207" s="68">
        <v>9</v>
      </c>
      <c r="C4207" s="189" t="s">
        <v>1141</v>
      </c>
      <c r="D4207" s="30">
        <v>1</v>
      </c>
      <c r="E4207" s="30">
        <v>10</v>
      </c>
      <c r="F4207" s="30">
        <f t="shared" si="145"/>
        <v>10</v>
      </c>
      <c r="G4207" s="30" t="s">
        <v>9</v>
      </c>
      <c r="J4207" s="30" t="s">
        <v>391</v>
      </c>
    </row>
    <row r="4208" spans="1:12" x14ac:dyDescent="0.25">
      <c r="A4208" s="78">
        <v>46239</v>
      </c>
      <c r="B4208" s="68">
        <v>10</v>
      </c>
      <c r="C4208" s="189" t="s">
        <v>783</v>
      </c>
      <c r="D4208" s="30">
        <v>1</v>
      </c>
      <c r="E4208" s="30">
        <v>10</v>
      </c>
      <c r="F4208" s="30">
        <f t="shared" si="145"/>
        <v>10</v>
      </c>
      <c r="G4208" s="30" t="s">
        <v>9</v>
      </c>
      <c r="J4208" s="30" t="s">
        <v>391</v>
      </c>
    </row>
    <row r="4209" spans="1:10" ht="30" x14ac:dyDescent="0.25">
      <c r="A4209" s="78">
        <v>46239</v>
      </c>
      <c r="B4209" s="68">
        <v>10</v>
      </c>
      <c r="C4209" s="189" t="s">
        <v>997</v>
      </c>
      <c r="D4209" s="30">
        <v>1</v>
      </c>
      <c r="E4209" s="30">
        <v>20</v>
      </c>
      <c r="F4209" s="30">
        <f t="shared" si="145"/>
        <v>20</v>
      </c>
      <c r="G4209" s="30" t="s">
        <v>9</v>
      </c>
      <c r="J4209" s="30" t="s">
        <v>391</v>
      </c>
    </row>
    <row r="4210" spans="1:10" x14ac:dyDescent="0.25">
      <c r="A4210" s="78">
        <v>46239</v>
      </c>
      <c r="B4210" s="68">
        <v>10</v>
      </c>
      <c r="C4210" s="189" t="s">
        <v>666</v>
      </c>
      <c r="D4210" s="30">
        <v>1</v>
      </c>
      <c r="E4210" s="30">
        <v>10</v>
      </c>
      <c r="F4210" s="30">
        <f t="shared" si="145"/>
        <v>10</v>
      </c>
      <c r="G4210" s="30" t="s">
        <v>9</v>
      </c>
      <c r="J4210" s="30" t="s">
        <v>391</v>
      </c>
    </row>
    <row r="4211" spans="1:10" x14ac:dyDescent="0.25">
      <c r="A4211" s="78">
        <v>46239</v>
      </c>
      <c r="B4211" s="68">
        <v>10</v>
      </c>
      <c r="C4211" s="189" t="s">
        <v>947</v>
      </c>
      <c r="D4211" s="30">
        <v>1</v>
      </c>
      <c r="E4211" s="30">
        <v>20</v>
      </c>
      <c r="F4211" s="30">
        <f t="shared" si="145"/>
        <v>20</v>
      </c>
      <c r="G4211" s="30" t="s">
        <v>9</v>
      </c>
      <c r="H4211" s="68" t="s">
        <v>1206</v>
      </c>
      <c r="I4211" s="68" t="s">
        <v>1203</v>
      </c>
      <c r="J4211" s="30" t="s">
        <v>391</v>
      </c>
    </row>
    <row r="4212" spans="1:10" x14ac:dyDescent="0.25">
      <c r="A4212" s="78">
        <v>46239</v>
      </c>
      <c r="B4212" s="68">
        <v>11</v>
      </c>
      <c r="C4212" s="189" t="s">
        <v>582</v>
      </c>
      <c r="D4212" s="30">
        <v>1</v>
      </c>
      <c r="E4212" s="30">
        <v>10</v>
      </c>
      <c r="F4212" s="30">
        <f t="shared" si="145"/>
        <v>10</v>
      </c>
      <c r="G4212" s="30" t="s">
        <v>9</v>
      </c>
      <c r="J4212" s="30" t="s">
        <v>391</v>
      </c>
    </row>
    <row r="4213" spans="1:10" x14ac:dyDescent="0.25">
      <c r="A4213" s="78">
        <v>46239</v>
      </c>
      <c r="B4213" s="68">
        <v>12</v>
      </c>
      <c r="C4213" s="189" t="s">
        <v>94</v>
      </c>
      <c r="D4213" s="30">
        <v>1</v>
      </c>
      <c r="E4213" s="30">
        <v>20</v>
      </c>
      <c r="F4213" s="30">
        <f t="shared" si="145"/>
        <v>20</v>
      </c>
      <c r="G4213" s="30" t="s">
        <v>9</v>
      </c>
      <c r="J4213" s="30" t="s">
        <v>391</v>
      </c>
    </row>
    <row r="4214" spans="1:10" x14ac:dyDescent="0.25">
      <c r="A4214" s="78">
        <v>46239</v>
      </c>
      <c r="B4214" s="68">
        <v>12</v>
      </c>
      <c r="C4214" s="189" t="s">
        <v>764</v>
      </c>
      <c r="D4214" s="30">
        <v>2</v>
      </c>
      <c r="E4214" s="30">
        <v>5</v>
      </c>
      <c r="F4214" s="30">
        <f t="shared" si="145"/>
        <v>10</v>
      </c>
      <c r="G4214" s="30" t="s">
        <v>9</v>
      </c>
      <c r="J4214" s="30" t="s">
        <v>391</v>
      </c>
    </row>
    <row r="4215" spans="1:10" x14ac:dyDescent="0.25">
      <c r="A4215" s="78">
        <v>46239</v>
      </c>
      <c r="B4215" s="68">
        <v>13</v>
      </c>
      <c r="C4215" s="189" t="s">
        <v>569</v>
      </c>
      <c r="D4215" s="30">
        <v>1</v>
      </c>
      <c r="E4215" s="30">
        <v>10</v>
      </c>
      <c r="F4215" s="30">
        <f t="shared" si="145"/>
        <v>10</v>
      </c>
      <c r="G4215" s="30" t="s">
        <v>9</v>
      </c>
      <c r="J4215" s="30" t="s">
        <v>391</v>
      </c>
    </row>
    <row r="4216" spans="1:10" x14ac:dyDescent="0.25">
      <c r="A4216" s="78">
        <v>46239</v>
      </c>
      <c r="B4216" s="68">
        <v>10</v>
      </c>
      <c r="C4216" s="189" t="s">
        <v>848</v>
      </c>
      <c r="D4216" s="30">
        <v>1</v>
      </c>
      <c r="E4216" s="30">
        <v>5</v>
      </c>
      <c r="F4216" s="30">
        <f t="shared" si="145"/>
        <v>5</v>
      </c>
      <c r="G4216" s="30" t="s">
        <v>9</v>
      </c>
      <c r="H4216" s="68" t="s">
        <v>1206</v>
      </c>
      <c r="I4216" s="68" t="s">
        <v>1203</v>
      </c>
      <c r="J4216" s="30" t="s">
        <v>391</v>
      </c>
    </row>
    <row r="4217" spans="1:10" ht="30" x14ac:dyDescent="0.25">
      <c r="A4217" s="78">
        <v>46239</v>
      </c>
      <c r="B4217" s="68">
        <v>14</v>
      </c>
      <c r="C4217" s="189" t="s">
        <v>707</v>
      </c>
      <c r="D4217" s="30">
        <v>1</v>
      </c>
      <c r="E4217" s="30">
        <v>15</v>
      </c>
      <c r="F4217" s="30">
        <f t="shared" si="145"/>
        <v>15</v>
      </c>
      <c r="G4217" s="30" t="s">
        <v>9</v>
      </c>
      <c r="J4217" s="30" t="s">
        <v>391</v>
      </c>
    </row>
    <row r="4218" spans="1:10" x14ac:dyDescent="0.25">
      <c r="A4218" s="78">
        <v>46239</v>
      </c>
      <c r="B4218" s="68">
        <v>14</v>
      </c>
      <c r="C4218" s="189" t="s">
        <v>848</v>
      </c>
      <c r="D4218" s="30">
        <v>1</v>
      </c>
      <c r="E4218" s="30">
        <v>5</v>
      </c>
      <c r="F4218" s="30">
        <f t="shared" si="145"/>
        <v>5</v>
      </c>
      <c r="G4218" s="30" t="s">
        <v>9</v>
      </c>
      <c r="J4218" s="30" t="s">
        <v>391</v>
      </c>
    </row>
    <row r="4219" spans="1:10" x14ac:dyDescent="0.25">
      <c r="A4219" s="78">
        <v>46239</v>
      </c>
      <c r="B4219" s="68">
        <v>15</v>
      </c>
      <c r="C4219" s="189" t="s">
        <v>1049</v>
      </c>
      <c r="D4219" s="30">
        <v>1</v>
      </c>
      <c r="E4219" s="30">
        <v>30</v>
      </c>
      <c r="F4219" s="30">
        <f t="shared" si="145"/>
        <v>30</v>
      </c>
      <c r="G4219" s="30" t="s">
        <v>9</v>
      </c>
      <c r="J4219" s="30" t="s">
        <v>391</v>
      </c>
    </row>
    <row r="4220" spans="1:10" x14ac:dyDescent="0.25">
      <c r="A4220" s="78">
        <v>46239</v>
      </c>
      <c r="B4220" s="68">
        <v>15</v>
      </c>
      <c r="C4220" s="189" t="s">
        <v>915</v>
      </c>
      <c r="D4220" s="30">
        <v>1</v>
      </c>
      <c r="E4220" s="30">
        <v>10</v>
      </c>
      <c r="F4220" s="30">
        <f t="shared" si="145"/>
        <v>10</v>
      </c>
      <c r="G4220" s="30" t="s">
        <v>9</v>
      </c>
      <c r="J4220" s="30" t="s">
        <v>391</v>
      </c>
    </row>
    <row r="4221" spans="1:10" x14ac:dyDescent="0.25">
      <c r="A4221" s="78">
        <v>46239</v>
      </c>
      <c r="B4221" s="68">
        <v>16</v>
      </c>
      <c r="C4221" s="189" t="s">
        <v>791</v>
      </c>
      <c r="D4221" s="30">
        <v>1</v>
      </c>
      <c r="E4221" s="30">
        <v>10</v>
      </c>
      <c r="F4221" s="30">
        <f t="shared" si="145"/>
        <v>10</v>
      </c>
      <c r="G4221" s="30" t="s">
        <v>9</v>
      </c>
      <c r="J4221" s="30" t="s">
        <v>391</v>
      </c>
    </row>
    <row r="4222" spans="1:10" x14ac:dyDescent="0.25">
      <c r="A4222" s="78">
        <v>46239</v>
      </c>
      <c r="B4222" s="68">
        <v>10</v>
      </c>
      <c r="C4222" s="33" t="s">
        <v>1212</v>
      </c>
      <c r="D4222" s="30">
        <v>1</v>
      </c>
      <c r="E4222" s="30">
        <v>20</v>
      </c>
      <c r="F4222" s="30">
        <f t="shared" si="145"/>
        <v>20</v>
      </c>
      <c r="G4222" s="30" t="s">
        <v>9</v>
      </c>
      <c r="H4222" s="68" t="s">
        <v>1206</v>
      </c>
      <c r="I4222" s="68" t="s">
        <v>1203</v>
      </c>
      <c r="J4222" s="30" t="s">
        <v>391</v>
      </c>
    </row>
    <row r="4223" spans="1:10" x14ac:dyDescent="0.25">
      <c r="A4223" s="78">
        <v>46239</v>
      </c>
      <c r="B4223" s="68">
        <v>17</v>
      </c>
      <c r="C4223" s="188" t="s">
        <v>911</v>
      </c>
      <c r="D4223" s="30">
        <v>2</v>
      </c>
      <c r="E4223" s="30">
        <v>10</v>
      </c>
      <c r="F4223" s="30">
        <f t="shared" si="145"/>
        <v>20</v>
      </c>
      <c r="G4223" s="30" t="s">
        <v>10</v>
      </c>
      <c r="J4223" s="30" t="s">
        <v>392</v>
      </c>
    </row>
    <row r="4224" spans="1:10" x14ac:dyDescent="0.25">
      <c r="A4224" s="78">
        <v>46239</v>
      </c>
      <c r="B4224" s="68">
        <v>17</v>
      </c>
      <c r="C4224" s="189" t="s">
        <v>1090</v>
      </c>
      <c r="D4224" s="30">
        <v>2</v>
      </c>
      <c r="E4224" s="30">
        <v>10</v>
      </c>
      <c r="F4224" s="30">
        <f t="shared" si="145"/>
        <v>20</v>
      </c>
      <c r="G4224" s="30" t="s">
        <v>10</v>
      </c>
      <c r="J4224" s="30" t="s">
        <v>392</v>
      </c>
    </row>
    <row r="4225" spans="1:10" x14ac:dyDescent="0.25">
      <c r="A4225" s="78">
        <v>46239</v>
      </c>
      <c r="B4225" s="68">
        <v>18</v>
      </c>
      <c r="C4225" s="189" t="s">
        <v>947</v>
      </c>
      <c r="D4225" s="30">
        <v>1</v>
      </c>
      <c r="E4225" s="30">
        <v>20</v>
      </c>
      <c r="F4225" s="30">
        <f t="shared" si="145"/>
        <v>20</v>
      </c>
      <c r="G4225" s="30" t="s">
        <v>9</v>
      </c>
      <c r="J4225" s="30" t="s">
        <v>392</v>
      </c>
    </row>
    <row r="4226" spans="1:10" x14ac:dyDescent="0.25">
      <c r="A4226" s="78">
        <v>46239</v>
      </c>
      <c r="B4226" s="68">
        <v>18</v>
      </c>
      <c r="C4226" s="189" t="s">
        <v>1141</v>
      </c>
      <c r="D4226" s="30">
        <v>1</v>
      </c>
      <c r="E4226" s="30">
        <v>10</v>
      </c>
      <c r="F4226" s="30">
        <f t="shared" si="145"/>
        <v>10</v>
      </c>
      <c r="G4226" s="30" t="s">
        <v>9</v>
      </c>
      <c r="J4226" s="30" t="s">
        <v>392</v>
      </c>
    </row>
    <row r="4227" spans="1:10" x14ac:dyDescent="0.25">
      <c r="A4227" s="78">
        <v>46239</v>
      </c>
      <c r="B4227" s="68">
        <v>19</v>
      </c>
      <c r="C4227" s="189" t="s">
        <v>1090</v>
      </c>
      <c r="D4227" s="30">
        <v>2</v>
      </c>
      <c r="E4227" s="30">
        <v>10</v>
      </c>
      <c r="F4227" s="30">
        <f t="shared" si="145"/>
        <v>20</v>
      </c>
      <c r="G4227" s="30" t="s">
        <v>9</v>
      </c>
      <c r="J4227" s="30" t="s">
        <v>392</v>
      </c>
    </row>
    <row r="4228" spans="1:10" x14ac:dyDescent="0.25">
      <c r="A4228" s="78">
        <v>46239</v>
      </c>
      <c r="B4228" s="68">
        <v>19</v>
      </c>
      <c r="C4228" s="189" t="s">
        <v>859</v>
      </c>
      <c r="D4228" s="30">
        <v>1</v>
      </c>
      <c r="E4228" s="30">
        <v>10</v>
      </c>
      <c r="F4228" s="30">
        <f t="shared" si="145"/>
        <v>10</v>
      </c>
      <c r="G4228" s="30" t="s">
        <v>9</v>
      </c>
      <c r="J4228" s="30" t="s">
        <v>392</v>
      </c>
    </row>
    <row r="4229" spans="1:10" x14ac:dyDescent="0.25">
      <c r="A4229" s="78">
        <v>46239</v>
      </c>
      <c r="B4229" s="68">
        <v>19</v>
      </c>
      <c r="C4229" s="189" t="s">
        <v>1148</v>
      </c>
      <c r="D4229" s="30">
        <v>1</v>
      </c>
      <c r="E4229" s="30">
        <v>10</v>
      </c>
      <c r="F4229" s="30">
        <f t="shared" si="145"/>
        <v>10</v>
      </c>
      <c r="G4229" s="30" t="s">
        <v>9</v>
      </c>
      <c r="J4229" s="30" t="s">
        <v>392</v>
      </c>
    </row>
    <row r="4230" spans="1:10" x14ac:dyDescent="0.25">
      <c r="A4230" s="78">
        <v>46239</v>
      </c>
      <c r="B4230" s="68">
        <v>19</v>
      </c>
      <c r="C4230" s="189" t="s">
        <v>807</v>
      </c>
      <c r="D4230" s="30">
        <v>0.14499999999999999</v>
      </c>
      <c r="E4230" s="30">
        <v>70</v>
      </c>
      <c r="F4230" s="30">
        <f t="shared" si="145"/>
        <v>10.149999999999999</v>
      </c>
      <c r="G4230" s="30" t="s">
        <v>9</v>
      </c>
      <c r="J4230" s="30" t="s">
        <v>392</v>
      </c>
    </row>
    <row r="4231" spans="1:10" x14ac:dyDescent="0.25">
      <c r="A4231" s="78">
        <v>46239</v>
      </c>
      <c r="B4231" s="68">
        <v>20</v>
      </c>
      <c r="C4231" s="189" t="s">
        <v>503</v>
      </c>
      <c r="D4231" s="30">
        <v>1</v>
      </c>
      <c r="E4231" s="30">
        <v>10</v>
      </c>
      <c r="F4231" s="30">
        <f t="shared" si="145"/>
        <v>10</v>
      </c>
      <c r="G4231" s="30" t="s">
        <v>10</v>
      </c>
      <c r="J4231" s="30" t="s">
        <v>392</v>
      </c>
    </row>
    <row r="4232" spans="1:10" x14ac:dyDescent="0.25">
      <c r="A4232" s="78">
        <v>46239</v>
      </c>
      <c r="B4232" s="68">
        <v>20</v>
      </c>
      <c r="C4232" s="189" t="s">
        <v>1213</v>
      </c>
      <c r="D4232" s="30">
        <v>1</v>
      </c>
      <c r="E4232" s="30">
        <v>10</v>
      </c>
      <c r="F4232" s="30">
        <f t="shared" si="145"/>
        <v>10</v>
      </c>
      <c r="G4232" s="30" t="s">
        <v>10</v>
      </c>
      <c r="J4232" s="30" t="s">
        <v>392</v>
      </c>
    </row>
    <row r="4233" spans="1:10" x14ac:dyDescent="0.25">
      <c r="A4233" s="78">
        <v>46239</v>
      </c>
      <c r="B4233" s="68">
        <v>20</v>
      </c>
      <c r="C4233" s="189" t="s">
        <v>791</v>
      </c>
      <c r="D4233" s="30">
        <v>2</v>
      </c>
      <c r="E4233" s="30">
        <v>10</v>
      </c>
      <c r="F4233" s="30">
        <f t="shared" si="145"/>
        <v>20</v>
      </c>
      <c r="G4233" s="30" t="s">
        <v>10</v>
      </c>
      <c r="J4233" s="30" t="s">
        <v>392</v>
      </c>
    </row>
    <row r="4234" spans="1:10" x14ac:dyDescent="0.25">
      <c r="A4234" s="78">
        <v>46239</v>
      </c>
      <c r="B4234" s="68">
        <v>20</v>
      </c>
      <c r="C4234" s="189" t="s">
        <v>764</v>
      </c>
      <c r="D4234" s="30">
        <v>2</v>
      </c>
      <c r="E4234" s="30">
        <v>5</v>
      </c>
      <c r="F4234" s="30">
        <f t="shared" si="145"/>
        <v>10</v>
      </c>
      <c r="G4234" s="30" t="s">
        <v>10</v>
      </c>
      <c r="J4234" s="30" t="s">
        <v>392</v>
      </c>
    </row>
    <row r="4235" spans="1:10" x14ac:dyDescent="0.25">
      <c r="A4235" s="78">
        <v>46239</v>
      </c>
      <c r="B4235" s="68">
        <v>20</v>
      </c>
      <c r="C4235" s="189" t="s">
        <v>957</v>
      </c>
      <c r="D4235" s="30">
        <v>1</v>
      </c>
      <c r="E4235" s="30">
        <v>10</v>
      </c>
      <c r="F4235" s="30">
        <f t="shared" si="145"/>
        <v>10</v>
      </c>
      <c r="G4235" s="30" t="s">
        <v>10</v>
      </c>
      <c r="J4235" s="30" t="s">
        <v>392</v>
      </c>
    </row>
    <row r="4236" spans="1:10" x14ac:dyDescent="0.25">
      <c r="A4236" s="78">
        <v>46239</v>
      </c>
      <c r="B4236" s="68">
        <v>20</v>
      </c>
      <c r="C4236" s="189" t="s">
        <v>525</v>
      </c>
      <c r="D4236" s="30">
        <v>1</v>
      </c>
      <c r="E4236" s="30">
        <v>30</v>
      </c>
      <c r="F4236" s="30">
        <f t="shared" si="145"/>
        <v>30</v>
      </c>
      <c r="G4236" s="30" t="s">
        <v>10</v>
      </c>
      <c r="J4236" s="30" t="s">
        <v>392</v>
      </c>
    </row>
    <row r="4237" spans="1:10" x14ac:dyDescent="0.25">
      <c r="A4237" s="78">
        <v>46239</v>
      </c>
      <c r="B4237" s="68">
        <v>21</v>
      </c>
      <c r="C4237" s="189" t="s">
        <v>1059</v>
      </c>
      <c r="D4237" s="30">
        <v>1</v>
      </c>
      <c r="E4237" s="30">
        <v>10</v>
      </c>
      <c r="F4237" s="30">
        <f t="shared" si="145"/>
        <v>10</v>
      </c>
      <c r="G4237" s="30" t="s">
        <v>9</v>
      </c>
      <c r="J4237" s="30" t="s">
        <v>392</v>
      </c>
    </row>
    <row r="4238" spans="1:10" x14ac:dyDescent="0.25">
      <c r="A4238" s="78">
        <v>46239</v>
      </c>
      <c r="B4238" s="68">
        <v>22</v>
      </c>
      <c r="C4238" s="188" t="s">
        <v>667</v>
      </c>
      <c r="D4238" s="30">
        <v>1</v>
      </c>
      <c r="E4238" s="30">
        <v>5</v>
      </c>
      <c r="F4238" s="30">
        <f t="shared" si="145"/>
        <v>5</v>
      </c>
      <c r="G4238" s="30" t="s">
        <v>9</v>
      </c>
      <c r="J4238" s="30" t="s">
        <v>392</v>
      </c>
    </row>
    <row r="4239" spans="1:10" x14ac:dyDescent="0.25">
      <c r="A4239" s="78">
        <v>46239</v>
      </c>
      <c r="B4239" s="68">
        <v>22</v>
      </c>
      <c r="C4239" s="189" t="s">
        <v>531</v>
      </c>
      <c r="D4239" s="30">
        <v>1</v>
      </c>
      <c r="E4239" s="30">
        <v>5</v>
      </c>
      <c r="F4239" s="30">
        <f t="shared" si="145"/>
        <v>5</v>
      </c>
      <c r="G4239" s="30" t="s">
        <v>9</v>
      </c>
      <c r="J4239" s="30" t="s">
        <v>392</v>
      </c>
    </row>
    <row r="4240" spans="1:10" x14ac:dyDescent="0.25">
      <c r="A4240" s="78">
        <v>46239</v>
      </c>
      <c r="B4240" s="68">
        <v>23</v>
      </c>
      <c r="C4240" s="189" t="s">
        <v>666</v>
      </c>
      <c r="D4240" s="30">
        <v>1</v>
      </c>
      <c r="E4240" s="30">
        <v>10</v>
      </c>
      <c r="F4240" s="30">
        <f t="shared" si="145"/>
        <v>10</v>
      </c>
      <c r="G4240" s="30" t="s">
        <v>9</v>
      </c>
      <c r="J4240" s="30" t="s">
        <v>392</v>
      </c>
    </row>
    <row r="4241" spans="1:10" x14ac:dyDescent="0.25">
      <c r="A4241" s="78">
        <v>46239</v>
      </c>
      <c r="B4241" s="68">
        <v>23</v>
      </c>
      <c r="C4241" s="189" t="s">
        <v>1141</v>
      </c>
      <c r="D4241" s="30">
        <v>1</v>
      </c>
      <c r="E4241" s="30">
        <v>10</v>
      </c>
      <c r="F4241" s="30">
        <f t="shared" si="145"/>
        <v>10</v>
      </c>
      <c r="G4241" s="30" t="s">
        <v>9</v>
      </c>
      <c r="J4241" s="30" t="s">
        <v>392</v>
      </c>
    </row>
    <row r="4242" spans="1:10" x14ac:dyDescent="0.25">
      <c r="A4242" s="78">
        <v>46239</v>
      </c>
      <c r="B4242" s="68">
        <v>22</v>
      </c>
      <c r="C4242" s="189" t="s">
        <v>1214</v>
      </c>
      <c r="D4242" s="30">
        <v>1</v>
      </c>
      <c r="E4242" s="30">
        <v>10</v>
      </c>
      <c r="F4242" s="30">
        <f t="shared" si="145"/>
        <v>10</v>
      </c>
      <c r="G4242" s="30" t="s">
        <v>9</v>
      </c>
      <c r="J4242" s="30" t="s">
        <v>392</v>
      </c>
    </row>
    <row r="4243" spans="1:10" x14ac:dyDescent="0.25">
      <c r="A4243" s="78">
        <v>46239</v>
      </c>
      <c r="B4243" s="68">
        <v>10</v>
      </c>
      <c r="C4243" s="189" t="s">
        <v>912</v>
      </c>
      <c r="D4243" s="30">
        <v>1</v>
      </c>
      <c r="E4243" s="30">
        <v>10</v>
      </c>
      <c r="F4243" s="30">
        <f t="shared" si="145"/>
        <v>10</v>
      </c>
      <c r="G4243" s="30" t="s">
        <v>9</v>
      </c>
      <c r="H4243" s="68" t="s">
        <v>1206</v>
      </c>
      <c r="I4243" s="68" t="s">
        <v>1203</v>
      </c>
      <c r="J4243" s="30" t="s">
        <v>392</v>
      </c>
    </row>
    <row r="4244" spans="1:10" x14ac:dyDescent="0.25">
      <c r="A4244" s="78">
        <v>46239</v>
      </c>
      <c r="B4244" s="68">
        <v>24</v>
      </c>
      <c r="C4244" s="189" t="s">
        <v>683</v>
      </c>
      <c r="D4244" s="30">
        <v>1</v>
      </c>
      <c r="E4244" s="30">
        <v>10</v>
      </c>
      <c r="F4244" s="30">
        <f t="shared" si="145"/>
        <v>10</v>
      </c>
      <c r="G4244" s="30" t="s">
        <v>9</v>
      </c>
      <c r="J4244" s="30" t="s">
        <v>392</v>
      </c>
    </row>
    <row r="4245" spans="1:10" x14ac:dyDescent="0.25">
      <c r="A4245" s="78">
        <v>46239</v>
      </c>
      <c r="B4245" s="68">
        <v>25</v>
      </c>
      <c r="C4245" s="189" t="s">
        <v>1215</v>
      </c>
      <c r="D4245" s="30">
        <v>1</v>
      </c>
      <c r="E4245" s="30">
        <v>10</v>
      </c>
      <c r="F4245" s="30">
        <f t="shared" si="145"/>
        <v>10</v>
      </c>
      <c r="G4245" s="30" t="s">
        <v>9</v>
      </c>
      <c r="J4245" s="30" t="s">
        <v>392</v>
      </c>
    </row>
    <row r="4246" spans="1:10" x14ac:dyDescent="0.25">
      <c r="A4246" s="78">
        <v>46239</v>
      </c>
      <c r="B4246" s="68">
        <v>26</v>
      </c>
      <c r="C4246" s="189" t="s">
        <v>848</v>
      </c>
      <c r="D4246" s="30">
        <v>3</v>
      </c>
      <c r="E4246" s="30">
        <v>5</v>
      </c>
      <c r="F4246" s="30">
        <f t="shared" si="145"/>
        <v>15</v>
      </c>
      <c r="G4246" s="30" t="s">
        <v>10</v>
      </c>
      <c r="J4246" s="30" t="s">
        <v>392</v>
      </c>
    </row>
    <row r="4247" spans="1:10" x14ac:dyDescent="0.25">
      <c r="A4247" s="78">
        <v>46239</v>
      </c>
      <c r="B4247" s="68">
        <v>26</v>
      </c>
      <c r="C4247" s="189" t="s">
        <v>970</v>
      </c>
      <c r="D4247" s="30">
        <v>1</v>
      </c>
      <c r="E4247" s="30">
        <v>10</v>
      </c>
      <c r="F4247" s="30">
        <f t="shared" si="145"/>
        <v>10</v>
      </c>
      <c r="G4247" s="30" t="s">
        <v>10</v>
      </c>
      <c r="J4247" s="30" t="s">
        <v>392</v>
      </c>
    </row>
    <row r="4248" spans="1:10" x14ac:dyDescent="0.25">
      <c r="A4248" s="78">
        <v>46239</v>
      </c>
      <c r="B4248" s="68">
        <v>26</v>
      </c>
      <c r="C4248" s="189" t="s">
        <v>1159</v>
      </c>
      <c r="D4248" s="30">
        <v>0.25</v>
      </c>
      <c r="E4248" s="30">
        <v>60</v>
      </c>
      <c r="F4248" s="30">
        <f t="shared" si="145"/>
        <v>15</v>
      </c>
      <c r="G4248" s="30" t="s">
        <v>10</v>
      </c>
      <c r="J4248" s="30" t="s">
        <v>392</v>
      </c>
    </row>
    <row r="4249" spans="1:10" x14ac:dyDescent="0.25">
      <c r="A4249" s="78">
        <v>46239</v>
      </c>
      <c r="B4249" s="68">
        <v>27</v>
      </c>
      <c r="C4249" s="189" t="s">
        <v>1216</v>
      </c>
      <c r="D4249" s="30">
        <v>1</v>
      </c>
      <c r="E4249" s="30">
        <v>10</v>
      </c>
      <c r="F4249" s="30">
        <f t="shared" si="145"/>
        <v>10</v>
      </c>
      <c r="G4249" s="30" t="s">
        <v>9</v>
      </c>
      <c r="J4249" s="30" t="s">
        <v>392</v>
      </c>
    </row>
    <row r="4250" spans="1:10" x14ac:dyDescent="0.25">
      <c r="A4250" s="78">
        <v>46239</v>
      </c>
      <c r="B4250" s="68">
        <v>28</v>
      </c>
      <c r="C4250" s="189" t="s">
        <v>683</v>
      </c>
      <c r="D4250" s="30">
        <v>1</v>
      </c>
      <c r="E4250" s="30">
        <v>10</v>
      </c>
      <c r="F4250" s="30">
        <f t="shared" si="145"/>
        <v>10</v>
      </c>
      <c r="G4250" s="30" t="s">
        <v>9</v>
      </c>
      <c r="J4250" s="30" t="s">
        <v>392</v>
      </c>
    </row>
    <row r="4251" spans="1:10" x14ac:dyDescent="0.25">
      <c r="A4251" s="78">
        <v>46239</v>
      </c>
      <c r="B4251" s="68">
        <v>29</v>
      </c>
      <c r="C4251" s="189" t="s">
        <v>814</v>
      </c>
      <c r="D4251" s="30">
        <v>0.34</v>
      </c>
      <c r="E4251" s="30">
        <v>60</v>
      </c>
      <c r="F4251" s="30">
        <f t="shared" si="145"/>
        <v>20.400000000000002</v>
      </c>
      <c r="G4251" s="30" t="s">
        <v>9</v>
      </c>
      <c r="J4251" s="30" t="s">
        <v>392</v>
      </c>
    </row>
    <row r="4252" spans="1:10" x14ac:dyDescent="0.25">
      <c r="A4252" s="78">
        <v>46239</v>
      </c>
      <c r="B4252" s="68">
        <v>10</v>
      </c>
      <c r="C4252" s="189" t="s">
        <v>1182</v>
      </c>
      <c r="D4252" s="30">
        <v>1</v>
      </c>
      <c r="E4252" s="30">
        <v>15</v>
      </c>
      <c r="F4252" s="30">
        <f t="shared" si="145"/>
        <v>15</v>
      </c>
      <c r="G4252" s="30" t="s">
        <v>9</v>
      </c>
      <c r="H4252" s="68" t="s">
        <v>1206</v>
      </c>
      <c r="I4252" s="68" t="s">
        <v>1203</v>
      </c>
      <c r="J4252" s="30" t="s">
        <v>392</v>
      </c>
    </row>
    <row r="4253" spans="1:10" x14ac:dyDescent="0.25">
      <c r="A4253" s="78">
        <v>46239</v>
      </c>
      <c r="B4253" s="68">
        <v>10</v>
      </c>
      <c r="C4253" s="189" t="s">
        <v>666</v>
      </c>
      <c r="D4253" s="30">
        <v>1</v>
      </c>
      <c r="E4253" s="30">
        <v>10</v>
      </c>
      <c r="F4253" s="30">
        <f t="shared" si="145"/>
        <v>10</v>
      </c>
      <c r="G4253" s="30" t="s">
        <v>9</v>
      </c>
      <c r="H4253" s="68" t="s">
        <v>1206</v>
      </c>
      <c r="I4253" s="68" t="s">
        <v>1203</v>
      </c>
      <c r="J4253" s="30" t="s">
        <v>392</v>
      </c>
    </row>
    <row r="4254" spans="1:10" x14ac:dyDescent="0.25">
      <c r="A4254" s="78">
        <v>46239</v>
      </c>
      <c r="B4254" s="68">
        <v>10</v>
      </c>
      <c r="C4254" s="189" t="s">
        <v>668</v>
      </c>
      <c r="D4254" s="30">
        <v>1</v>
      </c>
      <c r="E4254" s="30">
        <v>5</v>
      </c>
      <c r="F4254" s="30">
        <f t="shared" si="145"/>
        <v>5</v>
      </c>
      <c r="G4254" s="30" t="s">
        <v>9</v>
      </c>
      <c r="H4254" s="68" t="s">
        <v>1206</v>
      </c>
      <c r="I4254" s="68" t="s">
        <v>1203</v>
      </c>
      <c r="J4254" s="30" t="s">
        <v>392</v>
      </c>
    </row>
    <row r="4255" spans="1:10" x14ac:dyDescent="0.25">
      <c r="A4255" s="78">
        <v>46239</v>
      </c>
      <c r="B4255" s="33">
        <v>30</v>
      </c>
      <c r="C4255" s="189" t="s">
        <v>1090</v>
      </c>
      <c r="D4255" s="30">
        <v>1</v>
      </c>
      <c r="E4255" s="30">
        <v>10</v>
      </c>
      <c r="F4255" s="30">
        <f t="shared" si="145"/>
        <v>10</v>
      </c>
      <c r="G4255" s="30" t="s">
        <v>9</v>
      </c>
      <c r="J4255" s="30" t="s">
        <v>392</v>
      </c>
    </row>
    <row r="4256" spans="1:10" x14ac:dyDescent="0.25">
      <c r="A4256" s="78">
        <v>46239</v>
      </c>
      <c r="B4256" s="33">
        <v>30</v>
      </c>
      <c r="C4256" s="189" t="s">
        <v>859</v>
      </c>
      <c r="D4256" s="30">
        <v>1</v>
      </c>
      <c r="E4256" s="30">
        <v>10</v>
      </c>
      <c r="F4256" s="30">
        <f t="shared" si="145"/>
        <v>10</v>
      </c>
      <c r="G4256" s="30" t="s">
        <v>9</v>
      </c>
      <c r="J4256" s="30" t="s">
        <v>392</v>
      </c>
    </row>
    <row r="4257" spans="1:12" s="62" customFormat="1" x14ac:dyDescent="0.25">
      <c r="A4257" s="151">
        <v>46239</v>
      </c>
      <c r="B4257" s="139"/>
      <c r="C4257" s="150"/>
      <c r="F4257" s="62">
        <f t="shared" si="145"/>
        <v>0</v>
      </c>
      <c r="H4257" s="139"/>
      <c r="I4257" s="139">
        <f>SUMIF(G4194:G4256, "&lt;&gt;UPI",F4194:F4256)</f>
        <v>610.54999999999995</v>
      </c>
    </row>
    <row r="4258" spans="1:12" s="170" customFormat="1" ht="18.75" x14ac:dyDescent="0.3">
      <c r="A4258" s="79">
        <v>46239</v>
      </c>
      <c r="B4258" s="147" t="s">
        <v>987</v>
      </c>
      <c r="C4258" s="169">
        <f>MAX(B4194:B4256)</f>
        <v>30</v>
      </c>
      <c r="D4258" s="147" t="s">
        <v>988</v>
      </c>
      <c r="E4258" s="170">
        <f>SUMIF(G4194:G4256,"UPI",F4194:F4256)</f>
        <v>353</v>
      </c>
      <c r="F4258" s="230" t="s">
        <v>437</v>
      </c>
      <c r="G4258" s="230"/>
      <c r="H4258" s="230"/>
      <c r="I4258" s="231">
        <f>SUM(F4194:F4256)</f>
        <v>963.55</v>
      </c>
      <c r="J4258" s="231"/>
      <c r="K4258" s="231"/>
      <c r="L4258" s="231"/>
    </row>
    <row r="4259" spans="1:12" x14ac:dyDescent="0.25">
      <c r="A4259" s="78">
        <v>46240</v>
      </c>
      <c r="B4259" s="68">
        <v>1</v>
      </c>
      <c r="C4259" s="189" t="s">
        <v>520</v>
      </c>
      <c r="D4259" s="30">
        <v>1</v>
      </c>
      <c r="E4259" s="30">
        <v>10</v>
      </c>
      <c r="F4259" s="30">
        <f>E4259*D4259</f>
        <v>10</v>
      </c>
      <c r="G4259" s="30" t="s">
        <v>9</v>
      </c>
      <c r="J4259" s="30" t="s">
        <v>391</v>
      </c>
    </row>
    <row r="4260" spans="1:12" x14ac:dyDescent="0.25">
      <c r="A4260" s="78">
        <v>46240</v>
      </c>
      <c r="B4260" s="68">
        <v>2</v>
      </c>
      <c r="C4260" s="189" t="s">
        <v>1140</v>
      </c>
      <c r="D4260" s="30">
        <v>1</v>
      </c>
      <c r="E4260" s="30">
        <v>5</v>
      </c>
      <c r="F4260" s="30">
        <f t="shared" ref="F4260:F4339" si="146">E4260*D4260</f>
        <v>5</v>
      </c>
      <c r="G4260" s="30" t="s">
        <v>9</v>
      </c>
      <c r="J4260" s="30" t="s">
        <v>391</v>
      </c>
    </row>
    <row r="4261" spans="1:12" x14ac:dyDescent="0.25">
      <c r="A4261" s="78">
        <v>46240</v>
      </c>
      <c r="B4261" s="68">
        <v>2</v>
      </c>
      <c r="C4261" s="189" t="s">
        <v>1139</v>
      </c>
      <c r="D4261" s="30">
        <v>1</v>
      </c>
      <c r="E4261" s="30">
        <v>5</v>
      </c>
      <c r="F4261" s="30">
        <f t="shared" si="146"/>
        <v>5</v>
      </c>
      <c r="G4261" s="30" t="s">
        <v>9</v>
      </c>
      <c r="J4261" s="30" t="s">
        <v>391</v>
      </c>
    </row>
    <row r="4262" spans="1:12" x14ac:dyDescent="0.25">
      <c r="A4262" s="78">
        <v>46240</v>
      </c>
      <c r="B4262" s="68">
        <v>3</v>
      </c>
      <c r="C4262" s="189" t="s">
        <v>1072</v>
      </c>
      <c r="D4262" s="30">
        <v>1</v>
      </c>
      <c r="E4262" s="30">
        <v>45</v>
      </c>
      <c r="F4262" s="30">
        <f t="shared" si="146"/>
        <v>45</v>
      </c>
      <c r="G4262" s="30" t="s">
        <v>9</v>
      </c>
      <c r="J4262" s="30" t="s">
        <v>391</v>
      </c>
    </row>
    <row r="4263" spans="1:12" x14ac:dyDescent="0.25">
      <c r="A4263" s="78">
        <v>46240</v>
      </c>
      <c r="B4263" s="68">
        <v>4</v>
      </c>
      <c r="C4263" s="188" t="s">
        <v>813</v>
      </c>
      <c r="D4263" s="30">
        <v>1</v>
      </c>
      <c r="E4263" s="30">
        <v>30</v>
      </c>
      <c r="F4263" s="30">
        <f t="shared" si="146"/>
        <v>30</v>
      </c>
      <c r="G4263" s="30" t="s">
        <v>9</v>
      </c>
      <c r="J4263" s="30" t="s">
        <v>391</v>
      </c>
    </row>
    <row r="4264" spans="1:12" x14ac:dyDescent="0.25">
      <c r="A4264" s="78">
        <v>46240</v>
      </c>
      <c r="B4264" s="68">
        <v>5</v>
      </c>
      <c r="C4264" s="189" t="s">
        <v>860</v>
      </c>
      <c r="D4264" s="30">
        <v>2</v>
      </c>
      <c r="E4264" s="30">
        <v>5</v>
      </c>
      <c r="F4264" s="30">
        <f t="shared" si="146"/>
        <v>10</v>
      </c>
      <c r="G4264" s="30" t="s">
        <v>9</v>
      </c>
      <c r="J4264" s="30" t="s">
        <v>391</v>
      </c>
    </row>
    <row r="4265" spans="1:12" x14ac:dyDescent="0.25">
      <c r="A4265" s="78">
        <v>46240</v>
      </c>
      <c r="B4265" s="68">
        <v>6</v>
      </c>
      <c r="C4265" s="189" t="s">
        <v>1153</v>
      </c>
      <c r="D4265" s="30">
        <v>5</v>
      </c>
      <c r="E4265" s="30">
        <v>10</v>
      </c>
      <c r="F4265" s="30">
        <f t="shared" si="146"/>
        <v>50</v>
      </c>
      <c r="G4265" s="30" t="s">
        <v>9</v>
      </c>
      <c r="J4265" s="30" t="s">
        <v>391</v>
      </c>
    </row>
    <row r="4266" spans="1:12" x14ac:dyDescent="0.25">
      <c r="A4266" s="78">
        <v>46240</v>
      </c>
      <c r="B4266" s="68">
        <v>7</v>
      </c>
      <c r="C4266" s="189" t="s">
        <v>533</v>
      </c>
      <c r="D4266" s="30">
        <v>1</v>
      </c>
      <c r="E4266" s="30">
        <v>10</v>
      </c>
      <c r="F4266" s="30">
        <f t="shared" si="146"/>
        <v>10</v>
      </c>
      <c r="G4266" s="30" t="s">
        <v>9</v>
      </c>
      <c r="J4266" s="30" t="s">
        <v>391</v>
      </c>
    </row>
    <row r="4267" spans="1:12" x14ac:dyDescent="0.25">
      <c r="A4267" s="78">
        <v>46240</v>
      </c>
      <c r="B4267" s="68">
        <v>8</v>
      </c>
      <c r="C4267" s="189" t="s">
        <v>1163</v>
      </c>
      <c r="D4267" s="30">
        <v>1</v>
      </c>
      <c r="E4267" s="30">
        <v>10</v>
      </c>
      <c r="F4267" s="30">
        <f t="shared" si="146"/>
        <v>10</v>
      </c>
      <c r="G4267" s="30" t="s">
        <v>9</v>
      </c>
      <c r="J4267" s="30" t="s">
        <v>391</v>
      </c>
    </row>
    <row r="4268" spans="1:12" x14ac:dyDescent="0.25">
      <c r="A4268" s="78">
        <v>46240</v>
      </c>
      <c r="B4268" s="68">
        <v>8</v>
      </c>
      <c r="C4268" s="189" t="s">
        <v>1141</v>
      </c>
      <c r="D4268" s="30">
        <v>1</v>
      </c>
      <c r="E4268" s="30">
        <v>10</v>
      </c>
      <c r="F4268" s="30">
        <f t="shared" si="146"/>
        <v>10</v>
      </c>
      <c r="G4268" s="30" t="s">
        <v>9</v>
      </c>
      <c r="J4268" s="30" t="s">
        <v>391</v>
      </c>
    </row>
    <row r="4269" spans="1:12" x14ac:dyDescent="0.25">
      <c r="A4269" s="78">
        <v>46240</v>
      </c>
      <c r="B4269" s="68">
        <v>9</v>
      </c>
      <c r="C4269" s="189" t="s">
        <v>753</v>
      </c>
      <c r="D4269" s="30">
        <v>1</v>
      </c>
      <c r="E4269" s="30">
        <v>10</v>
      </c>
      <c r="F4269" s="30">
        <f t="shared" si="146"/>
        <v>10</v>
      </c>
      <c r="G4269" s="30" t="s">
        <v>9</v>
      </c>
      <c r="J4269" s="30" t="s">
        <v>391</v>
      </c>
    </row>
    <row r="4270" spans="1:12" ht="30" x14ac:dyDescent="0.25">
      <c r="A4270" s="78">
        <v>46240</v>
      </c>
      <c r="B4270" s="68">
        <v>10</v>
      </c>
      <c r="C4270" s="189" t="s">
        <v>997</v>
      </c>
      <c r="D4270" s="30">
        <v>1</v>
      </c>
      <c r="E4270" s="30">
        <v>20</v>
      </c>
      <c r="F4270" s="30">
        <f t="shared" si="146"/>
        <v>20</v>
      </c>
      <c r="G4270" s="30" t="s">
        <v>10</v>
      </c>
      <c r="J4270" s="30" t="s">
        <v>391</v>
      </c>
    </row>
    <row r="4271" spans="1:12" x14ac:dyDescent="0.25">
      <c r="A4271" s="78">
        <v>46240</v>
      </c>
      <c r="B4271" s="68">
        <v>10</v>
      </c>
      <c r="C4271" s="189" t="s">
        <v>578</v>
      </c>
      <c r="D4271" s="30">
        <v>2</v>
      </c>
      <c r="E4271" s="30">
        <v>5</v>
      </c>
      <c r="F4271" s="30">
        <f t="shared" si="146"/>
        <v>10</v>
      </c>
      <c r="G4271" s="30" t="s">
        <v>10</v>
      </c>
      <c r="J4271" s="30" t="s">
        <v>391</v>
      </c>
    </row>
    <row r="4272" spans="1:12" x14ac:dyDescent="0.25">
      <c r="A4272" s="78">
        <v>46240</v>
      </c>
      <c r="B4272" s="68">
        <v>10</v>
      </c>
      <c r="C4272" s="189" t="s">
        <v>848</v>
      </c>
      <c r="D4272" s="30">
        <v>2</v>
      </c>
      <c r="E4272" s="30">
        <v>5</v>
      </c>
      <c r="F4272" s="30">
        <f t="shared" si="146"/>
        <v>10</v>
      </c>
      <c r="G4272" s="30" t="s">
        <v>10</v>
      </c>
      <c r="J4272" s="30" t="s">
        <v>391</v>
      </c>
    </row>
    <row r="4273" spans="1:10" x14ac:dyDescent="0.25">
      <c r="A4273" s="78">
        <v>46240</v>
      </c>
      <c r="B4273" s="68">
        <v>11</v>
      </c>
      <c r="C4273" s="189" t="s">
        <v>1059</v>
      </c>
      <c r="D4273" s="30">
        <v>1</v>
      </c>
      <c r="E4273" s="30">
        <v>10</v>
      </c>
      <c r="F4273" s="30">
        <f t="shared" si="146"/>
        <v>10</v>
      </c>
      <c r="G4273" s="30" t="s">
        <v>10</v>
      </c>
      <c r="J4273" s="30" t="s">
        <v>391</v>
      </c>
    </row>
    <row r="4274" spans="1:10" x14ac:dyDescent="0.25">
      <c r="A4274" s="78">
        <v>46240</v>
      </c>
      <c r="B4274" s="68">
        <v>12</v>
      </c>
      <c r="C4274" s="189" t="s">
        <v>1063</v>
      </c>
      <c r="D4274" s="30">
        <v>2</v>
      </c>
      <c r="E4274" s="30">
        <v>10</v>
      </c>
      <c r="F4274" s="30">
        <f t="shared" si="146"/>
        <v>20</v>
      </c>
      <c r="G4274" s="30" t="s">
        <v>9</v>
      </c>
      <c r="J4274" s="30" t="s">
        <v>391</v>
      </c>
    </row>
    <row r="4275" spans="1:10" x14ac:dyDescent="0.25">
      <c r="A4275" s="78">
        <v>46240</v>
      </c>
      <c r="B4275" s="68">
        <v>12</v>
      </c>
      <c r="C4275" s="189" t="s">
        <v>764</v>
      </c>
      <c r="D4275" s="30">
        <v>2</v>
      </c>
      <c r="E4275" s="30">
        <v>5</v>
      </c>
      <c r="F4275" s="30">
        <f t="shared" si="146"/>
        <v>10</v>
      </c>
      <c r="G4275" s="30" t="s">
        <v>9</v>
      </c>
      <c r="J4275" s="30" t="s">
        <v>391</v>
      </c>
    </row>
    <row r="4276" spans="1:10" x14ac:dyDescent="0.25">
      <c r="A4276" s="78">
        <v>46240</v>
      </c>
      <c r="B4276" s="68">
        <v>13</v>
      </c>
      <c r="C4276" s="188" t="s">
        <v>838</v>
      </c>
      <c r="D4276" s="30">
        <v>4</v>
      </c>
      <c r="E4276" s="30">
        <v>10</v>
      </c>
      <c r="F4276" s="30">
        <f t="shared" si="146"/>
        <v>40</v>
      </c>
      <c r="G4276" s="30" t="s">
        <v>10</v>
      </c>
      <c r="J4276" s="30" t="s">
        <v>391</v>
      </c>
    </row>
    <row r="4277" spans="1:10" x14ac:dyDescent="0.25">
      <c r="A4277" s="78">
        <v>46240</v>
      </c>
      <c r="B4277" s="30">
        <v>13</v>
      </c>
      <c r="C4277" s="189" t="s">
        <v>1090</v>
      </c>
      <c r="D4277" s="30">
        <v>2</v>
      </c>
      <c r="E4277" s="30">
        <v>10</v>
      </c>
      <c r="F4277" s="30">
        <f t="shared" si="146"/>
        <v>20</v>
      </c>
      <c r="G4277" s="30" t="s">
        <v>10</v>
      </c>
      <c r="J4277" s="30" t="s">
        <v>391</v>
      </c>
    </row>
    <row r="4278" spans="1:10" x14ac:dyDescent="0.25">
      <c r="A4278" s="78">
        <v>46240</v>
      </c>
      <c r="B4278" s="68">
        <v>13</v>
      </c>
      <c r="C4278" s="189" t="s">
        <v>1091</v>
      </c>
      <c r="D4278" s="30">
        <v>1</v>
      </c>
      <c r="E4278" s="30">
        <v>40</v>
      </c>
      <c r="F4278" s="30">
        <f t="shared" si="146"/>
        <v>40</v>
      </c>
      <c r="G4278" s="30" t="s">
        <v>10</v>
      </c>
      <c r="J4278" s="30" t="s">
        <v>391</v>
      </c>
    </row>
    <row r="4279" spans="1:10" x14ac:dyDescent="0.25">
      <c r="A4279" s="78">
        <v>46240</v>
      </c>
      <c r="B4279" s="68">
        <v>14</v>
      </c>
      <c r="C4279" s="33" t="s">
        <v>1210</v>
      </c>
      <c r="D4279" s="30">
        <v>1</v>
      </c>
      <c r="E4279" s="30">
        <v>5</v>
      </c>
      <c r="F4279" s="30">
        <f t="shared" si="146"/>
        <v>5</v>
      </c>
      <c r="G4279" s="30" t="s">
        <v>9</v>
      </c>
      <c r="J4279" s="30" t="s">
        <v>391</v>
      </c>
    </row>
    <row r="4280" spans="1:10" x14ac:dyDescent="0.25">
      <c r="A4280" s="78">
        <v>46240</v>
      </c>
      <c r="B4280" s="68">
        <v>14</v>
      </c>
      <c r="C4280" s="189" t="s">
        <v>578</v>
      </c>
      <c r="D4280" s="30">
        <v>1</v>
      </c>
      <c r="E4280" s="30">
        <v>5</v>
      </c>
      <c r="F4280" s="30">
        <f t="shared" si="146"/>
        <v>5</v>
      </c>
      <c r="G4280" s="30" t="s">
        <v>9</v>
      </c>
      <c r="J4280" s="30" t="s">
        <v>391</v>
      </c>
    </row>
    <row r="4281" spans="1:10" x14ac:dyDescent="0.25">
      <c r="A4281" s="78">
        <v>46240</v>
      </c>
      <c r="B4281" s="68">
        <v>15</v>
      </c>
      <c r="C4281" s="189" t="s">
        <v>753</v>
      </c>
      <c r="D4281" s="30">
        <v>1</v>
      </c>
      <c r="E4281" s="30">
        <v>10</v>
      </c>
      <c r="F4281" s="30">
        <f t="shared" si="146"/>
        <v>10</v>
      </c>
      <c r="G4281" s="30" t="s">
        <v>10</v>
      </c>
      <c r="I4281" s="68" t="s">
        <v>1202</v>
      </c>
      <c r="J4281" s="30" t="s">
        <v>391</v>
      </c>
    </row>
    <row r="4282" spans="1:10" x14ac:dyDescent="0.25">
      <c r="A4282" s="78">
        <v>46240</v>
      </c>
      <c r="B4282" s="68">
        <v>16</v>
      </c>
      <c r="C4282" s="189" t="s">
        <v>578</v>
      </c>
      <c r="D4282" s="30">
        <v>2</v>
      </c>
      <c r="E4282" s="30">
        <v>5</v>
      </c>
      <c r="F4282" s="30">
        <f t="shared" si="146"/>
        <v>10</v>
      </c>
      <c r="G4282" s="30" t="s">
        <v>9</v>
      </c>
      <c r="J4282" s="30" t="s">
        <v>392</v>
      </c>
    </row>
    <row r="4283" spans="1:10" x14ac:dyDescent="0.25">
      <c r="A4283" s="78">
        <v>46240</v>
      </c>
      <c r="B4283" s="68">
        <v>16</v>
      </c>
      <c r="C4283" s="189" t="s">
        <v>680</v>
      </c>
      <c r="D4283" s="30">
        <v>1</v>
      </c>
      <c r="E4283" s="30">
        <v>10</v>
      </c>
      <c r="F4283" s="30">
        <f t="shared" si="146"/>
        <v>10</v>
      </c>
      <c r="G4283" s="30" t="s">
        <v>9</v>
      </c>
      <c r="J4283" s="30" t="s">
        <v>392</v>
      </c>
    </row>
    <row r="4284" spans="1:10" x14ac:dyDescent="0.25">
      <c r="A4284" s="78">
        <v>46240</v>
      </c>
      <c r="B4284" s="68">
        <v>16</v>
      </c>
      <c r="C4284" s="189" t="s">
        <v>860</v>
      </c>
      <c r="D4284" s="30">
        <v>2</v>
      </c>
      <c r="E4284" s="30">
        <v>5</v>
      </c>
      <c r="F4284" s="30">
        <f t="shared" si="146"/>
        <v>10</v>
      </c>
      <c r="G4284" s="30" t="s">
        <v>9</v>
      </c>
      <c r="J4284" s="30" t="s">
        <v>392</v>
      </c>
    </row>
    <row r="4285" spans="1:10" x14ac:dyDescent="0.25">
      <c r="A4285" s="78">
        <v>46240</v>
      </c>
      <c r="B4285" s="68">
        <v>17</v>
      </c>
      <c r="C4285" s="189" t="s">
        <v>1092</v>
      </c>
      <c r="D4285" s="30">
        <v>1</v>
      </c>
      <c r="E4285" s="30">
        <v>20</v>
      </c>
      <c r="F4285" s="30">
        <f t="shared" si="146"/>
        <v>20</v>
      </c>
      <c r="G4285" s="30" t="s">
        <v>9</v>
      </c>
      <c r="J4285" s="30" t="s">
        <v>392</v>
      </c>
    </row>
    <row r="4286" spans="1:10" x14ac:dyDescent="0.25">
      <c r="A4286" s="78">
        <v>46240</v>
      </c>
      <c r="B4286" s="68">
        <v>17</v>
      </c>
      <c r="C4286" s="33" t="s">
        <v>1220</v>
      </c>
      <c r="D4286" s="30">
        <v>2</v>
      </c>
      <c r="E4286" s="30">
        <v>10</v>
      </c>
      <c r="F4286" s="30">
        <f t="shared" si="146"/>
        <v>20</v>
      </c>
      <c r="G4286" s="30" t="s">
        <v>9</v>
      </c>
      <c r="J4286" s="30" t="s">
        <v>392</v>
      </c>
    </row>
    <row r="4287" spans="1:10" x14ac:dyDescent="0.25">
      <c r="A4287" s="78">
        <v>46240</v>
      </c>
      <c r="B4287" s="68">
        <v>17</v>
      </c>
      <c r="C4287" s="189" t="s">
        <v>1059</v>
      </c>
      <c r="D4287" s="30">
        <v>1</v>
      </c>
      <c r="E4287" s="30">
        <v>10</v>
      </c>
      <c r="F4287" s="30">
        <f t="shared" si="146"/>
        <v>10</v>
      </c>
      <c r="G4287" s="30" t="s">
        <v>9</v>
      </c>
      <c r="J4287" s="30" t="s">
        <v>392</v>
      </c>
    </row>
    <row r="4288" spans="1:10" x14ac:dyDescent="0.25">
      <c r="A4288" s="78">
        <v>46240</v>
      </c>
      <c r="B4288" s="68">
        <v>17</v>
      </c>
      <c r="C4288" s="33" t="s">
        <v>1221</v>
      </c>
      <c r="D4288" s="30">
        <v>1</v>
      </c>
      <c r="E4288" s="30">
        <v>30</v>
      </c>
      <c r="F4288" s="30">
        <f t="shared" si="146"/>
        <v>30</v>
      </c>
      <c r="G4288" s="30" t="s">
        <v>9</v>
      </c>
      <c r="J4288" s="30" t="s">
        <v>392</v>
      </c>
    </row>
    <row r="4289" spans="1:10" x14ac:dyDescent="0.25">
      <c r="A4289" s="78">
        <v>46240</v>
      </c>
      <c r="B4289" s="68">
        <v>17</v>
      </c>
      <c r="C4289" s="189" t="s">
        <v>1120</v>
      </c>
      <c r="D4289" s="30">
        <v>1</v>
      </c>
      <c r="E4289" s="30">
        <v>60</v>
      </c>
      <c r="F4289" s="30">
        <f t="shared" si="146"/>
        <v>60</v>
      </c>
      <c r="G4289" s="30" t="s">
        <v>9</v>
      </c>
      <c r="J4289" s="30" t="s">
        <v>392</v>
      </c>
    </row>
    <row r="4290" spans="1:10" x14ac:dyDescent="0.25">
      <c r="A4290" s="78">
        <v>46240</v>
      </c>
      <c r="B4290" s="68">
        <v>18</v>
      </c>
      <c r="C4290" s="189" t="s">
        <v>962</v>
      </c>
      <c r="D4290" s="30">
        <v>1</v>
      </c>
      <c r="E4290" s="30">
        <v>5</v>
      </c>
      <c r="F4290" s="30">
        <f t="shared" si="146"/>
        <v>5</v>
      </c>
      <c r="G4290" s="30" t="s">
        <v>9</v>
      </c>
      <c r="J4290" s="30" t="s">
        <v>392</v>
      </c>
    </row>
    <row r="4291" spans="1:10" ht="30" x14ac:dyDescent="0.25">
      <c r="A4291" s="78">
        <v>46240</v>
      </c>
      <c r="B4291" s="68">
        <v>18</v>
      </c>
      <c r="C4291" s="189" t="s">
        <v>1054</v>
      </c>
      <c r="D4291" s="30">
        <v>1</v>
      </c>
      <c r="E4291" s="30">
        <v>10</v>
      </c>
      <c r="F4291" s="30">
        <f t="shared" si="146"/>
        <v>10</v>
      </c>
      <c r="G4291" s="30" t="s">
        <v>9</v>
      </c>
      <c r="J4291" s="30" t="s">
        <v>392</v>
      </c>
    </row>
    <row r="4292" spans="1:10" x14ac:dyDescent="0.25">
      <c r="A4292" s="78">
        <v>46240</v>
      </c>
      <c r="B4292" s="68">
        <v>18</v>
      </c>
      <c r="C4292" s="189" t="s">
        <v>1139</v>
      </c>
      <c r="D4292" s="30">
        <v>1</v>
      </c>
      <c r="E4292" s="30">
        <v>5</v>
      </c>
      <c r="F4292" s="30">
        <f t="shared" si="146"/>
        <v>5</v>
      </c>
      <c r="G4292" s="30" t="s">
        <v>9</v>
      </c>
      <c r="J4292" s="30" t="s">
        <v>392</v>
      </c>
    </row>
    <row r="4293" spans="1:10" x14ac:dyDescent="0.25">
      <c r="A4293" s="78">
        <v>46240</v>
      </c>
      <c r="B4293" s="68">
        <v>19</v>
      </c>
      <c r="C4293" s="189" t="s">
        <v>419</v>
      </c>
      <c r="D4293" s="30">
        <v>1</v>
      </c>
      <c r="E4293" s="30">
        <v>10</v>
      </c>
      <c r="F4293" s="30">
        <f t="shared" si="146"/>
        <v>10</v>
      </c>
      <c r="G4293" s="30" t="s">
        <v>9</v>
      </c>
      <c r="J4293" s="30" t="s">
        <v>392</v>
      </c>
    </row>
    <row r="4294" spans="1:10" x14ac:dyDescent="0.25">
      <c r="A4294" s="78">
        <v>46240</v>
      </c>
      <c r="B4294" s="68">
        <v>19</v>
      </c>
      <c r="C4294" s="189" t="s">
        <v>960</v>
      </c>
      <c r="D4294" s="30">
        <v>2</v>
      </c>
      <c r="E4294" s="30">
        <v>5</v>
      </c>
      <c r="F4294" s="30">
        <f t="shared" si="146"/>
        <v>10</v>
      </c>
      <c r="G4294" s="30" t="s">
        <v>9</v>
      </c>
      <c r="J4294" s="30" t="s">
        <v>392</v>
      </c>
    </row>
    <row r="4295" spans="1:10" x14ac:dyDescent="0.25">
      <c r="A4295" s="78">
        <v>46240</v>
      </c>
      <c r="B4295" s="68">
        <v>20</v>
      </c>
      <c r="C4295" s="189" t="s">
        <v>694</v>
      </c>
      <c r="D4295" s="30">
        <v>2</v>
      </c>
      <c r="E4295" s="30">
        <v>25</v>
      </c>
      <c r="F4295" s="30">
        <f t="shared" si="146"/>
        <v>50</v>
      </c>
      <c r="G4295" s="30" t="s">
        <v>9</v>
      </c>
      <c r="J4295" s="30" t="s">
        <v>392</v>
      </c>
    </row>
    <row r="4296" spans="1:10" x14ac:dyDescent="0.25">
      <c r="A4296" s="78">
        <v>46240</v>
      </c>
      <c r="B4296" s="68">
        <v>21</v>
      </c>
      <c r="C4296" s="189" t="s">
        <v>957</v>
      </c>
      <c r="D4296" s="30">
        <v>1</v>
      </c>
      <c r="E4296" s="30">
        <v>10</v>
      </c>
      <c r="F4296" s="30">
        <f t="shared" si="146"/>
        <v>10</v>
      </c>
      <c r="G4296" s="30" t="s">
        <v>9</v>
      </c>
      <c r="J4296" s="30" t="s">
        <v>392</v>
      </c>
    </row>
    <row r="4297" spans="1:10" x14ac:dyDescent="0.25">
      <c r="A4297" s="78">
        <v>46240</v>
      </c>
      <c r="B4297" s="68">
        <v>21</v>
      </c>
      <c r="C4297" s="189" t="s">
        <v>1163</v>
      </c>
      <c r="D4297" s="30">
        <v>1</v>
      </c>
      <c r="E4297" s="30">
        <v>10</v>
      </c>
      <c r="F4297" s="30">
        <f t="shared" si="146"/>
        <v>10</v>
      </c>
      <c r="G4297" s="30" t="s">
        <v>9</v>
      </c>
      <c r="J4297" s="30" t="s">
        <v>392</v>
      </c>
    </row>
    <row r="4298" spans="1:10" x14ac:dyDescent="0.25">
      <c r="A4298" s="78">
        <v>46240</v>
      </c>
      <c r="B4298" s="68">
        <v>21</v>
      </c>
      <c r="C4298" s="189" t="s">
        <v>916</v>
      </c>
      <c r="D4298" s="30">
        <v>1</v>
      </c>
      <c r="E4298" s="30">
        <v>10</v>
      </c>
      <c r="F4298" s="30">
        <f t="shared" si="146"/>
        <v>10</v>
      </c>
      <c r="G4298" s="30" t="s">
        <v>9</v>
      </c>
      <c r="J4298" s="30" t="s">
        <v>392</v>
      </c>
    </row>
    <row r="4299" spans="1:10" x14ac:dyDescent="0.25">
      <c r="A4299" s="78">
        <v>46240</v>
      </c>
      <c r="B4299" s="68">
        <v>21</v>
      </c>
      <c r="C4299" s="189" t="s">
        <v>1090</v>
      </c>
      <c r="D4299" s="30">
        <v>1</v>
      </c>
      <c r="E4299" s="30">
        <v>10</v>
      </c>
      <c r="F4299" s="30">
        <f t="shared" si="146"/>
        <v>10</v>
      </c>
      <c r="G4299" s="30" t="s">
        <v>9</v>
      </c>
      <c r="J4299" s="30" t="s">
        <v>392</v>
      </c>
    </row>
    <row r="4300" spans="1:10" x14ac:dyDescent="0.25">
      <c r="A4300" s="78">
        <v>46240</v>
      </c>
      <c r="B4300" s="68">
        <v>21</v>
      </c>
      <c r="C4300" s="189" t="s">
        <v>1063</v>
      </c>
      <c r="D4300" s="30">
        <v>1</v>
      </c>
      <c r="E4300" s="30">
        <v>10</v>
      </c>
      <c r="F4300" s="30">
        <f t="shared" si="146"/>
        <v>10</v>
      </c>
      <c r="G4300" s="30" t="s">
        <v>9</v>
      </c>
      <c r="J4300" s="30" t="s">
        <v>392</v>
      </c>
    </row>
    <row r="4301" spans="1:10" x14ac:dyDescent="0.25">
      <c r="A4301" s="78">
        <v>46240</v>
      </c>
      <c r="B4301" s="68">
        <v>22</v>
      </c>
      <c r="C4301" s="189" t="s">
        <v>848</v>
      </c>
      <c r="D4301" s="30">
        <v>2</v>
      </c>
      <c r="E4301" s="30">
        <v>5</v>
      </c>
      <c r="F4301" s="30">
        <f t="shared" si="146"/>
        <v>10</v>
      </c>
      <c r="G4301" s="30" t="s">
        <v>9</v>
      </c>
      <c r="H4301" s="68" t="s">
        <v>1206</v>
      </c>
      <c r="I4301" s="68" t="s">
        <v>1203</v>
      </c>
      <c r="J4301" s="30" t="s">
        <v>392</v>
      </c>
    </row>
    <row r="4302" spans="1:10" x14ac:dyDescent="0.25">
      <c r="A4302" s="78">
        <v>46240</v>
      </c>
      <c r="B4302" s="68">
        <v>23</v>
      </c>
      <c r="C4302" s="189" t="s">
        <v>1140</v>
      </c>
      <c r="D4302" s="30">
        <v>4</v>
      </c>
      <c r="E4302" s="30">
        <v>5</v>
      </c>
      <c r="F4302" s="30">
        <f t="shared" si="146"/>
        <v>20</v>
      </c>
      <c r="G4302" s="30" t="s">
        <v>10</v>
      </c>
      <c r="J4302" s="30" t="s">
        <v>392</v>
      </c>
    </row>
    <row r="4303" spans="1:10" x14ac:dyDescent="0.25">
      <c r="A4303" s="78">
        <v>46240</v>
      </c>
      <c r="B4303" s="68">
        <v>24</v>
      </c>
      <c r="C4303" s="188" t="s">
        <v>850</v>
      </c>
      <c r="D4303" s="30">
        <v>1</v>
      </c>
      <c r="E4303" s="30">
        <v>35</v>
      </c>
      <c r="F4303" s="30">
        <f t="shared" si="146"/>
        <v>35</v>
      </c>
      <c r="G4303" s="30" t="s">
        <v>9</v>
      </c>
      <c r="J4303" s="30" t="s">
        <v>392</v>
      </c>
    </row>
    <row r="4304" spans="1:10" x14ac:dyDescent="0.25">
      <c r="A4304" s="78">
        <v>46240</v>
      </c>
      <c r="B4304" s="68">
        <v>24</v>
      </c>
      <c r="C4304" s="189" t="s">
        <v>375</v>
      </c>
      <c r="D4304" s="30">
        <v>5</v>
      </c>
      <c r="E4304" s="30">
        <v>1</v>
      </c>
      <c r="F4304" s="30">
        <f t="shared" si="146"/>
        <v>5</v>
      </c>
      <c r="G4304" s="30" t="s">
        <v>9</v>
      </c>
      <c r="J4304" s="30" t="s">
        <v>392</v>
      </c>
    </row>
    <row r="4305" spans="1:10" x14ac:dyDescent="0.25">
      <c r="A4305" s="78">
        <v>46240</v>
      </c>
      <c r="B4305" s="68">
        <v>25</v>
      </c>
      <c r="C4305" s="189" t="s">
        <v>666</v>
      </c>
      <c r="D4305" s="30">
        <v>2</v>
      </c>
      <c r="E4305" s="30">
        <v>10</v>
      </c>
      <c r="F4305" s="30">
        <f t="shared" si="146"/>
        <v>20</v>
      </c>
      <c r="G4305" s="30" t="s">
        <v>10</v>
      </c>
      <c r="J4305" s="30" t="s">
        <v>392</v>
      </c>
    </row>
    <row r="4306" spans="1:10" x14ac:dyDescent="0.25">
      <c r="A4306" s="78">
        <v>46240</v>
      </c>
      <c r="B4306" s="68">
        <v>25</v>
      </c>
      <c r="C4306" s="189" t="s">
        <v>419</v>
      </c>
      <c r="D4306" s="30">
        <v>1</v>
      </c>
      <c r="E4306" s="30">
        <v>10</v>
      </c>
      <c r="F4306" s="30">
        <f t="shared" si="146"/>
        <v>10</v>
      </c>
      <c r="G4306" s="30" t="s">
        <v>10</v>
      </c>
      <c r="J4306" s="30" t="s">
        <v>392</v>
      </c>
    </row>
    <row r="4307" spans="1:10" x14ac:dyDescent="0.25">
      <c r="A4307" s="78">
        <v>46240</v>
      </c>
      <c r="B4307" s="68">
        <v>26</v>
      </c>
      <c r="C4307" s="189" t="s">
        <v>807</v>
      </c>
      <c r="D4307" s="30">
        <v>0.26500000000000001</v>
      </c>
      <c r="E4307" s="30">
        <v>70</v>
      </c>
      <c r="F4307" s="30">
        <f t="shared" si="146"/>
        <v>18.55</v>
      </c>
      <c r="G4307" s="30" t="s">
        <v>9</v>
      </c>
      <c r="J4307" s="30" t="s">
        <v>392</v>
      </c>
    </row>
    <row r="4308" spans="1:10" ht="30" x14ac:dyDescent="0.25">
      <c r="A4308" s="78">
        <v>46240</v>
      </c>
      <c r="B4308" s="68">
        <v>27</v>
      </c>
      <c r="C4308" s="188" t="s">
        <v>377</v>
      </c>
      <c r="D4308" s="30">
        <v>1</v>
      </c>
      <c r="E4308" s="30">
        <v>10</v>
      </c>
      <c r="F4308" s="30">
        <f t="shared" si="146"/>
        <v>10</v>
      </c>
      <c r="G4308" s="30" t="s">
        <v>9</v>
      </c>
      <c r="J4308" s="30" t="s">
        <v>392</v>
      </c>
    </row>
    <row r="4309" spans="1:10" x14ac:dyDescent="0.25">
      <c r="A4309" s="78">
        <v>46240</v>
      </c>
      <c r="B4309" s="68">
        <v>28</v>
      </c>
      <c r="C4309" s="189" t="s">
        <v>1153</v>
      </c>
      <c r="D4309" s="30">
        <v>4</v>
      </c>
      <c r="E4309" s="30">
        <v>10</v>
      </c>
      <c r="F4309" s="30">
        <f t="shared" si="146"/>
        <v>40</v>
      </c>
      <c r="G4309" s="30" t="s">
        <v>10</v>
      </c>
      <c r="J4309" s="30" t="s">
        <v>392</v>
      </c>
    </row>
    <row r="4310" spans="1:10" x14ac:dyDescent="0.25">
      <c r="A4310" s="78">
        <v>46240</v>
      </c>
      <c r="B4310" s="68">
        <v>28</v>
      </c>
      <c r="C4310" s="189" t="s">
        <v>1158</v>
      </c>
      <c r="D4310" s="30">
        <v>1</v>
      </c>
      <c r="E4310" s="30">
        <v>30</v>
      </c>
      <c r="F4310" s="30">
        <f t="shared" si="146"/>
        <v>30</v>
      </c>
      <c r="G4310" s="30" t="s">
        <v>10</v>
      </c>
      <c r="J4310" s="30" t="s">
        <v>392</v>
      </c>
    </row>
    <row r="4311" spans="1:10" x14ac:dyDescent="0.25">
      <c r="A4311" s="78">
        <v>46240</v>
      </c>
      <c r="B4311" s="68">
        <v>29</v>
      </c>
      <c r="C4311" s="189" t="s">
        <v>1153</v>
      </c>
      <c r="D4311" s="30">
        <v>8</v>
      </c>
      <c r="E4311" s="30">
        <v>10</v>
      </c>
      <c r="F4311" s="30">
        <f t="shared" si="146"/>
        <v>80</v>
      </c>
      <c r="G4311" s="30" t="s">
        <v>9</v>
      </c>
      <c r="J4311" s="30" t="s">
        <v>392</v>
      </c>
    </row>
    <row r="4312" spans="1:10" x14ac:dyDescent="0.25">
      <c r="A4312" s="78">
        <v>46240</v>
      </c>
      <c r="B4312" s="68">
        <v>29</v>
      </c>
      <c r="C4312" s="189" t="s">
        <v>381</v>
      </c>
      <c r="D4312" s="30">
        <v>1</v>
      </c>
      <c r="E4312" s="30">
        <v>18</v>
      </c>
      <c r="F4312" s="30">
        <f t="shared" si="146"/>
        <v>18</v>
      </c>
      <c r="G4312" s="30" t="s">
        <v>9</v>
      </c>
      <c r="J4312" s="30" t="s">
        <v>392</v>
      </c>
    </row>
    <row r="4313" spans="1:10" x14ac:dyDescent="0.25">
      <c r="A4313" s="78">
        <v>46240</v>
      </c>
      <c r="B4313" s="68">
        <v>30</v>
      </c>
      <c r="C4313" s="189" t="s">
        <v>947</v>
      </c>
      <c r="D4313" s="30">
        <v>1</v>
      </c>
      <c r="E4313" s="30">
        <v>20</v>
      </c>
      <c r="F4313" s="30">
        <f t="shared" si="146"/>
        <v>20</v>
      </c>
      <c r="G4313" s="30" t="s">
        <v>9</v>
      </c>
      <c r="J4313" s="30" t="s">
        <v>392</v>
      </c>
    </row>
    <row r="4314" spans="1:10" x14ac:dyDescent="0.25">
      <c r="A4314" s="78">
        <v>46240</v>
      </c>
      <c r="B4314" s="68">
        <v>31</v>
      </c>
      <c r="C4314" s="189" t="s">
        <v>1176</v>
      </c>
      <c r="D4314" s="30">
        <v>1</v>
      </c>
      <c r="E4314" s="30">
        <v>25</v>
      </c>
      <c r="F4314" s="30">
        <f t="shared" si="146"/>
        <v>25</v>
      </c>
      <c r="G4314" s="30" t="s">
        <v>10</v>
      </c>
      <c r="I4314" s="68" t="s">
        <v>660</v>
      </c>
      <c r="J4314" s="30" t="s">
        <v>392</v>
      </c>
    </row>
    <row r="4315" spans="1:10" ht="30" x14ac:dyDescent="0.25">
      <c r="A4315" s="78">
        <v>46240</v>
      </c>
      <c r="B4315" s="68">
        <v>32</v>
      </c>
      <c r="C4315" s="189" t="s">
        <v>999</v>
      </c>
      <c r="D4315" s="30">
        <v>1</v>
      </c>
      <c r="E4315" s="30">
        <v>20</v>
      </c>
      <c r="F4315" s="30">
        <f t="shared" si="146"/>
        <v>20</v>
      </c>
      <c r="G4315" s="30" t="s">
        <v>9</v>
      </c>
      <c r="I4315" s="68" t="s">
        <v>1222</v>
      </c>
      <c r="J4315" s="30" t="s">
        <v>392</v>
      </c>
    </row>
    <row r="4316" spans="1:10" x14ac:dyDescent="0.25">
      <c r="A4316" s="78">
        <v>46240</v>
      </c>
      <c r="B4316" s="68">
        <v>32</v>
      </c>
      <c r="C4316" s="189" t="s">
        <v>877</v>
      </c>
      <c r="D4316" s="30">
        <v>1</v>
      </c>
      <c r="E4316" s="30">
        <v>10</v>
      </c>
      <c r="F4316" s="30">
        <f t="shared" si="146"/>
        <v>10</v>
      </c>
      <c r="G4316" s="30" t="s">
        <v>9</v>
      </c>
      <c r="I4316" s="68" t="s">
        <v>1222</v>
      </c>
      <c r="J4316" s="30" t="s">
        <v>392</v>
      </c>
    </row>
    <row r="4317" spans="1:10" x14ac:dyDescent="0.25">
      <c r="A4317" s="78">
        <v>46240</v>
      </c>
      <c r="B4317" s="68">
        <v>32</v>
      </c>
      <c r="C4317" s="189" t="s">
        <v>914</v>
      </c>
      <c r="D4317" s="30">
        <v>1</v>
      </c>
      <c r="E4317" s="30">
        <v>30</v>
      </c>
      <c r="F4317" s="30">
        <f t="shared" si="146"/>
        <v>30</v>
      </c>
      <c r="G4317" s="30" t="s">
        <v>9</v>
      </c>
      <c r="I4317" s="68" t="s">
        <v>1222</v>
      </c>
      <c r="J4317" s="30" t="s">
        <v>392</v>
      </c>
    </row>
    <row r="4318" spans="1:10" x14ac:dyDescent="0.25">
      <c r="A4318" s="78">
        <v>46240</v>
      </c>
      <c r="B4318" s="68">
        <v>32</v>
      </c>
      <c r="C4318" s="189" t="s">
        <v>1092</v>
      </c>
      <c r="D4318" s="30">
        <v>1</v>
      </c>
      <c r="E4318" s="30">
        <v>20</v>
      </c>
      <c r="F4318" s="30">
        <f t="shared" si="146"/>
        <v>20</v>
      </c>
      <c r="G4318" s="30" t="s">
        <v>10</v>
      </c>
      <c r="I4318" s="68" t="s">
        <v>1222</v>
      </c>
      <c r="J4318" s="30" t="s">
        <v>392</v>
      </c>
    </row>
    <row r="4319" spans="1:10" x14ac:dyDescent="0.25">
      <c r="A4319" s="78">
        <v>46240</v>
      </c>
      <c r="B4319" s="68">
        <v>32</v>
      </c>
      <c r="C4319" s="189" t="s">
        <v>1134</v>
      </c>
      <c r="D4319" s="30">
        <v>1</v>
      </c>
      <c r="E4319" s="30">
        <v>40</v>
      </c>
      <c r="F4319" s="30">
        <f t="shared" si="146"/>
        <v>40</v>
      </c>
      <c r="G4319" s="30" t="s">
        <v>9</v>
      </c>
      <c r="I4319" s="68" t="s">
        <v>1222</v>
      </c>
      <c r="J4319" s="30" t="s">
        <v>392</v>
      </c>
    </row>
    <row r="4320" spans="1:10" x14ac:dyDescent="0.25">
      <c r="A4320" s="78">
        <v>46240</v>
      </c>
      <c r="B4320" s="68">
        <v>33</v>
      </c>
      <c r="C4320" s="189" t="s">
        <v>860</v>
      </c>
      <c r="D4320" s="30">
        <v>1</v>
      </c>
      <c r="E4320" s="30">
        <v>5</v>
      </c>
      <c r="F4320" s="30">
        <f t="shared" si="146"/>
        <v>5</v>
      </c>
      <c r="G4320" s="30" t="s">
        <v>9</v>
      </c>
      <c r="J4320" s="30" t="s">
        <v>392</v>
      </c>
    </row>
    <row r="4321" spans="1:10" x14ac:dyDescent="0.25">
      <c r="A4321" s="78">
        <v>46240</v>
      </c>
      <c r="B4321" s="68">
        <v>33</v>
      </c>
      <c r="C4321" s="189" t="s">
        <v>1139</v>
      </c>
      <c r="D4321" s="30">
        <v>1</v>
      </c>
      <c r="E4321" s="30">
        <v>5</v>
      </c>
      <c r="F4321" s="30">
        <f t="shared" si="146"/>
        <v>5</v>
      </c>
      <c r="G4321" s="30" t="s">
        <v>9</v>
      </c>
      <c r="J4321" s="30" t="s">
        <v>392</v>
      </c>
    </row>
    <row r="4322" spans="1:10" x14ac:dyDescent="0.25">
      <c r="A4322" s="78">
        <v>46240</v>
      </c>
      <c r="B4322" s="68">
        <v>33</v>
      </c>
      <c r="C4322" s="189" t="s">
        <v>1067</v>
      </c>
      <c r="D4322" s="30">
        <v>1</v>
      </c>
      <c r="E4322" s="30">
        <v>10</v>
      </c>
      <c r="F4322" s="30">
        <f t="shared" si="146"/>
        <v>10</v>
      </c>
      <c r="G4322" s="30" t="s">
        <v>9</v>
      </c>
      <c r="J4322" s="30" t="s">
        <v>392</v>
      </c>
    </row>
    <row r="4323" spans="1:10" x14ac:dyDescent="0.25">
      <c r="A4323" s="78">
        <v>46240</v>
      </c>
      <c r="B4323" s="68">
        <v>34</v>
      </c>
      <c r="C4323" s="188" t="s">
        <v>1196</v>
      </c>
      <c r="D4323" s="30">
        <v>3</v>
      </c>
      <c r="E4323" s="30">
        <v>10</v>
      </c>
      <c r="F4323" s="30">
        <f t="shared" si="146"/>
        <v>30</v>
      </c>
      <c r="G4323" s="30" t="s">
        <v>9</v>
      </c>
      <c r="J4323" s="30" t="s">
        <v>392</v>
      </c>
    </row>
    <row r="4324" spans="1:10" ht="30" x14ac:dyDescent="0.25">
      <c r="A4324" s="78">
        <v>46240</v>
      </c>
      <c r="B4324" s="68">
        <v>35</v>
      </c>
      <c r="C4324" s="189" t="s">
        <v>943</v>
      </c>
      <c r="D4324" s="30">
        <v>1</v>
      </c>
      <c r="E4324" s="30">
        <v>35</v>
      </c>
      <c r="F4324" s="30">
        <f t="shared" si="146"/>
        <v>35</v>
      </c>
      <c r="G4324" s="30" t="s">
        <v>10</v>
      </c>
      <c r="I4324" s="68" t="s">
        <v>1223</v>
      </c>
      <c r="J4324" s="30" t="s">
        <v>392</v>
      </c>
    </row>
    <row r="4325" spans="1:10" ht="30" x14ac:dyDescent="0.25">
      <c r="A4325" s="78">
        <v>46240</v>
      </c>
      <c r="B4325" s="68">
        <v>35</v>
      </c>
      <c r="C4325" s="189" t="s">
        <v>1006</v>
      </c>
      <c r="D4325" s="30">
        <v>1</v>
      </c>
      <c r="E4325" s="30">
        <v>35</v>
      </c>
      <c r="F4325" s="30">
        <f t="shared" si="146"/>
        <v>35</v>
      </c>
      <c r="G4325" s="30" t="s">
        <v>10</v>
      </c>
      <c r="I4325" s="68" t="s">
        <v>1223</v>
      </c>
      <c r="J4325" s="30" t="s">
        <v>392</v>
      </c>
    </row>
    <row r="4326" spans="1:10" x14ac:dyDescent="0.25">
      <c r="A4326" s="78">
        <v>46240</v>
      </c>
      <c r="B4326" s="68">
        <v>35</v>
      </c>
      <c r="C4326" s="189" t="s">
        <v>1134</v>
      </c>
      <c r="D4326" s="30">
        <v>1</v>
      </c>
      <c r="E4326" s="30">
        <v>40</v>
      </c>
      <c r="F4326" s="30">
        <f t="shared" si="146"/>
        <v>40</v>
      </c>
      <c r="G4326" s="30" t="s">
        <v>10</v>
      </c>
      <c r="I4326" s="68" t="s">
        <v>1223</v>
      </c>
      <c r="J4326" s="30" t="s">
        <v>392</v>
      </c>
    </row>
    <row r="4327" spans="1:10" x14ac:dyDescent="0.25">
      <c r="A4327" s="78">
        <v>46240</v>
      </c>
      <c r="B4327" s="68">
        <v>36</v>
      </c>
      <c r="C4327" s="188" t="s">
        <v>1176</v>
      </c>
      <c r="D4327" s="30">
        <v>0.83</v>
      </c>
      <c r="E4327" s="30">
        <v>25</v>
      </c>
      <c r="F4327" s="30">
        <f t="shared" si="146"/>
        <v>20.75</v>
      </c>
      <c r="G4327" s="30" t="s">
        <v>9</v>
      </c>
      <c r="I4327" s="68" t="s">
        <v>1010</v>
      </c>
      <c r="J4327" s="30" t="s">
        <v>392</v>
      </c>
    </row>
    <row r="4328" spans="1:10" ht="30" x14ac:dyDescent="0.25">
      <c r="A4328" s="78">
        <v>46240</v>
      </c>
      <c r="B4328" s="68">
        <v>37</v>
      </c>
      <c r="C4328" s="188" t="s">
        <v>301</v>
      </c>
      <c r="D4328" s="30">
        <v>5</v>
      </c>
      <c r="E4328" s="30">
        <v>12</v>
      </c>
      <c r="F4328" s="30">
        <f t="shared" si="146"/>
        <v>60</v>
      </c>
      <c r="G4328" s="30" t="s">
        <v>9</v>
      </c>
      <c r="J4328" s="30" t="s">
        <v>392</v>
      </c>
    </row>
    <row r="4329" spans="1:10" x14ac:dyDescent="0.25">
      <c r="A4329" s="78">
        <v>46240</v>
      </c>
      <c r="B4329" s="68">
        <v>37</v>
      </c>
      <c r="C4329" s="189" t="s">
        <v>848</v>
      </c>
      <c r="D4329" s="30">
        <v>5</v>
      </c>
      <c r="E4329" s="30">
        <v>4</v>
      </c>
      <c r="F4329" s="30">
        <f t="shared" si="146"/>
        <v>20</v>
      </c>
      <c r="G4329" s="30" t="s">
        <v>9</v>
      </c>
      <c r="J4329" s="30" t="s">
        <v>392</v>
      </c>
    </row>
    <row r="4330" spans="1:10" x14ac:dyDescent="0.25">
      <c r="A4330" s="78">
        <v>46240</v>
      </c>
      <c r="B4330" s="68">
        <v>37</v>
      </c>
      <c r="C4330" s="189" t="s">
        <v>1198</v>
      </c>
      <c r="D4330" s="30">
        <v>1</v>
      </c>
      <c r="E4330" s="30">
        <v>10</v>
      </c>
      <c r="F4330" s="30">
        <f t="shared" si="146"/>
        <v>10</v>
      </c>
      <c r="G4330" s="30" t="s">
        <v>9</v>
      </c>
      <c r="J4330" s="30" t="s">
        <v>392</v>
      </c>
    </row>
    <row r="4331" spans="1:10" x14ac:dyDescent="0.25">
      <c r="A4331" s="78">
        <v>46240</v>
      </c>
      <c r="B4331" s="68">
        <v>37</v>
      </c>
      <c r="C4331" s="189" t="s">
        <v>1167</v>
      </c>
      <c r="D4331" s="30">
        <v>1</v>
      </c>
      <c r="E4331" s="30">
        <v>10</v>
      </c>
      <c r="F4331" s="30">
        <f t="shared" si="146"/>
        <v>10</v>
      </c>
      <c r="G4331" s="30" t="s">
        <v>9</v>
      </c>
      <c r="J4331" s="30" t="s">
        <v>392</v>
      </c>
    </row>
    <row r="4332" spans="1:10" x14ac:dyDescent="0.25">
      <c r="A4332" s="78">
        <v>46240</v>
      </c>
      <c r="B4332" s="68">
        <v>38</v>
      </c>
      <c r="C4332" s="189" t="s">
        <v>1072</v>
      </c>
      <c r="D4332" s="30">
        <v>1</v>
      </c>
      <c r="E4332" s="30">
        <v>40</v>
      </c>
      <c r="F4332" s="30">
        <f t="shared" si="146"/>
        <v>40</v>
      </c>
      <c r="G4332" s="30" t="s">
        <v>16</v>
      </c>
      <c r="I4332" s="68" t="s">
        <v>1224</v>
      </c>
      <c r="J4332" s="30" t="s">
        <v>392</v>
      </c>
    </row>
    <row r="4333" spans="1:10" x14ac:dyDescent="0.25">
      <c r="A4333" s="78">
        <v>46240</v>
      </c>
      <c r="B4333" s="68">
        <v>39</v>
      </c>
      <c r="C4333" s="189" t="s">
        <v>1141</v>
      </c>
      <c r="D4333" s="30">
        <v>1</v>
      </c>
      <c r="E4333" s="30">
        <v>10</v>
      </c>
      <c r="F4333" s="30">
        <f t="shared" si="146"/>
        <v>10</v>
      </c>
      <c r="G4333" s="30" t="s">
        <v>9</v>
      </c>
      <c r="J4333" s="30" t="s">
        <v>392</v>
      </c>
    </row>
    <row r="4334" spans="1:10" x14ac:dyDescent="0.25">
      <c r="A4334" s="78">
        <v>46240</v>
      </c>
      <c r="B4334" s="68">
        <v>40</v>
      </c>
      <c r="C4334" s="189" t="s">
        <v>1107</v>
      </c>
      <c r="D4334" s="30">
        <v>1</v>
      </c>
      <c r="E4334" s="30">
        <v>10</v>
      </c>
      <c r="F4334" s="30">
        <f t="shared" si="146"/>
        <v>10</v>
      </c>
      <c r="G4334" s="30" t="s">
        <v>9</v>
      </c>
      <c r="J4334" s="30" t="s">
        <v>392</v>
      </c>
    </row>
    <row r="4335" spans="1:10" x14ac:dyDescent="0.25">
      <c r="A4335" s="78">
        <v>46240</v>
      </c>
      <c r="B4335" s="68">
        <v>41</v>
      </c>
      <c r="C4335" s="189" t="s">
        <v>1210</v>
      </c>
      <c r="D4335" s="30">
        <v>1</v>
      </c>
      <c r="E4335" s="30">
        <v>5</v>
      </c>
      <c r="F4335" s="30">
        <f t="shared" si="146"/>
        <v>5</v>
      </c>
      <c r="G4335" s="30" t="s">
        <v>9</v>
      </c>
      <c r="J4335" s="30" t="s">
        <v>392</v>
      </c>
    </row>
    <row r="4336" spans="1:10" x14ac:dyDescent="0.25">
      <c r="A4336" s="78">
        <v>46240</v>
      </c>
      <c r="B4336" s="68">
        <v>42</v>
      </c>
      <c r="C4336" s="189" t="s">
        <v>723</v>
      </c>
      <c r="D4336" s="30">
        <v>0.1</v>
      </c>
      <c r="E4336" s="30">
        <v>300</v>
      </c>
      <c r="F4336" s="30">
        <f t="shared" si="146"/>
        <v>30</v>
      </c>
      <c r="G4336" s="30" t="s">
        <v>9</v>
      </c>
      <c r="J4336" s="30" t="s">
        <v>392</v>
      </c>
    </row>
    <row r="4337" spans="1:12" ht="30" x14ac:dyDescent="0.25">
      <c r="A4337" s="78">
        <v>46240</v>
      </c>
      <c r="B4337" s="68">
        <v>42</v>
      </c>
      <c r="C4337" s="188" t="str">
        <f>PA!A215</f>
        <v>TRESSEMME SHAMPOO CONDITIONER SATCHET LOT 1</v>
      </c>
      <c r="D4337" s="30">
        <v>10</v>
      </c>
      <c r="E4337" s="30">
        <v>4</v>
      </c>
      <c r="F4337" s="30">
        <f t="shared" si="146"/>
        <v>40</v>
      </c>
      <c r="G4337" s="30" t="s">
        <v>9</v>
      </c>
      <c r="J4337" s="30" t="s">
        <v>392</v>
      </c>
    </row>
    <row r="4338" spans="1:12" x14ac:dyDescent="0.25">
      <c r="A4338" s="78">
        <v>46240</v>
      </c>
      <c r="B4338" s="68">
        <v>43</v>
      </c>
      <c r="C4338" s="189" t="s">
        <v>1072</v>
      </c>
      <c r="D4338" s="30">
        <v>0.9</v>
      </c>
      <c r="E4338" s="30">
        <v>30</v>
      </c>
      <c r="F4338" s="30">
        <f t="shared" si="146"/>
        <v>27</v>
      </c>
      <c r="G4338" s="30" t="s">
        <v>9</v>
      </c>
      <c r="J4338" s="30" t="s">
        <v>392</v>
      </c>
    </row>
    <row r="4339" spans="1:12" x14ac:dyDescent="0.25">
      <c r="A4339" s="78">
        <v>46240</v>
      </c>
      <c r="B4339" s="68">
        <v>44</v>
      </c>
      <c r="C4339" s="189" t="s">
        <v>783</v>
      </c>
      <c r="D4339" s="30">
        <v>1</v>
      </c>
      <c r="E4339" s="30">
        <v>10</v>
      </c>
      <c r="F4339" s="30">
        <f t="shared" si="146"/>
        <v>10</v>
      </c>
      <c r="G4339" s="30" t="s">
        <v>10</v>
      </c>
      <c r="I4339" s="68" t="s">
        <v>1202</v>
      </c>
      <c r="J4339" s="30" t="s">
        <v>392</v>
      </c>
    </row>
    <row r="4340" spans="1:12" x14ac:dyDescent="0.25">
      <c r="A4340" s="78">
        <v>46240</v>
      </c>
      <c r="C4340" s="189"/>
      <c r="J4340" s="30" t="s">
        <v>392</v>
      </c>
    </row>
    <row r="4341" spans="1:12" s="62" customFormat="1" x14ac:dyDescent="0.25">
      <c r="A4341" s="151">
        <v>46240</v>
      </c>
      <c r="B4341" s="139"/>
      <c r="C4341" s="150"/>
      <c r="F4341" s="62">
        <f t="shared" ref="F4341" si="147">E4341*D4341</f>
        <v>0</v>
      </c>
      <c r="H4341" s="139"/>
      <c r="I4341" s="139">
        <f>SUMIF(G4259:G4340, "&lt;&gt;UPI",F4259:F4340)</f>
        <v>1174.3</v>
      </c>
    </row>
    <row r="4342" spans="1:12" s="170" customFormat="1" ht="18.75" x14ac:dyDescent="0.3">
      <c r="A4342" s="79">
        <v>46240</v>
      </c>
      <c r="B4342" s="147" t="s">
        <v>987</v>
      </c>
      <c r="C4342" s="169">
        <f>MAX(B4259:B4340)</f>
        <v>44</v>
      </c>
      <c r="D4342" s="147" t="s">
        <v>988</v>
      </c>
      <c r="E4342" s="170">
        <f>SUMIF(G4259:G4340,"UPI",F4259:F4340)</f>
        <v>445</v>
      </c>
      <c r="F4342" s="230" t="s">
        <v>437</v>
      </c>
      <c r="G4342" s="230"/>
      <c r="H4342" s="230"/>
      <c r="I4342" s="231">
        <f>SUM(F4259:F4340)</f>
        <v>1619.3</v>
      </c>
      <c r="J4342" s="231"/>
      <c r="K4342" s="231"/>
      <c r="L4342" s="231"/>
    </row>
    <row r="4343" spans="1:12" x14ac:dyDescent="0.25">
      <c r="A4343" s="78">
        <v>46241</v>
      </c>
      <c r="B4343" s="68">
        <v>1</v>
      </c>
      <c r="C4343" s="33" t="s">
        <v>1214</v>
      </c>
      <c r="D4343" s="30">
        <v>1</v>
      </c>
      <c r="E4343" s="30">
        <v>10</v>
      </c>
      <c r="F4343" s="30">
        <f>E4343*D4343</f>
        <v>10</v>
      </c>
      <c r="G4343" s="30" t="s">
        <v>10</v>
      </c>
      <c r="J4343" s="30" t="s">
        <v>391</v>
      </c>
    </row>
    <row r="4344" spans="1:12" x14ac:dyDescent="0.25">
      <c r="A4344" s="78">
        <v>46241</v>
      </c>
      <c r="B4344" s="68">
        <v>2</v>
      </c>
      <c r="C4344" s="189" t="s">
        <v>533</v>
      </c>
      <c r="D4344" s="30">
        <v>1</v>
      </c>
      <c r="E4344" s="30">
        <v>10</v>
      </c>
      <c r="F4344" s="30">
        <f t="shared" ref="F4344:F4404" si="148">E4344*D4344</f>
        <v>10</v>
      </c>
      <c r="G4344" s="30" t="s">
        <v>9</v>
      </c>
      <c r="J4344" s="30" t="s">
        <v>391</v>
      </c>
    </row>
    <row r="4345" spans="1:12" x14ac:dyDescent="0.25">
      <c r="A4345" s="78">
        <v>46241</v>
      </c>
      <c r="B4345" s="68">
        <v>2</v>
      </c>
      <c r="C4345" s="189" t="s">
        <v>1163</v>
      </c>
      <c r="D4345" s="30">
        <v>1</v>
      </c>
      <c r="E4345" s="30">
        <v>10</v>
      </c>
      <c r="F4345" s="30">
        <f t="shared" si="148"/>
        <v>10</v>
      </c>
      <c r="G4345" s="30" t="s">
        <v>9</v>
      </c>
      <c r="J4345" s="30" t="s">
        <v>391</v>
      </c>
    </row>
    <row r="4346" spans="1:12" x14ac:dyDescent="0.25">
      <c r="A4346" s="78">
        <v>46241</v>
      </c>
      <c r="B4346" s="68">
        <v>3</v>
      </c>
      <c r="C4346" s="33" t="s">
        <v>1225</v>
      </c>
      <c r="D4346" s="30">
        <v>1</v>
      </c>
      <c r="E4346" s="30">
        <v>10</v>
      </c>
      <c r="F4346" s="30">
        <f t="shared" si="148"/>
        <v>10</v>
      </c>
      <c r="G4346" s="30" t="s">
        <v>9</v>
      </c>
      <c r="J4346" s="30" t="s">
        <v>391</v>
      </c>
    </row>
    <row r="4347" spans="1:12" x14ac:dyDescent="0.25">
      <c r="A4347" s="78">
        <v>46241</v>
      </c>
      <c r="B4347" s="68">
        <v>4</v>
      </c>
      <c r="C4347" s="189" t="s">
        <v>680</v>
      </c>
      <c r="D4347" s="30">
        <v>1</v>
      </c>
      <c r="E4347" s="30">
        <v>10</v>
      </c>
      <c r="F4347" s="30">
        <f t="shared" si="148"/>
        <v>10</v>
      </c>
      <c r="G4347" s="30" t="s">
        <v>9</v>
      </c>
      <c r="J4347" s="30" t="s">
        <v>391</v>
      </c>
    </row>
    <row r="4348" spans="1:12" x14ac:dyDescent="0.25">
      <c r="A4348" s="78">
        <v>46241</v>
      </c>
      <c r="B4348" s="68">
        <v>4</v>
      </c>
      <c r="C4348" s="189" t="s">
        <v>1053</v>
      </c>
      <c r="D4348" s="30">
        <v>1</v>
      </c>
      <c r="E4348" s="30">
        <v>10</v>
      </c>
      <c r="F4348" s="30">
        <f t="shared" si="148"/>
        <v>10</v>
      </c>
      <c r="G4348" s="30" t="s">
        <v>9</v>
      </c>
      <c r="J4348" s="30" t="s">
        <v>391</v>
      </c>
    </row>
    <row r="4349" spans="1:12" x14ac:dyDescent="0.25">
      <c r="A4349" s="78">
        <v>46241</v>
      </c>
      <c r="B4349" s="68">
        <v>5</v>
      </c>
      <c r="C4349" s="189" t="s">
        <v>680</v>
      </c>
      <c r="D4349" s="30">
        <v>1</v>
      </c>
      <c r="E4349" s="30">
        <v>10</v>
      </c>
      <c r="F4349" s="30">
        <f t="shared" si="148"/>
        <v>10</v>
      </c>
      <c r="G4349" s="30" t="s">
        <v>9</v>
      </c>
      <c r="J4349" s="30" t="s">
        <v>391</v>
      </c>
    </row>
    <row r="4350" spans="1:12" x14ac:dyDescent="0.25">
      <c r="A4350" s="78">
        <v>46241</v>
      </c>
      <c r="B4350" s="68">
        <v>6</v>
      </c>
      <c r="C4350" s="189" t="s">
        <v>683</v>
      </c>
      <c r="D4350" s="30">
        <v>1</v>
      </c>
      <c r="E4350" s="30">
        <v>10</v>
      </c>
      <c r="F4350" s="30">
        <f t="shared" si="148"/>
        <v>10</v>
      </c>
      <c r="G4350" s="30" t="s">
        <v>9</v>
      </c>
      <c r="J4350" s="30" t="s">
        <v>391</v>
      </c>
    </row>
    <row r="4351" spans="1:12" ht="30" x14ac:dyDescent="0.25">
      <c r="A4351" s="78">
        <v>46241</v>
      </c>
      <c r="B4351" s="68">
        <v>7</v>
      </c>
      <c r="C4351" s="189" t="s">
        <v>562</v>
      </c>
      <c r="D4351" s="30">
        <v>5</v>
      </c>
      <c r="E4351" s="30">
        <v>1</v>
      </c>
      <c r="F4351" s="30">
        <f t="shared" si="148"/>
        <v>5</v>
      </c>
      <c r="G4351" s="30" t="s">
        <v>10</v>
      </c>
      <c r="J4351" s="30" t="s">
        <v>391</v>
      </c>
    </row>
    <row r="4352" spans="1:12" x14ac:dyDescent="0.25">
      <c r="A4352" s="78">
        <v>46241</v>
      </c>
      <c r="B4352" s="68">
        <v>8</v>
      </c>
      <c r="C4352" s="188" t="s">
        <v>379</v>
      </c>
      <c r="D4352" s="30">
        <v>1</v>
      </c>
      <c r="E4352" s="30">
        <v>20</v>
      </c>
      <c r="F4352" s="30">
        <f t="shared" si="148"/>
        <v>20</v>
      </c>
      <c r="G4352" s="30" t="s">
        <v>9</v>
      </c>
      <c r="J4352" s="30" t="s">
        <v>391</v>
      </c>
    </row>
    <row r="4353" spans="1:10" x14ac:dyDescent="0.25">
      <c r="A4353" s="78">
        <v>46241</v>
      </c>
      <c r="B4353" s="68">
        <v>9</v>
      </c>
      <c r="C4353" s="33" t="s">
        <v>1220</v>
      </c>
      <c r="D4353" s="30">
        <v>3</v>
      </c>
      <c r="E4353" s="30">
        <v>10</v>
      </c>
      <c r="F4353" s="30">
        <f t="shared" si="148"/>
        <v>30</v>
      </c>
      <c r="G4353" s="30" t="s">
        <v>9</v>
      </c>
      <c r="J4353" s="30" t="s">
        <v>391</v>
      </c>
    </row>
    <row r="4354" spans="1:10" x14ac:dyDescent="0.25">
      <c r="A4354" s="78">
        <v>46241</v>
      </c>
      <c r="B4354" s="68">
        <v>9</v>
      </c>
      <c r="C4354" s="189" t="s">
        <v>680</v>
      </c>
      <c r="D4354" s="30">
        <v>2</v>
      </c>
      <c r="E4354" s="30">
        <v>10</v>
      </c>
      <c r="F4354" s="30">
        <f t="shared" si="148"/>
        <v>20</v>
      </c>
      <c r="G4354" s="30" t="s">
        <v>9</v>
      </c>
      <c r="J4354" s="30" t="s">
        <v>391</v>
      </c>
    </row>
    <row r="4355" spans="1:10" x14ac:dyDescent="0.25">
      <c r="A4355" s="78">
        <v>46241</v>
      </c>
      <c r="B4355" s="68">
        <v>10</v>
      </c>
      <c r="C4355" s="189" t="s">
        <v>533</v>
      </c>
      <c r="D4355" s="30">
        <v>1</v>
      </c>
      <c r="E4355" s="30">
        <v>10</v>
      </c>
      <c r="F4355" s="30">
        <f t="shared" si="148"/>
        <v>10</v>
      </c>
      <c r="G4355" s="30" t="s">
        <v>10</v>
      </c>
      <c r="J4355" s="30" t="s">
        <v>391</v>
      </c>
    </row>
    <row r="4356" spans="1:10" x14ac:dyDescent="0.25">
      <c r="A4356" s="78">
        <v>46241</v>
      </c>
      <c r="B4356" s="68">
        <v>10</v>
      </c>
      <c r="C4356" s="189" t="s">
        <v>680</v>
      </c>
      <c r="D4356" s="30">
        <v>1</v>
      </c>
      <c r="E4356" s="30">
        <v>10</v>
      </c>
      <c r="F4356" s="30">
        <f t="shared" si="148"/>
        <v>10</v>
      </c>
      <c r="G4356" s="30" t="s">
        <v>10</v>
      </c>
      <c r="J4356" s="30" t="s">
        <v>391</v>
      </c>
    </row>
    <row r="4357" spans="1:10" x14ac:dyDescent="0.25">
      <c r="A4357" s="78">
        <v>46241</v>
      </c>
      <c r="B4357" s="68">
        <v>10</v>
      </c>
      <c r="C4357" s="189" t="s">
        <v>1140</v>
      </c>
      <c r="D4357" s="30">
        <v>2</v>
      </c>
      <c r="E4357" s="30">
        <v>5</v>
      </c>
      <c r="F4357" s="30">
        <f t="shared" si="148"/>
        <v>10</v>
      </c>
      <c r="G4357" s="30" t="s">
        <v>10</v>
      </c>
      <c r="J4357" s="30" t="s">
        <v>391</v>
      </c>
    </row>
    <row r="4358" spans="1:10" x14ac:dyDescent="0.25">
      <c r="A4358" s="78">
        <v>46241</v>
      </c>
      <c r="B4358" s="68">
        <v>10</v>
      </c>
      <c r="C4358" s="189" t="s">
        <v>1139</v>
      </c>
      <c r="D4358" s="30">
        <v>2</v>
      </c>
      <c r="E4358" s="30">
        <v>5</v>
      </c>
      <c r="F4358" s="30">
        <f t="shared" si="148"/>
        <v>10</v>
      </c>
      <c r="G4358" s="30" t="s">
        <v>10</v>
      </c>
      <c r="J4358" s="30" t="s">
        <v>391</v>
      </c>
    </row>
    <row r="4359" spans="1:10" x14ac:dyDescent="0.25">
      <c r="A4359" s="78">
        <v>46241</v>
      </c>
      <c r="B4359" s="68">
        <v>11</v>
      </c>
      <c r="C4359" s="189" t="s">
        <v>1053</v>
      </c>
      <c r="D4359" s="30">
        <v>1</v>
      </c>
      <c r="E4359" s="30">
        <v>10</v>
      </c>
      <c r="F4359" s="30">
        <f t="shared" si="148"/>
        <v>10</v>
      </c>
      <c r="G4359" s="30" t="s">
        <v>10</v>
      </c>
      <c r="J4359" s="30" t="s">
        <v>391</v>
      </c>
    </row>
    <row r="4360" spans="1:10" x14ac:dyDescent="0.25">
      <c r="A4360" s="78">
        <v>46241</v>
      </c>
      <c r="B4360" s="68">
        <v>11</v>
      </c>
      <c r="C4360" s="189" t="s">
        <v>960</v>
      </c>
      <c r="D4360" s="30">
        <v>2</v>
      </c>
      <c r="E4360" s="30">
        <v>5</v>
      </c>
      <c r="F4360" s="30">
        <f t="shared" si="148"/>
        <v>10</v>
      </c>
      <c r="G4360" s="30" t="s">
        <v>10</v>
      </c>
      <c r="J4360" s="30" t="s">
        <v>391</v>
      </c>
    </row>
    <row r="4361" spans="1:10" x14ac:dyDescent="0.25">
      <c r="A4361" s="78">
        <v>46241</v>
      </c>
      <c r="B4361" s="68">
        <v>12</v>
      </c>
      <c r="C4361" s="189" t="s">
        <v>848</v>
      </c>
      <c r="D4361" s="30">
        <v>2</v>
      </c>
      <c r="E4361" s="30">
        <v>5</v>
      </c>
      <c r="F4361" s="30">
        <f t="shared" si="148"/>
        <v>10</v>
      </c>
      <c r="G4361" s="30" t="s">
        <v>16</v>
      </c>
      <c r="I4361" s="68" t="s">
        <v>1226</v>
      </c>
      <c r="J4361" s="30" t="s">
        <v>391</v>
      </c>
    </row>
    <row r="4362" spans="1:10" x14ac:dyDescent="0.25">
      <c r="A4362" s="78">
        <v>46241</v>
      </c>
      <c r="B4362" s="68">
        <v>13</v>
      </c>
      <c r="C4362" s="189" t="s">
        <v>783</v>
      </c>
      <c r="D4362" s="30">
        <v>1</v>
      </c>
      <c r="E4362" s="30">
        <v>10</v>
      </c>
      <c r="F4362" s="30">
        <f t="shared" si="148"/>
        <v>10</v>
      </c>
      <c r="G4362" s="30" t="s">
        <v>9</v>
      </c>
      <c r="J4362" s="30" t="s">
        <v>391</v>
      </c>
    </row>
    <row r="4363" spans="1:10" x14ac:dyDescent="0.25">
      <c r="A4363" s="78">
        <v>46241</v>
      </c>
      <c r="B4363" s="68">
        <v>14</v>
      </c>
      <c r="C4363" s="189" t="s">
        <v>947</v>
      </c>
      <c r="D4363" s="30">
        <v>1</v>
      </c>
      <c r="E4363" s="30">
        <v>20</v>
      </c>
      <c r="F4363" s="30">
        <f t="shared" si="148"/>
        <v>20</v>
      </c>
      <c r="G4363" s="30" t="s">
        <v>9</v>
      </c>
      <c r="J4363" s="30" t="s">
        <v>391</v>
      </c>
    </row>
    <row r="4364" spans="1:10" ht="30" x14ac:dyDescent="0.25">
      <c r="A4364" s="78">
        <v>46241</v>
      </c>
      <c r="B4364" s="68">
        <v>12</v>
      </c>
      <c r="C4364" s="189" t="s">
        <v>1054</v>
      </c>
      <c r="D4364" s="30">
        <v>1</v>
      </c>
      <c r="E4364" s="30">
        <v>10</v>
      </c>
      <c r="F4364" s="30">
        <f t="shared" si="148"/>
        <v>10</v>
      </c>
      <c r="G4364" s="30" t="s">
        <v>16</v>
      </c>
      <c r="I4364" s="68" t="s">
        <v>1226</v>
      </c>
      <c r="J4364" s="30" t="s">
        <v>391</v>
      </c>
    </row>
    <row r="4365" spans="1:10" x14ac:dyDescent="0.25">
      <c r="A4365" s="78">
        <v>46241</v>
      </c>
      <c r="B4365" s="68">
        <v>12</v>
      </c>
      <c r="C4365" s="189" t="s">
        <v>1182</v>
      </c>
      <c r="D4365" s="30">
        <v>1</v>
      </c>
      <c r="E4365" s="30">
        <v>15</v>
      </c>
      <c r="F4365" s="30">
        <f t="shared" si="148"/>
        <v>15</v>
      </c>
      <c r="G4365" s="30" t="s">
        <v>16</v>
      </c>
      <c r="I4365" s="68" t="s">
        <v>1226</v>
      </c>
      <c r="J4365" s="30" t="s">
        <v>391</v>
      </c>
    </row>
    <row r="4366" spans="1:10" x14ac:dyDescent="0.25">
      <c r="A4366" s="78">
        <v>46241</v>
      </c>
      <c r="B4366" s="68">
        <v>12</v>
      </c>
      <c r="C4366" s="189" t="s">
        <v>740</v>
      </c>
      <c r="D4366" s="30">
        <v>1</v>
      </c>
      <c r="E4366" s="30">
        <v>10</v>
      </c>
      <c r="F4366" s="30">
        <f t="shared" si="148"/>
        <v>10</v>
      </c>
      <c r="G4366" s="30" t="s">
        <v>16</v>
      </c>
      <c r="I4366" s="68" t="s">
        <v>1226</v>
      </c>
      <c r="J4366" s="30" t="s">
        <v>391</v>
      </c>
    </row>
    <row r="4367" spans="1:10" x14ac:dyDescent="0.25">
      <c r="A4367" s="78">
        <v>46241</v>
      </c>
      <c r="B4367" s="68">
        <v>12</v>
      </c>
      <c r="C4367" s="189" t="s">
        <v>1142</v>
      </c>
      <c r="D4367" s="30">
        <v>2</v>
      </c>
      <c r="E4367" s="30">
        <v>5</v>
      </c>
      <c r="F4367" s="30">
        <f t="shared" si="148"/>
        <v>10</v>
      </c>
      <c r="G4367" s="30" t="s">
        <v>16</v>
      </c>
      <c r="I4367" s="68" t="s">
        <v>1226</v>
      </c>
      <c r="J4367" s="30" t="s">
        <v>391</v>
      </c>
    </row>
    <row r="4368" spans="1:10" x14ac:dyDescent="0.25">
      <c r="A4368" s="78">
        <v>46241</v>
      </c>
      <c r="B4368" s="68">
        <v>13</v>
      </c>
      <c r="C4368" s="189" t="s">
        <v>1148</v>
      </c>
      <c r="D4368" s="30">
        <v>1</v>
      </c>
      <c r="E4368" s="30">
        <v>10</v>
      </c>
      <c r="F4368" s="30">
        <f t="shared" si="148"/>
        <v>10</v>
      </c>
      <c r="G4368" s="30" t="s">
        <v>10</v>
      </c>
      <c r="J4368" s="30" t="s">
        <v>392</v>
      </c>
    </row>
    <row r="4369" spans="1:10" ht="30" x14ac:dyDescent="0.25">
      <c r="A4369" s="78">
        <v>46241</v>
      </c>
      <c r="B4369" s="68">
        <v>15</v>
      </c>
      <c r="C4369" s="189" t="s">
        <v>1188</v>
      </c>
      <c r="D4369" s="30">
        <v>2</v>
      </c>
      <c r="E4369" s="30">
        <v>15</v>
      </c>
      <c r="F4369" s="30">
        <f t="shared" si="148"/>
        <v>30</v>
      </c>
      <c r="G4369" s="30" t="s">
        <v>9</v>
      </c>
      <c r="J4369" s="30" t="s">
        <v>392</v>
      </c>
    </row>
    <row r="4370" spans="1:10" x14ac:dyDescent="0.25">
      <c r="A4370" s="78">
        <v>46241</v>
      </c>
      <c r="B4370" s="68">
        <v>15</v>
      </c>
      <c r="C4370" s="189" t="s">
        <v>1091</v>
      </c>
      <c r="D4370" s="30">
        <v>1</v>
      </c>
      <c r="E4370" s="30">
        <v>40</v>
      </c>
      <c r="F4370" s="30">
        <f t="shared" si="148"/>
        <v>40</v>
      </c>
      <c r="G4370" s="30" t="s">
        <v>9</v>
      </c>
      <c r="J4370" s="30" t="s">
        <v>392</v>
      </c>
    </row>
    <row r="4371" spans="1:10" x14ac:dyDescent="0.25">
      <c r="A4371" s="78">
        <v>46241</v>
      </c>
      <c r="B4371" s="68">
        <v>15</v>
      </c>
      <c r="C4371" s="189" t="s">
        <v>1047</v>
      </c>
      <c r="D4371" s="30">
        <v>1</v>
      </c>
      <c r="E4371" s="30">
        <v>60</v>
      </c>
      <c r="F4371" s="30">
        <f t="shared" si="148"/>
        <v>60</v>
      </c>
      <c r="G4371" s="30" t="s">
        <v>9</v>
      </c>
      <c r="J4371" s="30" t="s">
        <v>392</v>
      </c>
    </row>
    <row r="4372" spans="1:10" x14ac:dyDescent="0.25">
      <c r="A4372" s="78">
        <v>46241</v>
      </c>
      <c r="B4372" s="68">
        <v>15</v>
      </c>
      <c r="C4372" s="189" t="s">
        <v>1092</v>
      </c>
      <c r="D4372" s="30">
        <v>1</v>
      </c>
      <c r="E4372" s="30">
        <v>20</v>
      </c>
      <c r="F4372" s="30">
        <f t="shared" si="148"/>
        <v>20</v>
      </c>
      <c r="G4372" s="30" t="s">
        <v>9</v>
      </c>
      <c r="J4372" s="30" t="s">
        <v>392</v>
      </c>
    </row>
    <row r="4373" spans="1:10" x14ac:dyDescent="0.25">
      <c r="A4373" s="78">
        <v>46241</v>
      </c>
      <c r="B4373" s="68">
        <v>16</v>
      </c>
      <c r="C4373" s="189" t="s">
        <v>970</v>
      </c>
      <c r="D4373" s="30">
        <v>2</v>
      </c>
      <c r="E4373" s="30">
        <v>10</v>
      </c>
      <c r="F4373" s="30">
        <f t="shared" si="148"/>
        <v>20</v>
      </c>
      <c r="G4373" s="30" t="s">
        <v>9</v>
      </c>
      <c r="J4373" s="30" t="s">
        <v>392</v>
      </c>
    </row>
    <row r="4374" spans="1:10" x14ac:dyDescent="0.25">
      <c r="A4374" s="78">
        <v>46241</v>
      </c>
      <c r="B4374" s="68">
        <v>17</v>
      </c>
      <c r="C4374" s="189" t="s">
        <v>912</v>
      </c>
      <c r="D4374" s="30">
        <v>1</v>
      </c>
      <c r="E4374" s="30">
        <v>10</v>
      </c>
      <c r="F4374" s="30">
        <f t="shared" si="148"/>
        <v>10</v>
      </c>
      <c r="G4374" s="30" t="s">
        <v>9</v>
      </c>
      <c r="J4374" s="30" t="s">
        <v>392</v>
      </c>
    </row>
    <row r="4375" spans="1:10" x14ac:dyDescent="0.25">
      <c r="A4375" s="78">
        <v>46241</v>
      </c>
      <c r="B4375" s="68">
        <v>18</v>
      </c>
      <c r="C4375" s="189" t="s">
        <v>1220</v>
      </c>
      <c r="D4375" s="30">
        <v>2</v>
      </c>
      <c r="E4375" s="30">
        <v>10</v>
      </c>
      <c r="F4375" s="30">
        <f t="shared" si="148"/>
        <v>20</v>
      </c>
      <c r="G4375" s="30" t="s">
        <v>10</v>
      </c>
      <c r="J4375" s="30" t="s">
        <v>392</v>
      </c>
    </row>
    <row r="4376" spans="1:10" x14ac:dyDescent="0.25">
      <c r="A4376" s="78">
        <v>46241</v>
      </c>
      <c r="B4376" s="68">
        <v>18</v>
      </c>
      <c r="C4376" s="189" t="s">
        <v>960</v>
      </c>
      <c r="D4376" s="30">
        <v>2</v>
      </c>
      <c r="E4376" s="30">
        <v>5</v>
      </c>
      <c r="F4376" s="30">
        <f t="shared" si="148"/>
        <v>10</v>
      </c>
      <c r="G4376" s="30" t="s">
        <v>10</v>
      </c>
      <c r="J4376" s="30" t="s">
        <v>392</v>
      </c>
    </row>
    <row r="4377" spans="1:10" x14ac:dyDescent="0.25">
      <c r="A4377" s="78">
        <v>46241</v>
      </c>
      <c r="B4377" s="68">
        <v>19</v>
      </c>
      <c r="C4377" s="189" t="s">
        <v>888</v>
      </c>
      <c r="D4377" s="30">
        <v>1</v>
      </c>
      <c r="E4377" s="30">
        <v>35</v>
      </c>
      <c r="F4377" s="30">
        <f t="shared" si="148"/>
        <v>35</v>
      </c>
      <c r="G4377" s="30" t="s">
        <v>9</v>
      </c>
      <c r="J4377" s="30" t="s">
        <v>392</v>
      </c>
    </row>
    <row r="4378" spans="1:10" x14ac:dyDescent="0.25">
      <c r="A4378" s="78">
        <v>46241</v>
      </c>
      <c r="B4378" s="68">
        <v>19</v>
      </c>
      <c r="C4378" s="189" t="s">
        <v>848</v>
      </c>
      <c r="D4378" s="30">
        <v>1</v>
      </c>
      <c r="E4378" s="30">
        <v>5</v>
      </c>
      <c r="F4378" s="30">
        <f t="shared" si="148"/>
        <v>5</v>
      </c>
      <c r="G4378" s="30" t="s">
        <v>9</v>
      </c>
      <c r="J4378" s="30" t="s">
        <v>392</v>
      </c>
    </row>
    <row r="4379" spans="1:10" x14ac:dyDescent="0.25">
      <c r="A4379" s="78">
        <v>46241</v>
      </c>
      <c r="B4379" s="68">
        <v>19</v>
      </c>
      <c r="C4379" s="189" t="s">
        <v>1148</v>
      </c>
      <c r="D4379" s="30">
        <v>1</v>
      </c>
      <c r="E4379" s="30">
        <v>10</v>
      </c>
      <c r="F4379" s="30">
        <f t="shared" si="148"/>
        <v>10</v>
      </c>
      <c r="G4379" s="30" t="s">
        <v>9</v>
      </c>
      <c r="J4379" s="30" t="s">
        <v>392</v>
      </c>
    </row>
    <row r="4380" spans="1:10" x14ac:dyDescent="0.25">
      <c r="A4380" s="78">
        <v>46241</v>
      </c>
      <c r="B4380" s="68">
        <v>19</v>
      </c>
      <c r="C4380" s="189" t="s">
        <v>680</v>
      </c>
      <c r="D4380" s="30">
        <v>1</v>
      </c>
      <c r="E4380" s="30">
        <v>10</v>
      </c>
      <c r="F4380" s="30">
        <f t="shared" si="148"/>
        <v>10</v>
      </c>
      <c r="G4380" s="30" t="s">
        <v>9</v>
      </c>
      <c r="J4380" s="30" t="s">
        <v>392</v>
      </c>
    </row>
    <row r="4381" spans="1:10" x14ac:dyDescent="0.25">
      <c r="A4381" s="78">
        <v>46241</v>
      </c>
      <c r="B4381" s="68">
        <v>20</v>
      </c>
      <c r="C4381" s="189" t="s">
        <v>916</v>
      </c>
      <c r="D4381" s="30">
        <v>1</v>
      </c>
      <c r="E4381" s="30">
        <v>10</v>
      </c>
      <c r="F4381" s="30">
        <f t="shared" si="148"/>
        <v>10</v>
      </c>
      <c r="G4381" s="30" t="s">
        <v>9</v>
      </c>
      <c r="J4381" s="30" t="s">
        <v>392</v>
      </c>
    </row>
    <row r="4382" spans="1:10" x14ac:dyDescent="0.25">
      <c r="A4382" s="78">
        <v>46241</v>
      </c>
      <c r="B4382" s="68">
        <v>21</v>
      </c>
      <c r="C4382" s="189" t="s">
        <v>702</v>
      </c>
      <c r="D4382" s="30">
        <v>1</v>
      </c>
      <c r="E4382" s="30">
        <v>10</v>
      </c>
      <c r="F4382" s="30">
        <f t="shared" si="148"/>
        <v>10</v>
      </c>
      <c r="G4382" s="30" t="s">
        <v>10</v>
      </c>
      <c r="J4382" s="30" t="s">
        <v>392</v>
      </c>
    </row>
    <row r="4383" spans="1:10" x14ac:dyDescent="0.25">
      <c r="A4383" s="78">
        <v>46241</v>
      </c>
      <c r="B4383" s="68">
        <v>22</v>
      </c>
      <c r="C4383" s="189" t="s">
        <v>1180</v>
      </c>
      <c r="D4383" s="30">
        <v>1</v>
      </c>
      <c r="E4383" s="30">
        <v>100</v>
      </c>
      <c r="F4383" s="30">
        <f t="shared" si="148"/>
        <v>100</v>
      </c>
      <c r="G4383" s="30" t="s">
        <v>9</v>
      </c>
      <c r="J4383" s="30" t="s">
        <v>392</v>
      </c>
    </row>
    <row r="4384" spans="1:10" x14ac:dyDescent="0.25">
      <c r="A4384" s="78">
        <v>46241</v>
      </c>
      <c r="B4384" s="68">
        <v>23</v>
      </c>
      <c r="C4384" s="189" t="s">
        <v>915</v>
      </c>
      <c r="D4384" s="30">
        <v>1</v>
      </c>
      <c r="E4384" s="30">
        <v>10</v>
      </c>
      <c r="F4384" s="30">
        <f t="shared" si="148"/>
        <v>10</v>
      </c>
      <c r="G4384" s="30" t="s">
        <v>9</v>
      </c>
      <c r="J4384" s="30" t="s">
        <v>392</v>
      </c>
    </row>
    <row r="4385" spans="1:10" x14ac:dyDescent="0.25">
      <c r="A4385" s="78">
        <v>46241</v>
      </c>
      <c r="B4385" s="68">
        <v>24</v>
      </c>
      <c r="C4385" s="189" t="s">
        <v>1130</v>
      </c>
      <c r="D4385" s="30">
        <v>1</v>
      </c>
      <c r="E4385" s="30">
        <v>105</v>
      </c>
      <c r="F4385" s="30">
        <f t="shared" si="148"/>
        <v>105</v>
      </c>
      <c r="G4385" s="30" t="s">
        <v>9</v>
      </c>
      <c r="J4385" s="30" t="s">
        <v>392</v>
      </c>
    </row>
    <row r="4386" spans="1:10" x14ac:dyDescent="0.25">
      <c r="A4386" s="78">
        <v>46241</v>
      </c>
      <c r="B4386" s="68">
        <v>25</v>
      </c>
      <c r="C4386" s="189" t="s">
        <v>1089</v>
      </c>
      <c r="D4386" s="30">
        <v>0.26</v>
      </c>
      <c r="E4386" s="30">
        <v>70</v>
      </c>
      <c r="F4386" s="30">
        <f t="shared" si="148"/>
        <v>18.2</v>
      </c>
      <c r="G4386" s="30" t="s">
        <v>9</v>
      </c>
      <c r="J4386" s="30" t="s">
        <v>392</v>
      </c>
    </row>
    <row r="4387" spans="1:10" x14ac:dyDescent="0.25">
      <c r="A4387" s="78">
        <v>46241</v>
      </c>
      <c r="B4387" s="68">
        <v>25</v>
      </c>
      <c r="C4387" s="189" t="s">
        <v>1159</v>
      </c>
      <c r="D4387" s="30">
        <v>0.34</v>
      </c>
      <c r="E4387" s="30">
        <v>60</v>
      </c>
      <c r="F4387" s="30">
        <f t="shared" si="148"/>
        <v>20.400000000000002</v>
      </c>
      <c r="G4387" s="30" t="s">
        <v>9</v>
      </c>
      <c r="J4387" s="30" t="s">
        <v>392</v>
      </c>
    </row>
    <row r="4388" spans="1:10" x14ac:dyDescent="0.25">
      <c r="A4388" s="78">
        <v>46241</v>
      </c>
      <c r="B4388" s="68">
        <v>25</v>
      </c>
      <c r="C4388" s="189" t="s">
        <v>1059</v>
      </c>
      <c r="D4388" s="30">
        <v>1</v>
      </c>
      <c r="E4388" s="30">
        <v>10</v>
      </c>
      <c r="F4388" s="30">
        <f t="shared" si="148"/>
        <v>10</v>
      </c>
      <c r="G4388" s="30" t="s">
        <v>9</v>
      </c>
      <c r="J4388" s="30" t="s">
        <v>392</v>
      </c>
    </row>
    <row r="4389" spans="1:10" x14ac:dyDescent="0.25">
      <c r="A4389" s="78">
        <v>46241</v>
      </c>
      <c r="B4389" s="68">
        <v>26</v>
      </c>
      <c r="C4389" s="189" t="s">
        <v>1210</v>
      </c>
      <c r="D4389" s="30">
        <v>2</v>
      </c>
      <c r="E4389" s="30">
        <v>5</v>
      </c>
      <c r="F4389" s="30">
        <f t="shared" si="148"/>
        <v>10</v>
      </c>
      <c r="G4389" s="30" t="s">
        <v>9</v>
      </c>
      <c r="J4389" s="30" t="s">
        <v>392</v>
      </c>
    </row>
    <row r="4390" spans="1:10" x14ac:dyDescent="0.25">
      <c r="A4390" s="78">
        <v>46241</v>
      </c>
      <c r="B4390" s="68">
        <v>26</v>
      </c>
      <c r="C4390" s="189" t="s">
        <v>970</v>
      </c>
      <c r="D4390" s="30">
        <v>1</v>
      </c>
      <c r="E4390" s="30">
        <v>10</v>
      </c>
      <c r="F4390" s="30">
        <f t="shared" si="148"/>
        <v>10</v>
      </c>
      <c r="G4390" s="30" t="s">
        <v>9</v>
      </c>
      <c r="J4390" s="30" t="s">
        <v>392</v>
      </c>
    </row>
    <row r="4391" spans="1:10" ht="30" x14ac:dyDescent="0.25">
      <c r="A4391" s="78">
        <v>46241</v>
      </c>
      <c r="B4391" s="68">
        <v>26</v>
      </c>
      <c r="C4391" s="189" t="s">
        <v>562</v>
      </c>
      <c r="D4391" s="30">
        <v>5</v>
      </c>
      <c r="E4391" s="30">
        <v>1</v>
      </c>
      <c r="F4391" s="30">
        <f t="shared" si="148"/>
        <v>5</v>
      </c>
      <c r="G4391" s="30" t="s">
        <v>9</v>
      </c>
      <c r="J4391" s="30" t="s">
        <v>392</v>
      </c>
    </row>
    <row r="4392" spans="1:10" ht="30" x14ac:dyDescent="0.25">
      <c r="A4392" s="78">
        <v>46241</v>
      </c>
      <c r="B4392" s="68">
        <v>26</v>
      </c>
      <c r="C4392" s="189" t="s">
        <v>897</v>
      </c>
      <c r="D4392" s="30">
        <v>5</v>
      </c>
      <c r="E4392" s="30">
        <v>1</v>
      </c>
      <c r="F4392" s="30">
        <f t="shared" si="148"/>
        <v>5</v>
      </c>
      <c r="G4392" s="30" t="s">
        <v>9</v>
      </c>
      <c r="J4392" s="30" t="s">
        <v>392</v>
      </c>
    </row>
    <row r="4393" spans="1:10" x14ac:dyDescent="0.25">
      <c r="A4393" s="78">
        <v>46241</v>
      </c>
      <c r="B4393" s="68">
        <v>26</v>
      </c>
      <c r="C4393" s="189" t="s">
        <v>759</v>
      </c>
      <c r="D4393" s="30">
        <v>4</v>
      </c>
      <c r="E4393" s="30">
        <v>5</v>
      </c>
      <c r="F4393" s="30">
        <f t="shared" si="148"/>
        <v>20</v>
      </c>
      <c r="G4393" s="30" t="s">
        <v>9</v>
      </c>
      <c r="J4393" s="30" t="s">
        <v>392</v>
      </c>
    </row>
    <row r="4394" spans="1:10" x14ac:dyDescent="0.25">
      <c r="A4394" s="78">
        <v>46241</v>
      </c>
      <c r="B4394" s="68">
        <v>27</v>
      </c>
      <c r="C4394" s="189" t="s">
        <v>785</v>
      </c>
      <c r="D4394" s="30">
        <v>2</v>
      </c>
      <c r="E4394" s="30">
        <v>1</v>
      </c>
      <c r="F4394" s="30">
        <f t="shared" si="148"/>
        <v>2</v>
      </c>
      <c r="G4394" s="30" t="s">
        <v>9</v>
      </c>
      <c r="J4394" s="30" t="s">
        <v>392</v>
      </c>
    </row>
    <row r="4395" spans="1:10" x14ac:dyDescent="0.25">
      <c r="A4395" s="78">
        <v>46241</v>
      </c>
      <c r="B4395" s="68">
        <v>25</v>
      </c>
      <c r="C4395" s="189" t="s">
        <v>1063</v>
      </c>
      <c r="D4395" s="30">
        <v>1</v>
      </c>
      <c r="E4395" s="30">
        <v>10</v>
      </c>
      <c r="F4395" s="30">
        <f t="shared" si="148"/>
        <v>10</v>
      </c>
      <c r="G4395" s="30" t="s">
        <v>9</v>
      </c>
      <c r="J4395" s="30" t="s">
        <v>392</v>
      </c>
    </row>
    <row r="4396" spans="1:10" x14ac:dyDescent="0.25">
      <c r="A4396" s="78">
        <v>46241</v>
      </c>
      <c r="B4396" s="68">
        <v>28</v>
      </c>
      <c r="C4396" s="189" t="s">
        <v>753</v>
      </c>
      <c r="D4396" s="30">
        <v>1</v>
      </c>
      <c r="E4396" s="30">
        <v>10</v>
      </c>
      <c r="F4396" s="30">
        <f t="shared" si="148"/>
        <v>10</v>
      </c>
      <c r="G4396" s="30" t="s">
        <v>9</v>
      </c>
      <c r="J4396" s="30" t="s">
        <v>392</v>
      </c>
    </row>
    <row r="4397" spans="1:10" x14ac:dyDescent="0.25">
      <c r="A4397" s="78">
        <v>46241</v>
      </c>
      <c r="B4397" s="68">
        <v>29</v>
      </c>
      <c r="C4397" s="188" t="s">
        <v>813</v>
      </c>
      <c r="D4397" s="30">
        <v>1</v>
      </c>
      <c r="E4397" s="30">
        <v>30</v>
      </c>
      <c r="F4397" s="30">
        <f t="shared" si="148"/>
        <v>30</v>
      </c>
      <c r="G4397" s="30" t="s">
        <v>10</v>
      </c>
      <c r="J4397" s="30" t="s">
        <v>392</v>
      </c>
    </row>
    <row r="4398" spans="1:10" x14ac:dyDescent="0.25">
      <c r="A4398" s="78">
        <v>46241</v>
      </c>
      <c r="B4398" s="68">
        <v>30</v>
      </c>
      <c r="C4398" s="189" t="s">
        <v>1148</v>
      </c>
      <c r="D4398" s="30">
        <v>1</v>
      </c>
      <c r="E4398" s="30">
        <v>10</v>
      </c>
      <c r="F4398" s="30">
        <f t="shared" si="148"/>
        <v>10</v>
      </c>
      <c r="G4398" s="30" t="s">
        <v>9</v>
      </c>
      <c r="J4398" s="30" t="s">
        <v>392</v>
      </c>
    </row>
    <row r="4399" spans="1:10" x14ac:dyDescent="0.25">
      <c r="A4399" s="78">
        <v>46241</v>
      </c>
      <c r="B4399" s="68">
        <v>30</v>
      </c>
      <c r="C4399" s="189" t="s">
        <v>66</v>
      </c>
      <c r="D4399" s="30">
        <v>1</v>
      </c>
      <c r="E4399" s="30">
        <v>10</v>
      </c>
      <c r="F4399" s="30">
        <f t="shared" si="148"/>
        <v>10</v>
      </c>
      <c r="G4399" s="30" t="s">
        <v>9</v>
      </c>
      <c r="J4399" s="30" t="s">
        <v>392</v>
      </c>
    </row>
    <row r="4400" spans="1:10" x14ac:dyDescent="0.25">
      <c r="A4400" s="78">
        <v>46241</v>
      </c>
      <c r="B4400" s="68">
        <v>30</v>
      </c>
      <c r="C4400" s="189" t="s">
        <v>375</v>
      </c>
      <c r="D4400" s="30">
        <v>5</v>
      </c>
      <c r="E4400" s="30">
        <v>1</v>
      </c>
      <c r="F4400" s="30">
        <f t="shared" si="148"/>
        <v>5</v>
      </c>
      <c r="G4400" s="30" t="s">
        <v>9</v>
      </c>
      <c r="J4400" s="30" t="s">
        <v>392</v>
      </c>
    </row>
    <row r="4401" spans="1:12" x14ac:dyDescent="0.25">
      <c r="A4401" s="78">
        <v>46241</v>
      </c>
      <c r="B4401" s="68">
        <v>30</v>
      </c>
      <c r="C4401" s="189" t="s">
        <v>1138</v>
      </c>
      <c r="D4401" s="30">
        <v>1</v>
      </c>
      <c r="E4401" s="30">
        <v>5</v>
      </c>
      <c r="F4401" s="30">
        <f t="shared" si="148"/>
        <v>5</v>
      </c>
      <c r="G4401" s="30" t="s">
        <v>9</v>
      </c>
      <c r="J4401" s="30" t="s">
        <v>392</v>
      </c>
    </row>
    <row r="4402" spans="1:12" x14ac:dyDescent="0.25">
      <c r="A4402" s="78">
        <v>46241</v>
      </c>
      <c r="B4402" s="68">
        <v>31</v>
      </c>
      <c r="C4402" s="189" t="s">
        <v>1197</v>
      </c>
      <c r="D4402" s="30">
        <v>0.1</v>
      </c>
      <c r="E4402" s="30">
        <v>200</v>
      </c>
      <c r="F4402" s="30">
        <f t="shared" si="148"/>
        <v>20</v>
      </c>
      <c r="G4402" s="30" t="s">
        <v>10</v>
      </c>
      <c r="J4402" s="30" t="s">
        <v>392</v>
      </c>
    </row>
    <row r="4403" spans="1:12" x14ac:dyDescent="0.25">
      <c r="A4403" s="78">
        <v>46241</v>
      </c>
      <c r="B4403" s="68">
        <v>32</v>
      </c>
      <c r="C4403" s="189" t="s">
        <v>947</v>
      </c>
      <c r="D4403" s="30">
        <v>1</v>
      </c>
      <c r="E4403" s="30">
        <v>20</v>
      </c>
      <c r="F4403" s="30">
        <f t="shared" si="148"/>
        <v>20</v>
      </c>
      <c r="G4403" s="30" t="s">
        <v>9</v>
      </c>
      <c r="J4403" s="30" t="s">
        <v>392</v>
      </c>
    </row>
    <row r="4404" spans="1:12" x14ac:dyDescent="0.25">
      <c r="A4404" s="78">
        <v>46241</v>
      </c>
      <c r="B4404" s="68">
        <v>33</v>
      </c>
      <c r="C4404" s="33" t="s">
        <v>1214</v>
      </c>
      <c r="D4404" s="30">
        <v>1</v>
      </c>
      <c r="E4404" s="30">
        <v>10</v>
      </c>
      <c r="F4404" s="30">
        <f t="shared" si="148"/>
        <v>10</v>
      </c>
      <c r="G4404" s="30" t="s">
        <v>9</v>
      </c>
      <c r="J4404" s="30" t="s">
        <v>392</v>
      </c>
    </row>
    <row r="4405" spans="1:12" s="62" customFormat="1" x14ac:dyDescent="0.25">
      <c r="A4405" s="151">
        <v>46241</v>
      </c>
      <c r="B4405" s="139"/>
      <c r="C4405" s="150"/>
      <c r="H4405" s="139"/>
      <c r="I4405" s="139">
        <f>SUMIF(G4343:G4404, "&lt;&gt;UPI",F4343:F4404)</f>
        <v>870.6</v>
      </c>
    </row>
    <row r="4406" spans="1:12" s="170" customFormat="1" ht="18.75" x14ac:dyDescent="0.3">
      <c r="A4406" s="79">
        <v>46241</v>
      </c>
      <c r="B4406" s="147" t="s">
        <v>987</v>
      </c>
      <c r="C4406" s="169">
        <f>MAX(B4343:B4404)</f>
        <v>33</v>
      </c>
      <c r="D4406" s="147" t="s">
        <v>988</v>
      </c>
      <c r="E4406" s="170">
        <f>SUMIF(G4343:G4404,"UPI",F4343:F4404)</f>
        <v>175</v>
      </c>
      <c r="F4406" s="230" t="s">
        <v>437</v>
      </c>
      <c r="G4406" s="230"/>
      <c r="H4406" s="230"/>
      <c r="I4406" s="231">
        <f>SUM(F4343:F4404)</f>
        <v>1045.5999999999999</v>
      </c>
      <c r="J4406" s="231"/>
      <c r="K4406" s="231"/>
      <c r="L4406" s="231"/>
    </row>
    <row r="4407" spans="1:12" x14ac:dyDescent="0.25">
      <c r="A4407" s="78">
        <v>46242</v>
      </c>
      <c r="B4407" s="68">
        <v>1</v>
      </c>
      <c r="C4407" s="189" t="s">
        <v>1063</v>
      </c>
      <c r="D4407" s="30">
        <v>2</v>
      </c>
      <c r="E4407" s="30">
        <v>10</v>
      </c>
      <c r="F4407" s="30">
        <f t="shared" ref="F4407:F4432" si="149">E4407*D4407</f>
        <v>20</v>
      </c>
      <c r="G4407" s="30" t="s">
        <v>10</v>
      </c>
      <c r="J4407" s="30" t="s">
        <v>391</v>
      </c>
    </row>
    <row r="4408" spans="1:12" x14ac:dyDescent="0.25">
      <c r="A4408" s="78">
        <v>46242</v>
      </c>
      <c r="B4408" s="68">
        <v>2</v>
      </c>
      <c r="C4408" s="189" t="s">
        <v>395</v>
      </c>
      <c r="D4408" s="30">
        <v>1</v>
      </c>
      <c r="E4408" s="30">
        <v>10</v>
      </c>
      <c r="F4408" s="30">
        <f t="shared" si="149"/>
        <v>10</v>
      </c>
      <c r="G4408" s="30" t="s">
        <v>9</v>
      </c>
      <c r="J4408" s="30" t="s">
        <v>391</v>
      </c>
    </row>
    <row r="4409" spans="1:12" x14ac:dyDescent="0.25">
      <c r="A4409" s="78">
        <v>46242</v>
      </c>
      <c r="B4409" s="68">
        <v>3</v>
      </c>
      <c r="C4409" s="189" t="s">
        <v>734</v>
      </c>
      <c r="D4409" s="30">
        <v>5</v>
      </c>
      <c r="E4409" s="30">
        <v>50</v>
      </c>
      <c r="F4409" s="30">
        <f t="shared" si="149"/>
        <v>250</v>
      </c>
      <c r="G4409" s="30" t="s">
        <v>16</v>
      </c>
      <c r="I4409" s="68" t="s">
        <v>663</v>
      </c>
      <c r="J4409" s="30" t="s">
        <v>391</v>
      </c>
    </row>
    <row r="4410" spans="1:12" x14ac:dyDescent="0.25">
      <c r="A4410" s="78">
        <v>46242</v>
      </c>
      <c r="B4410" s="68">
        <v>4</v>
      </c>
      <c r="C4410" s="188" t="s">
        <v>667</v>
      </c>
      <c r="D4410" s="30">
        <v>2</v>
      </c>
      <c r="E4410" s="30">
        <v>5</v>
      </c>
      <c r="F4410" s="30">
        <f t="shared" si="149"/>
        <v>10</v>
      </c>
      <c r="G4410" s="30" t="s">
        <v>9</v>
      </c>
      <c r="J4410" s="30" t="s">
        <v>391</v>
      </c>
    </row>
    <row r="4411" spans="1:12" x14ac:dyDescent="0.25">
      <c r="A4411" s="78">
        <v>46242</v>
      </c>
      <c r="B4411" s="68">
        <v>4</v>
      </c>
      <c r="C4411" s="189" t="s">
        <v>1163</v>
      </c>
      <c r="D4411" s="30">
        <v>1</v>
      </c>
      <c r="E4411" s="30">
        <v>10</v>
      </c>
      <c r="F4411" s="30">
        <f t="shared" si="149"/>
        <v>10</v>
      </c>
      <c r="G4411" s="30" t="s">
        <v>9</v>
      </c>
      <c r="J4411" s="30" t="s">
        <v>391</v>
      </c>
    </row>
    <row r="4412" spans="1:12" x14ac:dyDescent="0.25">
      <c r="A4412" s="78">
        <v>46242</v>
      </c>
      <c r="B4412" s="68">
        <v>5</v>
      </c>
      <c r="C4412" s="189" t="s">
        <v>740</v>
      </c>
      <c r="D4412" s="30">
        <v>1</v>
      </c>
      <c r="E4412" s="30">
        <v>10</v>
      </c>
      <c r="F4412" s="30">
        <f t="shared" si="149"/>
        <v>10</v>
      </c>
      <c r="G4412" s="30" t="s">
        <v>9</v>
      </c>
      <c r="J4412" s="30" t="s">
        <v>391</v>
      </c>
    </row>
    <row r="4413" spans="1:12" x14ac:dyDescent="0.25">
      <c r="A4413" s="78">
        <v>46242</v>
      </c>
      <c r="B4413" s="68">
        <v>6</v>
      </c>
      <c r="C4413" s="189" t="s">
        <v>1089</v>
      </c>
      <c r="D4413" s="30">
        <v>0.5</v>
      </c>
      <c r="E4413" s="30">
        <v>70</v>
      </c>
      <c r="F4413" s="30">
        <f t="shared" si="149"/>
        <v>35</v>
      </c>
      <c r="G4413" s="30" t="s">
        <v>9</v>
      </c>
      <c r="J4413" s="30" t="s">
        <v>391</v>
      </c>
    </row>
    <row r="4414" spans="1:12" x14ac:dyDescent="0.25">
      <c r="A4414" s="78">
        <v>46242</v>
      </c>
      <c r="B4414" s="68">
        <v>6</v>
      </c>
      <c r="C4414" s="189" t="s">
        <v>814</v>
      </c>
      <c r="D4414" s="30">
        <v>0.34</v>
      </c>
      <c r="E4414" s="30">
        <v>60</v>
      </c>
      <c r="F4414" s="30">
        <f t="shared" si="149"/>
        <v>20.400000000000002</v>
      </c>
      <c r="G4414" s="30" t="s">
        <v>9</v>
      </c>
      <c r="J4414" s="30" t="s">
        <v>391</v>
      </c>
    </row>
    <row r="4415" spans="1:12" x14ac:dyDescent="0.25">
      <c r="A4415" s="78">
        <v>46242</v>
      </c>
      <c r="B4415" s="68">
        <v>7</v>
      </c>
      <c r="C4415" s="189" t="s">
        <v>772</v>
      </c>
      <c r="D4415" s="30">
        <v>1</v>
      </c>
      <c r="E4415" s="30">
        <v>20</v>
      </c>
      <c r="F4415" s="30">
        <f t="shared" si="149"/>
        <v>20</v>
      </c>
      <c r="G4415" s="30" t="s">
        <v>9</v>
      </c>
      <c r="J4415" s="30" t="s">
        <v>391</v>
      </c>
    </row>
    <row r="4416" spans="1:12" x14ac:dyDescent="0.25">
      <c r="A4416" s="78">
        <v>46242</v>
      </c>
      <c r="B4416" s="68">
        <v>8</v>
      </c>
      <c r="C4416" s="189" t="s">
        <v>1141</v>
      </c>
      <c r="D4416" s="30">
        <v>1</v>
      </c>
      <c r="E4416" s="30">
        <v>10</v>
      </c>
      <c r="F4416" s="30">
        <f t="shared" si="149"/>
        <v>10</v>
      </c>
      <c r="G4416" s="30" t="s">
        <v>9</v>
      </c>
      <c r="J4416" s="30" t="s">
        <v>391</v>
      </c>
    </row>
    <row r="4417" spans="1:10" x14ac:dyDescent="0.25">
      <c r="A4417" s="78">
        <v>46242</v>
      </c>
      <c r="B4417" s="68">
        <v>9</v>
      </c>
      <c r="C4417" s="189" t="s">
        <v>25</v>
      </c>
      <c r="D4417" s="30">
        <v>1</v>
      </c>
      <c r="E4417" s="30">
        <v>10</v>
      </c>
      <c r="F4417" s="30">
        <f t="shared" si="149"/>
        <v>10</v>
      </c>
      <c r="G4417" s="30" t="s">
        <v>9</v>
      </c>
      <c r="J4417" s="30" t="s">
        <v>391</v>
      </c>
    </row>
    <row r="4418" spans="1:10" x14ac:dyDescent="0.25">
      <c r="A4418" s="78">
        <v>46242</v>
      </c>
      <c r="B4418" s="68">
        <v>10</v>
      </c>
      <c r="C4418" s="189" t="s">
        <v>554</v>
      </c>
      <c r="D4418" s="30">
        <v>1</v>
      </c>
      <c r="E4418" s="30">
        <v>10</v>
      </c>
      <c r="F4418" s="30">
        <f t="shared" si="149"/>
        <v>10</v>
      </c>
      <c r="G4418" s="30" t="s">
        <v>9</v>
      </c>
      <c r="J4418" s="30" t="s">
        <v>391</v>
      </c>
    </row>
    <row r="4419" spans="1:10" x14ac:dyDescent="0.25">
      <c r="A4419" s="78">
        <v>46242</v>
      </c>
      <c r="B4419" s="68">
        <v>11</v>
      </c>
      <c r="C4419" s="189" t="s">
        <v>1109</v>
      </c>
      <c r="D4419" s="30">
        <v>2</v>
      </c>
      <c r="E4419" s="30">
        <v>25</v>
      </c>
      <c r="F4419" s="30">
        <f t="shared" si="149"/>
        <v>50</v>
      </c>
      <c r="G4419" s="30" t="s">
        <v>9</v>
      </c>
      <c r="J4419" s="30" t="s">
        <v>391</v>
      </c>
    </row>
    <row r="4420" spans="1:10" x14ac:dyDescent="0.25">
      <c r="A4420" s="78">
        <v>46242</v>
      </c>
      <c r="B4420" s="68">
        <v>11</v>
      </c>
      <c r="C4420" s="189" t="s">
        <v>1092</v>
      </c>
      <c r="D4420" s="30">
        <v>1</v>
      </c>
      <c r="E4420" s="30">
        <v>20</v>
      </c>
      <c r="F4420" s="30">
        <f t="shared" si="149"/>
        <v>20</v>
      </c>
      <c r="G4420" s="30" t="s">
        <v>9</v>
      </c>
      <c r="J4420" s="30" t="s">
        <v>391</v>
      </c>
    </row>
    <row r="4421" spans="1:10" x14ac:dyDescent="0.25">
      <c r="A4421" s="78">
        <v>46242</v>
      </c>
      <c r="B4421" s="68">
        <v>12</v>
      </c>
      <c r="C4421" s="189" t="s">
        <v>723</v>
      </c>
      <c r="D4421" s="30">
        <v>3.4000000000000002E-2</v>
      </c>
      <c r="E4421" s="30">
        <v>300</v>
      </c>
      <c r="F4421" s="30">
        <f t="shared" si="149"/>
        <v>10.200000000000001</v>
      </c>
      <c r="G4421" s="30" t="s">
        <v>9</v>
      </c>
      <c r="J4421" s="30" t="s">
        <v>391</v>
      </c>
    </row>
    <row r="4422" spans="1:10" x14ac:dyDescent="0.25">
      <c r="A4422" s="78">
        <v>46242</v>
      </c>
      <c r="B4422" s="68">
        <v>13</v>
      </c>
      <c r="C4422" s="189" t="s">
        <v>1141</v>
      </c>
      <c r="D4422" s="30">
        <v>1</v>
      </c>
      <c r="E4422" s="30">
        <v>10</v>
      </c>
      <c r="F4422" s="30">
        <f t="shared" si="149"/>
        <v>10</v>
      </c>
      <c r="G4422" s="30" t="s">
        <v>9</v>
      </c>
      <c r="J4422" s="30" t="s">
        <v>391</v>
      </c>
    </row>
    <row r="4423" spans="1:10" x14ac:dyDescent="0.25">
      <c r="A4423" s="78">
        <v>46242</v>
      </c>
      <c r="B4423" s="68">
        <v>13</v>
      </c>
      <c r="C4423" s="189" t="s">
        <v>886</v>
      </c>
      <c r="D4423" s="30">
        <v>1</v>
      </c>
      <c r="E4423" s="30">
        <v>10</v>
      </c>
      <c r="F4423" s="30">
        <f t="shared" si="149"/>
        <v>10</v>
      </c>
      <c r="G4423" s="30" t="s">
        <v>9</v>
      </c>
      <c r="J4423" s="30" t="s">
        <v>391</v>
      </c>
    </row>
    <row r="4424" spans="1:10" x14ac:dyDescent="0.25">
      <c r="A4424" s="78">
        <v>46242</v>
      </c>
      <c r="B4424" s="68">
        <v>14</v>
      </c>
      <c r="C4424" s="189" t="s">
        <v>970</v>
      </c>
      <c r="D4424" s="30">
        <v>1</v>
      </c>
      <c r="E4424" s="30">
        <v>10</v>
      </c>
      <c r="F4424" s="30">
        <f t="shared" si="149"/>
        <v>10</v>
      </c>
      <c r="G4424" s="30" t="s">
        <v>9</v>
      </c>
      <c r="J4424" s="30" t="s">
        <v>391</v>
      </c>
    </row>
    <row r="4425" spans="1:10" x14ac:dyDescent="0.25">
      <c r="A4425" s="78">
        <v>46242</v>
      </c>
      <c r="B4425" s="68">
        <v>15</v>
      </c>
      <c r="C4425" s="189" t="s">
        <v>1071</v>
      </c>
      <c r="D4425" s="30">
        <v>0.65</v>
      </c>
      <c r="E4425" s="30">
        <v>45</v>
      </c>
      <c r="F4425" s="30">
        <f t="shared" si="149"/>
        <v>29.25</v>
      </c>
      <c r="G4425" s="30" t="s">
        <v>9</v>
      </c>
      <c r="J4425" s="30" t="s">
        <v>391</v>
      </c>
    </row>
    <row r="4426" spans="1:10" ht="30" x14ac:dyDescent="0.25">
      <c r="A4426" s="78">
        <v>46242</v>
      </c>
      <c r="B4426" s="68">
        <v>16</v>
      </c>
      <c r="C4426" s="189" t="s">
        <v>1170</v>
      </c>
      <c r="D4426" s="30">
        <v>1</v>
      </c>
      <c r="E4426" s="30">
        <v>158</v>
      </c>
      <c r="F4426" s="30">
        <f t="shared" si="149"/>
        <v>158</v>
      </c>
      <c r="G4426" s="30" t="s">
        <v>9</v>
      </c>
      <c r="J4426" s="30" t="s">
        <v>391</v>
      </c>
    </row>
    <row r="4427" spans="1:10" x14ac:dyDescent="0.25">
      <c r="A4427" s="78">
        <v>46242</v>
      </c>
      <c r="B4427" s="68">
        <v>17</v>
      </c>
      <c r="C4427" s="189" t="s">
        <v>533</v>
      </c>
      <c r="D4427" s="30">
        <v>2</v>
      </c>
      <c r="E4427" s="30">
        <v>10</v>
      </c>
      <c r="F4427" s="30">
        <f t="shared" si="149"/>
        <v>20</v>
      </c>
      <c r="G4427" s="30" t="s">
        <v>9</v>
      </c>
      <c r="J4427" s="30" t="s">
        <v>391</v>
      </c>
    </row>
    <row r="4428" spans="1:10" x14ac:dyDescent="0.25">
      <c r="A4428" s="78">
        <v>46242</v>
      </c>
      <c r="B4428" s="68">
        <v>18</v>
      </c>
      <c r="C4428" s="189" t="s">
        <v>709</v>
      </c>
      <c r="D4428" s="30">
        <v>1</v>
      </c>
      <c r="E4428" s="30">
        <v>10</v>
      </c>
      <c r="F4428" s="30">
        <f t="shared" si="149"/>
        <v>10</v>
      </c>
      <c r="G4428" s="30" t="s">
        <v>9</v>
      </c>
      <c r="J4428" s="30" t="s">
        <v>391</v>
      </c>
    </row>
    <row r="4429" spans="1:10" x14ac:dyDescent="0.25">
      <c r="A4429" s="78">
        <v>46242</v>
      </c>
      <c r="B4429" s="68">
        <v>18</v>
      </c>
      <c r="C4429" s="189" t="s">
        <v>950</v>
      </c>
      <c r="D4429" s="30">
        <v>10</v>
      </c>
      <c r="E4429" s="30">
        <v>1</v>
      </c>
      <c r="F4429" s="30">
        <f t="shared" si="149"/>
        <v>10</v>
      </c>
      <c r="G4429" s="30" t="s">
        <v>9</v>
      </c>
      <c r="J4429" s="30" t="s">
        <v>391</v>
      </c>
    </row>
    <row r="4430" spans="1:10" x14ac:dyDescent="0.25">
      <c r="A4430" s="78">
        <v>46242</v>
      </c>
      <c r="B4430" s="68">
        <v>18</v>
      </c>
      <c r="C4430" s="189" t="s">
        <v>1126</v>
      </c>
      <c r="D4430" s="30">
        <v>1</v>
      </c>
      <c r="E4430" s="30">
        <v>10</v>
      </c>
      <c r="F4430" s="30">
        <f t="shared" si="149"/>
        <v>10</v>
      </c>
      <c r="G4430" s="30" t="s">
        <v>9</v>
      </c>
      <c r="J4430" s="30" t="s">
        <v>391</v>
      </c>
    </row>
    <row r="4431" spans="1:10" x14ac:dyDescent="0.25">
      <c r="A4431" s="78">
        <v>46242</v>
      </c>
      <c r="B4431" s="68">
        <v>19</v>
      </c>
      <c r="C4431" s="189" t="s">
        <v>549</v>
      </c>
      <c r="D4431" s="30">
        <v>2</v>
      </c>
      <c r="E4431" s="30">
        <v>25</v>
      </c>
      <c r="F4431" s="30">
        <f t="shared" si="149"/>
        <v>50</v>
      </c>
      <c r="G4431" s="30" t="s">
        <v>10</v>
      </c>
      <c r="J4431" s="30" t="s">
        <v>391</v>
      </c>
    </row>
    <row r="4432" spans="1:10" x14ac:dyDescent="0.25">
      <c r="A4432" s="78">
        <v>46242</v>
      </c>
      <c r="B4432" s="68">
        <v>20</v>
      </c>
      <c r="C4432" s="19" t="s">
        <v>1263</v>
      </c>
      <c r="D4432" s="30">
        <v>4</v>
      </c>
      <c r="E4432" s="30">
        <v>2.5</v>
      </c>
      <c r="F4432" s="30">
        <f t="shared" si="149"/>
        <v>10</v>
      </c>
      <c r="G4432" s="30" t="s">
        <v>9</v>
      </c>
      <c r="J4432" s="30" t="s">
        <v>391</v>
      </c>
    </row>
    <row r="4433" spans="1:10" x14ac:dyDescent="0.25">
      <c r="A4433" s="78">
        <v>46242</v>
      </c>
      <c r="B4433" s="68">
        <v>21</v>
      </c>
      <c r="C4433" s="189" t="s">
        <v>1182</v>
      </c>
      <c r="D4433" s="30">
        <v>1</v>
      </c>
      <c r="E4433" s="30">
        <v>15</v>
      </c>
      <c r="F4433" s="30">
        <f t="shared" ref="F4433:F4434" si="150">E4433*D4433</f>
        <v>15</v>
      </c>
      <c r="G4433" s="30" t="s">
        <v>16</v>
      </c>
      <c r="I4433" s="68" t="s">
        <v>1224</v>
      </c>
      <c r="J4433" s="30" t="s">
        <v>391</v>
      </c>
    </row>
    <row r="4434" spans="1:10" x14ac:dyDescent="0.25">
      <c r="A4434" s="78">
        <v>46243</v>
      </c>
      <c r="B4434" s="68">
        <v>21</v>
      </c>
      <c r="C4434" s="189" t="s">
        <v>1090</v>
      </c>
      <c r="D4434" s="30">
        <v>2</v>
      </c>
      <c r="E4434" s="30">
        <v>10</v>
      </c>
      <c r="F4434" s="30">
        <f t="shared" si="150"/>
        <v>20</v>
      </c>
      <c r="G4434" s="30" t="s">
        <v>16</v>
      </c>
      <c r="I4434" s="68" t="s">
        <v>1224</v>
      </c>
      <c r="J4434" s="30" t="s">
        <v>391</v>
      </c>
    </row>
    <row r="4435" spans="1:10" s="199" customFormat="1" ht="31.5" x14ac:dyDescent="0.25">
      <c r="A4435" s="196">
        <v>46242</v>
      </c>
      <c r="B4435" s="197" t="s">
        <v>1245</v>
      </c>
      <c r="C4435" s="198">
        <f>MAX(B4407:B4426)</f>
        <v>16</v>
      </c>
      <c r="D4435" s="197" t="s">
        <v>1246</v>
      </c>
      <c r="E4435" s="199">
        <f>SUMIF(G4407:G4434,"UPI",F4407:F4434)</f>
        <v>70</v>
      </c>
      <c r="H4435" s="200" t="s">
        <v>1247</v>
      </c>
      <c r="I4435" s="200">
        <f>SUMIF(G4407:G4434, "&lt;&gt;UPI",F4407:F4434)</f>
        <v>787.84999999999991</v>
      </c>
    </row>
    <row r="4436" spans="1:10" x14ac:dyDescent="0.25">
      <c r="A4436" s="78">
        <v>46242</v>
      </c>
      <c r="B4436" s="68">
        <v>22</v>
      </c>
      <c r="C4436" s="189" t="s">
        <v>582</v>
      </c>
      <c r="D4436" s="30">
        <v>1</v>
      </c>
      <c r="E4436" s="30">
        <v>10</v>
      </c>
      <c r="F4436" s="30">
        <f t="shared" ref="F4436:F4494" si="151">E4436*D4436</f>
        <v>10</v>
      </c>
      <c r="G4436" s="30" t="s">
        <v>9</v>
      </c>
      <c r="J4436" s="30" t="s">
        <v>392</v>
      </c>
    </row>
    <row r="4437" spans="1:10" x14ac:dyDescent="0.25">
      <c r="A4437" s="78">
        <v>46242</v>
      </c>
      <c r="B4437" s="68">
        <v>22</v>
      </c>
      <c r="C4437" s="19" t="s">
        <v>1255</v>
      </c>
      <c r="D4437" s="30">
        <v>2</v>
      </c>
      <c r="E4437" s="30">
        <v>10</v>
      </c>
      <c r="F4437" s="30">
        <f t="shared" si="151"/>
        <v>20</v>
      </c>
      <c r="G4437" s="30" t="s">
        <v>9</v>
      </c>
      <c r="J4437" s="30" t="s">
        <v>392</v>
      </c>
    </row>
    <row r="4438" spans="1:10" x14ac:dyDescent="0.25">
      <c r="A4438" s="78">
        <v>46242</v>
      </c>
      <c r="B4438" s="68">
        <v>22</v>
      </c>
      <c r="C4438" s="189" t="s">
        <v>702</v>
      </c>
      <c r="D4438" s="30">
        <v>2</v>
      </c>
      <c r="E4438" s="30">
        <v>10</v>
      </c>
      <c r="F4438" s="30">
        <f t="shared" si="151"/>
        <v>20</v>
      </c>
      <c r="G4438" s="30" t="s">
        <v>9</v>
      </c>
      <c r="J4438" s="30" t="s">
        <v>392</v>
      </c>
    </row>
    <row r="4439" spans="1:10" x14ac:dyDescent="0.25">
      <c r="A4439" s="78">
        <v>46242</v>
      </c>
      <c r="B4439" s="68">
        <v>23</v>
      </c>
      <c r="C4439" s="189" t="s">
        <v>891</v>
      </c>
      <c r="D4439" s="30">
        <v>8</v>
      </c>
      <c r="E4439" s="30">
        <v>1</v>
      </c>
      <c r="F4439" s="30">
        <f t="shared" si="151"/>
        <v>8</v>
      </c>
      <c r="G4439" s="30" t="s">
        <v>9</v>
      </c>
      <c r="J4439" s="30" t="s">
        <v>392</v>
      </c>
    </row>
    <row r="4440" spans="1:10" x14ac:dyDescent="0.25">
      <c r="A4440" s="78">
        <v>46242</v>
      </c>
      <c r="B4440" s="68">
        <v>24</v>
      </c>
      <c r="C4440" s="189" t="s">
        <v>375</v>
      </c>
      <c r="D4440" s="30">
        <v>2</v>
      </c>
      <c r="E4440" s="30">
        <v>1</v>
      </c>
      <c r="F4440" s="30">
        <f t="shared" si="151"/>
        <v>2</v>
      </c>
      <c r="G4440" s="30" t="s">
        <v>9</v>
      </c>
      <c r="J4440" s="30" t="s">
        <v>392</v>
      </c>
    </row>
    <row r="4441" spans="1:10" x14ac:dyDescent="0.25">
      <c r="A4441" s="78">
        <v>46242</v>
      </c>
      <c r="B4441" s="68">
        <v>25</v>
      </c>
      <c r="C4441" s="189" t="s">
        <v>877</v>
      </c>
      <c r="D4441" s="30">
        <v>1</v>
      </c>
      <c r="E4441" s="30">
        <v>10</v>
      </c>
      <c r="F4441" s="30">
        <f t="shared" si="151"/>
        <v>10</v>
      </c>
      <c r="G4441" s="30" t="s">
        <v>9</v>
      </c>
      <c r="J4441" s="30" t="s">
        <v>392</v>
      </c>
    </row>
    <row r="4442" spans="1:10" x14ac:dyDescent="0.25">
      <c r="A4442" s="78">
        <v>46242</v>
      </c>
      <c r="B4442" s="68">
        <v>25</v>
      </c>
      <c r="C4442" s="33" t="s">
        <v>1264</v>
      </c>
      <c r="D4442" s="30">
        <v>1</v>
      </c>
      <c r="E4442" s="30">
        <v>10</v>
      </c>
      <c r="F4442" s="30">
        <f t="shared" si="151"/>
        <v>10</v>
      </c>
      <c r="G4442" s="30" t="s">
        <v>9</v>
      </c>
      <c r="J4442" s="30" t="s">
        <v>392</v>
      </c>
    </row>
    <row r="4443" spans="1:10" x14ac:dyDescent="0.25">
      <c r="A4443" s="78">
        <v>46242</v>
      </c>
      <c r="B4443" s="68">
        <v>26</v>
      </c>
      <c r="C4443" s="189" t="s">
        <v>877</v>
      </c>
      <c r="D4443" s="30">
        <v>2</v>
      </c>
      <c r="E4443" s="30">
        <v>10</v>
      </c>
      <c r="F4443" s="30">
        <f t="shared" si="151"/>
        <v>20</v>
      </c>
      <c r="G4443" s="30" t="s">
        <v>9</v>
      </c>
      <c r="J4443" s="30" t="s">
        <v>392</v>
      </c>
    </row>
    <row r="4444" spans="1:10" x14ac:dyDescent="0.25">
      <c r="A4444" s="78">
        <v>46242</v>
      </c>
      <c r="B4444" s="68">
        <v>27</v>
      </c>
      <c r="C4444" s="189" t="s">
        <v>954</v>
      </c>
      <c r="D4444" s="30">
        <v>1</v>
      </c>
      <c r="E4444" s="30">
        <v>35</v>
      </c>
      <c r="F4444" s="30">
        <f t="shared" si="151"/>
        <v>35</v>
      </c>
      <c r="G4444" s="30" t="s">
        <v>10</v>
      </c>
      <c r="J4444" s="30" t="s">
        <v>392</v>
      </c>
    </row>
    <row r="4445" spans="1:10" x14ac:dyDescent="0.25">
      <c r="A4445" s="78">
        <v>46242</v>
      </c>
      <c r="B4445" s="68">
        <v>27</v>
      </c>
      <c r="C4445" s="19" t="s">
        <v>1260</v>
      </c>
      <c r="D4445" s="30">
        <v>2</v>
      </c>
      <c r="E4445" s="30">
        <v>5</v>
      </c>
      <c r="F4445" s="30">
        <f t="shared" si="151"/>
        <v>10</v>
      </c>
      <c r="G4445" s="30" t="s">
        <v>10</v>
      </c>
      <c r="J4445" s="30" t="s">
        <v>392</v>
      </c>
    </row>
    <row r="4446" spans="1:10" x14ac:dyDescent="0.25">
      <c r="A4446" s="78">
        <v>46242</v>
      </c>
      <c r="B4446" s="68">
        <v>27</v>
      </c>
      <c r="C4446" s="189" t="s">
        <v>848</v>
      </c>
      <c r="D4446" s="30">
        <v>1</v>
      </c>
      <c r="E4446" s="30">
        <v>5</v>
      </c>
      <c r="F4446" s="30">
        <f t="shared" si="151"/>
        <v>5</v>
      </c>
      <c r="G4446" s="30" t="s">
        <v>10</v>
      </c>
      <c r="J4446" s="30" t="s">
        <v>392</v>
      </c>
    </row>
    <row r="4447" spans="1:10" x14ac:dyDescent="0.25">
      <c r="A4447" s="78">
        <v>46242</v>
      </c>
      <c r="B4447" s="68">
        <v>27</v>
      </c>
      <c r="C4447" s="19" t="s">
        <v>1269</v>
      </c>
      <c r="D4447" s="30">
        <v>1</v>
      </c>
      <c r="E4447" s="30">
        <v>30</v>
      </c>
      <c r="F4447" s="30">
        <f t="shared" si="151"/>
        <v>30</v>
      </c>
      <c r="G4447" s="30" t="s">
        <v>10</v>
      </c>
      <c r="J4447" s="30" t="s">
        <v>392</v>
      </c>
    </row>
    <row r="4448" spans="1:10" x14ac:dyDescent="0.25">
      <c r="A4448" s="78">
        <v>46242</v>
      </c>
      <c r="B4448" s="68">
        <v>28</v>
      </c>
      <c r="C4448" s="189" t="s">
        <v>1090</v>
      </c>
      <c r="D4448" s="30">
        <v>3</v>
      </c>
      <c r="E4448" s="30">
        <v>10</v>
      </c>
      <c r="F4448" s="30">
        <f t="shared" si="151"/>
        <v>30</v>
      </c>
      <c r="G4448" s="30" t="s">
        <v>10</v>
      </c>
      <c r="J4448" s="30" t="s">
        <v>392</v>
      </c>
    </row>
    <row r="4449" spans="1:10" x14ac:dyDescent="0.25">
      <c r="A4449" s="78">
        <v>46242</v>
      </c>
      <c r="B4449" s="68">
        <v>28</v>
      </c>
      <c r="C4449" s="19" t="s">
        <v>1230</v>
      </c>
      <c r="D4449" s="30">
        <v>2</v>
      </c>
      <c r="E4449" s="30">
        <v>10</v>
      </c>
      <c r="F4449" s="30">
        <f t="shared" si="151"/>
        <v>20</v>
      </c>
      <c r="G4449" s="30" t="s">
        <v>10</v>
      </c>
      <c r="J4449" s="30" t="s">
        <v>392</v>
      </c>
    </row>
    <row r="4450" spans="1:10" x14ac:dyDescent="0.25">
      <c r="A4450" s="78">
        <v>46242</v>
      </c>
      <c r="B4450" s="68">
        <v>28</v>
      </c>
      <c r="C4450" s="189" t="s">
        <v>1053</v>
      </c>
      <c r="D4450" s="30">
        <v>1</v>
      </c>
      <c r="E4450" s="30">
        <v>10</v>
      </c>
      <c r="F4450" s="30">
        <f t="shared" si="151"/>
        <v>10</v>
      </c>
      <c r="G4450" s="30" t="s">
        <v>10</v>
      </c>
      <c r="J4450" s="30" t="s">
        <v>392</v>
      </c>
    </row>
    <row r="4451" spans="1:10" x14ac:dyDescent="0.25">
      <c r="A4451" s="78">
        <v>46242</v>
      </c>
      <c r="B4451" s="68">
        <v>28</v>
      </c>
      <c r="C4451" s="33" t="s">
        <v>1264</v>
      </c>
      <c r="D4451" s="30">
        <v>1</v>
      </c>
      <c r="E4451" s="30">
        <v>10</v>
      </c>
      <c r="F4451" s="30">
        <f t="shared" si="151"/>
        <v>10</v>
      </c>
      <c r="G4451" s="30" t="s">
        <v>10</v>
      </c>
      <c r="J4451" s="30" t="s">
        <v>392</v>
      </c>
    </row>
    <row r="4452" spans="1:10" x14ac:dyDescent="0.25">
      <c r="A4452" s="78">
        <v>46242</v>
      </c>
      <c r="B4452" s="68">
        <v>28</v>
      </c>
      <c r="C4452" s="33" t="s">
        <v>1265</v>
      </c>
      <c r="D4452" s="30">
        <v>2</v>
      </c>
      <c r="E4452" s="30">
        <v>5</v>
      </c>
      <c r="F4452" s="30">
        <f t="shared" si="151"/>
        <v>10</v>
      </c>
      <c r="G4452" s="30" t="s">
        <v>9</v>
      </c>
      <c r="J4452" s="30" t="s">
        <v>392</v>
      </c>
    </row>
    <row r="4453" spans="1:10" x14ac:dyDescent="0.25">
      <c r="A4453" s="78">
        <v>46242</v>
      </c>
      <c r="B4453" s="68">
        <v>28</v>
      </c>
      <c r="C4453" s="189" t="s">
        <v>110</v>
      </c>
      <c r="D4453" s="30">
        <v>2</v>
      </c>
      <c r="E4453" s="30">
        <v>5</v>
      </c>
      <c r="F4453" s="30">
        <f t="shared" si="151"/>
        <v>10</v>
      </c>
      <c r="G4453" s="30" t="s">
        <v>9</v>
      </c>
      <c r="J4453" s="30" t="s">
        <v>392</v>
      </c>
    </row>
    <row r="4454" spans="1:10" x14ac:dyDescent="0.25">
      <c r="A4454" s="78">
        <v>46242</v>
      </c>
      <c r="B4454" s="68">
        <v>28</v>
      </c>
      <c r="C4454" s="189" t="s">
        <v>1163</v>
      </c>
      <c r="D4454" s="30">
        <v>3</v>
      </c>
      <c r="E4454" s="30">
        <v>10</v>
      </c>
      <c r="F4454" s="30">
        <f t="shared" si="151"/>
        <v>30</v>
      </c>
      <c r="G4454" s="30" t="s">
        <v>10</v>
      </c>
      <c r="J4454" s="30" t="s">
        <v>392</v>
      </c>
    </row>
    <row r="4455" spans="1:10" x14ac:dyDescent="0.25">
      <c r="A4455" s="78">
        <v>46242</v>
      </c>
      <c r="B4455" s="68">
        <v>29</v>
      </c>
      <c r="C4455" s="189" t="s">
        <v>1053</v>
      </c>
      <c r="D4455" s="30">
        <v>3</v>
      </c>
      <c r="E4455" s="30">
        <v>10</v>
      </c>
      <c r="F4455" s="30">
        <f t="shared" si="151"/>
        <v>30</v>
      </c>
      <c r="G4455" s="30" t="s">
        <v>9</v>
      </c>
      <c r="J4455" s="30" t="s">
        <v>392</v>
      </c>
    </row>
    <row r="4456" spans="1:10" x14ac:dyDescent="0.25">
      <c r="A4456" s="78">
        <v>46242</v>
      </c>
      <c r="B4456" s="68">
        <v>30</v>
      </c>
      <c r="C4456" s="33" t="s">
        <v>476</v>
      </c>
      <c r="D4456" s="30">
        <v>3</v>
      </c>
      <c r="E4456" s="30">
        <v>20</v>
      </c>
      <c r="F4456" s="30">
        <f t="shared" si="151"/>
        <v>60</v>
      </c>
      <c r="G4456" s="30" t="s">
        <v>10</v>
      </c>
      <c r="J4456" s="30" t="s">
        <v>392</v>
      </c>
    </row>
    <row r="4457" spans="1:10" x14ac:dyDescent="0.25">
      <c r="A4457" s="78">
        <v>46242</v>
      </c>
      <c r="B4457" s="68">
        <v>31</v>
      </c>
      <c r="C4457" s="189" t="s">
        <v>553</v>
      </c>
      <c r="D4457" s="30">
        <v>2</v>
      </c>
      <c r="E4457" s="30">
        <v>5</v>
      </c>
      <c r="F4457" s="30">
        <f t="shared" si="151"/>
        <v>10</v>
      </c>
      <c r="G4457" s="30" t="s">
        <v>9</v>
      </c>
      <c r="J4457" s="30" t="s">
        <v>392</v>
      </c>
    </row>
    <row r="4458" spans="1:10" x14ac:dyDescent="0.25">
      <c r="A4458" s="78">
        <v>46242</v>
      </c>
      <c r="B4458" s="68">
        <v>31</v>
      </c>
      <c r="C4458" s="33" t="s">
        <v>1220</v>
      </c>
      <c r="D4458" s="30">
        <v>1</v>
      </c>
      <c r="E4458" s="30">
        <v>10</v>
      </c>
      <c r="F4458" s="30">
        <f t="shared" si="151"/>
        <v>10</v>
      </c>
      <c r="G4458" s="30" t="s">
        <v>9</v>
      </c>
      <c r="J4458" s="30" t="s">
        <v>392</v>
      </c>
    </row>
    <row r="4459" spans="1:10" x14ac:dyDescent="0.25">
      <c r="A4459" s="78">
        <v>46242</v>
      </c>
      <c r="B4459" s="68">
        <v>31</v>
      </c>
      <c r="C4459" s="19" t="s">
        <v>1263</v>
      </c>
      <c r="D4459" s="30">
        <v>4</v>
      </c>
      <c r="E4459" s="30">
        <v>2.5</v>
      </c>
      <c r="F4459" s="30">
        <f t="shared" si="151"/>
        <v>10</v>
      </c>
      <c r="G4459" s="30" t="s">
        <v>9</v>
      </c>
      <c r="J4459" s="30" t="s">
        <v>392</v>
      </c>
    </row>
    <row r="4460" spans="1:10" x14ac:dyDescent="0.25">
      <c r="A4460" s="78">
        <v>46242</v>
      </c>
      <c r="B4460" s="68">
        <v>31</v>
      </c>
      <c r="C4460" s="189" t="s">
        <v>1109</v>
      </c>
      <c r="D4460" s="30">
        <v>1</v>
      </c>
      <c r="E4460" s="30">
        <v>20</v>
      </c>
      <c r="F4460" s="30">
        <f t="shared" si="151"/>
        <v>20</v>
      </c>
      <c r="G4460" s="30" t="s">
        <v>9</v>
      </c>
      <c r="J4460" s="30" t="s">
        <v>392</v>
      </c>
    </row>
    <row r="4461" spans="1:10" x14ac:dyDescent="0.25">
      <c r="A4461" s="78">
        <v>46242</v>
      </c>
      <c r="B4461" s="68">
        <v>31</v>
      </c>
      <c r="C4461" s="189" t="s">
        <v>578</v>
      </c>
      <c r="D4461" s="30">
        <v>2</v>
      </c>
      <c r="E4461" s="30">
        <v>5</v>
      </c>
      <c r="F4461" s="30">
        <f t="shared" si="151"/>
        <v>10</v>
      </c>
      <c r="G4461" s="30" t="s">
        <v>9</v>
      </c>
      <c r="J4461" s="30" t="s">
        <v>392</v>
      </c>
    </row>
    <row r="4462" spans="1:10" x14ac:dyDescent="0.25">
      <c r="A4462" s="78">
        <v>46242</v>
      </c>
      <c r="B4462" s="68">
        <v>32</v>
      </c>
      <c r="C4462" s="189" t="s">
        <v>1133</v>
      </c>
      <c r="D4462" s="30">
        <v>1</v>
      </c>
      <c r="E4462" s="30">
        <v>20</v>
      </c>
      <c r="F4462" s="30">
        <f t="shared" si="151"/>
        <v>20</v>
      </c>
      <c r="G4462" s="30" t="s">
        <v>9</v>
      </c>
      <c r="J4462" s="30" t="s">
        <v>392</v>
      </c>
    </row>
    <row r="4463" spans="1:10" x14ac:dyDescent="0.25">
      <c r="A4463" s="78">
        <v>46242</v>
      </c>
      <c r="B4463" s="68">
        <v>32</v>
      </c>
      <c r="C4463" s="189" t="s">
        <v>960</v>
      </c>
      <c r="D4463" s="30">
        <v>2</v>
      </c>
      <c r="E4463" s="30">
        <v>5</v>
      </c>
      <c r="F4463" s="30">
        <f t="shared" si="151"/>
        <v>10</v>
      </c>
      <c r="G4463" s="30" t="s">
        <v>9</v>
      </c>
      <c r="J4463" s="30" t="s">
        <v>392</v>
      </c>
    </row>
    <row r="4464" spans="1:10" ht="30" x14ac:dyDescent="0.25">
      <c r="A4464" s="78">
        <v>46242</v>
      </c>
      <c r="B4464" s="68">
        <v>33</v>
      </c>
      <c r="C4464" s="189" t="s">
        <v>1003</v>
      </c>
      <c r="D4464" s="30">
        <v>1</v>
      </c>
      <c r="E4464" s="30">
        <v>30</v>
      </c>
      <c r="F4464" s="30">
        <f t="shared" si="151"/>
        <v>30</v>
      </c>
      <c r="G4464" s="30" t="s">
        <v>9</v>
      </c>
      <c r="J4464" s="30" t="s">
        <v>392</v>
      </c>
    </row>
    <row r="4465" spans="1:10" x14ac:dyDescent="0.25">
      <c r="A4465" s="78">
        <v>46242</v>
      </c>
      <c r="B4465" s="68">
        <v>33</v>
      </c>
      <c r="C4465" s="189" t="s">
        <v>1135</v>
      </c>
      <c r="D4465" s="30">
        <v>2</v>
      </c>
      <c r="E4465" s="30">
        <v>10</v>
      </c>
      <c r="F4465" s="30">
        <f t="shared" si="151"/>
        <v>20</v>
      </c>
      <c r="G4465" s="30" t="s">
        <v>9</v>
      </c>
      <c r="J4465" s="30" t="s">
        <v>392</v>
      </c>
    </row>
    <row r="4466" spans="1:10" ht="30" x14ac:dyDescent="0.25">
      <c r="A4466" s="78">
        <v>46242</v>
      </c>
      <c r="B4466" s="68">
        <v>33</v>
      </c>
      <c r="C4466" s="189" t="s">
        <v>1065</v>
      </c>
      <c r="D4466" s="30">
        <v>1</v>
      </c>
      <c r="E4466" s="30">
        <v>35</v>
      </c>
      <c r="F4466" s="30">
        <f t="shared" si="151"/>
        <v>35</v>
      </c>
      <c r="G4466" s="30" t="s">
        <v>9</v>
      </c>
      <c r="J4466" s="30" t="s">
        <v>392</v>
      </c>
    </row>
    <row r="4467" spans="1:10" x14ac:dyDescent="0.25">
      <c r="A4467" s="78">
        <v>46242</v>
      </c>
      <c r="B4467" s="68">
        <v>33</v>
      </c>
      <c r="C4467" s="189" t="s">
        <v>815</v>
      </c>
      <c r="D4467" s="30">
        <v>0.34399999999999997</v>
      </c>
      <c r="E4467" s="30">
        <v>60</v>
      </c>
      <c r="F4467" s="30">
        <f t="shared" si="151"/>
        <v>20.639999999999997</v>
      </c>
      <c r="G4467" s="30" t="s">
        <v>9</v>
      </c>
      <c r="J4467" s="30" t="s">
        <v>392</v>
      </c>
    </row>
    <row r="4468" spans="1:10" x14ac:dyDescent="0.25">
      <c r="A4468" s="78">
        <v>46242</v>
      </c>
      <c r="B4468" s="68">
        <v>34</v>
      </c>
      <c r="C4468" s="189" t="s">
        <v>375</v>
      </c>
      <c r="D4468" s="30">
        <v>1</v>
      </c>
      <c r="E4468" s="30">
        <v>5</v>
      </c>
      <c r="F4468" s="30">
        <f t="shared" si="151"/>
        <v>5</v>
      </c>
      <c r="G4468" s="30" t="s">
        <v>9</v>
      </c>
      <c r="J4468" s="30" t="s">
        <v>392</v>
      </c>
    </row>
    <row r="4469" spans="1:10" x14ac:dyDescent="0.25">
      <c r="A4469" s="78">
        <v>46242</v>
      </c>
      <c r="B4469" s="68">
        <v>34</v>
      </c>
      <c r="C4469" s="33" t="s">
        <v>1266</v>
      </c>
      <c r="D4469" s="30">
        <v>1</v>
      </c>
      <c r="E4469" s="30">
        <v>5</v>
      </c>
      <c r="F4469" s="30">
        <f t="shared" si="151"/>
        <v>5</v>
      </c>
      <c r="G4469" s="30" t="s">
        <v>9</v>
      </c>
      <c r="J4469" s="30" t="s">
        <v>392</v>
      </c>
    </row>
    <row r="4470" spans="1:10" x14ac:dyDescent="0.25">
      <c r="A4470" s="78">
        <v>46242</v>
      </c>
      <c r="B4470" s="68">
        <v>35</v>
      </c>
      <c r="C4470" s="189" t="s">
        <v>915</v>
      </c>
      <c r="D4470" s="30">
        <v>1</v>
      </c>
      <c r="E4470" s="30">
        <v>10</v>
      </c>
      <c r="F4470" s="30">
        <f t="shared" si="151"/>
        <v>10</v>
      </c>
      <c r="G4470" s="30" t="s">
        <v>9</v>
      </c>
      <c r="J4470" s="30" t="s">
        <v>392</v>
      </c>
    </row>
    <row r="4471" spans="1:10" x14ac:dyDescent="0.25">
      <c r="A4471" s="78">
        <v>46242</v>
      </c>
      <c r="B4471" s="68">
        <v>35</v>
      </c>
      <c r="C4471" s="33" t="s">
        <v>1163</v>
      </c>
      <c r="D4471" s="30">
        <v>2</v>
      </c>
      <c r="E4471" s="30">
        <v>10</v>
      </c>
      <c r="F4471" s="30">
        <f t="shared" si="151"/>
        <v>20</v>
      </c>
      <c r="G4471" s="30" t="s">
        <v>9</v>
      </c>
      <c r="J4471" s="30" t="s">
        <v>392</v>
      </c>
    </row>
    <row r="4472" spans="1:10" x14ac:dyDescent="0.25">
      <c r="A4472" s="78">
        <v>46242</v>
      </c>
      <c r="B4472" s="68">
        <v>35</v>
      </c>
      <c r="C4472" s="189" t="s">
        <v>1141</v>
      </c>
      <c r="D4472" s="30">
        <v>2</v>
      </c>
      <c r="E4472" s="30">
        <v>10</v>
      </c>
      <c r="F4472" s="30">
        <f t="shared" si="151"/>
        <v>20</v>
      </c>
      <c r="G4472" s="30" t="s">
        <v>9</v>
      </c>
      <c r="J4472" s="30" t="s">
        <v>392</v>
      </c>
    </row>
    <row r="4473" spans="1:10" x14ac:dyDescent="0.25">
      <c r="A4473" s="78">
        <v>46242</v>
      </c>
      <c r="B4473" s="68">
        <v>36</v>
      </c>
      <c r="C4473" s="189" t="s">
        <v>1057</v>
      </c>
      <c r="D4473" s="30">
        <v>2</v>
      </c>
      <c r="E4473" s="30">
        <v>5</v>
      </c>
      <c r="F4473" s="30">
        <f t="shared" si="151"/>
        <v>10</v>
      </c>
      <c r="G4473" s="30" t="s">
        <v>9</v>
      </c>
      <c r="J4473" s="30" t="s">
        <v>392</v>
      </c>
    </row>
    <row r="4474" spans="1:10" x14ac:dyDescent="0.25">
      <c r="A4474" s="78">
        <v>46242</v>
      </c>
      <c r="B4474" s="68">
        <v>36</v>
      </c>
      <c r="C4474" s="189" t="s">
        <v>561</v>
      </c>
      <c r="D4474" s="30">
        <v>1</v>
      </c>
      <c r="E4474" s="30">
        <v>10</v>
      </c>
      <c r="F4474" s="30">
        <f t="shared" si="151"/>
        <v>10</v>
      </c>
      <c r="G4474" s="30" t="s">
        <v>9</v>
      </c>
      <c r="J4474" s="30" t="s">
        <v>392</v>
      </c>
    </row>
    <row r="4475" spans="1:10" x14ac:dyDescent="0.25">
      <c r="A4475" s="78">
        <v>46242</v>
      </c>
      <c r="B4475" s="68">
        <v>37</v>
      </c>
      <c r="C4475" s="189" t="s">
        <v>1007</v>
      </c>
      <c r="D4475" s="30">
        <v>1</v>
      </c>
      <c r="E4475" s="30">
        <v>35</v>
      </c>
      <c r="F4475" s="30">
        <f t="shared" si="151"/>
        <v>35</v>
      </c>
      <c r="G4475" s="30" t="s">
        <v>10</v>
      </c>
      <c r="J4475" s="30" t="s">
        <v>392</v>
      </c>
    </row>
    <row r="4476" spans="1:10" x14ac:dyDescent="0.25">
      <c r="A4476" s="78">
        <v>46242</v>
      </c>
      <c r="B4476" s="68">
        <v>37</v>
      </c>
      <c r="C4476" s="189" t="s">
        <v>1090</v>
      </c>
      <c r="D4476" s="30">
        <v>1</v>
      </c>
      <c r="E4476" s="30">
        <v>10</v>
      </c>
      <c r="F4476" s="30">
        <f t="shared" si="151"/>
        <v>10</v>
      </c>
      <c r="G4476" s="30" t="s">
        <v>10</v>
      </c>
      <c r="J4476" s="30" t="s">
        <v>392</v>
      </c>
    </row>
    <row r="4477" spans="1:10" ht="30" x14ac:dyDescent="0.25">
      <c r="A4477" s="78">
        <v>46242</v>
      </c>
      <c r="B4477" s="68">
        <v>38</v>
      </c>
      <c r="C4477" s="189" t="s">
        <v>1188</v>
      </c>
      <c r="D4477" s="30">
        <v>1</v>
      </c>
      <c r="E4477" s="30">
        <v>15</v>
      </c>
      <c r="F4477" s="30">
        <f t="shared" si="151"/>
        <v>15</v>
      </c>
      <c r="G4477" s="30" t="s">
        <v>9</v>
      </c>
      <c r="J4477" s="30" t="s">
        <v>392</v>
      </c>
    </row>
    <row r="4478" spans="1:10" x14ac:dyDescent="0.25">
      <c r="A4478" s="78">
        <v>46242</v>
      </c>
      <c r="B4478" s="68">
        <v>38</v>
      </c>
      <c r="C4478" s="33" t="s">
        <v>1267</v>
      </c>
      <c r="D4478" s="30">
        <v>1</v>
      </c>
      <c r="E4478" s="30">
        <v>5</v>
      </c>
      <c r="F4478" s="30">
        <f t="shared" si="151"/>
        <v>5</v>
      </c>
      <c r="G4478" s="30" t="s">
        <v>9</v>
      </c>
      <c r="J4478" s="30" t="s">
        <v>392</v>
      </c>
    </row>
    <row r="4479" spans="1:10" x14ac:dyDescent="0.25">
      <c r="A4479" s="78">
        <v>46242</v>
      </c>
      <c r="B4479" s="68">
        <v>39</v>
      </c>
      <c r="C4479" s="189" t="s">
        <v>419</v>
      </c>
      <c r="D4479" s="30">
        <v>1</v>
      </c>
      <c r="E4479" s="30">
        <v>10</v>
      </c>
      <c r="F4479" s="30">
        <f t="shared" si="151"/>
        <v>10</v>
      </c>
      <c r="G4479" s="30" t="s">
        <v>10</v>
      </c>
      <c r="I4479" s="68" t="s">
        <v>1224</v>
      </c>
      <c r="J4479" s="30" t="s">
        <v>392</v>
      </c>
    </row>
    <row r="4480" spans="1:10" x14ac:dyDescent="0.25">
      <c r="A4480" s="78">
        <v>46242</v>
      </c>
      <c r="B4480" s="68">
        <v>39</v>
      </c>
      <c r="C4480" s="33" t="s">
        <v>1264</v>
      </c>
      <c r="D4480" s="30">
        <v>2</v>
      </c>
      <c r="E4480" s="30">
        <v>5</v>
      </c>
      <c r="F4480" s="30">
        <f t="shared" si="151"/>
        <v>10</v>
      </c>
      <c r="G4480" s="30" t="s">
        <v>10</v>
      </c>
      <c r="I4480" s="68" t="s">
        <v>1224</v>
      </c>
      <c r="J4480" s="30" t="s">
        <v>392</v>
      </c>
    </row>
    <row r="4481" spans="1:10" x14ac:dyDescent="0.25">
      <c r="A4481" s="78">
        <v>46242</v>
      </c>
      <c r="B4481" s="68">
        <v>39</v>
      </c>
      <c r="C4481" s="19" t="s">
        <v>1255</v>
      </c>
      <c r="D4481" s="30">
        <v>1</v>
      </c>
      <c r="E4481" s="30">
        <v>10</v>
      </c>
      <c r="F4481" s="30">
        <f t="shared" si="151"/>
        <v>10</v>
      </c>
      <c r="G4481" s="30" t="s">
        <v>10</v>
      </c>
      <c r="I4481" s="68" t="s">
        <v>1224</v>
      </c>
      <c r="J4481" s="30" t="s">
        <v>392</v>
      </c>
    </row>
    <row r="4482" spans="1:10" ht="30" x14ac:dyDescent="0.25">
      <c r="A4482" s="78">
        <v>46242</v>
      </c>
      <c r="B4482" s="68">
        <v>39</v>
      </c>
      <c r="C4482" s="19" t="s">
        <v>1256</v>
      </c>
      <c r="D4482" s="30">
        <v>1</v>
      </c>
      <c r="E4482" s="30">
        <v>10</v>
      </c>
      <c r="F4482" s="30">
        <f t="shared" si="151"/>
        <v>10</v>
      </c>
      <c r="G4482" s="30" t="s">
        <v>10</v>
      </c>
      <c r="I4482" s="68" t="s">
        <v>1224</v>
      </c>
      <c r="J4482" s="30" t="s">
        <v>392</v>
      </c>
    </row>
    <row r="4483" spans="1:10" ht="30" x14ac:dyDescent="0.25">
      <c r="A4483" s="78">
        <v>46242</v>
      </c>
      <c r="B4483" s="68">
        <v>40</v>
      </c>
      <c r="C4483" s="188" t="s">
        <v>301</v>
      </c>
      <c r="D4483" s="30">
        <v>2</v>
      </c>
      <c r="E4483" s="30">
        <v>5</v>
      </c>
      <c r="F4483" s="30">
        <f t="shared" si="151"/>
        <v>10</v>
      </c>
      <c r="G4483" s="30" t="s">
        <v>9</v>
      </c>
      <c r="J4483" s="30" t="s">
        <v>392</v>
      </c>
    </row>
    <row r="4484" spans="1:10" x14ac:dyDescent="0.25">
      <c r="A4484" s="78">
        <v>46242</v>
      </c>
      <c r="B4484" s="68">
        <v>40</v>
      </c>
      <c r="C4484" s="33" t="s">
        <v>1265</v>
      </c>
      <c r="D4484" s="30">
        <v>2</v>
      </c>
      <c r="E4484" s="30">
        <v>5</v>
      </c>
      <c r="F4484" s="30">
        <f t="shared" si="151"/>
        <v>10</v>
      </c>
      <c r="G4484" s="30" t="s">
        <v>9</v>
      </c>
      <c r="J4484" s="30" t="s">
        <v>392</v>
      </c>
    </row>
    <row r="4485" spans="1:10" x14ac:dyDescent="0.25">
      <c r="A4485" s="78">
        <v>46242</v>
      </c>
      <c r="B4485" s="30">
        <v>41</v>
      </c>
      <c r="C4485" s="19" t="s">
        <v>1230</v>
      </c>
      <c r="D4485" s="30">
        <v>4</v>
      </c>
      <c r="E4485" s="30">
        <v>10</v>
      </c>
      <c r="F4485" s="30">
        <f t="shared" si="151"/>
        <v>40</v>
      </c>
      <c r="G4485" s="30" t="s">
        <v>9</v>
      </c>
      <c r="J4485" s="30" t="s">
        <v>392</v>
      </c>
    </row>
    <row r="4486" spans="1:10" x14ac:dyDescent="0.25">
      <c r="A4486" s="78">
        <v>46242</v>
      </c>
      <c r="B4486" s="30">
        <v>42</v>
      </c>
      <c r="C4486" s="189" t="s">
        <v>886</v>
      </c>
      <c r="D4486" s="30">
        <v>1</v>
      </c>
      <c r="E4486" s="30">
        <v>10</v>
      </c>
      <c r="F4486" s="30">
        <f t="shared" si="151"/>
        <v>10</v>
      </c>
      <c r="G4486" s="30" t="s">
        <v>9</v>
      </c>
      <c r="J4486" s="30" t="s">
        <v>392</v>
      </c>
    </row>
    <row r="4487" spans="1:10" x14ac:dyDescent="0.25">
      <c r="A4487" s="78">
        <v>46242</v>
      </c>
      <c r="B4487" s="30">
        <v>44</v>
      </c>
      <c r="C4487" s="189" t="s">
        <v>914</v>
      </c>
      <c r="D4487" s="30">
        <v>1</v>
      </c>
      <c r="E4487" s="30">
        <v>30</v>
      </c>
      <c r="F4487" s="30">
        <f t="shared" si="151"/>
        <v>30</v>
      </c>
      <c r="G4487" s="30" t="s">
        <v>9</v>
      </c>
      <c r="J4487" s="30" t="s">
        <v>392</v>
      </c>
    </row>
    <row r="4488" spans="1:10" x14ac:dyDescent="0.25">
      <c r="A4488" s="78">
        <v>46242</v>
      </c>
      <c r="B4488" s="68">
        <v>43</v>
      </c>
      <c r="C4488" s="189" t="s">
        <v>1089</v>
      </c>
      <c r="D4488" s="30">
        <v>1</v>
      </c>
      <c r="E4488" s="30">
        <v>70</v>
      </c>
      <c r="F4488" s="30">
        <f t="shared" si="151"/>
        <v>70</v>
      </c>
      <c r="G4488" s="30" t="s">
        <v>9</v>
      </c>
      <c r="J4488" s="30" t="s">
        <v>392</v>
      </c>
    </row>
    <row r="4489" spans="1:10" x14ac:dyDescent="0.25">
      <c r="A4489" s="78">
        <v>46242</v>
      </c>
      <c r="B4489" s="68">
        <v>45</v>
      </c>
      <c r="C4489" s="189" t="s">
        <v>644</v>
      </c>
      <c r="D4489" s="30">
        <v>1</v>
      </c>
      <c r="E4489" s="30">
        <v>230</v>
      </c>
      <c r="F4489" s="30">
        <f t="shared" si="151"/>
        <v>230</v>
      </c>
      <c r="G4489" s="30" t="s">
        <v>10</v>
      </c>
      <c r="J4489" s="30" t="s">
        <v>392</v>
      </c>
    </row>
    <row r="4490" spans="1:10" x14ac:dyDescent="0.25">
      <c r="A4490" s="78">
        <v>46242</v>
      </c>
      <c r="B4490" s="68">
        <v>45</v>
      </c>
      <c r="C4490" s="189" t="s">
        <v>912</v>
      </c>
      <c r="D4490" s="30">
        <v>2</v>
      </c>
      <c r="E4490" s="30">
        <v>10</v>
      </c>
      <c r="F4490" s="30">
        <f t="shared" si="151"/>
        <v>20</v>
      </c>
      <c r="G4490" s="30" t="s">
        <v>10</v>
      </c>
      <c r="J4490" s="30" t="s">
        <v>392</v>
      </c>
    </row>
    <row r="4491" spans="1:10" x14ac:dyDescent="0.25">
      <c r="A4491" s="78">
        <v>46242</v>
      </c>
      <c r="B4491" s="68">
        <v>45</v>
      </c>
      <c r="C4491" s="189" t="s">
        <v>670</v>
      </c>
      <c r="D4491" s="30">
        <v>1</v>
      </c>
      <c r="E4491" s="30">
        <v>10</v>
      </c>
      <c r="F4491" s="30">
        <f t="shared" si="151"/>
        <v>10</v>
      </c>
      <c r="G4491" s="30" t="s">
        <v>10</v>
      </c>
      <c r="J4491" s="30" t="s">
        <v>392</v>
      </c>
    </row>
    <row r="4492" spans="1:10" ht="30" x14ac:dyDescent="0.25">
      <c r="A4492" s="78">
        <v>46242</v>
      </c>
      <c r="B4492" s="68">
        <v>45</v>
      </c>
      <c r="C4492" s="19" t="s">
        <v>1256</v>
      </c>
      <c r="D4492" s="30">
        <v>1</v>
      </c>
      <c r="E4492" s="30">
        <v>10</v>
      </c>
      <c r="F4492" s="30">
        <f t="shared" si="151"/>
        <v>10</v>
      </c>
      <c r="G4492" s="30" t="s">
        <v>10</v>
      </c>
      <c r="I4492" s="68" t="s">
        <v>1270</v>
      </c>
      <c r="J4492" s="30" t="s">
        <v>392</v>
      </c>
    </row>
    <row r="4493" spans="1:10" x14ac:dyDescent="0.25">
      <c r="A4493" s="78">
        <v>46242</v>
      </c>
      <c r="B4493" s="68">
        <v>46</v>
      </c>
      <c r="C4493" s="19" t="s">
        <v>1255</v>
      </c>
      <c r="D4493" s="30">
        <v>1</v>
      </c>
      <c r="E4493" s="30">
        <v>10</v>
      </c>
      <c r="F4493" s="30">
        <f t="shared" si="151"/>
        <v>10</v>
      </c>
      <c r="G4493" s="30" t="s">
        <v>10</v>
      </c>
      <c r="I4493" s="68" t="s">
        <v>1270</v>
      </c>
      <c r="J4493" s="30" t="s">
        <v>392</v>
      </c>
    </row>
    <row r="4494" spans="1:10" x14ac:dyDescent="0.25">
      <c r="A4494" s="78">
        <v>46242</v>
      </c>
      <c r="B4494" s="68">
        <v>46</v>
      </c>
      <c r="C4494" s="19" t="s">
        <v>1271</v>
      </c>
      <c r="D4494" s="30">
        <v>26</v>
      </c>
      <c r="E4494" s="30">
        <v>62.3</v>
      </c>
      <c r="F4494" s="30">
        <f t="shared" si="151"/>
        <v>1619.8</v>
      </c>
      <c r="G4494" s="30" t="s">
        <v>9</v>
      </c>
      <c r="I4494" s="68" t="s">
        <v>1270</v>
      </c>
      <c r="J4494" s="30" t="s">
        <v>392</v>
      </c>
    </row>
    <row r="4495" spans="1:10" x14ac:dyDescent="0.25">
      <c r="A4495" s="78">
        <v>46242</v>
      </c>
      <c r="C4495" s="189"/>
    </row>
    <row r="4496" spans="1:10" x14ac:dyDescent="0.25">
      <c r="A4496" s="78">
        <v>46242</v>
      </c>
      <c r="C4496" s="189"/>
    </row>
    <row r="4497" spans="1:12" s="199" customFormat="1" ht="31.5" x14ac:dyDescent="0.25">
      <c r="A4497" s="196">
        <v>46242</v>
      </c>
      <c r="B4497" s="197" t="s">
        <v>1248</v>
      </c>
      <c r="C4497" s="198">
        <f>MAX(B4436:B4496)</f>
        <v>46</v>
      </c>
      <c r="D4497" s="197" t="s">
        <v>1249</v>
      </c>
      <c r="E4497" s="199">
        <f>SUMIF(G4436:G4494,"UPI",F4436:F4494)</f>
        <v>605</v>
      </c>
      <c r="H4497" s="200" t="s">
        <v>1251</v>
      </c>
      <c r="I4497" s="200">
        <f>SUMIF(G4436:G4494, "&lt;&gt;UPI",F4436:F4494)</f>
        <v>2235.44</v>
      </c>
    </row>
    <row r="4498" spans="1:12" s="5" customFormat="1" ht="15.75" x14ac:dyDescent="0.25">
      <c r="A4498" s="201">
        <v>46242</v>
      </c>
      <c r="B4498" s="2"/>
      <c r="C4498" s="14"/>
      <c r="H4498" s="2" t="s">
        <v>1250</v>
      </c>
      <c r="I4498" s="2">
        <f>SUMIF(G4407:G4494, "&lt;&gt;UPI",F4407:F4494)</f>
        <v>3023.29</v>
      </c>
    </row>
    <row r="4499" spans="1:12" s="202" customFormat="1" ht="18.75" x14ac:dyDescent="0.3">
      <c r="A4499" s="146">
        <v>46242</v>
      </c>
      <c r="B4499" s="147" t="s">
        <v>987</v>
      </c>
      <c r="C4499" s="148">
        <f>MAX(B4407:B4496)</f>
        <v>46</v>
      </c>
      <c r="D4499" s="147" t="s">
        <v>988</v>
      </c>
      <c r="E4499" s="202">
        <f>SUMIF(G4407:G4494,"UPI",F4407:F4494)</f>
        <v>675</v>
      </c>
      <c r="F4499" s="230" t="s">
        <v>437</v>
      </c>
      <c r="G4499" s="230"/>
      <c r="H4499" s="230"/>
      <c r="I4499" s="230">
        <f>SUM(F4407:F4496)</f>
        <v>3698.29</v>
      </c>
      <c r="J4499" s="230"/>
      <c r="K4499" s="230"/>
      <c r="L4499" s="230"/>
    </row>
    <row r="4500" spans="1:12" x14ac:dyDescent="0.25">
      <c r="A4500" s="78">
        <v>46243</v>
      </c>
      <c r="B4500" s="68">
        <v>1</v>
      </c>
      <c r="C4500" s="205" t="s">
        <v>969</v>
      </c>
      <c r="D4500" s="30">
        <v>0.2</v>
      </c>
      <c r="E4500" s="30">
        <v>160</v>
      </c>
      <c r="F4500" s="30">
        <f>E4500*D4500</f>
        <v>32</v>
      </c>
      <c r="G4500" s="30" t="s">
        <v>10</v>
      </c>
      <c r="J4500" s="30" t="s">
        <v>391</v>
      </c>
    </row>
    <row r="4501" spans="1:12" x14ac:dyDescent="0.25">
      <c r="A4501" s="78">
        <v>46243</v>
      </c>
      <c r="B4501" s="68">
        <v>2</v>
      </c>
      <c r="C4501" s="205" t="s">
        <v>972</v>
      </c>
      <c r="D4501" s="30">
        <v>1</v>
      </c>
      <c r="E4501" s="30">
        <v>45</v>
      </c>
      <c r="F4501" s="30">
        <f t="shared" ref="F4501:F4519" si="152">E4501*D4501</f>
        <v>45</v>
      </c>
      <c r="G4501" s="30" t="s">
        <v>9</v>
      </c>
      <c r="J4501" s="30" t="s">
        <v>391</v>
      </c>
    </row>
    <row r="4502" spans="1:12" x14ac:dyDescent="0.25">
      <c r="A4502" s="78">
        <v>46243</v>
      </c>
      <c r="B4502" s="68">
        <v>2</v>
      </c>
      <c r="C4502" s="205" t="s">
        <v>721</v>
      </c>
      <c r="D4502" s="30">
        <v>2.1999999999999999E-2</v>
      </c>
      <c r="E4502" s="30">
        <v>900</v>
      </c>
      <c r="F4502" s="30">
        <f t="shared" si="152"/>
        <v>19.799999999999997</v>
      </c>
      <c r="G4502" s="30" t="s">
        <v>9</v>
      </c>
      <c r="J4502" s="30" t="s">
        <v>391</v>
      </c>
    </row>
    <row r="4503" spans="1:12" x14ac:dyDescent="0.25">
      <c r="A4503" s="78">
        <v>46243</v>
      </c>
      <c r="B4503" s="68">
        <v>2</v>
      </c>
      <c r="C4503" s="205" t="s">
        <v>1132</v>
      </c>
      <c r="D4503" s="30">
        <v>1</v>
      </c>
      <c r="E4503" s="30">
        <v>60</v>
      </c>
      <c r="F4503" s="30">
        <f t="shared" si="152"/>
        <v>60</v>
      </c>
      <c r="G4503" s="30" t="s">
        <v>9</v>
      </c>
      <c r="J4503" s="30" t="s">
        <v>391</v>
      </c>
    </row>
    <row r="4504" spans="1:12" x14ac:dyDescent="0.25">
      <c r="A4504" s="78">
        <v>46243</v>
      </c>
      <c r="B4504" s="68">
        <v>2</v>
      </c>
      <c r="C4504" s="33" t="s">
        <v>1267</v>
      </c>
      <c r="D4504" s="30">
        <v>1</v>
      </c>
      <c r="E4504" s="30">
        <v>5</v>
      </c>
      <c r="F4504" s="30">
        <f t="shared" si="152"/>
        <v>5</v>
      </c>
      <c r="G4504" s="30" t="s">
        <v>9</v>
      </c>
      <c r="J4504" s="30" t="s">
        <v>391</v>
      </c>
    </row>
    <row r="4505" spans="1:12" x14ac:dyDescent="0.25">
      <c r="A4505" s="78">
        <v>46243</v>
      </c>
      <c r="B4505" s="68">
        <v>2</v>
      </c>
      <c r="C4505" s="205" t="s">
        <v>877</v>
      </c>
      <c r="D4505" s="30">
        <v>1</v>
      </c>
      <c r="E4505" s="30">
        <v>10</v>
      </c>
      <c r="F4505" s="30">
        <f t="shared" si="152"/>
        <v>10</v>
      </c>
      <c r="G4505" s="30" t="s">
        <v>9</v>
      </c>
      <c r="J4505" s="30" t="s">
        <v>391</v>
      </c>
    </row>
    <row r="4506" spans="1:12" x14ac:dyDescent="0.25">
      <c r="A4506" s="78">
        <v>46243</v>
      </c>
      <c r="B4506" s="68">
        <v>2</v>
      </c>
      <c r="C4506" s="33" t="s">
        <v>1274</v>
      </c>
      <c r="D4506" s="30">
        <v>1</v>
      </c>
      <c r="E4506" s="30">
        <v>10</v>
      </c>
      <c r="F4506" s="30">
        <f t="shared" si="152"/>
        <v>10</v>
      </c>
      <c r="G4506" s="30" t="s">
        <v>9</v>
      </c>
      <c r="J4506" s="30" t="s">
        <v>391</v>
      </c>
    </row>
    <row r="4507" spans="1:12" ht="30" x14ac:dyDescent="0.25">
      <c r="A4507" s="78">
        <v>46243</v>
      </c>
      <c r="B4507" s="68">
        <v>3</v>
      </c>
      <c r="C4507" s="205" t="s">
        <v>1191</v>
      </c>
      <c r="D4507" s="30">
        <v>1</v>
      </c>
      <c r="E4507" s="30">
        <v>75</v>
      </c>
      <c r="F4507" s="30">
        <f t="shared" si="152"/>
        <v>75</v>
      </c>
      <c r="G4507" s="30" t="s">
        <v>10</v>
      </c>
      <c r="J4507" s="30" t="s">
        <v>391</v>
      </c>
    </row>
    <row r="4508" spans="1:12" x14ac:dyDescent="0.25">
      <c r="A4508" s="78">
        <v>46243</v>
      </c>
      <c r="B4508" s="68">
        <v>4</v>
      </c>
      <c r="C4508" s="205" t="s">
        <v>1230</v>
      </c>
      <c r="D4508" s="30">
        <v>4</v>
      </c>
      <c r="E4508" s="30">
        <v>10</v>
      </c>
      <c r="F4508" s="30">
        <f t="shared" si="152"/>
        <v>40</v>
      </c>
      <c r="G4508" s="30" t="s">
        <v>9</v>
      </c>
      <c r="J4508" s="30" t="s">
        <v>391</v>
      </c>
    </row>
    <row r="4509" spans="1:12" x14ac:dyDescent="0.25">
      <c r="A4509" s="78">
        <v>46243</v>
      </c>
      <c r="B4509" s="68">
        <v>4</v>
      </c>
      <c r="C4509" s="205" t="s">
        <v>94</v>
      </c>
      <c r="D4509" s="30">
        <v>1</v>
      </c>
      <c r="E4509" s="30">
        <v>19</v>
      </c>
      <c r="F4509" s="30">
        <f t="shared" si="152"/>
        <v>19</v>
      </c>
      <c r="G4509" s="30" t="s">
        <v>9</v>
      </c>
      <c r="J4509" s="30" t="s">
        <v>391</v>
      </c>
    </row>
    <row r="4510" spans="1:12" x14ac:dyDescent="0.25">
      <c r="A4510" s="78">
        <v>46243</v>
      </c>
      <c r="B4510" s="68">
        <v>4</v>
      </c>
      <c r="C4510" s="205" t="s">
        <v>1197</v>
      </c>
      <c r="D4510" s="30">
        <v>0.05</v>
      </c>
      <c r="E4510" s="30">
        <v>200</v>
      </c>
      <c r="F4510" s="30">
        <f t="shared" si="152"/>
        <v>10</v>
      </c>
      <c r="G4510" s="30" t="s">
        <v>9</v>
      </c>
      <c r="J4510" s="30" t="s">
        <v>391</v>
      </c>
    </row>
    <row r="4511" spans="1:12" x14ac:dyDescent="0.25">
      <c r="A4511" s="78">
        <v>46243</v>
      </c>
      <c r="B4511" s="68">
        <v>5</v>
      </c>
      <c r="C4511" s="205" t="s">
        <v>1078</v>
      </c>
      <c r="D4511" s="30">
        <v>1</v>
      </c>
      <c r="E4511" s="30">
        <v>20</v>
      </c>
      <c r="F4511" s="30">
        <f t="shared" si="152"/>
        <v>20</v>
      </c>
      <c r="G4511" s="30" t="s">
        <v>10</v>
      </c>
      <c r="J4511" s="30" t="s">
        <v>391</v>
      </c>
    </row>
    <row r="4512" spans="1:12" x14ac:dyDescent="0.25">
      <c r="A4512" s="78">
        <v>46243</v>
      </c>
      <c r="B4512" s="68">
        <v>6</v>
      </c>
      <c r="C4512" s="205" t="s">
        <v>1231</v>
      </c>
      <c r="D4512" s="30">
        <v>0.8</v>
      </c>
      <c r="E4512" s="30">
        <v>25</v>
      </c>
      <c r="F4512" s="30">
        <f t="shared" si="152"/>
        <v>20</v>
      </c>
      <c r="G4512" s="30" t="s">
        <v>9</v>
      </c>
      <c r="J4512" s="30" t="s">
        <v>391</v>
      </c>
    </row>
    <row r="4513" spans="1:10" ht="30" x14ac:dyDescent="0.25">
      <c r="A4513" s="78">
        <v>46243</v>
      </c>
      <c r="B4513" s="68">
        <v>7</v>
      </c>
      <c r="C4513" s="205" t="s">
        <v>1115</v>
      </c>
      <c r="D4513" s="30">
        <v>1</v>
      </c>
      <c r="E4513" s="30">
        <v>120</v>
      </c>
      <c r="F4513" s="30">
        <f t="shared" si="152"/>
        <v>120</v>
      </c>
      <c r="G4513" s="30" t="s">
        <v>9</v>
      </c>
      <c r="J4513" s="30" t="s">
        <v>391</v>
      </c>
    </row>
    <row r="4514" spans="1:10" x14ac:dyDescent="0.25">
      <c r="A4514" s="78">
        <v>46243</v>
      </c>
      <c r="B4514" s="68">
        <v>8</v>
      </c>
      <c r="C4514" s="205" t="s">
        <v>1230</v>
      </c>
      <c r="D4514" s="30">
        <v>8</v>
      </c>
      <c r="E4514" s="30">
        <v>10</v>
      </c>
      <c r="F4514" s="30">
        <f t="shared" si="152"/>
        <v>80</v>
      </c>
      <c r="G4514" s="30" t="s">
        <v>9</v>
      </c>
      <c r="J4514" s="30" t="s">
        <v>391</v>
      </c>
    </row>
    <row r="4515" spans="1:10" x14ac:dyDescent="0.25">
      <c r="A4515" s="78">
        <v>46243</v>
      </c>
      <c r="B4515" s="68">
        <v>9</v>
      </c>
      <c r="C4515" s="205" t="s">
        <v>1163</v>
      </c>
      <c r="D4515" s="30">
        <v>2</v>
      </c>
      <c r="E4515" s="30">
        <v>10</v>
      </c>
      <c r="F4515" s="30">
        <f t="shared" si="152"/>
        <v>20</v>
      </c>
      <c r="G4515" s="30" t="s">
        <v>9</v>
      </c>
      <c r="J4515" s="30" t="s">
        <v>391</v>
      </c>
    </row>
    <row r="4516" spans="1:10" x14ac:dyDescent="0.25">
      <c r="A4516" s="78">
        <v>46243</v>
      </c>
      <c r="B4516" s="68">
        <v>10</v>
      </c>
      <c r="C4516" s="205" t="s">
        <v>969</v>
      </c>
      <c r="D4516" s="30">
        <v>0.25</v>
      </c>
      <c r="E4516" s="30">
        <v>160</v>
      </c>
      <c r="F4516" s="30">
        <f t="shared" si="152"/>
        <v>40</v>
      </c>
      <c r="G4516" s="30" t="s">
        <v>16</v>
      </c>
      <c r="I4516" s="68" t="s">
        <v>1200</v>
      </c>
      <c r="J4516" s="30" t="s">
        <v>391</v>
      </c>
    </row>
    <row r="4517" spans="1:10" ht="30" x14ac:dyDescent="0.25">
      <c r="A4517" s="78">
        <v>46243</v>
      </c>
      <c r="B4517" s="68">
        <v>10</v>
      </c>
      <c r="C4517" s="205" t="s">
        <v>1232</v>
      </c>
      <c r="D4517" s="30">
        <v>2</v>
      </c>
      <c r="E4517" s="30">
        <v>45</v>
      </c>
      <c r="F4517" s="30">
        <f t="shared" si="152"/>
        <v>90</v>
      </c>
      <c r="G4517" s="30" t="s">
        <v>16</v>
      </c>
      <c r="I4517" s="68" t="s">
        <v>1200</v>
      </c>
      <c r="J4517" s="30" t="s">
        <v>391</v>
      </c>
    </row>
    <row r="4518" spans="1:10" x14ac:dyDescent="0.25">
      <c r="A4518" s="78">
        <v>46243</v>
      </c>
      <c r="B4518" s="68">
        <v>11</v>
      </c>
      <c r="C4518" s="205" t="s">
        <v>1148</v>
      </c>
      <c r="D4518" s="30">
        <v>1</v>
      </c>
      <c r="E4518" s="30">
        <v>10</v>
      </c>
      <c r="F4518" s="30">
        <f t="shared" si="152"/>
        <v>10</v>
      </c>
      <c r="G4518" s="30" t="s">
        <v>9</v>
      </c>
      <c r="J4518" s="30" t="s">
        <v>391</v>
      </c>
    </row>
    <row r="4519" spans="1:10" x14ac:dyDescent="0.25">
      <c r="A4519" s="78">
        <v>46243</v>
      </c>
      <c r="B4519" s="68">
        <v>11</v>
      </c>
      <c r="C4519" s="205" t="s">
        <v>1124</v>
      </c>
      <c r="D4519" s="30">
        <v>1</v>
      </c>
      <c r="E4519" s="30">
        <v>10</v>
      </c>
      <c r="F4519" s="30">
        <f t="shared" si="152"/>
        <v>10</v>
      </c>
      <c r="G4519" s="30" t="s">
        <v>9</v>
      </c>
      <c r="J4519" s="30" t="s">
        <v>391</v>
      </c>
    </row>
    <row r="4520" spans="1:10" s="199" customFormat="1" ht="31.5" x14ac:dyDescent="0.25">
      <c r="A4520" s="196">
        <v>46243</v>
      </c>
      <c r="B4520" s="197" t="s">
        <v>1245</v>
      </c>
      <c r="C4520" s="198">
        <f>MAX(B4500:B4519)</f>
        <v>11</v>
      </c>
      <c r="D4520" s="197" t="s">
        <v>1246</v>
      </c>
      <c r="E4520" s="199">
        <f>SUMIF(G4500:G4519,"UPI",F4500:F4519)</f>
        <v>127</v>
      </c>
      <c r="H4520" s="200" t="s">
        <v>1247</v>
      </c>
      <c r="I4520" s="200">
        <f>SUMIF(G4500:G4519, "&lt;&gt;UPI",F4500:F4519)</f>
        <v>608.79999999999995</v>
      </c>
    </row>
    <row r="4521" spans="1:10" x14ac:dyDescent="0.25">
      <c r="A4521" s="78">
        <v>46243</v>
      </c>
      <c r="B4521" s="68">
        <v>12</v>
      </c>
      <c r="C4521" s="205" t="s">
        <v>1255</v>
      </c>
      <c r="D4521" s="30">
        <v>1</v>
      </c>
      <c r="E4521" s="30">
        <v>10</v>
      </c>
      <c r="F4521" s="30">
        <f>E4521*D4521</f>
        <v>10</v>
      </c>
      <c r="G4521" s="30" t="s">
        <v>16</v>
      </c>
      <c r="I4521" s="68" t="s">
        <v>1224</v>
      </c>
      <c r="J4521" s="30" t="s">
        <v>392</v>
      </c>
    </row>
    <row r="4522" spans="1:10" x14ac:dyDescent="0.25">
      <c r="A4522" s="78">
        <v>46243</v>
      </c>
      <c r="B4522" s="68">
        <v>13</v>
      </c>
      <c r="C4522" s="205" t="s">
        <v>964</v>
      </c>
      <c r="D4522" s="30">
        <v>1</v>
      </c>
      <c r="E4522" s="30">
        <v>10</v>
      </c>
      <c r="F4522" s="30">
        <f>E4522*D4522</f>
        <v>10</v>
      </c>
      <c r="G4522" s="30" t="s">
        <v>9</v>
      </c>
      <c r="J4522" s="30" t="s">
        <v>392</v>
      </c>
    </row>
    <row r="4523" spans="1:10" x14ac:dyDescent="0.25">
      <c r="A4523" s="78">
        <v>46243</v>
      </c>
      <c r="B4523" s="68">
        <v>13</v>
      </c>
      <c r="C4523" s="205" t="s">
        <v>1148</v>
      </c>
      <c r="D4523" s="30">
        <v>1</v>
      </c>
      <c r="E4523" s="30">
        <v>10</v>
      </c>
      <c r="F4523" s="30">
        <f t="shared" ref="F4523:F4547" si="153">E4523*D4523</f>
        <v>10</v>
      </c>
      <c r="G4523" s="30" t="s">
        <v>9</v>
      </c>
      <c r="J4523" s="30" t="s">
        <v>392</v>
      </c>
    </row>
    <row r="4524" spans="1:10" x14ac:dyDescent="0.25">
      <c r="A4524" s="78">
        <v>46243</v>
      </c>
      <c r="B4524" s="68">
        <v>14</v>
      </c>
      <c r="C4524" s="205" t="s">
        <v>813</v>
      </c>
      <c r="D4524" s="30">
        <v>1</v>
      </c>
      <c r="E4524" s="30">
        <v>30</v>
      </c>
      <c r="F4524" s="30">
        <f t="shared" si="153"/>
        <v>30</v>
      </c>
      <c r="G4524" s="30" t="s">
        <v>9</v>
      </c>
      <c r="J4524" s="30" t="s">
        <v>392</v>
      </c>
    </row>
    <row r="4525" spans="1:10" x14ac:dyDescent="0.25">
      <c r="A4525" s="78">
        <v>46243</v>
      </c>
      <c r="B4525" s="68">
        <v>15</v>
      </c>
      <c r="C4525" s="205" t="s">
        <v>1089</v>
      </c>
      <c r="D4525" s="30">
        <v>0.28599999999999998</v>
      </c>
      <c r="E4525" s="30">
        <v>70</v>
      </c>
      <c r="F4525" s="30">
        <f t="shared" si="153"/>
        <v>20.02</v>
      </c>
      <c r="G4525" s="30" t="s">
        <v>9</v>
      </c>
      <c r="J4525" s="30" t="s">
        <v>392</v>
      </c>
    </row>
    <row r="4526" spans="1:10" x14ac:dyDescent="0.25">
      <c r="A4526" s="78">
        <v>46243</v>
      </c>
      <c r="B4526" s="68">
        <v>16</v>
      </c>
      <c r="C4526" s="205" t="s">
        <v>1119</v>
      </c>
      <c r="D4526" s="30">
        <v>0.1</v>
      </c>
      <c r="E4526" s="30">
        <v>600</v>
      </c>
      <c r="F4526" s="30">
        <f t="shared" si="153"/>
        <v>60</v>
      </c>
      <c r="G4526" s="30" t="s">
        <v>9</v>
      </c>
      <c r="J4526" s="30" t="s">
        <v>392</v>
      </c>
    </row>
    <row r="4527" spans="1:10" x14ac:dyDescent="0.25">
      <c r="A4527" s="78">
        <v>46243</v>
      </c>
      <c r="B4527" s="68">
        <v>17</v>
      </c>
      <c r="C4527" s="205" t="s">
        <v>1233</v>
      </c>
      <c r="D4527" s="30">
        <v>1</v>
      </c>
      <c r="E4527" s="30">
        <v>45</v>
      </c>
      <c r="F4527" s="30">
        <f t="shared" si="153"/>
        <v>45</v>
      </c>
      <c r="G4527" s="30" t="s">
        <v>9</v>
      </c>
      <c r="J4527" s="30" t="s">
        <v>392</v>
      </c>
    </row>
    <row r="4528" spans="1:10" x14ac:dyDescent="0.25">
      <c r="A4528" s="78">
        <v>46243</v>
      </c>
      <c r="B4528" s="68">
        <v>17</v>
      </c>
      <c r="C4528" s="205" t="s">
        <v>1156</v>
      </c>
      <c r="D4528" s="30">
        <v>0.1</v>
      </c>
      <c r="E4528" s="30">
        <v>200</v>
      </c>
      <c r="F4528" s="30">
        <f t="shared" si="153"/>
        <v>20</v>
      </c>
      <c r="G4528" s="30" t="s">
        <v>9</v>
      </c>
      <c r="J4528" s="30" t="s">
        <v>392</v>
      </c>
    </row>
    <row r="4529" spans="1:10" x14ac:dyDescent="0.25">
      <c r="A4529" s="78">
        <v>46243</v>
      </c>
      <c r="B4529" s="68">
        <v>17</v>
      </c>
      <c r="C4529" s="205" t="s">
        <v>503</v>
      </c>
      <c r="D4529" s="30">
        <v>1</v>
      </c>
      <c r="E4529" s="30">
        <v>10</v>
      </c>
      <c r="F4529" s="30">
        <f t="shared" si="153"/>
        <v>10</v>
      </c>
      <c r="G4529" s="30" t="s">
        <v>9</v>
      </c>
      <c r="J4529" s="30" t="s">
        <v>392</v>
      </c>
    </row>
    <row r="4530" spans="1:10" x14ac:dyDescent="0.25">
      <c r="A4530" s="78">
        <v>46243</v>
      </c>
      <c r="B4530" s="68">
        <v>17</v>
      </c>
      <c r="C4530" s="205" t="s">
        <v>969</v>
      </c>
      <c r="D4530" s="30">
        <v>6.2E-2</v>
      </c>
      <c r="E4530" s="30">
        <v>160</v>
      </c>
      <c r="F4530" s="30">
        <f t="shared" si="153"/>
        <v>9.92</v>
      </c>
      <c r="G4530" s="30" t="s">
        <v>9</v>
      </c>
      <c r="J4530" s="30" t="s">
        <v>392</v>
      </c>
    </row>
    <row r="4531" spans="1:10" x14ac:dyDescent="0.25">
      <c r="A4531" s="78">
        <v>46243</v>
      </c>
      <c r="B4531" s="68">
        <v>17</v>
      </c>
      <c r="C4531" s="205" t="s">
        <v>1231</v>
      </c>
      <c r="D4531" s="30">
        <v>0.6</v>
      </c>
      <c r="E4531" s="30">
        <v>25</v>
      </c>
      <c r="F4531" s="30">
        <f t="shared" si="153"/>
        <v>15</v>
      </c>
      <c r="G4531" s="30" t="s">
        <v>9</v>
      </c>
      <c r="J4531" s="30" t="s">
        <v>392</v>
      </c>
    </row>
    <row r="4532" spans="1:10" x14ac:dyDescent="0.25">
      <c r="A4532" s="78">
        <v>46243</v>
      </c>
      <c r="B4532" s="68">
        <v>18</v>
      </c>
      <c r="C4532" s="33" t="s">
        <v>1275</v>
      </c>
      <c r="D4532" s="30">
        <v>2</v>
      </c>
      <c r="E4532" s="30">
        <v>55</v>
      </c>
      <c r="F4532" s="30">
        <f t="shared" si="153"/>
        <v>110</v>
      </c>
      <c r="G4532" s="30" t="s">
        <v>16</v>
      </c>
      <c r="I4532" s="68" t="s">
        <v>1046</v>
      </c>
      <c r="J4532" s="30" t="s">
        <v>392</v>
      </c>
    </row>
    <row r="4533" spans="1:10" x14ac:dyDescent="0.25">
      <c r="A4533" s="78">
        <v>46243</v>
      </c>
      <c r="B4533" s="68">
        <v>18</v>
      </c>
      <c r="C4533" s="205" t="s">
        <v>1230</v>
      </c>
      <c r="D4533" s="30">
        <v>10</v>
      </c>
      <c r="E4533" s="30">
        <v>10</v>
      </c>
      <c r="F4533" s="30">
        <f t="shared" si="153"/>
        <v>100</v>
      </c>
      <c r="G4533" s="30" t="s">
        <v>16</v>
      </c>
      <c r="I4533" s="68" t="s">
        <v>1046</v>
      </c>
      <c r="J4533" s="30" t="s">
        <v>392</v>
      </c>
    </row>
    <row r="4534" spans="1:10" x14ac:dyDescent="0.25">
      <c r="A4534" s="78">
        <v>46243</v>
      </c>
      <c r="B4534" s="68">
        <v>18</v>
      </c>
      <c r="C4534" s="205" t="s">
        <v>948</v>
      </c>
      <c r="D4534" s="30">
        <v>1</v>
      </c>
      <c r="E4534" s="30">
        <v>205</v>
      </c>
      <c r="F4534" s="30">
        <f t="shared" si="153"/>
        <v>205</v>
      </c>
      <c r="G4534" s="30" t="s">
        <v>16</v>
      </c>
      <c r="I4534" s="68" t="s">
        <v>1046</v>
      </c>
      <c r="J4534" s="30" t="s">
        <v>392</v>
      </c>
    </row>
    <row r="4535" spans="1:10" x14ac:dyDescent="0.25">
      <c r="A4535" s="78">
        <v>46243</v>
      </c>
      <c r="B4535" s="68">
        <v>18</v>
      </c>
      <c r="C4535" s="205" t="s">
        <v>1124</v>
      </c>
      <c r="D4535" s="30">
        <v>1</v>
      </c>
      <c r="E4535" s="30">
        <v>10</v>
      </c>
      <c r="F4535" s="30">
        <f t="shared" si="153"/>
        <v>10</v>
      </c>
      <c r="G4535" s="30" t="s">
        <v>16</v>
      </c>
      <c r="I4535" s="68" t="s">
        <v>1046</v>
      </c>
      <c r="J4535" s="30" t="s">
        <v>392</v>
      </c>
    </row>
    <row r="4536" spans="1:10" ht="30" x14ac:dyDescent="0.25">
      <c r="A4536" s="78">
        <v>46243</v>
      </c>
      <c r="B4536" s="68">
        <v>18</v>
      </c>
      <c r="C4536" s="205" t="s">
        <v>136</v>
      </c>
      <c r="D4536" s="30">
        <v>1</v>
      </c>
      <c r="E4536" s="30">
        <v>50</v>
      </c>
      <c r="F4536" s="30">
        <f t="shared" si="153"/>
        <v>50</v>
      </c>
      <c r="G4536" s="30" t="s">
        <v>16</v>
      </c>
      <c r="I4536" s="68" t="s">
        <v>1046</v>
      </c>
      <c r="J4536" s="30" t="s">
        <v>392</v>
      </c>
    </row>
    <row r="4537" spans="1:10" x14ac:dyDescent="0.25">
      <c r="A4537" s="78">
        <v>46243</v>
      </c>
      <c r="B4537" s="68">
        <v>18</v>
      </c>
      <c r="C4537" s="205" t="s">
        <v>721</v>
      </c>
      <c r="D4537" s="30">
        <v>0.1</v>
      </c>
      <c r="E4537" s="30">
        <v>900</v>
      </c>
      <c r="F4537" s="30">
        <f t="shared" si="153"/>
        <v>90</v>
      </c>
      <c r="G4537" s="30" t="s">
        <v>16</v>
      </c>
      <c r="I4537" s="68" t="s">
        <v>1046</v>
      </c>
      <c r="J4537" s="30" t="s">
        <v>392</v>
      </c>
    </row>
    <row r="4538" spans="1:10" x14ac:dyDescent="0.25">
      <c r="A4538" s="78">
        <v>46243</v>
      </c>
      <c r="B4538" s="68">
        <v>18</v>
      </c>
      <c r="C4538" s="205" t="s">
        <v>1269</v>
      </c>
      <c r="D4538" s="30">
        <v>1</v>
      </c>
      <c r="E4538" s="30">
        <v>30</v>
      </c>
      <c r="F4538" s="30">
        <f t="shared" si="153"/>
        <v>30</v>
      </c>
      <c r="G4538" s="30" t="s">
        <v>16</v>
      </c>
      <c r="I4538" s="68" t="s">
        <v>1046</v>
      </c>
      <c r="J4538" s="30" t="s">
        <v>392</v>
      </c>
    </row>
    <row r="4539" spans="1:10" x14ac:dyDescent="0.25">
      <c r="A4539" s="78">
        <v>46243</v>
      </c>
      <c r="B4539" s="68">
        <v>18</v>
      </c>
      <c r="C4539" s="205" t="s">
        <v>1134</v>
      </c>
      <c r="D4539" s="30">
        <v>1</v>
      </c>
      <c r="E4539" s="30">
        <v>40</v>
      </c>
      <c r="F4539" s="30">
        <f t="shared" si="153"/>
        <v>40</v>
      </c>
      <c r="G4539" s="30" t="s">
        <v>16</v>
      </c>
      <c r="I4539" s="68" t="s">
        <v>1046</v>
      </c>
      <c r="J4539" s="30" t="s">
        <v>392</v>
      </c>
    </row>
    <row r="4540" spans="1:10" ht="30" x14ac:dyDescent="0.25">
      <c r="A4540" s="78">
        <v>46243</v>
      </c>
      <c r="B4540" s="68">
        <v>18</v>
      </c>
      <c r="C4540" s="205" t="s">
        <v>760</v>
      </c>
      <c r="D4540" s="30">
        <v>10</v>
      </c>
      <c r="E4540" s="30">
        <v>1</v>
      </c>
      <c r="F4540" s="30">
        <f t="shared" si="153"/>
        <v>10</v>
      </c>
      <c r="G4540" s="30" t="s">
        <v>16</v>
      </c>
      <c r="I4540" s="68" t="s">
        <v>1046</v>
      </c>
      <c r="J4540" s="30" t="s">
        <v>392</v>
      </c>
    </row>
    <row r="4541" spans="1:10" x14ac:dyDescent="0.25">
      <c r="A4541" s="78">
        <v>46243</v>
      </c>
      <c r="B4541" s="68">
        <v>18</v>
      </c>
      <c r="C4541" s="205" t="s">
        <v>947</v>
      </c>
      <c r="D4541" s="30">
        <v>1</v>
      </c>
      <c r="E4541" s="30">
        <v>20</v>
      </c>
      <c r="F4541" s="30">
        <f t="shared" si="153"/>
        <v>20</v>
      </c>
      <c r="G4541" s="30" t="s">
        <v>16</v>
      </c>
      <c r="I4541" s="68" t="s">
        <v>1046</v>
      </c>
      <c r="J4541" s="30" t="s">
        <v>392</v>
      </c>
    </row>
    <row r="4542" spans="1:10" x14ac:dyDescent="0.25">
      <c r="A4542" s="78">
        <v>46243</v>
      </c>
      <c r="B4542" s="68">
        <v>18</v>
      </c>
      <c r="C4542" s="205" t="s">
        <v>1244</v>
      </c>
      <c r="D4542" s="30">
        <v>1</v>
      </c>
      <c r="E4542" s="30">
        <v>30</v>
      </c>
      <c r="F4542" s="30">
        <f t="shared" si="153"/>
        <v>30</v>
      </c>
      <c r="G4542" s="30" t="s">
        <v>16</v>
      </c>
      <c r="I4542" s="68" t="s">
        <v>1046</v>
      </c>
      <c r="J4542" s="30" t="s">
        <v>392</v>
      </c>
    </row>
    <row r="4543" spans="1:10" x14ac:dyDescent="0.25">
      <c r="A4543" s="78">
        <v>46243</v>
      </c>
      <c r="B4543" s="68">
        <v>19</v>
      </c>
      <c r="C4543" s="205" t="s">
        <v>886</v>
      </c>
      <c r="D4543" s="30">
        <v>1</v>
      </c>
      <c r="E4543" s="30">
        <v>10</v>
      </c>
      <c r="F4543" s="30">
        <f t="shared" si="153"/>
        <v>10</v>
      </c>
      <c r="G4543" s="30" t="s">
        <v>9</v>
      </c>
      <c r="J4543" s="30" t="s">
        <v>392</v>
      </c>
    </row>
    <row r="4544" spans="1:10" x14ac:dyDescent="0.25">
      <c r="A4544" s="78">
        <v>46243</v>
      </c>
      <c r="B4544" s="68">
        <v>19</v>
      </c>
      <c r="C4544" s="205" t="s">
        <v>1234</v>
      </c>
      <c r="D4544" s="30">
        <v>0.34</v>
      </c>
      <c r="E4544" s="30">
        <v>60</v>
      </c>
      <c r="F4544" s="30">
        <f t="shared" si="153"/>
        <v>20.400000000000002</v>
      </c>
      <c r="G4544" s="30" t="s">
        <v>9</v>
      </c>
      <c r="J4544" s="30" t="s">
        <v>392</v>
      </c>
    </row>
    <row r="4545" spans="1:10" x14ac:dyDescent="0.25">
      <c r="A4545" s="78">
        <v>46243</v>
      </c>
      <c r="B4545" s="68">
        <v>19</v>
      </c>
      <c r="C4545" s="205" t="s">
        <v>1136</v>
      </c>
      <c r="D4545" s="30">
        <v>1</v>
      </c>
      <c r="E4545" s="30">
        <v>10</v>
      </c>
      <c r="F4545" s="30">
        <f t="shared" si="153"/>
        <v>10</v>
      </c>
      <c r="G4545" s="30" t="s">
        <v>9</v>
      </c>
      <c r="J4545" s="30" t="s">
        <v>392</v>
      </c>
    </row>
    <row r="4546" spans="1:10" x14ac:dyDescent="0.25">
      <c r="A4546" s="78">
        <v>46243</v>
      </c>
      <c r="B4546" s="68">
        <v>20</v>
      </c>
      <c r="C4546" s="205" t="s">
        <v>960</v>
      </c>
      <c r="D4546" s="30">
        <v>2</v>
      </c>
      <c r="E4546" s="30">
        <v>5</v>
      </c>
      <c r="F4546" s="30">
        <f t="shared" si="153"/>
        <v>10</v>
      </c>
      <c r="G4546" s="30" t="s">
        <v>9</v>
      </c>
      <c r="J4546" s="30" t="s">
        <v>392</v>
      </c>
    </row>
    <row r="4547" spans="1:10" ht="14.25" customHeight="1" x14ac:dyDescent="0.25">
      <c r="A4547" s="78">
        <v>46243</v>
      </c>
      <c r="B4547" s="68">
        <v>20</v>
      </c>
      <c r="C4547" s="205" t="s">
        <v>1238</v>
      </c>
      <c r="D4547" s="30">
        <v>2</v>
      </c>
      <c r="E4547" s="30">
        <v>10</v>
      </c>
      <c r="F4547" s="30">
        <f t="shared" si="153"/>
        <v>20</v>
      </c>
      <c r="G4547" s="30" t="s">
        <v>9</v>
      </c>
      <c r="J4547" s="30" t="s">
        <v>392</v>
      </c>
    </row>
    <row r="4548" spans="1:10" x14ac:dyDescent="0.25">
      <c r="A4548" s="78">
        <v>46243</v>
      </c>
      <c r="B4548" s="68">
        <v>21</v>
      </c>
      <c r="G4548" s="30" t="s">
        <v>9</v>
      </c>
      <c r="J4548" s="30" t="s">
        <v>392</v>
      </c>
    </row>
    <row r="4549" spans="1:10" x14ac:dyDescent="0.25">
      <c r="A4549" s="78">
        <v>46243</v>
      </c>
      <c r="B4549" s="68">
        <v>21</v>
      </c>
      <c r="C4549" s="205" t="s">
        <v>1263</v>
      </c>
      <c r="D4549" s="30">
        <v>2</v>
      </c>
      <c r="E4549" s="30">
        <v>2</v>
      </c>
      <c r="F4549" s="30">
        <f>E4549*D4549</f>
        <v>4</v>
      </c>
      <c r="G4549" s="30" t="s">
        <v>9</v>
      </c>
      <c r="J4549" s="30" t="s">
        <v>392</v>
      </c>
    </row>
    <row r="4550" spans="1:10" x14ac:dyDescent="0.25">
      <c r="A4550" s="78">
        <v>46243</v>
      </c>
      <c r="B4550" s="68">
        <v>22</v>
      </c>
      <c r="C4550" s="205" t="s">
        <v>1078</v>
      </c>
      <c r="D4550" s="30">
        <v>1</v>
      </c>
      <c r="E4550" s="30">
        <v>20</v>
      </c>
      <c r="F4550" s="30">
        <f t="shared" ref="F4550:F4565" si="154">E4550*D4550</f>
        <v>20</v>
      </c>
      <c r="G4550" s="30" t="s">
        <v>9</v>
      </c>
      <c r="J4550" s="30" t="s">
        <v>392</v>
      </c>
    </row>
    <row r="4551" spans="1:10" x14ac:dyDescent="0.25">
      <c r="A4551" s="78">
        <v>46243</v>
      </c>
      <c r="B4551" s="68">
        <v>22</v>
      </c>
      <c r="C4551" s="205" t="s">
        <v>1098</v>
      </c>
      <c r="D4551" s="30">
        <v>1</v>
      </c>
      <c r="E4551" s="30">
        <v>20</v>
      </c>
      <c r="F4551" s="30">
        <f t="shared" si="154"/>
        <v>20</v>
      </c>
      <c r="G4551" s="30" t="s">
        <v>9</v>
      </c>
      <c r="J4551" s="30" t="s">
        <v>392</v>
      </c>
    </row>
    <row r="4552" spans="1:10" x14ac:dyDescent="0.25">
      <c r="A4552" s="78">
        <v>46243</v>
      </c>
      <c r="B4552" s="68">
        <v>23</v>
      </c>
      <c r="C4552" s="205" t="s">
        <v>375</v>
      </c>
      <c r="D4552" s="30">
        <v>6</v>
      </c>
      <c r="E4552" s="30">
        <v>1</v>
      </c>
      <c r="F4552" s="30">
        <f t="shared" si="154"/>
        <v>6</v>
      </c>
      <c r="G4552" s="30" t="s">
        <v>9</v>
      </c>
      <c r="J4552" s="30" t="s">
        <v>392</v>
      </c>
    </row>
    <row r="4553" spans="1:10" x14ac:dyDescent="0.25">
      <c r="A4553" s="78">
        <v>46243</v>
      </c>
      <c r="B4553" s="68">
        <v>23</v>
      </c>
      <c r="C4553" s="205" t="s">
        <v>1263</v>
      </c>
      <c r="D4553" s="30">
        <v>2</v>
      </c>
      <c r="E4553" s="30">
        <v>2</v>
      </c>
      <c r="F4553" s="30">
        <f t="shared" si="154"/>
        <v>4</v>
      </c>
      <c r="G4553" s="30" t="s">
        <v>9</v>
      </c>
      <c r="J4553" s="30" t="s">
        <v>392</v>
      </c>
    </row>
    <row r="4554" spans="1:10" x14ac:dyDescent="0.25">
      <c r="A4554" s="78">
        <v>46243</v>
      </c>
      <c r="B4554" s="68">
        <v>24</v>
      </c>
      <c r="C4554" s="205" t="s">
        <v>877</v>
      </c>
      <c r="D4554" s="30">
        <v>2</v>
      </c>
      <c r="E4554" s="30">
        <v>10</v>
      </c>
      <c r="F4554" s="30">
        <f t="shared" si="154"/>
        <v>20</v>
      </c>
      <c r="G4554" s="30" t="s">
        <v>9</v>
      </c>
      <c r="J4554" s="30" t="s">
        <v>392</v>
      </c>
    </row>
    <row r="4555" spans="1:10" x14ac:dyDescent="0.25">
      <c r="A4555" s="78">
        <v>46243</v>
      </c>
      <c r="B4555" s="68">
        <v>24</v>
      </c>
      <c r="C4555" s="205" t="s">
        <v>752</v>
      </c>
      <c r="D4555" s="30">
        <v>1</v>
      </c>
      <c r="E4555" s="30">
        <v>50</v>
      </c>
      <c r="F4555" s="30">
        <f t="shared" si="154"/>
        <v>50</v>
      </c>
      <c r="G4555" s="30" t="s">
        <v>9</v>
      </c>
      <c r="J4555" s="30" t="s">
        <v>392</v>
      </c>
    </row>
    <row r="4556" spans="1:10" x14ac:dyDescent="0.25">
      <c r="A4556" s="78">
        <v>46243</v>
      </c>
      <c r="B4556" s="68">
        <v>25</v>
      </c>
      <c r="C4556" s="205" t="s">
        <v>499</v>
      </c>
      <c r="D4556" s="30">
        <v>1</v>
      </c>
      <c r="E4556" s="30">
        <v>10</v>
      </c>
      <c r="F4556" s="30">
        <f t="shared" si="154"/>
        <v>10</v>
      </c>
      <c r="G4556" s="30" t="s">
        <v>9</v>
      </c>
      <c r="J4556" s="30" t="s">
        <v>392</v>
      </c>
    </row>
    <row r="4557" spans="1:10" x14ac:dyDescent="0.25">
      <c r="A4557" s="78">
        <v>46243</v>
      </c>
      <c r="B4557" s="68">
        <v>25</v>
      </c>
      <c r="C4557" s="205" t="s">
        <v>1090</v>
      </c>
      <c r="D4557" s="30">
        <v>1</v>
      </c>
      <c r="E4557" s="30">
        <v>10</v>
      </c>
      <c r="F4557" s="30">
        <f t="shared" si="154"/>
        <v>10</v>
      </c>
      <c r="G4557" s="30" t="s">
        <v>9</v>
      </c>
      <c r="J4557" s="30" t="s">
        <v>392</v>
      </c>
    </row>
    <row r="4558" spans="1:10" x14ac:dyDescent="0.25">
      <c r="A4558" s="78">
        <v>46243</v>
      </c>
      <c r="B4558" s="68">
        <v>25</v>
      </c>
      <c r="C4558" s="205" t="s">
        <v>1229</v>
      </c>
      <c r="D4558" s="30">
        <v>1</v>
      </c>
      <c r="E4558" s="30">
        <v>40</v>
      </c>
      <c r="F4558" s="30">
        <f t="shared" si="154"/>
        <v>40</v>
      </c>
      <c r="G4558" s="30" t="s">
        <v>9</v>
      </c>
      <c r="J4558" s="30" t="s">
        <v>392</v>
      </c>
    </row>
    <row r="4559" spans="1:10" x14ac:dyDescent="0.25">
      <c r="A4559" s="78">
        <v>46243</v>
      </c>
      <c r="B4559" s="68">
        <v>25</v>
      </c>
      <c r="C4559" s="205" t="s">
        <v>1117</v>
      </c>
      <c r="D4559" s="30">
        <v>3.4000000000000002E-2</v>
      </c>
      <c r="E4559" s="30">
        <v>300</v>
      </c>
      <c r="F4559" s="30">
        <f t="shared" si="154"/>
        <v>10.200000000000001</v>
      </c>
      <c r="G4559" s="30" t="s">
        <v>9</v>
      </c>
      <c r="J4559" s="30" t="s">
        <v>392</v>
      </c>
    </row>
    <row r="4560" spans="1:10" x14ac:dyDescent="0.25">
      <c r="A4560" s="78">
        <v>46243</v>
      </c>
      <c r="B4560" s="68">
        <v>26</v>
      </c>
      <c r="C4560" s="205" t="s">
        <v>917</v>
      </c>
      <c r="D4560" s="30">
        <v>1</v>
      </c>
      <c r="E4560" s="30">
        <v>70</v>
      </c>
      <c r="F4560" s="30">
        <f t="shared" si="154"/>
        <v>70</v>
      </c>
      <c r="G4560" s="30" t="s">
        <v>9</v>
      </c>
      <c r="I4560" s="68" t="s">
        <v>1222</v>
      </c>
      <c r="J4560" s="30" t="s">
        <v>392</v>
      </c>
    </row>
    <row r="4561" spans="1:12" x14ac:dyDescent="0.25">
      <c r="A4561" s="78">
        <v>46243</v>
      </c>
      <c r="B4561" s="68">
        <v>26</v>
      </c>
      <c r="C4561" s="205" t="s">
        <v>1252</v>
      </c>
      <c r="D4561" s="30">
        <v>1</v>
      </c>
      <c r="E4561" s="30">
        <v>10</v>
      </c>
      <c r="F4561" s="30">
        <f t="shared" si="154"/>
        <v>10</v>
      </c>
      <c r="G4561" s="30" t="s">
        <v>9</v>
      </c>
      <c r="I4561" s="68" t="s">
        <v>1222</v>
      </c>
      <c r="J4561" s="30" t="s">
        <v>392</v>
      </c>
    </row>
    <row r="4562" spans="1:12" x14ac:dyDescent="0.25">
      <c r="A4562" s="78">
        <v>46243</v>
      </c>
      <c r="B4562" s="68">
        <v>27</v>
      </c>
      <c r="C4562" s="205" t="s">
        <v>877</v>
      </c>
      <c r="D4562" s="30">
        <v>1</v>
      </c>
      <c r="E4562" s="30">
        <v>10</v>
      </c>
      <c r="F4562" s="30">
        <f t="shared" si="154"/>
        <v>10</v>
      </c>
      <c r="G4562" s="30" t="s">
        <v>9</v>
      </c>
      <c r="J4562" s="30" t="s">
        <v>392</v>
      </c>
    </row>
    <row r="4563" spans="1:12" x14ac:dyDescent="0.25">
      <c r="A4563" s="78">
        <v>46243</v>
      </c>
      <c r="B4563" s="68">
        <v>27</v>
      </c>
      <c r="C4563" s="205" t="s">
        <v>1056</v>
      </c>
      <c r="D4563" s="30">
        <v>1</v>
      </c>
      <c r="E4563" s="30">
        <v>10</v>
      </c>
      <c r="F4563" s="30">
        <f t="shared" si="154"/>
        <v>10</v>
      </c>
      <c r="G4563" s="30" t="s">
        <v>9</v>
      </c>
      <c r="J4563" s="30" t="s">
        <v>392</v>
      </c>
    </row>
    <row r="4564" spans="1:12" x14ac:dyDescent="0.25">
      <c r="A4564" s="78">
        <v>46243</v>
      </c>
      <c r="B4564" s="68">
        <v>28</v>
      </c>
      <c r="C4564" s="205" t="s">
        <v>888</v>
      </c>
      <c r="D4564" s="30">
        <v>1</v>
      </c>
      <c r="E4564" s="30">
        <v>35</v>
      </c>
      <c r="F4564" s="30">
        <f t="shared" si="154"/>
        <v>35</v>
      </c>
      <c r="G4564" s="30" t="s">
        <v>9</v>
      </c>
      <c r="J4564" s="30" t="s">
        <v>392</v>
      </c>
    </row>
    <row r="4565" spans="1:12" x14ac:dyDescent="0.25">
      <c r="A4565" s="78">
        <v>46243</v>
      </c>
      <c r="B4565" s="68">
        <v>28</v>
      </c>
      <c r="C4565" s="205" t="s">
        <v>848</v>
      </c>
      <c r="D4565" s="30">
        <v>1</v>
      </c>
      <c r="E4565" s="30">
        <v>5</v>
      </c>
      <c r="F4565" s="30">
        <f t="shared" si="154"/>
        <v>5</v>
      </c>
      <c r="G4565" s="30" t="s">
        <v>9</v>
      </c>
      <c r="J4565" s="30" t="s">
        <v>392</v>
      </c>
    </row>
    <row r="4566" spans="1:12" x14ac:dyDescent="0.25">
      <c r="A4566" s="78">
        <v>46243</v>
      </c>
      <c r="B4566" s="68">
        <v>29</v>
      </c>
      <c r="C4566" s="205" t="s">
        <v>859</v>
      </c>
      <c r="D4566" s="30">
        <v>2</v>
      </c>
      <c r="E4566" s="30">
        <v>10</v>
      </c>
      <c r="F4566" s="30">
        <f t="shared" ref="F4566:F4572" si="155">E4566*D4566</f>
        <v>20</v>
      </c>
      <c r="G4566" s="30" t="s">
        <v>9</v>
      </c>
      <c r="I4566" s="68" t="s">
        <v>1034</v>
      </c>
      <c r="J4566" s="30" t="s">
        <v>392</v>
      </c>
    </row>
    <row r="4567" spans="1:12" x14ac:dyDescent="0.25">
      <c r="A4567" s="78">
        <v>46243</v>
      </c>
      <c r="B4567" s="68">
        <v>29</v>
      </c>
      <c r="C4567" s="205" t="s">
        <v>1231</v>
      </c>
      <c r="D4567" s="30">
        <v>1</v>
      </c>
      <c r="E4567" s="30">
        <v>25</v>
      </c>
      <c r="F4567" s="30">
        <f t="shared" si="155"/>
        <v>25</v>
      </c>
      <c r="G4567" s="30" t="s">
        <v>10</v>
      </c>
      <c r="I4567" s="68" t="s">
        <v>1034</v>
      </c>
      <c r="J4567" s="30" t="s">
        <v>392</v>
      </c>
    </row>
    <row r="4568" spans="1:12" x14ac:dyDescent="0.25">
      <c r="A4568" s="78">
        <v>46243</v>
      </c>
      <c r="B4568" s="68">
        <v>30</v>
      </c>
      <c r="C4568" s="205" t="s">
        <v>1252</v>
      </c>
      <c r="D4568" s="30">
        <v>1</v>
      </c>
      <c r="E4568" s="30">
        <v>5</v>
      </c>
      <c r="F4568" s="30">
        <f t="shared" si="155"/>
        <v>5</v>
      </c>
      <c r="G4568" s="30" t="s">
        <v>9</v>
      </c>
      <c r="J4568" s="30" t="s">
        <v>392</v>
      </c>
    </row>
    <row r="4569" spans="1:12" x14ac:dyDescent="0.25">
      <c r="A4569" s="78">
        <v>46243</v>
      </c>
      <c r="B4569" s="68">
        <v>31</v>
      </c>
      <c r="C4569" s="205" t="s">
        <v>1263</v>
      </c>
      <c r="D4569" s="30">
        <v>5</v>
      </c>
      <c r="E4569" s="30">
        <v>2</v>
      </c>
      <c r="F4569" s="30">
        <f t="shared" si="155"/>
        <v>10</v>
      </c>
      <c r="G4569" s="30" t="s">
        <v>10</v>
      </c>
      <c r="I4569" s="68" t="s">
        <v>1045</v>
      </c>
      <c r="J4569" s="30" t="s">
        <v>392</v>
      </c>
    </row>
    <row r="4570" spans="1:12" x14ac:dyDescent="0.25">
      <c r="A4570" s="78">
        <v>46243</v>
      </c>
      <c r="B4570" s="68">
        <v>32</v>
      </c>
      <c r="C4570" s="205" t="s">
        <v>872</v>
      </c>
      <c r="D4570" s="30">
        <v>1</v>
      </c>
      <c r="E4570" s="30">
        <v>20</v>
      </c>
      <c r="F4570" s="30">
        <f t="shared" si="155"/>
        <v>20</v>
      </c>
      <c r="G4570" s="30" t="s">
        <v>10</v>
      </c>
      <c r="I4570" s="68" t="s">
        <v>1276</v>
      </c>
      <c r="J4570" s="30" t="s">
        <v>392</v>
      </c>
    </row>
    <row r="4571" spans="1:12" x14ac:dyDescent="0.25">
      <c r="A4571" s="78">
        <v>46243</v>
      </c>
      <c r="B4571" s="68">
        <v>33</v>
      </c>
      <c r="C4571" s="205" t="s">
        <v>954</v>
      </c>
      <c r="D4571" s="30">
        <v>1</v>
      </c>
      <c r="E4571" s="30">
        <v>35</v>
      </c>
      <c r="F4571" s="30">
        <f t="shared" si="155"/>
        <v>35</v>
      </c>
      <c r="G4571" s="30" t="s">
        <v>10</v>
      </c>
      <c r="I4571" s="68" t="s">
        <v>1223</v>
      </c>
      <c r="J4571" s="30" t="s">
        <v>392</v>
      </c>
    </row>
    <row r="4572" spans="1:12" x14ac:dyDescent="0.25">
      <c r="A4572" s="78">
        <v>46243</v>
      </c>
      <c r="B4572" s="68">
        <v>33</v>
      </c>
      <c r="C4572" s="205" t="s">
        <v>1103</v>
      </c>
      <c r="D4572" s="30">
        <v>1</v>
      </c>
      <c r="E4572" s="30">
        <v>185</v>
      </c>
      <c r="F4572" s="30">
        <f t="shared" si="155"/>
        <v>185</v>
      </c>
      <c r="G4572" s="30" t="s">
        <v>10</v>
      </c>
      <c r="I4572" s="68" t="s">
        <v>1223</v>
      </c>
      <c r="J4572" s="30" t="s">
        <v>392</v>
      </c>
    </row>
    <row r="4573" spans="1:12" s="199" customFormat="1" ht="31.5" x14ac:dyDescent="0.25">
      <c r="A4573" s="196">
        <v>46243</v>
      </c>
      <c r="B4573" s="197" t="s">
        <v>1248</v>
      </c>
      <c r="C4573" s="198">
        <f>MAX(B4521:B4572)</f>
        <v>33</v>
      </c>
      <c r="D4573" s="197" t="s">
        <v>1249</v>
      </c>
      <c r="E4573" s="199">
        <f>SUMIF(G4521:G4569,"UPI",F4521:F4569)</f>
        <v>35</v>
      </c>
      <c r="H4573" s="200" t="s">
        <v>1251</v>
      </c>
      <c r="I4573" s="200">
        <f>SUMIF(G4521:G4572, "&lt;&gt;UPI",F4521:F4572)</f>
        <v>1364.54</v>
      </c>
    </row>
    <row r="4574" spans="1:12" s="5" customFormat="1" ht="15.75" x14ac:dyDescent="0.25">
      <c r="A4574" s="201">
        <v>46243</v>
      </c>
      <c r="B4574" s="2"/>
      <c r="C4574" s="14"/>
      <c r="H4574" s="2" t="s">
        <v>1250</v>
      </c>
      <c r="I4574" s="2">
        <f>SUMIF(G4500:G4572, "&lt;&gt;UPI",F4500:F4572)</f>
        <v>1973.34</v>
      </c>
    </row>
    <row r="4575" spans="1:12" s="202" customFormat="1" ht="18.75" x14ac:dyDescent="0.3">
      <c r="A4575" s="146">
        <v>46243</v>
      </c>
      <c r="B4575" s="147" t="s">
        <v>987</v>
      </c>
      <c r="C4575" s="148">
        <f>MAX(B4500:B4572)</f>
        <v>33</v>
      </c>
      <c r="D4575" s="147" t="s">
        <v>988</v>
      </c>
      <c r="E4575" s="202">
        <f>SUMIF(G4500:G4572,"UPI",F4500:F4572)</f>
        <v>402</v>
      </c>
      <c r="F4575" s="230" t="s">
        <v>437</v>
      </c>
      <c r="G4575" s="230"/>
      <c r="H4575" s="230"/>
      <c r="I4575" s="230">
        <f>SUM(F4500:F4572)</f>
        <v>2375.34</v>
      </c>
      <c r="J4575" s="230"/>
      <c r="K4575" s="230"/>
      <c r="L4575" s="230"/>
    </row>
    <row r="4576" spans="1:12" x14ac:dyDescent="0.25">
      <c r="A4576" s="78">
        <v>46244</v>
      </c>
      <c r="B4576" s="68">
        <v>1</v>
      </c>
      <c r="C4576" s="205" t="s">
        <v>1108</v>
      </c>
      <c r="D4576" s="30">
        <v>1</v>
      </c>
      <c r="E4576" s="30">
        <v>25</v>
      </c>
      <c r="F4576" s="30">
        <f>E4576*D4576</f>
        <v>25</v>
      </c>
      <c r="G4576" s="30" t="s">
        <v>9</v>
      </c>
    </row>
    <row r="4577" spans="1:9" x14ac:dyDescent="0.25">
      <c r="A4577" s="78">
        <v>46244</v>
      </c>
      <c r="B4577" s="68">
        <v>1</v>
      </c>
      <c r="C4577" s="205" t="s">
        <v>395</v>
      </c>
      <c r="D4577" s="30">
        <v>1</v>
      </c>
      <c r="E4577" s="30">
        <v>10</v>
      </c>
      <c r="F4577" s="30">
        <f t="shared" ref="F4577:F4616" si="156">E4577*D4577</f>
        <v>10</v>
      </c>
      <c r="G4577" s="30" t="s">
        <v>9</v>
      </c>
    </row>
    <row r="4578" spans="1:9" x14ac:dyDescent="0.25">
      <c r="A4578" s="78">
        <v>46244</v>
      </c>
      <c r="B4578" s="68">
        <v>1</v>
      </c>
      <c r="C4578" s="205" t="s">
        <v>375</v>
      </c>
      <c r="D4578" s="30">
        <v>5</v>
      </c>
      <c r="E4578" s="30">
        <v>1</v>
      </c>
      <c r="F4578" s="30">
        <f t="shared" si="156"/>
        <v>5</v>
      </c>
      <c r="G4578" s="30" t="s">
        <v>9</v>
      </c>
    </row>
    <row r="4579" spans="1:9" x14ac:dyDescent="0.25">
      <c r="A4579" s="78">
        <v>46244</v>
      </c>
      <c r="B4579" s="68">
        <v>1</v>
      </c>
      <c r="C4579" s="205" t="s">
        <v>970</v>
      </c>
      <c r="D4579" s="30">
        <v>1</v>
      </c>
      <c r="E4579" s="30">
        <v>10</v>
      </c>
      <c r="F4579" s="30">
        <f t="shared" si="156"/>
        <v>10</v>
      </c>
      <c r="G4579" s="30" t="s">
        <v>9</v>
      </c>
    </row>
    <row r="4580" spans="1:9" x14ac:dyDescent="0.25">
      <c r="A4580" s="78">
        <v>46244</v>
      </c>
      <c r="B4580" s="68">
        <v>2</v>
      </c>
      <c r="C4580" s="205" t="s">
        <v>68</v>
      </c>
      <c r="D4580" s="30">
        <v>1</v>
      </c>
      <c r="E4580" s="30">
        <v>10</v>
      </c>
      <c r="F4580" s="30">
        <f t="shared" si="156"/>
        <v>10</v>
      </c>
      <c r="G4580" s="30" t="s">
        <v>16</v>
      </c>
      <c r="I4580" s="68" t="s">
        <v>1277</v>
      </c>
    </row>
    <row r="4581" spans="1:9" x14ac:dyDescent="0.25">
      <c r="A4581" s="78">
        <v>46244</v>
      </c>
      <c r="B4581" s="68">
        <v>3</v>
      </c>
      <c r="C4581" s="205" t="s">
        <v>1139</v>
      </c>
      <c r="D4581" s="30">
        <v>1</v>
      </c>
      <c r="E4581" s="30">
        <v>5</v>
      </c>
      <c r="F4581" s="30">
        <f t="shared" si="156"/>
        <v>5</v>
      </c>
      <c r="G4581" s="30" t="s">
        <v>9</v>
      </c>
    </row>
    <row r="4582" spans="1:9" x14ac:dyDescent="0.25">
      <c r="A4582" s="78">
        <v>46244</v>
      </c>
      <c r="B4582" s="68">
        <v>3</v>
      </c>
      <c r="C4582" s="205" t="s">
        <v>533</v>
      </c>
      <c r="D4582" s="30">
        <v>1</v>
      </c>
      <c r="E4582" s="30">
        <v>10</v>
      </c>
      <c r="F4582" s="30">
        <f t="shared" si="156"/>
        <v>10</v>
      </c>
      <c r="G4582" s="30" t="s">
        <v>9</v>
      </c>
    </row>
    <row r="4583" spans="1:9" x14ac:dyDescent="0.25">
      <c r="A4583" s="78">
        <v>46244</v>
      </c>
      <c r="B4583" s="68">
        <v>4</v>
      </c>
      <c r="C4583" s="205" t="s">
        <v>1120</v>
      </c>
      <c r="D4583" s="30">
        <v>1</v>
      </c>
      <c r="E4583" s="30">
        <v>60</v>
      </c>
      <c r="F4583" s="30">
        <f t="shared" si="156"/>
        <v>60</v>
      </c>
      <c r="G4583" s="30" t="s">
        <v>10</v>
      </c>
    </row>
    <row r="4584" spans="1:9" ht="30" x14ac:dyDescent="0.25">
      <c r="A4584" s="78">
        <v>46244</v>
      </c>
      <c r="B4584" s="68">
        <v>5</v>
      </c>
      <c r="C4584" s="205" t="s">
        <v>1195</v>
      </c>
      <c r="D4584" s="30">
        <v>1</v>
      </c>
      <c r="E4584" s="30">
        <v>30</v>
      </c>
      <c r="F4584" s="30">
        <f t="shared" si="156"/>
        <v>30</v>
      </c>
      <c r="G4584" s="30" t="s">
        <v>10</v>
      </c>
    </row>
    <row r="4585" spans="1:9" x14ac:dyDescent="0.25">
      <c r="A4585" s="78">
        <v>46244</v>
      </c>
      <c r="B4585" s="68">
        <v>4</v>
      </c>
      <c r="C4585" s="205" t="s">
        <v>1109</v>
      </c>
      <c r="D4585" s="30">
        <v>5</v>
      </c>
      <c r="E4585" s="30">
        <v>20</v>
      </c>
      <c r="F4585" s="30">
        <f t="shared" si="156"/>
        <v>100</v>
      </c>
      <c r="G4585" s="30" t="s">
        <v>10</v>
      </c>
    </row>
    <row r="4586" spans="1:9" ht="30" x14ac:dyDescent="0.25">
      <c r="A4586" s="78">
        <v>46244</v>
      </c>
      <c r="B4586" s="68">
        <v>5</v>
      </c>
      <c r="C4586" s="205" t="s">
        <v>977</v>
      </c>
      <c r="D4586" s="30">
        <v>1</v>
      </c>
      <c r="E4586" s="30">
        <v>10</v>
      </c>
      <c r="F4586" s="30">
        <f t="shared" si="156"/>
        <v>10</v>
      </c>
      <c r="G4586" s="30" t="s">
        <v>9</v>
      </c>
    </row>
    <row r="4587" spans="1:9" x14ac:dyDescent="0.25">
      <c r="A4587" s="78">
        <v>46244</v>
      </c>
      <c r="B4587" s="68">
        <v>6</v>
      </c>
      <c r="C4587" s="205" t="s">
        <v>914</v>
      </c>
      <c r="D4587" s="30">
        <v>1</v>
      </c>
      <c r="E4587" s="30">
        <v>30</v>
      </c>
      <c r="F4587" s="30">
        <f t="shared" si="156"/>
        <v>30</v>
      </c>
      <c r="G4587" s="30" t="s">
        <v>9</v>
      </c>
    </row>
    <row r="4588" spans="1:9" x14ac:dyDescent="0.25">
      <c r="A4588" s="78">
        <v>46244</v>
      </c>
      <c r="B4588" s="68">
        <v>5</v>
      </c>
      <c r="C4588" s="205" t="s">
        <v>810</v>
      </c>
      <c r="D4588" s="30">
        <v>0.18</v>
      </c>
      <c r="E4588" s="30">
        <v>60</v>
      </c>
      <c r="F4588" s="30">
        <f t="shared" si="156"/>
        <v>10.799999999999999</v>
      </c>
      <c r="G4588" s="30" t="s">
        <v>9</v>
      </c>
    </row>
    <row r="4589" spans="1:9" x14ac:dyDescent="0.25">
      <c r="A4589" s="78">
        <v>46244</v>
      </c>
      <c r="B4589" s="68">
        <v>5</v>
      </c>
      <c r="C4589" s="205" t="s">
        <v>1244</v>
      </c>
      <c r="D4589" s="33">
        <v>1</v>
      </c>
      <c r="E4589" s="30">
        <v>30</v>
      </c>
      <c r="F4589" s="30">
        <f t="shared" si="156"/>
        <v>30</v>
      </c>
      <c r="G4589" s="30" t="s">
        <v>9</v>
      </c>
    </row>
    <row r="4590" spans="1:9" x14ac:dyDescent="0.25">
      <c r="A4590" s="78">
        <v>46244</v>
      </c>
      <c r="B4590" s="68">
        <v>6</v>
      </c>
      <c r="C4590" s="205" t="s">
        <v>1105</v>
      </c>
      <c r="D4590" s="30">
        <v>1</v>
      </c>
      <c r="E4590" s="30">
        <v>20</v>
      </c>
      <c r="F4590" s="30">
        <f t="shared" si="156"/>
        <v>20</v>
      </c>
      <c r="G4590" s="30" t="s">
        <v>9</v>
      </c>
    </row>
    <row r="4591" spans="1:9" x14ac:dyDescent="0.25">
      <c r="A4591" s="78">
        <v>46244</v>
      </c>
      <c r="B4591" s="68">
        <v>7</v>
      </c>
      <c r="C4591" s="205" t="s">
        <v>1089</v>
      </c>
      <c r="D4591" s="30">
        <v>0.57999999999999996</v>
      </c>
      <c r="E4591" s="30">
        <v>70</v>
      </c>
      <c r="F4591" s="30">
        <f t="shared" si="156"/>
        <v>40.599999999999994</v>
      </c>
      <c r="G4591" s="30" t="s">
        <v>9</v>
      </c>
    </row>
    <row r="4592" spans="1:9" x14ac:dyDescent="0.25">
      <c r="A4592" s="78">
        <v>46244</v>
      </c>
      <c r="B4592" s="68">
        <v>8</v>
      </c>
      <c r="C4592" s="205" t="s">
        <v>1123</v>
      </c>
      <c r="D4592" s="30">
        <v>1</v>
      </c>
      <c r="E4592" s="30">
        <v>30</v>
      </c>
      <c r="F4592" s="30">
        <f t="shared" si="156"/>
        <v>30</v>
      </c>
      <c r="G4592" s="30" t="s">
        <v>9</v>
      </c>
    </row>
    <row r="4593" spans="1:9" x14ac:dyDescent="0.25">
      <c r="A4593" s="78">
        <v>46244</v>
      </c>
      <c r="B4593" s="68">
        <v>8</v>
      </c>
      <c r="C4593" s="205" t="s">
        <v>54</v>
      </c>
      <c r="D4593" s="30">
        <v>10</v>
      </c>
      <c r="E4593" s="30">
        <v>1</v>
      </c>
      <c r="F4593" s="30">
        <f t="shared" si="156"/>
        <v>10</v>
      </c>
      <c r="G4593" s="30" t="s">
        <v>9</v>
      </c>
    </row>
    <row r="4594" spans="1:9" x14ac:dyDescent="0.25">
      <c r="A4594" s="78">
        <v>46244</v>
      </c>
      <c r="B4594" s="68">
        <v>8</v>
      </c>
      <c r="C4594" s="205" t="s">
        <v>914</v>
      </c>
      <c r="D4594" s="30">
        <v>1</v>
      </c>
      <c r="E4594" s="30">
        <v>30</v>
      </c>
      <c r="F4594" s="30">
        <f t="shared" si="156"/>
        <v>30</v>
      </c>
      <c r="G4594" s="30" t="s">
        <v>9</v>
      </c>
    </row>
    <row r="4595" spans="1:9" ht="30" x14ac:dyDescent="0.25">
      <c r="A4595" s="78">
        <v>46244</v>
      </c>
      <c r="B4595" s="68">
        <v>8</v>
      </c>
      <c r="C4595" s="205" t="s">
        <v>599</v>
      </c>
      <c r="D4595" s="30">
        <v>1</v>
      </c>
      <c r="E4595" s="30">
        <v>185</v>
      </c>
      <c r="F4595" s="30">
        <f t="shared" si="156"/>
        <v>185</v>
      </c>
      <c r="G4595" s="30" t="s">
        <v>9</v>
      </c>
    </row>
    <row r="4596" spans="1:9" ht="30" x14ac:dyDescent="0.25">
      <c r="A4596" s="78">
        <v>46244</v>
      </c>
      <c r="B4596" s="68">
        <v>8</v>
      </c>
      <c r="C4596" s="205" t="s">
        <v>1173</v>
      </c>
      <c r="D4596" s="30">
        <v>1</v>
      </c>
      <c r="E4596" s="30">
        <v>160</v>
      </c>
      <c r="F4596" s="30">
        <f t="shared" si="156"/>
        <v>160</v>
      </c>
      <c r="G4596" s="30" t="s">
        <v>9</v>
      </c>
    </row>
    <row r="4597" spans="1:9" x14ac:dyDescent="0.25">
      <c r="A4597" s="78">
        <v>46244</v>
      </c>
      <c r="B4597" s="68">
        <v>8</v>
      </c>
      <c r="C4597" s="205" t="s">
        <v>1158</v>
      </c>
      <c r="D4597" s="30">
        <v>1</v>
      </c>
      <c r="E4597" s="30">
        <v>30</v>
      </c>
      <c r="F4597" s="30">
        <f t="shared" si="156"/>
        <v>30</v>
      </c>
      <c r="G4597" s="30" t="s">
        <v>9</v>
      </c>
    </row>
    <row r="4598" spans="1:9" x14ac:dyDescent="0.25">
      <c r="A4598" s="78">
        <v>46244</v>
      </c>
      <c r="B4598" s="68">
        <v>8</v>
      </c>
      <c r="C4598" s="205" t="s">
        <v>917</v>
      </c>
      <c r="D4598" s="30">
        <v>1</v>
      </c>
      <c r="E4598" s="30">
        <v>70</v>
      </c>
      <c r="F4598" s="30">
        <f t="shared" si="156"/>
        <v>70</v>
      </c>
      <c r="G4598" s="30" t="s">
        <v>9</v>
      </c>
    </row>
    <row r="4599" spans="1:9" x14ac:dyDescent="0.25">
      <c r="A4599" s="78">
        <v>46244</v>
      </c>
      <c r="B4599" s="68">
        <v>8</v>
      </c>
      <c r="C4599" s="205" t="s">
        <v>1171</v>
      </c>
      <c r="D4599" s="30">
        <v>1</v>
      </c>
      <c r="E4599" s="30">
        <v>60</v>
      </c>
      <c r="F4599" s="30">
        <f t="shared" si="156"/>
        <v>60</v>
      </c>
      <c r="G4599" s="30" t="s">
        <v>9</v>
      </c>
    </row>
    <row r="4600" spans="1:9" ht="30" x14ac:dyDescent="0.25">
      <c r="A4600" s="78">
        <v>46244</v>
      </c>
      <c r="B4600" s="68">
        <v>8</v>
      </c>
      <c r="C4600" s="205" t="s">
        <v>800</v>
      </c>
      <c r="D4600" s="30">
        <v>1</v>
      </c>
      <c r="E4600" s="30">
        <v>48</v>
      </c>
      <c r="F4600" s="30">
        <f t="shared" si="156"/>
        <v>48</v>
      </c>
      <c r="G4600" s="30" t="s">
        <v>9</v>
      </c>
    </row>
    <row r="4601" spans="1:9" x14ac:dyDescent="0.25">
      <c r="A4601" s="78">
        <v>46244</v>
      </c>
      <c r="B4601" s="68">
        <v>8</v>
      </c>
      <c r="C4601" s="205" t="s">
        <v>750</v>
      </c>
      <c r="D4601" s="30">
        <v>1</v>
      </c>
      <c r="E4601" s="30">
        <v>50</v>
      </c>
      <c r="F4601" s="30">
        <f t="shared" si="156"/>
        <v>50</v>
      </c>
      <c r="G4601" s="30" t="s">
        <v>9</v>
      </c>
    </row>
    <row r="4602" spans="1:9" x14ac:dyDescent="0.25">
      <c r="A4602" s="78">
        <v>46244</v>
      </c>
      <c r="B4602" s="68">
        <v>9</v>
      </c>
      <c r="C4602" s="205" t="s">
        <v>949</v>
      </c>
      <c r="D4602" s="30">
        <v>20</v>
      </c>
      <c r="E4602" s="30">
        <v>1</v>
      </c>
      <c r="F4602" s="30">
        <f t="shared" si="156"/>
        <v>20</v>
      </c>
      <c r="G4602" s="30" t="s">
        <v>10</v>
      </c>
    </row>
    <row r="4603" spans="1:9" x14ac:dyDescent="0.25">
      <c r="A4603" s="78">
        <v>46244</v>
      </c>
      <c r="B4603" s="68">
        <v>10</v>
      </c>
      <c r="C4603" s="205" t="s">
        <v>1255</v>
      </c>
      <c r="D4603" s="30">
        <v>1</v>
      </c>
      <c r="E4603" s="30">
        <v>10</v>
      </c>
      <c r="F4603" s="30">
        <f t="shared" si="156"/>
        <v>10</v>
      </c>
      <c r="G4603" s="30" t="s">
        <v>16</v>
      </c>
      <c r="I4603" s="68" t="s">
        <v>1226</v>
      </c>
    </row>
    <row r="4604" spans="1:9" x14ac:dyDescent="0.25">
      <c r="A4604" s="78">
        <v>46244</v>
      </c>
      <c r="B4604" s="68">
        <v>10</v>
      </c>
      <c r="C4604" s="205" t="s">
        <v>1252</v>
      </c>
      <c r="D4604" s="30">
        <v>1</v>
      </c>
      <c r="E4604" s="30">
        <v>5</v>
      </c>
      <c r="F4604" s="30">
        <f t="shared" si="156"/>
        <v>5</v>
      </c>
      <c r="G4604" s="30" t="s">
        <v>16</v>
      </c>
      <c r="I4604" s="68" t="s">
        <v>1226</v>
      </c>
    </row>
    <row r="4605" spans="1:9" x14ac:dyDescent="0.25">
      <c r="A4605" s="78">
        <v>46244</v>
      </c>
      <c r="B4605" s="68">
        <v>10</v>
      </c>
      <c r="C4605" s="205" t="s">
        <v>1253</v>
      </c>
      <c r="D4605" s="30">
        <v>1</v>
      </c>
      <c r="E4605" s="30">
        <v>5</v>
      </c>
      <c r="F4605" s="30">
        <f t="shared" si="156"/>
        <v>5</v>
      </c>
      <c r="G4605" s="30" t="s">
        <v>16</v>
      </c>
      <c r="I4605" s="68" t="s">
        <v>1226</v>
      </c>
    </row>
    <row r="4606" spans="1:9" x14ac:dyDescent="0.25">
      <c r="A4606" s="78">
        <v>46244</v>
      </c>
      <c r="B4606" s="68">
        <v>11</v>
      </c>
      <c r="C4606" s="205" t="s">
        <v>702</v>
      </c>
      <c r="D4606" s="30">
        <v>1</v>
      </c>
      <c r="E4606" s="30">
        <v>10</v>
      </c>
      <c r="F4606" s="30">
        <f t="shared" si="156"/>
        <v>10</v>
      </c>
      <c r="G4606" s="30" t="s">
        <v>9</v>
      </c>
    </row>
    <row r="4607" spans="1:9" x14ac:dyDescent="0.25">
      <c r="A4607" s="78">
        <v>46244</v>
      </c>
      <c r="B4607" s="68">
        <v>12</v>
      </c>
      <c r="C4607" s="205" t="s">
        <v>966</v>
      </c>
      <c r="D4607" s="30">
        <v>10</v>
      </c>
      <c r="E4607" s="30">
        <v>1</v>
      </c>
      <c r="F4607" s="30">
        <f t="shared" si="156"/>
        <v>10</v>
      </c>
      <c r="G4607" s="30" t="s">
        <v>9</v>
      </c>
    </row>
    <row r="4608" spans="1:9" x14ac:dyDescent="0.25">
      <c r="A4608" s="78">
        <v>46244</v>
      </c>
      <c r="B4608" s="68">
        <v>13</v>
      </c>
      <c r="C4608" s="205" t="s">
        <v>947</v>
      </c>
      <c r="D4608" s="30">
        <v>1</v>
      </c>
      <c r="E4608" s="30">
        <v>20</v>
      </c>
      <c r="F4608" s="30">
        <f t="shared" si="156"/>
        <v>20</v>
      </c>
      <c r="G4608" s="30" t="s">
        <v>9</v>
      </c>
    </row>
    <row r="4609" spans="1:9" x14ac:dyDescent="0.25">
      <c r="A4609" s="78">
        <v>46244</v>
      </c>
      <c r="B4609" s="68">
        <v>13</v>
      </c>
      <c r="C4609" s="205" t="s">
        <v>1230</v>
      </c>
      <c r="D4609" s="30">
        <v>4</v>
      </c>
      <c r="E4609" s="30">
        <v>10</v>
      </c>
      <c r="F4609" s="30">
        <f t="shared" si="156"/>
        <v>40</v>
      </c>
      <c r="G4609" s="30" t="s">
        <v>9</v>
      </c>
    </row>
    <row r="4610" spans="1:9" ht="30" x14ac:dyDescent="0.25">
      <c r="A4610" s="78">
        <v>46244</v>
      </c>
      <c r="B4610" s="68">
        <v>10</v>
      </c>
      <c r="C4610" s="205" t="s">
        <v>1054</v>
      </c>
      <c r="D4610" s="30">
        <v>2</v>
      </c>
      <c r="E4610" s="30">
        <v>10</v>
      </c>
      <c r="F4610" s="30">
        <f t="shared" si="156"/>
        <v>20</v>
      </c>
      <c r="G4610" s="30" t="s">
        <v>9</v>
      </c>
    </row>
    <row r="4611" spans="1:9" x14ac:dyDescent="0.25">
      <c r="A4611" s="78">
        <v>46244</v>
      </c>
      <c r="B4611" s="68">
        <v>10</v>
      </c>
      <c r="C4611" s="205" t="s">
        <v>960</v>
      </c>
      <c r="D4611" s="30">
        <v>3</v>
      </c>
      <c r="E4611" s="30">
        <v>5</v>
      </c>
      <c r="F4611" s="30">
        <f t="shared" si="156"/>
        <v>15</v>
      </c>
      <c r="G4611" s="30" t="s">
        <v>16</v>
      </c>
      <c r="I4611" s="68" t="s">
        <v>1226</v>
      </c>
    </row>
    <row r="4612" spans="1:9" x14ac:dyDescent="0.25">
      <c r="A4612" s="78">
        <v>46244</v>
      </c>
      <c r="B4612" s="68">
        <v>10</v>
      </c>
      <c r="C4612" s="205" t="s">
        <v>1252</v>
      </c>
      <c r="D4612" s="30">
        <v>1</v>
      </c>
      <c r="E4612" s="30">
        <v>5</v>
      </c>
      <c r="F4612" s="30">
        <f t="shared" si="156"/>
        <v>5</v>
      </c>
      <c r="G4612" s="30" t="s">
        <v>16</v>
      </c>
      <c r="I4612" s="68" t="s">
        <v>1226</v>
      </c>
    </row>
    <row r="4613" spans="1:9" x14ac:dyDescent="0.25">
      <c r="A4613" s="78">
        <v>46244</v>
      </c>
      <c r="B4613" s="68">
        <v>10</v>
      </c>
      <c r="C4613" s="205" t="s">
        <v>1253</v>
      </c>
      <c r="D4613" s="30">
        <v>2</v>
      </c>
      <c r="E4613" s="30">
        <v>5</v>
      </c>
      <c r="F4613" s="30">
        <f t="shared" si="156"/>
        <v>10</v>
      </c>
      <c r="G4613" s="30" t="s">
        <v>16</v>
      </c>
      <c r="I4613" s="68" t="s">
        <v>1226</v>
      </c>
    </row>
    <row r="4614" spans="1:9" ht="30" x14ac:dyDescent="0.25">
      <c r="A4614" s="78">
        <v>46244</v>
      </c>
      <c r="B4614" s="68">
        <v>10</v>
      </c>
      <c r="C4614" s="205" t="s">
        <v>575</v>
      </c>
      <c r="D4614" s="30">
        <v>1</v>
      </c>
      <c r="E4614" s="30">
        <v>20</v>
      </c>
      <c r="F4614" s="30">
        <f t="shared" si="156"/>
        <v>20</v>
      </c>
      <c r="G4614" s="30" t="s">
        <v>9</v>
      </c>
    </row>
    <row r="4615" spans="1:9" x14ac:dyDescent="0.25">
      <c r="A4615" s="78">
        <v>46244</v>
      </c>
      <c r="B4615" s="68">
        <v>14</v>
      </c>
      <c r="C4615" s="205" t="s">
        <v>15</v>
      </c>
      <c r="D4615" s="30">
        <v>1</v>
      </c>
      <c r="E4615" s="30">
        <v>10</v>
      </c>
      <c r="F4615" s="30">
        <f t="shared" si="156"/>
        <v>10</v>
      </c>
      <c r="G4615" s="30" t="s">
        <v>9</v>
      </c>
    </row>
    <row r="4616" spans="1:9" x14ac:dyDescent="0.25">
      <c r="A4616" s="78">
        <v>46244</v>
      </c>
      <c r="B4616" s="68">
        <v>3</v>
      </c>
      <c r="C4616" s="205" t="s">
        <v>1263</v>
      </c>
      <c r="D4616" s="30">
        <v>2</v>
      </c>
      <c r="E4616" s="30">
        <v>2.5</v>
      </c>
      <c r="F4616" s="30">
        <f t="shared" si="156"/>
        <v>5</v>
      </c>
      <c r="G4616" s="30" t="s">
        <v>9</v>
      </c>
    </row>
    <row r="4617" spans="1:9" s="199" customFormat="1" ht="31.5" x14ac:dyDescent="0.25">
      <c r="A4617" s="196">
        <v>46244</v>
      </c>
      <c r="B4617" s="197" t="s">
        <v>1245</v>
      </c>
      <c r="C4617" s="198">
        <f>MAX(B4576:B4616)</f>
        <v>14</v>
      </c>
      <c r="D4617" s="197" t="s">
        <v>1246</v>
      </c>
      <c r="E4617" s="199">
        <f>SUMIF(G4576:G4616,"UPI",F4576:F4616)</f>
        <v>210</v>
      </c>
      <c r="H4617" s="200" t="s">
        <v>1247</v>
      </c>
      <c r="I4617" s="200">
        <f>SUMIF(G4576:G4616, "&lt;&gt;UPI",F4576:F4616)</f>
        <v>1074.4000000000001</v>
      </c>
    </row>
    <row r="4618" spans="1:9" x14ac:dyDescent="0.25">
      <c r="A4618" s="78">
        <v>46244</v>
      </c>
      <c r="B4618" s="68">
        <v>1</v>
      </c>
      <c r="C4618" s="33" t="s">
        <v>1274</v>
      </c>
      <c r="D4618" s="30">
        <v>1</v>
      </c>
      <c r="E4618" s="30">
        <v>10</v>
      </c>
      <c r="F4618" s="30">
        <f>E4618*D4618</f>
        <v>10</v>
      </c>
      <c r="G4618" s="30" t="s">
        <v>9</v>
      </c>
    </row>
    <row r="4619" spans="1:9" x14ac:dyDescent="0.25">
      <c r="A4619" s="78">
        <v>46244</v>
      </c>
      <c r="B4619" s="68">
        <v>2</v>
      </c>
      <c r="C4619" s="205" t="s">
        <v>683</v>
      </c>
      <c r="D4619" s="30">
        <v>1</v>
      </c>
      <c r="E4619" s="30">
        <v>10</v>
      </c>
      <c r="F4619" s="30">
        <f>E4619*D4619</f>
        <v>10</v>
      </c>
      <c r="G4619" s="30" t="s">
        <v>9</v>
      </c>
    </row>
    <row r="4620" spans="1:9" x14ac:dyDescent="0.25">
      <c r="A4620" s="78">
        <v>46244</v>
      </c>
      <c r="B4620" s="68">
        <v>3</v>
      </c>
      <c r="C4620" s="205" t="s">
        <v>877</v>
      </c>
      <c r="D4620" s="30">
        <v>1</v>
      </c>
      <c r="E4620" s="30">
        <v>10</v>
      </c>
      <c r="F4620" s="30">
        <f t="shared" ref="F4620:F4664" si="157">E4620*D4620</f>
        <v>10</v>
      </c>
      <c r="G4620" s="30" t="s">
        <v>9</v>
      </c>
    </row>
    <row r="4621" spans="1:9" x14ac:dyDescent="0.25">
      <c r="A4621" s="78">
        <v>46244</v>
      </c>
      <c r="B4621" s="68">
        <v>3</v>
      </c>
      <c r="C4621" s="205" t="s">
        <v>960</v>
      </c>
      <c r="D4621" s="30">
        <v>1</v>
      </c>
      <c r="E4621" s="30">
        <v>5</v>
      </c>
      <c r="F4621" s="30">
        <f t="shared" si="157"/>
        <v>5</v>
      </c>
      <c r="G4621" s="30" t="s">
        <v>9</v>
      </c>
    </row>
    <row r="4622" spans="1:9" x14ac:dyDescent="0.25">
      <c r="A4622" s="78">
        <v>46244</v>
      </c>
      <c r="B4622" s="68">
        <v>3</v>
      </c>
      <c r="C4622" s="205" t="s">
        <v>1252</v>
      </c>
      <c r="D4622" s="30">
        <v>1</v>
      </c>
      <c r="E4622" s="30">
        <v>5</v>
      </c>
      <c r="F4622" s="30">
        <f t="shared" si="157"/>
        <v>5</v>
      </c>
      <c r="G4622" s="30" t="s">
        <v>9</v>
      </c>
    </row>
    <row r="4623" spans="1:9" ht="30" x14ac:dyDescent="0.25">
      <c r="A4623" s="78">
        <v>46244</v>
      </c>
      <c r="B4623" s="68">
        <v>4</v>
      </c>
      <c r="C4623" s="205" t="s">
        <v>1256</v>
      </c>
      <c r="D4623" s="30">
        <v>1</v>
      </c>
      <c r="E4623" s="30">
        <v>10</v>
      </c>
      <c r="F4623" s="30">
        <f t="shared" si="157"/>
        <v>10</v>
      </c>
      <c r="G4623" s="30" t="s">
        <v>9</v>
      </c>
    </row>
    <row r="4624" spans="1:9" x14ac:dyDescent="0.25">
      <c r="A4624" s="78">
        <v>46244</v>
      </c>
      <c r="B4624" s="68">
        <v>4</v>
      </c>
      <c r="C4624" s="205" t="s">
        <v>1252</v>
      </c>
      <c r="D4624" s="30">
        <v>1</v>
      </c>
      <c r="E4624" s="30">
        <v>5</v>
      </c>
      <c r="F4624" s="30">
        <f t="shared" si="157"/>
        <v>5</v>
      </c>
      <c r="G4624" s="30" t="s">
        <v>9</v>
      </c>
    </row>
    <row r="4625" spans="1:9" x14ac:dyDescent="0.25">
      <c r="A4625" s="78">
        <v>46244</v>
      </c>
      <c r="B4625" s="68">
        <v>5</v>
      </c>
      <c r="C4625" s="205" t="s">
        <v>966</v>
      </c>
      <c r="D4625" s="30">
        <v>10</v>
      </c>
      <c r="E4625" s="30">
        <v>1</v>
      </c>
      <c r="F4625" s="30">
        <f t="shared" si="157"/>
        <v>10</v>
      </c>
      <c r="G4625" s="30" t="s">
        <v>9</v>
      </c>
    </row>
    <row r="4626" spans="1:9" ht="30" x14ac:dyDescent="0.25">
      <c r="A4626" s="78">
        <v>46244</v>
      </c>
      <c r="B4626" s="68">
        <v>6</v>
      </c>
      <c r="C4626" s="205" t="s">
        <v>1054</v>
      </c>
      <c r="D4626" s="30">
        <v>1</v>
      </c>
      <c r="E4626" s="30">
        <v>10</v>
      </c>
      <c r="F4626" s="30">
        <f t="shared" si="157"/>
        <v>10</v>
      </c>
      <c r="G4626" s="30" t="s">
        <v>9</v>
      </c>
    </row>
    <row r="4627" spans="1:9" x14ac:dyDescent="0.25">
      <c r="A4627" s="78">
        <v>46244</v>
      </c>
      <c r="B4627" s="68">
        <v>6</v>
      </c>
      <c r="C4627" s="205" t="s">
        <v>1163</v>
      </c>
      <c r="D4627" s="30">
        <v>1</v>
      </c>
      <c r="E4627" s="30">
        <v>10</v>
      </c>
      <c r="F4627" s="30">
        <f t="shared" si="157"/>
        <v>10</v>
      </c>
      <c r="G4627" s="30" t="s">
        <v>9</v>
      </c>
    </row>
    <row r="4628" spans="1:9" x14ac:dyDescent="0.25">
      <c r="A4628" s="78">
        <v>46244</v>
      </c>
      <c r="B4628" s="68">
        <v>6</v>
      </c>
      <c r="C4628" s="204" t="s">
        <v>1141</v>
      </c>
      <c r="D4628" s="30">
        <v>1</v>
      </c>
      <c r="E4628" s="30">
        <v>10</v>
      </c>
      <c r="F4628" s="30">
        <f t="shared" si="157"/>
        <v>10</v>
      </c>
      <c r="G4628" s="30" t="s">
        <v>9</v>
      </c>
    </row>
    <row r="4629" spans="1:9" x14ac:dyDescent="0.25">
      <c r="A4629" s="78">
        <v>46244</v>
      </c>
      <c r="B4629" s="68">
        <v>7</v>
      </c>
      <c r="C4629" s="205" t="s">
        <v>1090</v>
      </c>
      <c r="D4629" s="30">
        <v>2</v>
      </c>
      <c r="E4629" s="30">
        <v>10</v>
      </c>
      <c r="F4629" s="30">
        <f t="shared" si="157"/>
        <v>20</v>
      </c>
      <c r="G4629" s="30" t="s">
        <v>9</v>
      </c>
    </row>
    <row r="4630" spans="1:9" x14ac:dyDescent="0.25">
      <c r="A4630" s="78">
        <v>46244</v>
      </c>
      <c r="B4630" s="68">
        <v>8</v>
      </c>
      <c r="C4630" s="205" t="s">
        <v>1090</v>
      </c>
      <c r="D4630" s="30">
        <v>3</v>
      </c>
      <c r="E4630" s="30">
        <v>10</v>
      </c>
      <c r="F4630" s="30">
        <f t="shared" si="157"/>
        <v>30</v>
      </c>
      <c r="G4630" s="30" t="s">
        <v>9</v>
      </c>
    </row>
    <row r="4631" spans="1:9" x14ac:dyDescent="0.25">
      <c r="A4631" s="78">
        <v>46244</v>
      </c>
      <c r="B4631" s="68">
        <v>8</v>
      </c>
      <c r="C4631" s="204" t="s">
        <v>1141</v>
      </c>
      <c r="D4631" s="30">
        <v>1</v>
      </c>
      <c r="E4631" s="30">
        <v>10</v>
      </c>
      <c r="F4631" s="30">
        <f t="shared" si="157"/>
        <v>10</v>
      </c>
      <c r="G4631" s="30" t="s">
        <v>9</v>
      </c>
    </row>
    <row r="4632" spans="1:9" x14ac:dyDescent="0.25">
      <c r="A4632" s="78">
        <v>46244</v>
      </c>
      <c r="B4632" s="68">
        <v>8</v>
      </c>
      <c r="C4632" s="205" t="s">
        <v>680</v>
      </c>
      <c r="D4632" s="30">
        <v>1</v>
      </c>
      <c r="E4632" s="30">
        <v>10</v>
      </c>
      <c r="F4632" s="30">
        <f t="shared" si="157"/>
        <v>10</v>
      </c>
      <c r="G4632" s="30" t="s">
        <v>9</v>
      </c>
    </row>
    <row r="4633" spans="1:9" x14ac:dyDescent="0.25">
      <c r="A4633" s="78">
        <v>46244</v>
      </c>
      <c r="B4633" s="68">
        <v>9</v>
      </c>
      <c r="C4633" s="205" t="s">
        <v>1168</v>
      </c>
      <c r="D4633" s="30">
        <v>2</v>
      </c>
      <c r="E4633" s="30">
        <v>10</v>
      </c>
      <c r="F4633" s="30">
        <f t="shared" si="157"/>
        <v>20</v>
      </c>
      <c r="G4633" s="30" t="s">
        <v>9</v>
      </c>
    </row>
    <row r="4634" spans="1:9" x14ac:dyDescent="0.25">
      <c r="A4634" s="78">
        <v>46244</v>
      </c>
      <c r="B4634" s="68">
        <v>10</v>
      </c>
      <c r="C4634" s="205" t="s">
        <v>877</v>
      </c>
      <c r="D4634" s="30">
        <v>1</v>
      </c>
      <c r="E4634" s="30">
        <v>10</v>
      </c>
      <c r="F4634" s="30">
        <f t="shared" si="157"/>
        <v>10</v>
      </c>
      <c r="G4634" s="30" t="s">
        <v>16</v>
      </c>
      <c r="I4634" s="68" t="s">
        <v>663</v>
      </c>
    </row>
    <row r="4635" spans="1:9" x14ac:dyDescent="0.25">
      <c r="A4635" s="78">
        <v>46244</v>
      </c>
      <c r="B4635" s="68">
        <v>11</v>
      </c>
      <c r="C4635" s="205" t="s">
        <v>1124</v>
      </c>
      <c r="D4635" s="30">
        <v>1</v>
      </c>
      <c r="E4635" s="30">
        <v>10</v>
      </c>
      <c r="F4635" s="30">
        <f t="shared" si="157"/>
        <v>10</v>
      </c>
      <c r="G4635" s="30" t="s">
        <v>16</v>
      </c>
      <c r="I4635" s="68" t="s">
        <v>1046</v>
      </c>
    </row>
    <row r="4636" spans="1:9" x14ac:dyDescent="0.25">
      <c r="A4636" s="78">
        <v>46244</v>
      </c>
      <c r="B4636" s="68">
        <v>11</v>
      </c>
      <c r="C4636" s="205" t="s">
        <v>750</v>
      </c>
      <c r="D4636" s="30">
        <v>1</v>
      </c>
      <c r="E4636" s="30">
        <v>50</v>
      </c>
      <c r="F4636" s="30">
        <f t="shared" si="157"/>
        <v>50</v>
      </c>
      <c r="G4636" s="30" t="s">
        <v>16</v>
      </c>
      <c r="I4636" s="68" t="s">
        <v>1046</v>
      </c>
    </row>
    <row r="4637" spans="1:9" x14ac:dyDescent="0.25">
      <c r="A4637" s="78">
        <v>46244</v>
      </c>
      <c r="B4637" s="68">
        <v>11</v>
      </c>
      <c r="C4637" s="205" t="s">
        <v>892</v>
      </c>
      <c r="D4637" s="30">
        <v>2</v>
      </c>
      <c r="E4637" s="30">
        <v>10</v>
      </c>
      <c r="F4637" s="30">
        <f t="shared" si="157"/>
        <v>20</v>
      </c>
      <c r="G4637" s="30" t="s">
        <v>16</v>
      </c>
      <c r="I4637" s="68" t="s">
        <v>1046</v>
      </c>
    </row>
    <row r="4638" spans="1:9" x14ac:dyDescent="0.25">
      <c r="A4638" s="78">
        <v>46244</v>
      </c>
      <c r="B4638" s="68">
        <v>11</v>
      </c>
      <c r="C4638" s="205" t="s">
        <v>1229</v>
      </c>
      <c r="D4638" s="30">
        <v>1</v>
      </c>
      <c r="E4638" s="30">
        <v>40</v>
      </c>
      <c r="F4638" s="30">
        <f t="shared" si="157"/>
        <v>40</v>
      </c>
      <c r="G4638" s="30" t="s">
        <v>16</v>
      </c>
      <c r="I4638" s="68" t="s">
        <v>1046</v>
      </c>
    </row>
    <row r="4639" spans="1:9" ht="30" x14ac:dyDescent="0.25">
      <c r="A4639" s="78">
        <v>46244</v>
      </c>
      <c r="B4639" s="68">
        <v>11</v>
      </c>
      <c r="C4639" s="205" t="s">
        <v>1065</v>
      </c>
      <c r="D4639" s="30">
        <v>1</v>
      </c>
      <c r="E4639" s="30">
        <v>35</v>
      </c>
      <c r="F4639" s="30">
        <f t="shared" si="157"/>
        <v>35</v>
      </c>
      <c r="G4639" s="30" t="s">
        <v>16</v>
      </c>
      <c r="I4639" s="68" t="s">
        <v>1046</v>
      </c>
    </row>
    <row r="4640" spans="1:9" x14ac:dyDescent="0.25">
      <c r="A4640" s="78">
        <v>46244</v>
      </c>
      <c r="B4640" s="68">
        <v>11</v>
      </c>
      <c r="C4640" s="205" t="s">
        <v>1061</v>
      </c>
      <c r="D4640" s="30">
        <v>1</v>
      </c>
      <c r="E4640" s="30">
        <v>30</v>
      </c>
      <c r="F4640" s="30">
        <f t="shared" si="157"/>
        <v>30</v>
      </c>
      <c r="G4640" s="30" t="s">
        <v>16</v>
      </c>
      <c r="I4640" s="68" t="s">
        <v>1046</v>
      </c>
    </row>
    <row r="4641" spans="1:9" x14ac:dyDescent="0.25">
      <c r="A4641" s="78">
        <v>46244</v>
      </c>
      <c r="B4641" s="68">
        <v>11</v>
      </c>
      <c r="C4641" s="205" t="s">
        <v>1278</v>
      </c>
      <c r="D4641" s="30">
        <v>1</v>
      </c>
      <c r="E4641" s="30">
        <v>20</v>
      </c>
      <c r="F4641" s="30">
        <f t="shared" si="157"/>
        <v>20</v>
      </c>
      <c r="G4641" s="30" t="s">
        <v>16</v>
      </c>
      <c r="I4641" s="68" t="s">
        <v>1046</v>
      </c>
    </row>
    <row r="4642" spans="1:9" x14ac:dyDescent="0.25">
      <c r="A4642" s="78">
        <v>46244</v>
      </c>
      <c r="B4642" s="68">
        <v>12</v>
      </c>
      <c r="C4642" s="205" t="s">
        <v>783</v>
      </c>
      <c r="D4642" s="30">
        <v>1</v>
      </c>
      <c r="E4642" s="30">
        <v>10</v>
      </c>
      <c r="F4642" s="30">
        <f t="shared" si="157"/>
        <v>10</v>
      </c>
      <c r="G4642" s="30" t="s">
        <v>9</v>
      </c>
    </row>
    <row r="4643" spans="1:9" x14ac:dyDescent="0.25">
      <c r="A4643" s="78">
        <v>46609</v>
      </c>
      <c r="B4643" s="68">
        <v>13</v>
      </c>
      <c r="C4643" s="205" t="s">
        <v>1168</v>
      </c>
      <c r="D4643" s="30">
        <v>2</v>
      </c>
      <c r="E4643" s="30">
        <v>10</v>
      </c>
      <c r="F4643" s="30">
        <f t="shared" si="157"/>
        <v>20</v>
      </c>
      <c r="G4643" s="30" t="s">
        <v>9</v>
      </c>
    </row>
    <row r="4644" spans="1:9" x14ac:dyDescent="0.25">
      <c r="A4644" s="78">
        <v>46975</v>
      </c>
      <c r="B4644" s="68">
        <v>14</v>
      </c>
      <c r="C4644" s="205" t="s">
        <v>499</v>
      </c>
      <c r="D4644" s="30">
        <v>1</v>
      </c>
      <c r="E4644" s="30">
        <v>20</v>
      </c>
      <c r="F4644" s="30">
        <f t="shared" si="157"/>
        <v>20</v>
      </c>
      <c r="G4644" s="30" t="s">
        <v>9</v>
      </c>
    </row>
    <row r="4645" spans="1:9" x14ac:dyDescent="0.25">
      <c r="A4645" s="78">
        <v>47340</v>
      </c>
      <c r="B4645" s="68">
        <v>14</v>
      </c>
      <c r="C4645" s="205" t="s">
        <v>1263</v>
      </c>
      <c r="D4645" s="30">
        <v>4</v>
      </c>
      <c r="E4645" s="30">
        <v>2</v>
      </c>
      <c r="F4645" s="30">
        <f t="shared" si="157"/>
        <v>8</v>
      </c>
      <c r="G4645" s="30" t="s">
        <v>9</v>
      </c>
    </row>
    <row r="4646" spans="1:9" x14ac:dyDescent="0.25">
      <c r="A4646" s="78">
        <v>47705</v>
      </c>
      <c r="B4646" s="68">
        <v>14</v>
      </c>
      <c r="C4646" s="205" t="s">
        <v>348</v>
      </c>
      <c r="D4646" s="30">
        <v>2</v>
      </c>
      <c r="E4646" s="30">
        <v>1</v>
      </c>
      <c r="F4646" s="30">
        <f t="shared" si="157"/>
        <v>2</v>
      </c>
      <c r="G4646" s="30" t="s">
        <v>9</v>
      </c>
    </row>
    <row r="4647" spans="1:9" x14ac:dyDescent="0.25">
      <c r="A4647" s="78">
        <v>47705</v>
      </c>
      <c r="B4647" s="68">
        <v>15</v>
      </c>
      <c r="C4647" s="205" t="s">
        <v>915</v>
      </c>
      <c r="D4647" s="30">
        <v>2</v>
      </c>
      <c r="E4647" s="30">
        <v>10</v>
      </c>
      <c r="F4647" s="30">
        <f t="shared" si="157"/>
        <v>20</v>
      </c>
      <c r="G4647" s="30" t="s">
        <v>9</v>
      </c>
    </row>
    <row r="4648" spans="1:9" x14ac:dyDescent="0.25">
      <c r="A4648" s="78">
        <v>47705</v>
      </c>
      <c r="B4648" s="68">
        <v>15</v>
      </c>
      <c r="C4648" s="204" t="s">
        <v>1141</v>
      </c>
      <c r="D4648" s="30">
        <v>1</v>
      </c>
      <c r="E4648" s="30">
        <v>10</v>
      </c>
      <c r="F4648" s="30">
        <f t="shared" si="157"/>
        <v>10</v>
      </c>
      <c r="G4648" s="30" t="s">
        <v>9</v>
      </c>
    </row>
    <row r="4649" spans="1:9" x14ac:dyDescent="0.25">
      <c r="A4649" s="78">
        <v>47705</v>
      </c>
      <c r="B4649" s="68">
        <v>15</v>
      </c>
      <c r="C4649" s="205" t="s">
        <v>702</v>
      </c>
      <c r="D4649" s="30">
        <v>1</v>
      </c>
      <c r="E4649" s="30">
        <v>10</v>
      </c>
      <c r="F4649" s="30">
        <f t="shared" si="157"/>
        <v>10</v>
      </c>
      <c r="G4649" s="30" t="s">
        <v>9</v>
      </c>
    </row>
    <row r="4650" spans="1:9" x14ac:dyDescent="0.25">
      <c r="A4650" s="78">
        <v>47705</v>
      </c>
      <c r="B4650" s="68">
        <v>16</v>
      </c>
      <c r="C4650" s="205" t="s">
        <v>1089</v>
      </c>
      <c r="D4650" s="30">
        <v>1</v>
      </c>
      <c r="E4650" s="30">
        <v>70</v>
      </c>
      <c r="F4650" s="30">
        <f t="shared" si="157"/>
        <v>70</v>
      </c>
      <c r="G4650" s="30" t="s">
        <v>9</v>
      </c>
    </row>
    <row r="4651" spans="1:9" ht="30" x14ac:dyDescent="0.25">
      <c r="A4651" s="78">
        <v>47705</v>
      </c>
      <c r="B4651" s="68">
        <v>17</v>
      </c>
      <c r="C4651" s="204" t="s">
        <v>377</v>
      </c>
      <c r="D4651" s="30">
        <v>2</v>
      </c>
      <c r="E4651" s="30">
        <v>10</v>
      </c>
      <c r="F4651" s="30">
        <f t="shared" si="157"/>
        <v>20</v>
      </c>
      <c r="G4651" s="30" t="s">
        <v>9</v>
      </c>
    </row>
    <row r="4652" spans="1:9" x14ac:dyDescent="0.25">
      <c r="A4652" s="78">
        <v>47705</v>
      </c>
      <c r="B4652" s="68">
        <v>17</v>
      </c>
      <c r="C4652" s="205" t="s">
        <v>1263</v>
      </c>
      <c r="D4652" s="30">
        <v>2</v>
      </c>
      <c r="E4652" s="30">
        <v>10</v>
      </c>
      <c r="F4652" s="30">
        <f t="shared" si="157"/>
        <v>20</v>
      </c>
      <c r="G4652" s="30" t="s">
        <v>10</v>
      </c>
    </row>
    <row r="4653" spans="1:9" x14ac:dyDescent="0.25">
      <c r="A4653" s="78">
        <v>46244</v>
      </c>
      <c r="B4653" s="68">
        <v>18</v>
      </c>
      <c r="C4653" s="205" t="s">
        <v>1231</v>
      </c>
      <c r="D4653" s="30">
        <v>1</v>
      </c>
      <c r="E4653" s="30">
        <v>25</v>
      </c>
      <c r="F4653" s="30">
        <f t="shared" si="157"/>
        <v>25</v>
      </c>
      <c r="G4653" s="30" t="s">
        <v>9</v>
      </c>
    </row>
    <row r="4654" spans="1:9" x14ac:dyDescent="0.25">
      <c r="A4654" s="78">
        <v>46244</v>
      </c>
      <c r="B4654" s="68">
        <v>18</v>
      </c>
      <c r="C4654" s="205" t="s">
        <v>1288</v>
      </c>
      <c r="D4654" s="30">
        <v>1</v>
      </c>
      <c r="E4654" s="30">
        <v>5</v>
      </c>
      <c r="F4654" s="30">
        <f t="shared" si="157"/>
        <v>5</v>
      </c>
      <c r="G4654" s="30" t="s">
        <v>9</v>
      </c>
    </row>
    <row r="4655" spans="1:9" x14ac:dyDescent="0.25">
      <c r="A4655" s="78">
        <v>46244</v>
      </c>
      <c r="B4655" s="68">
        <v>18</v>
      </c>
      <c r="C4655" s="205" t="s">
        <v>740</v>
      </c>
      <c r="D4655" s="30">
        <v>1</v>
      </c>
      <c r="E4655" s="30">
        <v>10</v>
      </c>
      <c r="F4655" s="30">
        <f t="shared" si="157"/>
        <v>10</v>
      </c>
      <c r="G4655" s="30" t="s">
        <v>9</v>
      </c>
    </row>
    <row r="4656" spans="1:9" x14ac:dyDescent="0.25">
      <c r="A4656" s="78">
        <v>46244</v>
      </c>
      <c r="B4656" s="68">
        <v>19</v>
      </c>
      <c r="C4656" s="205" t="s">
        <v>877</v>
      </c>
      <c r="D4656" s="30">
        <v>2</v>
      </c>
      <c r="E4656" s="30">
        <v>10</v>
      </c>
      <c r="F4656" s="30">
        <f t="shared" si="157"/>
        <v>20</v>
      </c>
      <c r="G4656" s="30" t="s">
        <v>9</v>
      </c>
    </row>
    <row r="4657" spans="1:7" x14ac:dyDescent="0.25">
      <c r="A4657" s="78">
        <v>46244</v>
      </c>
      <c r="B4657" s="68">
        <v>20</v>
      </c>
      <c r="C4657" s="205" t="s">
        <v>1263</v>
      </c>
      <c r="D4657" s="30">
        <v>4</v>
      </c>
      <c r="E4657" s="30">
        <v>2</v>
      </c>
      <c r="F4657" s="30">
        <f t="shared" si="157"/>
        <v>8</v>
      </c>
      <c r="G4657" s="30" t="s">
        <v>9</v>
      </c>
    </row>
    <row r="4658" spans="1:7" x14ac:dyDescent="0.25">
      <c r="A4658" s="78">
        <v>46244</v>
      </c>
      <c r="B4658" s="68">
        <v>20</v>
      </c>
      <c r="C4658" s="205" t="s">
        <v>639</v>
      </c>
      <c r="D4658" s="30">
        <v>1</v>
      </c>
      <c r="E4658" s="30">
        <v>2</v>
      </c>
      <c r="F4658" s="30">
        <f t="shared" si="157"/>
        <v>2</v>
      </c>
      <c r="G4658" s="30" t="s">
        <v>9</v>
      </c>
    </row>
    <row r="4659" spans="1:7" x14ac:dyDescent="0.25">
      <c r="A4659" s="78">
        <v>46244</v>
      </c>
      <c r="B4659" s="68">
        <v>21</v>
      </c>
      <c r="C4659" s="205" t="s">
        <v>1154</v>
      </c>
      <c r="D4659" s="30">
        <v>1</v>
      </c>
      <c r="E4659" s="30">
        <v>45</v>
      </c>
      <c r="F4659" s="30">
        <f t="shared" si="157"/>
        <v>45</v>
      </c>
      <c r="G4659" s="30" t="s">
        <v>10</v>
      </c>
    </row>
    <row r="4660" spans="1:7" x14ac:dyDescent="0.25">
      <c r="A4660" s="78">
        <v>46244</v>
      </c>
      <c r="B4660" s="68">
        <v>21</v>
      </c>
      <c r="C4660" s="204" t="s">
        <v>729</v>
      </c>
      <c r="D4660" s="30">
        <v>5</v>
      </c>
      <c r="E4660" s="30">
        <v>10</v>
      </c>
      <c r="F4660" s="30">
        <f t="shared" si="157"/>
        <v>50</v>
      </c>
      <c r="G4660" s="30" t="s">
        <v>10</v>
      </c>
    </row>
    <row r="4661" spans="1:7" x14ac:dyDescent="0.25">
      <c r="A4661" s="78">
        <v>46244</v>
      </c>
      <c r="B4661" s="68">
        <v>21</v>
      </c>
      <c r="C4661" s="205" t="s">
        <v>815</v>
      </c>
      <c r="D4661" s="30">
        <v>0.33400000000000002</v>
      </c>
      <c r="E4661" s="30">
        <v>60</v>
      </c>
      <c r="F4661" s="30">
        <f t="shared" si="157"/>
        <v>20.040000000000003</v>
      </c>
      <c r="G4661" s="30" t="s">
        <v>10</v>
      </c>
    </row>
    <row r="4662" spans="1:7" x14ac:dyDescent="0.25">
      <c r="A4662" s="78">
        <v>46244</v>
      </c>
      <c r="B4662" s="68">
        <v>21</v>
      </c>
      <c r="C4662" s="33" t="s">
        <v>1292</v>
      </c>
      <c r="D4662" s="30">
        <v>0.2</v>
      </c>
      <c r="E4662" s="30">
        <v>160</v>
      </c>
      <c r="F4662" s="30">
        <f t="shared" si="157"/>
        <v>32</v>
      </c>
      <c r="G4662" s="30" t="s">
        <v>10</v>
      </c>
    </row>
    <row r="4663" spans="1:7" x14ac:dyDescent="0.25">
      <c r="A4663" s="78">
        <v>46244</v>
      </c>
      <c r="B4663" s="68">
        <v>21</v>
      </c>
      <c r="C4663" s="205" t="s">
        <v>554</v>
      </c>
      <c r="D4663" s="30">
        <v>1</v>
      </c>
      <c r="E4663" s="30">
        <v>10</v>
      </c>
      <c r="F4663" s="30">
        <f t="shared" si="157"/>
        <v>10</v>
      </c>
      <c r="G4663" s="30" t="s">
        <v>10</v>
      </c>
    </row>
    <row r="4664" spans="1:7" x14ac:dyDescent="0.25">
      <c r="A4664" s="78">
        <v>46244</v>
      </c>
      <c r="B4664" s="68">
        <v>21</v>
      </c>
      <c r="C4664" s="205" t="s">
        <v>1016</v>
      </c>
      <c r="D4664" s="30">
        <v>0.5</v>
      </c>
      <c r="E4664" s="30">
        <v>160</v>
      </c>
      <c r="F4664" s="30">
        <f t="shared" si="157"/>
        <v>80</v>
      </c>
      <c r="G4664" s="30" t="s">
        <v>10</v>
      </c>
    </row>
    <row r="4665" spans="1:7" x14ac:dyDescent="0.25">
      <c r="A4665" s="78">
        <v>46244</v>
      </c>
      <c r="B4665" s="68">
        <v>21</v>
      </c>
      <c r="C4665" s="205" t="s">
        <v>539</v>
      </c>
      <c r="D4665" s="30">
        <v>1</v>
      </c>
      <c r="E4665" s="30">
        <v>20</v>
      </c>
      <c r="F4665" s="30">
        <f t="shared" ref="F4665:F4675" si="158">E4665*D4665</f>
        <v>20</v>
      </c>
      <c r="G4665" s="30" t="s">
        <v>10</v>
      </c>
    </row>
    <row r="4666" spans="1:7" x14ac:dyDescent="0.25">
      <c r="A4666" s="78">
        <v>46244</v>
      </c>
      <c r="B4666" s="68">
        <v>22</v>
      </c>
      <c r="C4666" s="19" t="s">
        <v>1293</v>
      </c>
      <c r="D4666" s="30">
        <v>4</v>
      </c>
      <c r="E4666" s="30">
        <v>10</v>
      </c>
      <c r="F4666" s="30">
        <f t="shared" si="158"/>
        <v>40</v>
      </c>
      <c r="G4666" s="30" t="s">
        <v>10</v>
      </c>
    </row>
    <row r="4667" spans="1:7" x14ac:dyDescent="0.25">
      <c r="A4667" s="78">
        <v>46244</v>
      </c>
      <c r="B4667" s="68">
        <v>23</v>
      </c>
      <c r="C4667" s="205" t="s">
        <v>1159</v>
      </c>
      <c r="D4667" s="30">
        <v>0.34</v>
      </c>
      <c r="E4667" s="30">
        <v>60</v>
      </c>
      <c r="F4667" s="30">
        <f t="shared" si="158"/>
        <v>20.400000000000002</v>
      </c>
      <c r="G4667" s="30" t="s">
        <v>9</v>
      </c>
    </row>
    <row r="4668" spans="1:7" x14ac:dyDescent="0.25">
      <c r="A4668" s="78">
        <v>46244</v>
      </c>
      <c r="B4668" s="68">
        <v>23</v>
      </c>
      <c r="C4668" s="204" t="s">
        <v>729</v>
      </c>
      <c r="D4668" s="30">
        <v>2</v>
      </c>
      <c r="E4668" s="30">
        <v>10</v>
      </c>
      <c r="F4668" s="30">
        <f t="shared" si="158"/>
        <v>20</v>
      </c>
      <c r="G4668" s="30" t="s">
        <v>9</v>
      </c>
    </row>
    <row r="4669" spans="1:7" x14ac:dyDescent="0.25">
      <c r="A4669" s="78">
        <v>46244</v>
      </c>
      <c r="B4669" s="68">
        <v>23</v>
      </c>
      <c r="C4669" s="205" t="s">
        <v>877</v>
      </c>
      <c r="D4669" s="30">
        <v>1</v>
      </c>
      <c r="E4669" s="30">
        <v>10</v>
      </c>
      <c r="F4669" s="30">
        <f t="shared" si="158"/>
        <v>10</v>
      </c>
      <c r="G4669" s="30" t="s">
        <v>9</v>
      </c>
    </row>
    <row r="4670" spans="1:7" x14ac:dyDescent="0.25">
      <c r="A4670" s="78">
        <v>46244</v>
      </c>
      <c r="B4670" s="68">
        <v>24</v>
      </c>
      <c r="C4670" s="205" t="s">
        <v>1159</v>
      </c>
      <c r="D4670" s="30">
        <v>0.5</v>
      </c>
      <c r="E4670" s="30">
        <v>60</v>
      </c>
      <c r="F4670" s="30">
        <f t="shared" si="158"/>
        <v>30</v>
      </c>
      <c r="G4670" s="30" t="s">
        <v>10</v>
      </c>
    </row>
    <row r="4671" spans="1:7" x14ac:dyDescent="0.25">
      <c r="A4671" s="78">
        <v>46244</v>
      </c>
      <c r="B4671" s="68">
        <v>25</v>
      </c>
      <c r="C4671" s="205" t="s">
        <v>1140</v>
      </c>
      <c r="D4671" s="30">
        <v>1</v>
      </c>
      <c r="E4671" s="30">
        <v>5</v>
      </c>
      <c r="F4671" s="30">
        <f t="shared" si="158"/>
        <v>5</v>
      </c>
      <c r="G4671" s="30" t="s">
        <v>9</v>
      </c>
    </row>
    <row r="4672" spans="1:7" x14ac:dyDescent="0.25">
      <c r="A4672" s="78">
        <v>46244</v>
      </c>
      <c r="B4672" s="68">
        <v>25</v>
      </c>
      <c r="C4672" s="205" t="s">
        <v>669</v>
      </c>
      <c r="D4672" s="30">
        <v>1</v>
      </c>
      <c r="E4672" s="30">
        <v>5</v>
      </c>
      <c r="F4672" s="30">
        <f t="shared" si="158"/>
        <v>5</v>
      </c>
      <c r="G4672" s="30" t="s">
        <v>9</v>
      </c>
    </row>
    <row r="4673" spans="1:12" x14ac:dyDescent="0.25">
      <c r="A4673" s="78">
        <v>46244</v>
      </c>
      <c r="B4673" s="68">
        <v>26</v>
      </c>
      <c r="C4673" s="205" t="s">
        <v>1252</v>
      </c>
      <c r="D4673" s="30">
        <v>2</v>
      </c>
      <c r="E4673" s="30">
        <v>5</v>
      </c>
      <c r="F4673" s="30">
        <f t="shared" si="158"/>
        <v>10</v>
      </c>
      <c r="G4673" s="30" t="s">
        <v>9</v>
      </c>
    </row>
    <row r="4674" spans="1:12" x14ac:dyDescent="0.25">
      <c r="A4674" s="78">
        <v>46244</v>
      </c>
      <c r="B4674" s="68">
        <v>26</v>
      </c>
      <c r="C4674" s="205" t="s">
        <v>582</v>
      </c>
      <c r="D4674" s="30">
        <v>1</v>
      </c>
      <c r="E4674" s="30">
        <v>10</v>
      </c>
      <c r="F4674" s="30">
        <f t="shared" si="158"/>
        <v>10</v>
      </c>
      <c r="G4674" s="30" t="s">
        <v>9</v>
      </c>
    </row>
    <row r="4675" spans="1:12" x14ac:dyDescent="0.25">
      <c r="A4675" s="78">
        <v>46244</v>
      </c>
      <c r="B4675" s="68">
        <v>27</v>
      </c>
      <c r="C4675" s="205" t="s">
        <v>1133</v>
      </c>
      <c r="D4675" s="30">
        <v>1</v>
      </c>
      <c r="E4675" s="30">
        <v>20</v>
      </c>
      <c r="F4675" s="30">
        <f t="shared" si="158"/>
        <v>20</v>
      </c>
      <c r="G4675" s="30" t="s">
        <v>9</v>
      </c>
    </row>
    <row r="4676" spans="1:12" x14ac:dyDescent="0.25">
      <c r="A4676" s="78">
        <v>46244</v>
      </c>
      <c r="C4676" s="19"/>
    </row>
    <row r="4677" spans="1:12" x14ac:dyDescent="0.25">
      <c r="A4677" s="78">
        <v>46244</v>
      </c>
      <c r="C4677" s="19"/>
    </row>
    <row r="4678" spans="1:12" x14ac:dyDescent="0.25">
      <c r="A4678" s="78">
        <v>46244</v>
      </c>
    </row>
    <row r="4679" spans="1:12" s="199" customFormat="1" ht="31.5" x14ac:dyDescent="0.25">
      <c r="A4679" s="196">
        <v>46244</v>
      </c>
      <c r="B4679" s="197" t="s">
        <v>1248</v>
      </c>
      <c r="C4679" s="198">
        <f>MAX(B4618:B4678)</f>
        <v>27</v>
      </c>
      <c r="D4679" s="197" t="s">
        <v>1249</v>
      </c>
      <c r="E4679" s="199">
        <f>SUMIF(G4618:G4678,"UPI",F4618:F4678)</f>
        <v>347.03999999999996</v>
      </c>
      <c r="H4679" s="200" t="s">
        <v>1251</v>
      </c>
      <c r="I4679" s="200">
        <f>SUMIF(G4618:G4678, "&lt;&gt;UPI",F4618:F4678)</f>
        <v>760.4</v>
      </c>
    </row>
    <row r="4680" spans="1:12" s="5" customFormat="1" ht="15.75" x14ac:dyDescent="0.25">
      <c r="A4680" s="201">
        <v>46244</v>
      </c>
      <c r="B4680" s="2"/>
      <c r="C4680" s="14"/>
      <c r="H4680" s="2" t="s">
        <v>1250</v>
      </c>
      <c r="I4680" s="2">
        <f>SUMIF(G4576:G4678, "&lt;&gt;UPI",F4576:F4678)</f>
        <v>1834.8000000000002</v>
      </c>
    </row>
    <row r="4681" spans="1:12" s="202" customFormat="1" ht="18.75" x14ac:dyDescent="0.3">
      <c r="A4681" s="146">
        <v>46244</v>
      </c>
      <c r="B4681" s="147" t="s">
        <v>987</v>
      </c>
      <c r="C4681" s="148">
        <f>MAX(B4576:B4678)</f>
        <v>27</v>
      </c>
      <c r="D4681" s="147" t="s">
        <v>988</v>
      </c>
      <c r="E4681" s="202">
        <f>SUMIF(G4576:G4678,"UPI",F4576:F4678)</f>
        <v>557.04</v>
      </c>
      <c r="F4681" s="230" t="s">
        <v>437</v>
      </c>
      <c r="G4681" s="230"/>
      <c r="H4681" s="230"/>
      <c r="I4681" s="230">
        <f>SUM(F4576:F4678)</f>
        <v>2391.84</v>
      </c>
      <c r="J4681" s="230"/>
      <c r="K4681" s="230"/>
      <c r="L4681" s="230"/>
    </row>
    <row r="4682" spans="1:12" x14ac:dyDescent="0.25">
      <c r="A4682" s="78">
        <v>46245</v>
      </c>
      <c r="B4682" s="68">
        <v>1</v>
      </c>
      <c r="C4682" s="205" t="s">
        <v>649</v>
      </c>
      <c r="D4682" s="30">
        <v>2</v>
      </c>
      <c r="E4682" s="30">
        <v>5</v>
      </c>
      <c r="F4682" s="30">
        <f>E4682*D4682</f>
        <v>10</v>
      </c>
      <c r="G4682" s="30" t="s">
        <v>9</v>
      </c>
    </row>
    <row r="4683" spans="1:12" x14ac:dyDescent="0.25">
      <c r="A4683" s="78">
        <v>46245</v>
      </c>
      <c r="B4683" s="68">
        <v>1</v>
      </c>
      <c r="C4683" s="205" t="s">
        <v>892</v>
      </c>
      <c r="D4683" s="30">
        <v>1</v>
      </c>
      <c r="E4683" s="30">
        <v>10</v>
      </c>
      <c r="F4683" s="30">
        <f t="shared" ref="F4683:F4709" si="159">E4683*D4683</f>
        <v>10</v>
      </c>
      <c r="G4683" s="30" t="s">
        <v>9</v>
      </c>
    </row>
    <row r="4684" spans="1:12" ht="30" x14ac:dyDescent="0.25">
      <c r="A4684" s="78">
        <v>46245</v>
      </c>
      <c r="B4684" s="68">
        <v>2</v>
      </c>
      <c r="C4684" s="205" t="s">
        <v>1122</v>
      </c>
      <c r="D4684" s="30">
        <v>1</v>
      </c>
      <c r="E4684" s="30">
        <v>90</v>
      </c>
      <c r="F4684" s="30">
        <f t="shared" si="159"/>
        <v>90</v>
      </c>
      <c r="G4684" s="30" t="s">
        <v>9</v>
      </c>
    </row>
    <row r="4685" spans="1:12" x14ac:dyDescent="0.25">
      <c r="A4685" s="78">
        <v>46245</v>
      </c>
      <c r="B4685" s="68">
        <v>3</v>
      </c>
      <c r="C4685" s="209" t="s">
        <v>1293</v>
      </c>
      <c r="D4685" s="30">
        <v>4</v>
      </c>
      <c r="E4685" s="30">
        <v>10</v>
      </c>
      <c r="F4685" s="30">
        <f t="shared" si="159"/>
        <v>40</v>
      </c>
      <c r="G4685" s="30" t="s">
        <v>9</v>
      </c>
    </row>
    <row r="4686" spans="1:12" x14ac:dyDescent="0.25">
      <c r="A4686" s="78">
        <v>46245</v>
      </c>
      <c r="B4686" s="68">
        <v>3</v>
      </c>
      <c r="C4686" s="205" t="s">
        <v>1117</v>
      </c>
      <c r="D4686" s="30">
        <v>6.5000000000000002E-2</v>
      </c>
      <c r="E4686" s="30">
        <v>300</v>
      </c>
      <c r="F4686" s="30">
        <f t="shared" si="159"/>
        <v>19.5</v>
      </c>
      <c r="G4686" s="30" t="s">
        <v>9</v>
      </c>
    </row>
    <row r="4687" spans="1:12" x14ac:dyDescent="0.25">
      <c r="A4687" s="78">
        <v>46245</v>
      </c>
      <c r="B4687" s="68">
        <v>4</v>
      </c>
      <c r="C4687" s="205" t="s">
        <v>1198</v>
      </c>
      <c r="D4687" s="30">
        <v>1</v>
      </c>
      <c r="E4687" s="30">
        <v>10</v>
      </c>
      <c r="F4687" s="30">
        <f t="shared" si="159"/>
        <v>10</v>
      </c>
      <c r="G4687" s="30" t="s">
        <v>9</v>
      </c>
    </row>
    <row r="4688" spans="1:12" x14ac:dyDescent="0.25">
      <c r="A4688" s="78">
        <v>46245</v>
      </c>
      <c r="B4688" s="68">
        <v>2</v>
      </c>
      <c r="C4688" s="205" t="s">
        <v>1252</v>
      </c>
      <c r="D4688" s="30">
        <v>1</v>
      </c>
      <c r="E4688" s="30">
        <v>5</v>
      </c>
      <c r="F4688" s="30">
        <f t="shared" si="159"/>
        <v>5</v>
      </c>
      <c r="G4688" s="30" t="s">
        <v>9</v>
      </c>
    </row>
    <row r="4689" spans="1:9" x14ac:dyDescent="0.25">
      <c r="A4689" s="78">
        <v>46245</v>
      </c>
      <c r="B4689" s="68">
        <v>3</v>
      </c>
      <c r="C4689" s="205" t="s">
        <v>1253</v>
      </c>
      <c r="D4689" s="30">
        <v>1</v>
      </c>
      <c r="E4689" s="30">
        <v>5</v>
      </c>
      <c r="F4689" s="30">
        <f t="shared" si="159"/>
        <v>5</v>
      </c>
      <c r="G4689" s="30" t="s">
        <v>10</v>
      </c>
    </row>
    <row r="4690" spans="1:9" ht="30" x14ac:dyDescent="0.25">
      <c r="A4690" s="78">
        <v>46245</v>
      </c>
      <c r="B4690" s="68">
        <v>3</v>
      </c>
      <c r="C4690" s="205" t="s">
        <v>999</v>
      </c>
      <c r="D4690" s="30">
        <v>1</v>
      </c>
      <c r="E4690" s="30">
        <v>20</v>
      </c>
      <c r="F4690" s="30">
        <f t="shared" si="159"/>
        <v>20</v>
      </c>
      <c r="G4690" s="30" t="s">
        <v>10</v>
      </c>
    </row>
    <row r="4691" spans="1:9" x14ac:dyDescent="0.25">
      <c r="A4691" s="78">
        <v>46245</v>
      </c>
      <c r="B4691" s="68">
        <v>2</v>
      </c>
      <c r="C4691" s="205" t="s">
        <v>1280</v>
      </c>
      <c r="D4691" s="30">
        <v>1</v>
      </c>
      <c r="E4691" s="30">
        <v>10</v>
      </c>
      <c r="F4691" s="30">
        <f t="shared" si="159"/>
        <v>10</v>
      </c>
      <c r="G4691" s="30" t="s">
        <v>9</v>
      </c>
    </row>
    <row r="4692" spans="1:9" x14ac:dyDescent="0.25">
      <c r="A4692" s="78">
        <v>46245</v>
      </c>
      <c r="B4692" s="68">
        <v>5</v>
      </c>
      <c r="C4692" s="205" t="s">
        <v>877</v>
      </c>
      <c r="D4692" s="30">
        <v>1</v>
      </c>
      <c r="E4692" s="30">
        <v>10</v>
      </c>
      <c r="F4692" s="30">
        <f t="shared" si="159"/>
        <v>10</v>
      </c>
      <c r="G4692" s="30" t="s">
        <v>9</v>
      </c>
    </row>
    <row r="4693" spans="1:9" x14ac:dyDescent="0.25">
      <c r="A4693" s="78">
        <v>46245</v>
      </c>
      <c r="B4693" s="68">
        <v>5</v>
      </c>
      <c r="C4693" s="205" t="s">
        <v>1262</v>
      </c>
      <c r="D4693" s="30">
        <v>2</v>
      </c>
      <c r="E4693" s="30">
        <v>5</v>
      </c>
      <c r="F4693" s="30">
        <f t="shared" si="159"/>
        <v>10</v>
      </c>
      <c r="G4693" s="30" t="s">
        <v>9</v>
      </c>
    </row>
    <row r="4694" spans="1:9" x14ac:dyDescent="0.25">
      <c r="A4694" s="78">
        <v>46245</v>
      </c>
      <c r="B4694" s="68">
        <v>6</v>
      </c>
      <c r="C4694" s="209" t="s">
        <v>1293</v>
      </c>
      <c r="D4694" s="30">
        <v>30</v>
      </c>
      <c r="E4694" s="30">
        <v>9.5</v>
      </c>
      <c r="F4694" s="30">
        <f t="shared" si="159"/>
        <v>285</v>
      </c>
      <c r="G4694" s="30" t="s">
        <v>16</v>
      </c>
      <c r="I4694" s="68" t="s">
        <v>1200</v>
      </c>
    </row>
    <row r="4695" spans="1:9" x14ac:dyDescent="0.25">
      <c r="A4695" s="78">
        <v>46245</v>
      </c>
      <c r="B4695" s="68">
        <v>6</v>
      </c>
      <c r="C4695" s="205" t="s">
        <v>727</v>
      </c>
      <c r="D4695" s="30">
        <v>0.75</v>
      </c>
      <c r="E4695" s="30">
        <v>95</v>
      </c>
      <c r="F4695" s="30">
        <f t="shared" si="159"/>
        <v>71.25</v>
      </c>
      <c r="G4695" s="30" t="s">
        <v>16</v>
      </c>
      <c r="I4695" s="68" t="s">
        <v>1200</v>
      </c>
    </row>
    <row r="4696" spans="1:9" x14ac:dyDescent="0.25">
      <c r="A4696" s="78">
        <v>46245</v>
      </c>
      <c r="B4696" s="68">
        <v>7</v>
      </c>
      <c r="C4696" s="205" t="s">
        <v>680</v>
      </c>
      <c r="D4696" s="30">
        <v>1</v>
      </c>
      <c r="E4696" s="30">
        <v>10</v>
      </c>
      <c r="F4696" s="30">
        <f t="shared" si="159"/>
        <v>10</v>
      </c>
      <c r="G4696" s="30" t="s">
        <v>9</v>
      </c>
    </row>
    <row r="4697" spans="1:9" x14ac:dyDescent="0.25">
      <c r="A4697" s="78">
        <v>46245</v>
      </c>
      <c r="B4697" s="68">
        <v>8</v>
      </c>
      <c r="C4697" s="209" t="s">
        <v>1293</v>
      </c>
      <c r="D4697" s="30">
        <v>4</v>
      </c>
      <c r="E4697" s="30">
        <v>10</v>
      </c>
      <c r="F4697" s="30">
        <f t="shared" si="159"/>
        <v>40</v>
      </c>
      <c r="G4697" s="30" t="s">
        <v>9</v>
      </c>
    </row>
    <row r="4698" spans="1:9" ht="30" x14ac:dyDescent="0.25">
      <c r="A4698" s="78">
        <v>46245</v>
      </c>
      <c r="B4698" s="68">
        <v>9</v>
      </c>
      <c r="C4698" s="204" t="s">
        <v>377</v>
      </c>
      <c r="D4698" s="30">
        <v>1</v>
      </c>
      <c r="E4698" s="30">
        <v>10</v>
      </c>
      <c r="F4698" s="30">
        <f t="shared" si="159"/>
        <v>10</v>
      </c>
      <c r="G4698" s="30" t="s">
        <v>16</v>
      </c>
      <c r="I4698" s="68" t="s">
        <v>1226</v>
      </c>
    </row>
    <row r="4699" spans="1:9" x14ac:dyDescent="0.25">
      <c r="A4699" s="78">
        <v>46245</v>
      </c>
      <c r="B4699" s="68">
        <v>9</v>
      </c>
      <c r="C4699" s="205" t="s">
        <v>1142</v>
      </c>
      <c r="D4699" s="30">
        <v>1</v>
      </c>
      <c r="E4699" s="30">
        <v>5</v>
      </c>
      <c r="F4699" s="30">
        <f t="shared" si="159"/>
        <v>5</v>
      </c>
      <c r="G4699" s="30" t="s">
        <v>16</v>
      </c>
      <c r="I4699" s="68" t="s">
        <v>1226</v>
      </c>
    </row>
    <row r="4700" spans="1:9" x14ac:dyDescent="0.25">
      <c r="A4700" s="78">
        <v>46245</v>
      </c>
      <c r="B4700" s="68">
        <v>6</v>
      </c>
      <c r="C4700" s="205" t="s">
        <v>101</v>
      </c>
      <c r="D4700" s="30">
        <v>1</v>
      </c>
      <c r="E4700" s="30">
        <v>60</v>
      </c>
      <c r="F4700" s="30">
        <f t="shared" si="159"/>
        <v>60</v>
      </c>
      <c r="G4700" s="30" t="s">
        <v>16</v>
      </c>
      <c r="I4700" s="68" t="s">
        <v>1200</v>
      </c>
    </row>
    <row r="4701" spans="1:9" x14ac:dyDescent="0.25">
      <c r="A4701" s="78">
        <v>46245</v>
      </c>
      <c r="B4701" s="68">
        <v>10</v>
      </c>
      <c r="C4701" s="205" t="s">
        <v>1280</v>
      </c>
      <c r="D4701" s="30">
        <v>2</v>
      </c>
      <c r="E4701" s="30">
        <v>10</v>
      </c>
      <c r="F4701" s="30">
        <f t="shared" si="159"/>
        <v>20</v>
      </c>
      <c r="G4701" s="30" t="s">
        <v>9</v>
      </c>
    </row>
    <row r="4702" spans="1:9" x14ac:dyDescent="0.25">
      <c r="A4702" s="78">
        <v>46245</v>
      </c>
      <c r="B4702" s="68">
        <v>11</v>
      </c>
      <c r="C4702" s="205" t="s">
        <v>1279</v>
      </c>
      <c r="D4702" s="30">
        <v>1</v>
      </c>
      <c r="E4702" s="30">
        <v>20</v>
      </c>
      <c r="F4702" s="30">
        <f t="shared" si="159"/>
        <v>20</v>
      </c>
      <c r="G4702" s="30" t="s">
        <v>16</v>
      </c>
      <c r="I4702" s="68" t="s">
        <v>1226</v>
      </c>
    </row>
    <row r="4703" spans="1:9" x14ac:dyDescent="0.25">
      <c r="A4703" s="78">
        <v>46245</v>
      </c>
      <c r="B4703" s="68">
        <v>11</v>
      </c>
      <c r="C4703" s="205" t="s">
        <v>419</v>
      </c>
      <c r="D4703" s="30">
        <v>1</v>
      </c>
      <c r="E4703" s="30">
        <v>10</v>
      </c>
      <c r="F4703" s="30">
        <f t="shared" si="159"/>
        <v>10</v>
      </c>
      <c r="G4703" s="30" t="s">
        <v>16</v>
      </c>
      <c r="I4703" s="68" t="s">
        <v>1226</v>
      </c>
    </row>
    <row r="4704" spans="1:9" x14ac:dyDescent="0.25">
      <c r="A4704" s="78">
        <v>46245</v>
      </c>
      <c r="B4704" s="68">
        <v>12</v>
      </c>
      <c r="C4704" s="205" t="s">
        <v>1259</v>
      </c>
      <c r="D4704" s="30">
        <v>2</v>
      </c>
      <c r="E4704" s="30">
        <v>10</v>
      </c>
      <c r="F4704" s="30">
        <f t="shared" si="159"/>
        <v>20</v>
      </c>
      <c r="G4704" s="30" t="s">
        <v>9</v>
      </c>
    </row>
    <row r="4705" spans="1:9" x14ac:dyDescent="0.25">
      <c r="A4705" s="78">
        <v>46245</v>
      </c>
      <c r="B4705" s="68">
        <v>13</v>
      </c>
      <c r="C4705" s="205" t="s">
        <v>1260</v>
      </c>
      <c r="D4705" s="30">
        <v>4</v>
      </c>
      <c r="E4705" s="30">
        <v>5</v>
      </c>
      <c r="F4705" s="30">
        <f t="shared" si="159"/>
        <v>20</v>
      </c>
      <c r="G4705" s="30" t="s">
        <v>9</v>
      </c>
    </row>
    <row r="4706" spans="1:9" x14ac:dyDescent="0.25">
      <c r="A4706" s="78">
        <v>46245</v>
      </c>
      <c r="B4706" s="68">
        <v>11</v>
      </c>
      <c r="C4706" s="209" t="s">
        <v>1293</v>
      </c>
      <c r="D4706" s="30">
        <v>4</v>
      </c>
      <c r="E4706" s="30">
        <v>10</v>
      </c>
      <c r="F4706" s="30">
        <f t="shared" si="159"/>
        <v>40</v>
      </c>
      <c r="G4706" s="30" t="s">
        <v>9</v>
      </c>
    </row>
    <row r="4707" spans="1:9" x14ac:dyDescent="0.25">
      <c r="A4707" s="78">
        <v>46245</v>
      </c>
      <c r="F4707" s="30">
        <f t="shared" si="159"/>
        <v>0</v>
      </c>
    </row>
    <row r="4708" spans="1:9" x14ac:dyDescent="0.25">
      <c r="A4708" s="78">
        <v>46245</v>
      </c>
      <c r="F4708" s="30">
        <f t="shared" si="159"/>
        <v>0</v>
      </c>
    </row>
    <row r="4709" spans="1:9" x14ac:dyDescent="0.25">
      <c r="A4709" s="78">
        <v>46245</v>
      </c>
      <c r="B4709" s="68">
        <v>6</v>
      </c>
      <c r="F4709" s="30">
        <f t="shared" si="159"/>
        <v>0</v>
      </c>
    </row>
    <row r="4710" spans="1:9" s="199" customFormat="1" ht="31.5" x14ac:dyDescent="0.25">
      <c r="A4710" s="196">
        <v>46245</v>
      </c>
      <c r="B4710" s="197" t="s">
        <v>1245</v>
      </c>
      <c r="C4710" s="198">
        <f>MAX(B4682:B4709)</f>
        <v>13</v>
      </c>
      <c r="D4710" s="197" t="s">
        <v>1246</v>
      </c>
      <c r="E4710" s="199">
        <f>SUMIF(G4682:G4709,"UPI",F4682:F4709)</f>
        <v>25</v>
      </c>
      <c r="H4710" s="200" t="s">
        <v>1247</v>
      </c>
      <c r="I4710" s="200">
        <f>SUMIF(G4682:G4709, "&lt;&gt;UPI",F4682:F4709)</f>
        <v>825.75</v>
      </c>
    </row>
    <row r="4711" spans="1:9" x14ac:dyDescent="0.25">
      <c r="A4711" s="78">
        <v>46245</v>
      </c>
      <c r="B4711" s="68">
        <v>1</v>
      </c>
      <c r="C4711" s="205" t="s">
        <v>877</v>
      </c>
      <c r="D4711" s="30">
        <v>2</v>
      </c>
      <c r="E4711" s="30">
        <v>10</v>
      </c>
      <c r="F4711" s="30">
        <f>E4711*D4711</f>
        <v>20</v>
      </c>
      <c r="G4711" s="30" t="s">
        <v>9</v>
      </c>
    </row>
    <row r="4712" spans="1:9" x14ac:dyDescent="0.25">
      <c r="A4712" s="78">
        <v>46245</v>
      </c>
      <c r="B4712" s="68">
        <v>2</v>
      </c>
      <c r="C4712" s="205" t="s">
        <v>951</v>
      </c>
      <c r="D4712" s="30">
        <v>3</v>
      </c>
      <c r="E4712" s="30">
        <v>1</v>
      </c>
      <c r="F4712" s="30">
        <f t="shared" ref="F4712:F4754" si="160">E4712*D4712</f>
        <v>3</v>
      </c>
      <c r="G4712" s="30" t="s">
        <v>9</v>
      </c>
    </row>
    <row r="4713" spans="1:9" x14ac:dyDescent="0.25">
      <c r="A4713" s="78">
        <v>46245</v>
      </c>
      <c r="B4713" s="68">
        <v>3</v>
      </c>
      <c r="C4713" s="205" t="s">
        <v>622</v>
      </c>
      <c r="D4713" s="30">
        <v>1</v>
      </c>
      <c r="E4713" s="30">
        <v>10</v>
      </c>
      <c r="F4713" s="30">
        <f t="shared" si="160"/>
        <v>10</v>
      </c>
      <c r="G4713" s="30" t="s">
        <v>9</v>
      </c>
    </row>
    <row r="4714" spans="1:9" x14ac:dyDescent="0.25">
      <c r="A4714" s="78">
        <v>46245</v>
      </c>
      <c r="B4714" s="68">
        <v>4</v>
      </c>
      <c r="C4714" s="205" t="s">
        <v>590</v>
      </c>
      <c r="D4714" s="30">
        <v>0.45500000000000002</v>
      </c>
      <c r="E4714" s="30">
        <v>44</v>
      </c>
      <c r="F4714" s="30">
        <f t="shared" si="160"/>
        <v>20.02</v>
      </c>
      <c r="G4714" s="30" t="s">
        <v>9</v>
      </c>
    </row>
    <row r="4715" spans="1:9" x14ac:dyDescent="0.25">
      <c r="A4715" s="78">
        <v>46245</v>
      </c>
      <c r="B4715" s="68">
        <v>4</v>
      </c>
      <c r="C4715" s="204" t="s">
        <v>970</v>
      </c>
      <c r="D4715" s="30">
        <v>1</v>
      </c>
      <c r="E4715" s="30">
        <v>10</v>
      </c>
      <c r="F4715" s="30">
        <f t="shared" si="160"/>
        <v>10</v>
      </c>
      <c r="G4715" s="30" t="s">
        <v>9</v>
      </c>
    </row>
    <row r="4716" spans="1:9" x14ac:dyDescent="0.25">
      <c r="A4716" s="78">
        <v>46245</v>
      </c>
      <c r="B4716" s="68">
        <v>5</v>
      </c>
      <c r="C4716" s="205" t="s">
        <v>1198</v>
      </c>
      <c r="D4716" s="30">
        <v>1</v>
      </c>
      <c r="E4716" s="30">
        <v>10</v>
      </c>
      <c r="F4716" s="30">
        <f t="shared" si="160"/>
        <v>10</v>
      </c>
      <c r="G4716" s="30" t="s">
        <v>9</v>
      </c>
    </row>
    <row r="4717" spans="1:9" x14ac:dyDescent="0.25">
      <c r="A4717" s="78">
        <v>46245</v>
      </c>
      <c r="B4717" s="68">
        <v>6</v>
      </c>
      <c r="C4717" s="205" t="s">
        <v>1280</v>
      </c>
      <c r="D4717" s="30">
        <v>1</v>
      </c>
      <c r="E4717" s="30">
        <v>10</v>
      </c>
      <c r="F4717" s="30">
        <f t="shared" si="160"/>
        <v>10</v>
      </c>
      <c r="G4717" s="30" t="s">
        <v>10</v>
      </c>
    </row>
    <row r="4718" spans="1:9" x14ac:dyDescent="0.25">
      <c r="A4718" s="78">
        <v>46245</v>
      </c>
      <c r="B4718" s="68">
        <v>7</v>
      </c>
      <c r="C4718" s="205" t="s">
        <v>1133</v>
      </c>
      <c r="D4718" s="30">
        <v>1</v>
      </c>
      <c r="E4718" s="30">
        <v>20</v>
      </c>
      <c r="F4718" s="30">
        <f t="shared" si="160"/>
        <v>20</v>
      </c>
      <c r="G4718" s="30" t="s">
        <v>9</v>
      </c>
    </row>
    <row r="4719" spans="1:9" x14ac:dyDescent="0.25">
      <c r="A4719" s="78">
        <v>46245</v>
      </c>
      <c r="B4719" s="68">
        <v>8</v>
      </c>
      <c r="C4719" s="205" t="s">
        <v>1259</v>
      </c>
      <c r="D4719" s="30">
        <v>1</v>
      </c>
      <c r="E4719" s="30">
        <v>10</v>
      </c>
      <c r="F4719" s="30">
        <f t="shared" si="160"/>
        <v>10</v>
      </c>
      <c r="G4719" s="30" t="s">
        <v>9</v>
      </c>
    </row>
    <row r="4720" spans="1:9" x14ac:dyDescent="0.25">
      <c r="A4720" s="78">
        <v>46245</v>
      </c>
      <c r="B4720" s="68">
        <v>8</v>
      </c>
      <c r="C4720" s="204" t="s">
        <v>1141</v>
      </c>
      <c r="D4720" s="30">
        <v>1</v>
      </c>
      <c r="E4720" s="30">
        <v>10</v>
      </c>
      <c r="F4720" s="30">
        <f t="shared" si="160"/>
        <v>10</v>
      </c>
      <c r="G4720" s="30" t="s">
        <v>9</v>
      </c>
    </row>
    <row r="4721" spans="1:7" x14ac:dyDescent="0.25">
      <c r="A4721" s="78">
        <v>46245</v>
      </c>
      <c r="B4721" s="68">
        <v>9</v>
      </c>
      <c r="C4721" s="205" t="s">
        <v>954</v>
      </c>
      <c r="D4721" s="30">
        <v>1</v>
      </c>
      <c r="E4721" s="30">
        <v>35</v>
      </c>
      <c r="F4721" s="30">
        <f t="shared" si="160"/>
        <v>35</v>
      </c>
      <c r="G4721" s="30" t="s">
        <v>10</v>
      </c>
    </row>
    <row r="4722" spans="1:7" ht="30" x14ac:dyDescent="0.25">
      <c r="A4722" s="78">
        <v>46245</v>
      </c>
      <c r="B4722" s="68">
        <v>9</v>
      </c>
      <c r="C4722" s="205" t="s">
        <v>941</v>
      </c>
      <c r="D4722" s="30">
        <v>1</v>
      </c>
      <c r="E4722" s="30">
        <v>60</v>
      </c>
      <c r="F4722" s="30">
        <f t="shared" si="160"/>
        <v>60</v>
      </c>
      <c r="G4722" s="30" t="s">
        <v>10</v>
      </c>
    </row>
    <row r="4723" spans="1:7" x14ac:dyDescent="0.25">
      <c r="A4723" s="78">
        <v>46245</v>
      </c>
      <c r="B4723" s="68">
        <v>10</v>
      </c>
      <c r="C4723" s="205" t="s">
        <v>1127</v>
      </c>
      <c r="D4723" s="30">
        <v>1</v>
      </c>
      <c r="E4723" s="30">
        <v>10</v>
      </c>
      <c r="F4723" s="30">
        <f t="shared" si="160"/>
        <v>10</v>
      </c>
      <c r="G4723" s="30" t="s">
        <v>9</v>
      </c>
    </row>
    <row r="4724" spans="1:7" x14ac:dyDescent="0.25">
      <c r="A4724" s="78">
        <v>46245</v>
      </c>
      <c r="B4724" s="68">
        <v>10</v>
      </c>
      <c r="C4724" s="205" t="s">
        <v>915</v>
      </c>
      <c r="D4724" s="30">
        <v>1</v>
      </c>
      <c r="E4724" s="30">
        <v>10</v>
      </c>
      <c r="F4724" s="30">
        <f t="shared" si="160"/>
        <v>10</v>
      </c>
      <c r="G4724" s="30" t="s">
        <v>9</v>
      </c>
    </row>
    <row r="4725" spans="1:7" x14ac:dyDescent="0.25">
      <c r="A4725" s="78">
        <v>46245</v>
      </c>
      <c r="B4725" s="68">
        <v>11</v>
      </c>
      <c r="C4725" s="205" t="s">
        <v>1062</v>
      </c>
      <c r="D4725" s="30">
        <v>1</v>
      </c>
      <c r="E4725" s="30">
        <v>10</v>
      </c>
      <c r="F4725" s="30">
        <f t="shared" si="160"/>
        <v>10</v>
      </c>
      <c r="G4725" s="30" t="s">
        <v>9</v>
      </c>
    </row>
    <row r="4726" spans="1:7" x14ac:dyDescent="0.25">
      <c r="A4726" s="78">
        <v>46245</v>
      </c>
      <c r="B4726" s="68">
        <v>11</v>
      </c>
      <c r="C4726" s="205" t="s">
        <v>395</v>
      </c>
      <c r="D4726" s="30">
        <v>1</v>
      </c>
      <c r="E4726" s="30">
        <v>10</v>
      </c>
      <c r="F4726" s="30">
        <f t="shared" si="160"/>
        <v>10</v>
      </c>
      <c r="G4726" s="30" t="s">
        <v>9</v>
      </c>
    </row>
    <row r="4727" spans="1:7" x14ac:dyDescent="0.25">
      <c r="A4727" s="78">
        <v>46245</v>
      </c>
      <c r="B4727" s="68">
        <v>11</v>
      </c>
      <c r="C4727" s="205" t="s">
        <v>95</v>
      </c>
      <c r="D4727" s="30">
        <v>1</v>
      </c>
      <c r="E4727" s="30">
        <v>10</v>
      </c>
      <c r="F4727" s="30">
        <f t="shared" si="160"/>
        <v>10</v>
      </c>
      <c r="G4727" s="30" t="s">
        <v>9</v>
      </c>
    </row>
    <row r="4728" spans="1:7" x14ac:dyDescent="0.25">
      <c r="A4728" s="78">
        <v>46245</v>
      </c>
      <c r="B4728" s="68">
        <v>12</v>
      </c>
      <c r="C4728" s="205" t="s">
        <v>1138</v>
      </c>
      <c r="D4728" s="30">
        <v>2</v>
      </c>
      <c r="E4728" s="30">
        <v>5</v>
      </c>
      <c r="F4728" s="30">
        <f t="shared" si="160"/>
        <v>10</v>
      </c>
      <c r="G4728" s="30" t="s">
        <v>9</v>
      </c>
    </row>
    <row r="4729" spans="1:7" x14ac:dyDescent="0.25">
      <c r="A4729" s="78">
        <v>46245</v>
      </c>
      <c r="B4729" s="68">
        <v>13</v>
      </c>
      <c r="C4729" s="209" t="s">
        <v>1293</v>
      </c>
      <c r="D4729" s="30">
        <v>8</v>
      </c>
      <c r="E4729" s="30">
        <v>10</v>
      </c>
      <c r="F4729" s="30">
        <f t="shared" si="160"/>
        <v>80</v>
      </c>
      <c r="G4729" s="30" t="s">
        <v>9</v>
      </c>
    </row>
    <row r="4730" spans="1:7" x14ac:dyDescent="0.25">
      <c r="A4730" s="78">
        <v>46245</v>
      </c>
      <c r="B4730" s="68">
        <v>13</v>
      </c>
      <c r="C4730" s="205" t="s">
        <v>1294</v>
      </c>
      <c r="D4730" s="30">
        <v>1</v>
      </c>
      <c r="E4730" s="30">
        <v>35</v>
      </c>
      <c r="F4730" s="30">
        <f t="shared" si="160"/>
        <v>35</v>
      </c>
      <c r="G4730" s="30" t="s">
        <v>9</v>
      </c>
    </row>
    <row r="4731" spans="1:7" ht="30" x14ac:dyDescent="0.25">
      <c r="A4731" s="78">
        <v>46245</v>
      </c>
      <c r="B4731" s="68">
        <v>13</v>
      </c>
      <c r="C4731" s="205" t="s">
        <v>1232</v>
      </c>
      <c r="D4731" s="30">
        <v>1</v>
      </c>
      <c r="E4731" s="30">
        <v>45</v>
      </c>
      <c r="F4731" s="30">
        <f t="shared" si="160"/>
        <v>45</v>
      </c>
      <c r="G4731" s="30" t="s">
        <v>9</v>
      </c>
    </row>
    <row r="4732" spans="1:7" x14ac:dyDescent="0.25">
      <c r="A4732" s="78">
        <v>46245</v>
      </c>
      <c r="B4732" s="68">
        <v>14</v>
      </c>
      <c r="C4732" s="205" t="s">
        <v>1291</v>
      </c>
      <c r="D4732" s="30">
        <v>26</v>
      </c>
      <c r="E4732" s="30">
        <v>62</v>
      </c>
      <c r="F4732" s="30">
        <f t="shared" si="160"/>
        <v>1612</v>
      </c>
      <c r="G4732" s="30" t="s">
        <v>9</v>
      </c>
    </row>
    <row r="4733" spans="1:7" x14ac:dyDescent="0.25">
      <c r="A4733" s="78">
        <v>46245</v>
      </c>
      <c r="B4733" s="68">
        <v>15</v>
      </c>
      <c r="C4733" s="204" t="s">
        <v>1141</v>
      </c>
      <c r="D4733" s="30">
        <v>1</v>
      </c>
      <c r="E4733" s="30">
        <v>10</v>
      </c>
      <c r="F4733" s="30">
        <f t="shared" si="160"/>
        <v>10</v>
      </c>
      <c r="G4733" s="30" t="s">
        <v>9</v>
      </c>
    </row>
    <row r="4734" spans="1:7" x14ac:dyDescent="0.25">
      <c r="A4734" s="78">
        <v>46245</v>
      </c>
      <c r="B4734" s="68">
        <v>15</v>
      </c>
      <c r="C4734" s="205" t="s">
        <v>859</v>
      </c>
      <c r="D4734" s="30">
        <v>1</v>
      </c>
      <c r="E4734" s="30">
        <v>10</v>
      </c>
      <c r="F4734" s="30">
        <f t="shared" si="160"/>
        <v>10</v>
      </c>
      <c r="G4734" s="30" t="s">
        <v>9</v>
      </c>
    </row>
    <row r="4735" spans="1:7" x14ac:dyDescent="0.25">
      <c r="A4735" s="78">
        <v>46245</v>
      </c>
      <c r="B4735" s="68">
        <v>15</v>
      </c>
      <c r="C4735" s="205" t="s">
        <v>769</v>
      </c>
      <c r="D4735" s="30">
        <v>1</v>
      </c>
      <c r="E4735" s="30">
        <v>20</v>
      </c>
      <c r="F4735" s="30">
        <f t="shared" si="160"/>
        <v>20</v>
      </c>
      <c r="G4735" s="30" t="s">
        <v>9</v>
      </c>
    </row>
    <row r="4736" spans="1:7" x14ac:dyDescent="0.25">
      <c r="A4736" s="78">
        <v>46245</v>
      </c>
      <c r="B4736" s="68">
        <v>16</v>
      </c>
      <c r="C4736" s="205" t="s">
        <v>914</v>
      </c>
      <c r="D4736" s="30">
        <v>1</v>
      </c>
      <c r="E4736" s="30">
        <v>30</v>
      </c>
      <c r="F4736" s="30">
        <f t="shared" si="160"/>
        <v>30</v>
      </c>
      <c r="G4736" s="30" t="s">
        <v>9</v>
      </c>
    </row>
    <row r="4737" spans="1:7" x14ac:dyDescent="0.25">
      <c r="A4737" s="78">
        <v>46245</v>
      </c>
      <c r="B4737" s="68">
        <v>17</v>
      </c>
      <c r="C4737" s="205" t="s">
        <v>1259</v>
      </c>
      <c r="D4737" s="30">
        <v>1</v>
      </c>
      <c r="E4737" s="30">
        <v>10</v>
      </c>
      <c r="F4737" s="30">
        <f t="shared" si="160"/>
        <v>10</v>
      </c>
      <c r="G4737" s="30" t="s">
        <v>9</v>
      </c>
    </row>
    <row r="4738" spans="1:7" ht="30" x14ac:dyDescent="0.25">
      <c r="A4738" s="78">
        <v>46245</v>
      </c>
      <c r="B4738" s="68">
        <v>17</v>
      </c>
      <c r="C4738" s="205" t="s">
        <v>1286</v>
      </c>
      <c r="D4738" s="30">
        <v>1</v>
      </c>
      <c r="E4738" s="30">
        <v>10</v>
      </c>
      <c r="F4738" s="30">
        <f t="shared" si="160"/>
        <v>10</v>
      </c>
      <c r="G4738" s="30" t="s">
        <v>9</v>
      </c>
    </row>
    <row r="4739" spans="1:7" x14ac:dyDescent="0.25">
      <c r="A4739" s="78">
        <v>46245</v>
      </c>
      <c r="B4739" s="68">
        <v>18</v>
      </c>
      <c r="C4739" s="205" t="s">
        <v>1252</v>
      </c>
      <c r="D4739" s="30">
        <v>1</v>
      </c>
      <c r="E4739" s="30">
        <v>5</v>
      </c>
      <c r="F4739" s="30">
        <f t="shared" si="160"/>
        <v>5</v>
      </c>
      <c r="G4739" s="30" t="s">
        <v>9</v>
      </c>
    </row>
    <row r="4740" spans="1:7" x14ac:dyDescent="0.25">
      <c r="A4740" s="78">
        <v>46245</v>
      </c>
      <c r="B4740" s="68">
        <v>19</v>
      </c>
      <c r="C4740" s="205" t="s">
        <v>966</v>
      </c>
      <c r="D4740" s="30">
        <v>10</v>
      </c>
      <c r="E4740" s="30">
        <v>1</v>
      </c>
      <c r="F4740" s="30">
        <f t="shared" si="160"/>
        <v>10</v>
      </c>
      <c r="G4740" s="30" t="s">
        <v>9</v>
      </c>
    </row>
    <row r="4741" spans="1:7" x14ac:dyDescent="0.25">
      <c r="A4741" s="78">
        <v>46245</v>
      </c>
      <c r="B4741" s="68">
        <v>23</v>
      </c>
      <c r="C4741" s="205" t="s">
        <v>1279</v>
      </c>
      <c r="D4741" s="30">
        <v>1</v>
      </c>
      <c r="E4741" s="30">
        <v>20</v>
      </c>
      <c r="F4741" s="30">
        <f t="shared" si="160"/>
        <v>20</v>
      </c>
      <c r="G4741" s="30" t="s">
        <v>9</v>
      </c>
    </row>
    <row r="4742" spans="1:7" x14ac:dyDescent="0.25">
      <c r="A4742" s="78">
        <v>46245</v>
      </c>
      <c r="B4742" s="68">
        <v>19</v>
      </c>
      <c r="C4742" s="205" t="s">
        <v>1295</v>
      </c>
      <c r="D4742" s="30">
        <v>0.02</v>
      </c>
      <c r="E4742" s="30">
        <v>480</v>
      </c>
      <c r="F4742" s="30">
        <f t="shared" si="160"/>
        <v>9.6</v>
      </c>
      <c r="G4742" s="30" t="s">
        <v>9</v>
      </c>
    </row>
    <row r="4743" spans="1:7" x14ac:dyDescent="0.25">
      <c r="A4743" s="78">
        <v>46245</v>
      </c>
      <c r="B4743" s="68">
        <v>12</v>
      </c>
      <c r="C4743" s="205" t="s">
        <v>1279</v>
      </c>
      <c r="D4743" s="30">
        <v>1</v>
      </c>
      <c r="E4743" s="30">
        <v>20</v>
      </c>
      <c r="F4743" s="30">
        <f t="shared" si="160"/>
        <v>20</v>
      </c>
      <c r="G4743" s="30" t="s">
        <v>9</v>
      </c>
    </row>
    <row r="4744" spans="1:7" x14ac:dyDescent="0.25">
      <c r="A4744" s="78">
        <v>46245</v>
      </c>
      <c r="B4744" s="68">
        <v>20</v>
      </c>
      <c r="C4744" s="205" t="s">
        <v>578</v>
      </c>
      <c r="D4744" s="30">
        <v>1</v>
      </c>
      <c r="E4744" s="30">
        <v>5</v>
      </c>
      <c r="F4744" s="30">
        <f t="shared" si="160"/>
        <v>5</v>
      </c>
      <c r="G4744" s="30" t="s">
        <v>10</v>
      </c>
    </row>
    <row r="4745" spans="1:7" x14ac:dyDescent="0.25">
      <c r="A4745" s="78">
        <v>46245</v>
      </c>
      <c r="B4745" s="68">
        <v>20</v>
      </c>
      <c r="C4745" s="205" t="s">
        <v>1252</v>
      </c>
      <c r="D4745" s="30">
        <v>2</v>
      </c>
      <c r="E4745" s="30">
        <v>5</v>
      </c>
      <c r="F4745" s="30">
        <f t="shared" si="160"/>
        <v>10</v>
      </c>
      <c r="G4745" s="30" t="s">
        <v>10</v>
      </c>
    </row>
    <row r="4746" spans="1:7" x14ac:dyDescent="0.25">
      <c r="A4746" s="78">
        <v>46245</v>
      </c>
      <c r="B4746" s="68">
        <v>21</v>
      </c>
      <c r="C4746" s="205" t="s">
        <v>1259</v>
      </c>
      <c r="D4746" s="30">
        <v>1</v>
      </c>
      <c r="E4746" s="30">
        <v>10</v>
      </c>
      <c r="F4746" s="30">
        <f t="shared" si="160"/>
        <v>10</v>
      </c>
      <c r="G4746" s="30" t="s">
        <v>9</v>
      </c>
    </row>
    <row r="4747" spans="1:7" x14ac:dyDescent="0.25">
      <c r="A4747" s="78">
        <v>46245</v>
      </c>
      <c r="B4747" s="68">
        <v>22</v>
      </c>
      <c r="C4747" s="205" t="s">
        <v>702</v>
      </c>
      <c r="D4747" s="30">
        <v>3</v>
      </c>
      <c r="E4747" s="30">
        <v>10</v>
      </c>
      <c r="F4747" s="30">
        <f t="shared" si="160"/>
        <v>30</v>
      </c>
      <c r="G4747" s="30" t="s">
        <v>9</v>
      </c>
    </row>
    <row r="4748" spans="1:7" ht="30" x14ac:dyDescent="0.25">
      <c r="A4748" s="78">
        <v>46245</v>
      </c>
      <c r="B4748" s="68">
        <v>24</v>
      </c>
      <c r="C4748" s="204" t="s">
        <v>1177</v>
      </c>
      <c r="D4748" s="30">
        <v>0.32</v>
      </c>
      <c r="E4748" s="30">
        <v>45</v>
      </c>
      <c r="F4748" s="30">
        <f t="shared" si="160"/>
        <v>14.4</v>
      </c>
      <c r="G4748" s="30" t="s">
        <v>10</v>
      </c>
    </row>
    <row r="4749" spans="1:7" x14ac:dyDescent="0.25">
      <c r="A4749" s="78">
        <v>46245</v>
      </c>
      <c r="B4749" s="68">
        <v>25</v>
      </c>
      <c r="C4749" s="205" t="s">
        <v>1280</v>
      </c>
      <c r="D4749" s="30">
        <v>2</v>
      </c>
      <c r="E4749" s="30">
        <v>10</v>
      </c>
      <c r="F4749" s="30">
        <f t="shared" si="160"/>
        <v>20</v>
      </c>
      <c r="G4749" s="30" t="s">
        <v>10</v>
      </c>
    </row>
    <row r="4750" spans="1:7" x14ac:dyDescent="0.25">
      <c r="A4750" s="78">
        <v>46245</v>
      </c>
      <c r="B4750" s="68">
        <v>26</v>
      </c>
      <c r="C4750" s="205" t="s">
        <v>1280</v>
      </c>
      <c r="D4750" s="30">
        <v>1</v>
      </c>
      <c r="E4750" s="30">
        <v>10</v>
      </c>
      <c r="F4750" s="30">
        <f t="shared" si="160"/>
        <v>10</v>
      </c>
      <c r="G4750" s="30" t="s">
        <v>9</v>
      </c>
    </row>
    <row r="4751" spans="1:7" x14ac:dyDescent="0.25">
      <c r="A4751" s="78">
        <v>46245</v>
      </c>
      <c r="B4751" s="68">
        <v>26</v>
      </c>
      <c r="C4751" s="205" t="s">
        <v>569</v>
      </c>
      <c r="D4751" s="30">
        <v>1</v>
      </c>
      <c r="E4751" s="30">
        <v>10</v>
      </c>
      <c r="F4751" s="30">
        <f t="shared" si="160"/>
        <v>10</v>
      </c>
      <c r="G4751" s="30" t="s">
        <v>9</v>
      </c>
    </row>
    <row r="4752" spans="1:7" ht="30" x14ac:dyDescent="0.25">
      <c r="A4752" s="78">
        <v>46245</v>
      </c>
      <c r="B4752" s="68">
        <v>26</v>
      </c>
      <c r="C4752" s="205" t="s">
        <v>83</v>
      </c>
      <c r="D4752" s="30">
        <v>1</v>
      </c>
      <c r="E4752" s="30">
        <v>10</v>
      </c>
      <c r="F4752" s="30">
        <f t="shared" si="160"/>
        <v>10</v>
      </c>
      <c r="G4752" s="30" t="s">
        <v>9</v>
      </c>
    </row>
    <row r="4753" spans="1:12" x14ac:dyDescent="0.25">
      <c r="A4753" s="78">
        <v>46245</v>
      </c>
      <c r="B4753" s="68">
        <v>26</v>
      </c>
      <c r="C4753" s="205" t="s">
        <v>846</v>
      </c>
      <c r="D4753" s="30">
        <v>1</v>
      </c>
      <c r="E4753" s="30">
        <v>10</v>
      </c>
      <c r="F4753" s="30">
        <f t="shared" si="160"/>
        <v>10</v>
      </c>
      <c r="G4753" s="30" t="s">
        <v>9</v>
      </c>
    </row>
    <row r="4754" spans="1:12" x14ac:dyDescent="0.25">
      <c r="A4754" s="78">
        <v>46245</v>
      </c>
      <c r="B4754" s="68">
        <v>27</v>
      </c>
      <c r="C4754" s="205" t="s">
        <v>101</v>
      </c>
      <c r="D4754" s="30">
        <v>1</v>
      </c>
      <c r="E4754" s="30">
        <v>55</v>
      </c>
      <c r="F4754" s="30">
        <f t="shared" si="160"/>
        <v>55</v>
      </c>
      <c r="G4754" s="30" t="s">
        <v>9</v>
      </c>
    </row>
    <row r="4755" spans="1:12" s="199" customFormat="1" ht="31.5" x14ac:dyDescent="0.25">
      <c r="A4755" s="196">
        <v>46245</v>
      </c>
      <c r="B4755" s="197" t="s">
        <v>1248</v>
      </c>
      <c r="C4755" s="198">
        <f>MAX(B4711:B4754)</f>
        <v>27</v>
      </c>
      <c r="D4755" s="197" t="s">
        <v>1249</v>
      </c>
      <c r="E4755" s="199">
        <f>SUMIF(G4711:G4754,"UPI",F4711:F4754)</f>
        <v>154.4</v>
      </c>
      <c r="H4755" s="200" t="s">
        <v>1251</v>
      </c>
      <c r="I4755" s="200">
        <f>SUMIF(G4711:G4754, "&lt;&gt;UPI",F4711:F4754)</f>
        <v>2234.62</v>
      </c>
    </row>
    <row r="4756" spans="1:12" s="5" customFormat="1" ht="15.75" x14ac:dyDescent="0.25">
      <c r="A4756" s="201">
        <v>46245</v>
      </c>
      <c r="B4756" s="2"/>
      <c r="C4756" s="14"/>
      <c r="H4756" s="2" t="s">
        <v>1250</v>
      </c>
      <c r="I4756" s="2">
        <f>SUMIF(G4682:G4754, "&lt;&gt;UPI",F4682:F4754)</f>
        <v>3060.37</v>
      </c>
    </row>
    <row r="4757" spans="1:12" s="202" customFormat="1" ht="18.75" x14ac:dyDescent="0.3">
      <c r="A4757" s="146">
        <v>46245</v>
      </c>
      <c r="B4757" s="147" t="s">
        <v>987</v>
      </c>
      <c r="C4757" s="148">
        <f>MAX(B4682:B4754)</f>
        <v>27</v>
      </c>
      <c r="D4757" s="147" t="s">
        <v>988</v>
      </c>
      <c r="E4757" s="202">
        <f>SUMIF(G4682:G4754,"UPI",F4682:F4754)</f>
        <v>179.4</v>
      </c>
      <c r="F4757" s="230" t="s">
        <v>437</v>
      </c>
      <c r="G4757" s="230"/>
      <c r="H4757" s="230"/>
      <c r="I4757" s="230">
        <f>SUM(F4682:F4754)</f>
        <v>3239.77</v>
      </c>
      <c r="J4757" s="230"/>
      <c r="K4757" s="230"/>
      <c r="L4757" s="230"/>
    </row>
    <row r="4758" spans="1:12" x14ac:dyDescent="0.25">
      <c r="A4758" s="78">
        <v>46246</v>
      </c>
      <c r="B4758" s="68">
        <v>1</v>
      </c>
      <c r="C4758" s="205" t="s">
        <v>721</v>
      </c>
      <c r="D4758" s="30">
        <v>0.05</v>
      </c>
      <c r="E4758" s="30">
        <v>900</v>
      </c>
      <c r="F4758" s="30">
        <f>E4758*D4758</f>
        <v>45</v>
      </c>
      <c r="G4758" s="30" t="s">
        <v>10</v>
      </c>
      <c r="J4758" s="30" t="s">
        <v>391</v>
      </c>
    </row>
    <row r="4759" spans="1:12" x14ac:dyDescent="0.25">
      <c r="A4759" s="78">
        <v>46246</v>
      </c>
      <c r="B4759" s="68">
        <v>2</v>
      </c>
      <c r="C4759" s="205" t="s">
        <v>1280</v>
      </c>
      <c r="D4759" s="30">
        <v>2</v>
      </c>
      <c r="E4759" s="30">
        <v>10</v>
      </c>
      <c r="F4759" s="30">
        <f t="shared" ref="F4759:F4801" si="161">E4759*D4759</f>
        <v>20</v>
      </c>
      <c r="G4759" s="30" t="s">
        <v>9</v>
      </c>
      <c r="J4759" s="30" t="s">
        <v>391</v>
      </c>
    </row>
    <row r="4760" spans="1:12" x14ac:dyDescent="0.25">
      <c r="A4760" s="78">
        <v>46246</v>
      </c>
      <c r="B4760" s="68">
        <v>3</v>
      </c>
      <c r="C4760" s="205" t="s">
        <v>680</v>
      </c>
      <c r="D4760" s="30">
        <v>1</v>
      </c>
      <c r="E4760" s="30">
        <v>10</v>
      </c>
      <c r="F4760" s="30">
        <f t="shared" si="161"/>
        <v>10</v>
      </c>
      <c r="G4760" s="30" t="s">
        <v>9</v>
      </c>
      <c r="J4760" s="30" t="s">
        <v>391</v>
      </c>
    </row>
    <row r="4761" spans="1:12" x14ac:dyDescent="0.25">
      <c r="A4761" s="78">
        <v>46246</v>
      </c>
      <c r="B4761" s="68">
        <v>4</v>
      </c>
      <c r="C4761" s="205" t="s">
        <v>1089</v>
      </c>
      <c r="D4761" s="30">
        <v>0.28599999999999998</v>
      </c>
      <c r="E4761" s="30">
        <v>70</v>
      </c>
      <c r="F4761" s="30">
        <f t="shared" si="161"/>
        <v>20.02</v>
      </c>
      <c r="G4761" s="30" t="s">
        <v>9</v>
      </c>
      <c r="J4761" s="30" t="s">
        <v>391</v>
      </c>
    </row>
    <row r="4762" spans="1:12" x14ac:dyDescent="0.25">
      <c r="A4762" s="78">
        <v>46246</v>
      </c>
      <c r="B4762" s="68">
        <v>4</v>
      </c>
      <c r="C4762" s="205" t="s">
        <v>1284</v>
      </c>
      <c r="D4762" s="30">
        <v>1</v>
      </c>
      <c r="E4762" s="30">
        <v>70</v>
      </c>
      <c r="F4762" s="30">
        <f t="shared" si="161"/>
        <v>70</v>
      </c>
      <c r="G4762" s="30" t="s">
        <v>9</v>
      </c>
      <c r="J4762" s="30" t="s">
        <v>391</v>
      </c>
    </row>
    <row r="4763" spans="1:12" x14ac:dyDescent="0.25">
      <c r="A4763" s="78">
        <v>46246</v>
      </c>
      <c r="B4763" s="68">
        <v>4</v>
      </c>
      <c r="C4763" s="205" t="s">
        <v>863</v>
      </c>
      <c r="D4763" s="30">
        <v>1</v>
      </c>
      <c r="E4763" s="30">
        <v>40</v>
      </c>
      <c r="F4763" s="30">
        <f t="shared" si="161"/>
        <v>40</v>
      </c>
      <c r="G4763" s="30" t="s">
        <v>9</v>
      </c>
      <c r="J4763" s="30" t="s">
        <v>391</v>
      </c>
    </row>
    <row r="4764" spans="1:12" x14ac:dyDescent="0.25">
      <c r="A4764" s="78">
        <v>46246</v>
      </c>
      <c r="B4764" s="68">
        <v>4</v>
      </c>
      <c r="C4764" s="205" t="s">
        <v>930</v>
      </c>
      <c r="D4764" s="30">
        <v>1</v>
      </c>
      <c r="E4764" s="30">
        <v>60</v>
      </c>
      <c r="F4764" s="30">
        <f t="shared" si="161"/>
        <v>60</v>
      </c>
      <c r="G4764" s="30" t="s">
        <v>9</v>
      </c>
      <c r="J4764" s="30" t="s">
        <v>391</v>
      </c>
    </row>
    <row r="4765" spans="1:12" x14ac:dyDescent="0.25">
      <c r="A4765" s="78">
        <v>46246</v>
      </c>
      <c r="B4765" s="68">
        <v>5</v>
      </c>
      <c r="C4765" s="19" t="s">
        <v>1293</v>
      </c>
      <c r="D4765" s="30">
        <v>4</v>
      </c>
      <c r="E4765" s="30">
        <v>10</v>
      </c>
      <c r="F4765" s="30">
        <f t="shared" si="161"/>
        <v>40</v>
      </c>
      <c r="G4765" s="30" t="s">
        <v>9</v>
      </c>
      <c r="J4765" s="30" t="s">
        <v>391</v>
      </c>
    </row>
    <row r="4766" spans="1:12" x14ac:dyDescent="0.25">
      <c r="A4766" s="78">
        <v>46246</v>
      </c>
      <c r="B4766" s="68">
        <v>6</v>
      </c>
      <c r="C4766" s="205" t="s">
        <v>1163</v>
      </c>
      <c r="D4766" s="30">
        <v>1</v>
      </c>
      <c r="E4766" s="30">
        <v>10</v>
      </c>
      <c r="F4766" s="30">
        <f t="shared" si="161"/>
        <v>10</v>
      </c>
      <c r="G4766" s="30" t="s">
        <v>9</v>
      </c>
      <c r="J4766" s="30" t="s">
        <v>391</v>
      </c>
    </row>
    <row r="4767" spans="1:12" x14ac:dyDescent="0.25">
      <c r="A4767" s="78">
        <v>46246</v>
      </c>
      <c r="B4767" s="68">
        <v>6</v>
      </c>
      <c r="C4767" s="205" t="s">
        <v>533</v>
      </c>
      <c r="D4767" s="30">
        <v>1</v>
      </c>
      <c r="E4767" s="30">
        <v>10</v>
      </c>
      <c r="F4767" s="30">
        <f t="shared" si="161"/>
        <v>10</v>
      </c>
      <c r="G4767" s="30" t="s">
        <v>9</v>
      </c>
      <c r="J4767" s="30" t="s">
        <v>391</v>
      </c>
    </row>
    <row r="4768" spans="1:12" x14ac:dyDescent="0.25">
      <c r="A4768" s="78">
        <v>46246</v>
      </c>
      <c r="B4768" s="68">
        <v>7</v>
      </c>
      <c r="C4768" s="205" t="s">
        <v>34</v>
      </c>
      <c r="D4768" s="30">
        <v>1</v>
      </c>
      <c r="E4768" s="30">
        <v>35</v>
      </c>
      <c r="F4768" s="30">
        <f t="shared" si="161"/>
        <v>35</v>
      </c>
      <c r="G4768" s="30" t="s">
        <v>9</v>
      </c>
      <c r="J4768" s="30" t="s">
        <v>391</v>
      </c>
    </row>
    <row r="4769" spans="1:10" ht="30" x14ac:dyDescent="0.25">
      <c r="A4769" s="78">
        <v>46246</v>
      </c>
      <c r="B4769" s="68">
        <v>7</v>
      </c>
      <c r="C4769" s="205" t="s">
        <v>818</v>
      </c>
      <c r="D4769" s="30">
        <v>10</v>
      </c>
      <c r="E4769" s="30">
        <v>1</v>
      </c>
      <c r="F4769" s="30">
        <f t="shared" si="161"/>
        <v>10</v>
      </c>
      <c r="G4769" s="30" t="s">
        <v>9</v>
      </c>
      <c r="J4769" s="30" t="s">
        <v>391</v>
      </c>
    </row>
    <row r="4770" spans="1:10" x14ac:dyDescent="0.25">
      <c r="A4770" s="78">
        <v>46246</v>
      </c>
      <c r="B4770" s="68">
        <v>7</v>
      </c>
      <c r="C4770" s="205" t="s">
        <v>1290</v>
      </c>
      <c r="D4770" s="30">
        <v>15</v>
      </c>
      <c r="E4770" s="30">
        <v>1</v>
      </c>
      <c r="F4770" s="30">
        <f t="shared" si="161"/>
        <v>15</v>
      </c>
      <c r="G4770" s="30" t="s">
        <v>9</v>
      </c>
      <c r="J4770" s="30" t="s">
        <v>391</v>
      </c>
    </row>
    <row r="4771" spans="1:10" x14ac:dyDescent="0.25">
      <c r="A4771" s="78">
        <v>46246</v>
      </c>
      <c r="B4771" s="68">
        <v>7</v>
      </c>
      <c r="C4771" s="205" t="s">
        <v>892</v>
      </c>
      <c r="D4771" s="30">
        <v>1</v>
      </c>
      <c r="E4771" s="30">
        <v>10</v>
      </c>
      <c r="F4771" s="30">
        <f t="shared" si="161"/>
        <v>10</v>
      </c>
      <c r="G4771" s="30" t="s">
        <v>9</v>
      </c>
      <c r="J4771" s="30" t="s">
        <v>391</v>
      </c>
    </row>
    <row r="4772" spans="1:10" x14ac:dyDescent="0.25">
      <c r="A4772" s="78">
        <v>46246</v>
      </c>
      <c r="B4772" s="68">
        <v>7</v>
      </c>
      <c r="C4772" s="205" t="s">
        <v>859</v>
      </c>
      <c r="D4772" s="30">
        <v>1</v>
      </c>
      <c r="E4772" s="30">
        <v>10</v>
      </c>
      <c r="F4772" s="30">
        <f t="shared" si="161"/>
        <v>10</v>
      </c>
      <c r="G4772" s="30" t="s">
        <v>9</v>
      </c>
      <c r="J4772" s="30" t="s">
        <v>391</v>
      </c>
    </row>
    <row r="4773" spans="1:10" x14ac:dyDescent="0.25">
      <c r="A4773" s="78">
        <v>46246</v>
      </c>
      <c r="B4773" s="68">
        <v>7</v>
      </c>
      <c r="C4773" s="205" t="s">
        <v>649</v>
      </c>
      <c r="D4773" s="30">
        <v>2</v>
      </c>
      <c r="E4773" s="30">
        <v>5</v>
      </c>
      <c r="F4773" s="30">
        <f t="shared" si="161"/>
        <v>10</v>
      </c>
      <c r="G4773" s="30" t="s">
        <v>9</v>
      </c>
      <c r="J4773" s="30" t="s">
        <v>391</v>
      </c>
    </row>
    <row r="4774" spans="1:10" x14ac:dyDescent="0.25">
      <c r="A4774" s="78">
        <v>46246</v>
      </c>
      <c r="B4774" s="68">
        <v>8</v>
      </c>
      <c r="C4774" s="204" t="s">
        <v>1141</v>
      </c>
      <c r="D4774" s="30">
        <v>1</v>
      </c>
      <c r="E4774" s="30">
        <v>10</v>
      </c>
      <c r="F4774" s="30">
        <f t="shared" si="161"/>
        <v>10</v>
      </c>
      <c r="G4774" s="30" t="s">
        <v>9</v>
      </c>
      <c r="J4774" s="30" t="s">
        <v>391</v>
      </c>
    </row>
    <row r="4775" spans="1:10" x14ac:dyDescent="0.25">
      <c r="A4775" s="78">
        <v>46246</v>
      </c>
      <c r="B4775" s="68">
        <v>9</v>
      </c>
      <c r="C4775" s="205" t="s">
        <v>915</v>
      </c>
      <c r="D4775" s="30">
        <v>1</v>
      </c>
      <c r="E4775" s="30">
        <v>10</v>
      </c>
      <c r="F4775" s="30">
        <f t="shared" si="161"/>
        <v>10</v>
      </c>
      <c r="G4775" s="30" t="s">
        <v>9</v>
      </c>
      <c r="J4775" s="30" t="s">
        <v>391</v>
      </c>
    </row>
    <row r="4776" spans="1:10" x14ac:dyDescent="0.25">
      <c r="A4776" s="78">
        <v>46246</v>
      </c>
      <c r="B4776" s="68">
        <v>10</v>
      </c>
      <c r="C4776" s="205" t="s">
        <v>1105</v>
      </c>
      <c r="D4776" s="30">
        <v>1</v>
      </c>
      <c r="E4776" s="30">
        <v>20</v>
      </c>
      <c r="F4776" s="30">
        <f t="shared" si="161"/>
        <v>20</v>
      </c>
      <c r="G4776" s="30" t="s">
        <v>9</v>
      </c>
      <c r="J4776" s="30" t="s">
        <v>391</v>
      </c>
    </row>
    <row r="4777" spans="1:10" x14ac:dyDescent="0.25">
      <c r="A4777" s="78">
        <v>46246</v>
      </c>
      <c r="B4777" s="68">
        <v>11</v>
      </c>
      <c r="C4777" s="205" t="s">
        <v>655</v>
      </c>
      <c r="D4777" s="30">
        <v>1</v>
      </c>
      <c r="E4777" s="30">
        <v>15</v>
      </c>
      <c r="F4777" s="30">
        <f t="shared" si="161"/>
        <v>15</v>
      </c>
      <c r="G4777" s="30" t="s">
        <v>9</v>
      </c>
      <c r="J4777" s="30" t="s">
        <v>391</v>
      </c>
    </row>
    <row r="4778" spans="1:10" x14ac:dyDescent="0.25">
      <c r="A4778" s="78">
        <v>46246</v>
      </c>
      <c r="B4778" s="68">
        <v>12</v>
      </c>
      <c r="C4778" s="205" t="s">
        <v>588</v>
      </c>
      <c r="D4778" s="30">
        <v>0.105</v>
      </c>
      <c r="E4778" s="30">
        <v>190</v>
      </c>
      <c r="F4778" s="30">
        <f t="shared" si="161"/>
        <v>19.95</v>
      </c>
      <c r="G4778" s="30" t="s">
        <v>9</v>
      </c>
      <c r="J4778" s="30" t="s">
        <v>391</v>
      </c>
    </row>
    <row r="4779" spans="1:10" x14ac:dyDescent="0.25">
      <c r="A4779" s="78">
        <v>46246</v>
      </c>
      <c r="B4779" s="68">
        <v>12</v>
      </c>
      <c r="C4779" s="205" t="s">
        <v>1073</v>
      </c>
      <c r="D4779" s="30">
        <v>1</v>
      </c>
      <c r="E4779" s="30">
        <v>5</v>
      </c>
      <c r="F4779" s="30">
        <f t="shared" si="161"/>
        <v>5</v>
      </c>
      <c r="G4779" s="30" t="s">
        <v>9</v>
      </c>
      <c r="J4779" s="30" t="s">
        <v>391</v>
      </c>
    </row>
    <row r="4780" spans="1:10" x14ac:dyDescent="0.25">
      <c r="A4780" s="78">
        <v>46246</v>
      </c>
      <c r="B4780" s="68">
        <v>12</v>
      </c>
      <c r="C4780" s="205" t="s">
        <v>1197</v>
      </c>
      <c r="D4780" s="30">
        <v>0.05</v>
      </c>
      <c r="E4780" s="30">
        <v>200</v>
      </c>
      <c r="F4780" s="30">
        <f t="shared" si="161"/>
        <v>10</v>
      </c>
      <c r="G4780" s="30" t="s">
        <v>9</v>
      </c>
      <c r="J4780" s="30" t="s">
        <v>391</v>
      </c>
    </row>
    <row r="4781" spans="1:10" ht="30" x14ac:dyDescent="0.25">
      <c r="A4781" s="78">
        <v>46246</v>
      </c>
      <c r="B4781" s="68">
        <v>13</v>
      </c>
      <c r="C4781" s="205" t="s">
        <v>975</v>
      </c>
      <c r="D4781" s="30">
        <v>1</v>
      </c>
      <c r="E4781" s="30">
        <v>85</v>
      </c>
      <c r="F4781" s="30">
        <f t="shared" si="161"/>
        <v>85</v>
      </c>
      <c r="G4781" s="30" t="s">
        <v>9</v>
      </c>
      <c r="J4781" s="30" t="s">
        <v>391</v>
      </c>
    </row>
    <row r="4782" spans="1:10" x14ac:dyDescent="0.25">
      <c r="A4782" s="78">
        <v>46246</v>
      </c>
      <c r="B4782" s="68">
        <v>13</v>
      </c>
      <c r="C4782" s="205" t="s">
        <v>948</v>
      </c>
      <c r="D4782" s="30">
        <v>1</v>
      </c>
      <c r="E4782" s="30">
        <v>205</v>
      </c>
      <c r="F4782" s="30">
        <f t="shared" si="161"/>
        <v>205</v>
      </c>
      <c r="G4782" s="30" t="s">
        <v>9</v>
      </c>
      <c r="J4782" s="30" t="s">
        <v>391</v>
      </c>
    </row>
    <row r="4783" spans="1:10" x14ac:dyDescent="0.25">
      <c r="A4783" s="78">
        <v>46246</v>
      </c>
      <c r="B4783" s="68">
        <v>13</v>
      </c>
      <c r="C4783" s="205" t="s">
        <v>1158</v>
      </c>
      <c r="D4783" s="30">
        <v>1</v>
      </c>
      <c r="E4783" s="30">
        <v>30</v>
      </c>
      <c r="F4783" s="30">
        <f t="shared" si="161"/>
        <v>30</v>
      </c>
      <c r="G4783" s="30" t="s">
        <v>9</v>
      </c>
      <c r="J4783" s="30" t="s">
        <v>391</v>
      </c>
    </row>
    <row r="4784" spans="1:10" x14ac:dyDescent="0.25">
      <c r="A4784" s="78">
        <v>46246</v>
      </c>
      <c r="B4784" s="68">
        <v>13</v>
      </c>
      <c r="C4784" s="205" t="s">
        <v>960</v>
      </c>
      <c r="D4784" s="30">
        <v>2</v>
      </c>
      <c r="E4784" s="30">
        <v>5</v>
      </c>
      <c r="F4784" s="30">
        <f t="shared" si="161"/>
        <v>10</v>
      </c>
      <c r="G4784" s="30" t="s">
        <v>9</v>
      </c>
      <c r="J4784" s="30" t="s">
        <v>391</v>
      </c>
    </row>
    <row r="4785" spans="1:10" x14ac:dyDescent="0.25">
      <c r="A4785" s="78">
        <v>46246</v>
      </c>
      <c r="B4785" s="68">
        <v>14</v>
      </c>
      <c r="C4785" s="205" t="s">
        <v>1255</v>
      </c>
      <c r="D4785" s="30">
        <v>1</v>
      </c>
      <c r="E4785" s="30">
        <v>10</v>
      </c>
      <c r="F4785" s="30">
        <f t="shared" si="161"/>
        <v>10</v>
      </c>
      <c r="G4785" s="30" t="s">
        <v>9</v>
      </c>
      <c r="J4785" s="30" t="s">
        <v>391</v>
      </c>
    </row>
    <row r="4786" spans="1:10" x14ac:dyDescent="0.25">
      <c r="A4786" s="78">
        <v>46246</v>
      </c>
      <c r="B4786" s="68">
        <v>14</v>
      </c>
      <c r="C4786" s="205" t="s">
        <v>1133</v>
      </c>
      <c r="D4786" s="30">
        <v>1</v>
      </c>
      <c r="E4786" s="30">
        <v>20</v>
      </c>
      <c r="F4786" s="30">
        <f t="shared" si="161"/>
        <v>20</v>
      </c>
      <c r="G4786" s="30" t="s">
        <v>9</v>
      </c>
      <c r="J4786" s="30" t="s">
        <v>391</v>
      </c>
    </row>
    <row r="4787" spans="1:10" x14ac:dyDescent="0.25">
      <c r="A4787" s="78">
        <v>46246</v>
      </c>
      <c r="B4787" s="68">
        <v>15</v>
      </c>
      <c r="C4787" s="205" t="s">
        <v>1198</v>
      </c>
      <c r="D4787" s="30">
        <v>1</v>
      </c>
      <c r="E4787" s="30">
        <v>10</v>
      </c>
      <c r="F4787" s="30">
        <f t="shared" si="161"/>
        <v>10</v>
      </c>
      <c r="G4787" s="30" t="s">
        <v>10</v>
      </c>
      <c r="J4787" s="30" t="s">
        <v>391</v>
      </c>
    </row>
    <row r="4788" spans="1:10" x14ac:dyDescent="0.25">
      <c r="A4788" s="78">
        <v>46246</v>
      </c>
      <c r="B4788" s="68">
        <v>16</v>
      </c>
      <c r="C4788" s="205" t="s">
        <v>1198</v>
      </c>
      <c r="D4788" s="30">
        <v>1</v>
      </c>
      <c r="E4788" s="30">
        <v>10</v>
      </c>
      <c r="F4788" s="30">
        <f t="shared" si="161"/>
        <v>10</v>
      </c>
      <c r="G4788" s="30" t="s">
        <v>9</v>
      </c>
      <c r="J4788" s="30" t="s">
        <v>391</v>
      </c>
    </row>
    <row r="4789" spans="1:10" x14ac:dyDescent="0.25">
      <c r="A4789" s="78">
        <v>46246</v>
      </c>
      <c r="B4789" s="68">
        <v>17</v>
      </c>
      <c r="C4789" s="205" t="s">
        <v>1280</v>
      </c>
      <c r="D4789" s="30">
        <v>2</v>
      </c>
      <c r="E4789" s="30">
        <v>10</v>
      </c>
      <c r="F4789" s="30">
        <f t="shared" si="161"/>
        <v>20</v>
      </c>
      <c r="G4789" s="30" t="s">
        <v>10</v>
      </c>
      <c r="J4789" s="30" t="s">
        <v>391</v>
      </c>
    </row>
    <row r="4790" spans="1:10" x14ac:dyDescent="0.25">
      <c r="A4790" s="78">
        <v>46246</v>
      </c>
      <c r="B4790" s="68">
        <v>17</v>
      </c>
      <c r="C4790" s="205" t="s">
        <v>1252</v>
      </c>
      <c r="D4790" s="30">
        <v>2</v>
      </c>
      <c r="E4790" s="30">
        <v>5</v>
      </c>
      <c r="F4790" s="30">
        <f t="shared" si="161"/>
        <v>10</v>
      </c>
      <c r="G4790" s="30" t="s">
        <v>10</v>
      </c>
      <c r="J4790" s="30" t="s">
        <v>391</v>
      </c>
    </row>
    <row r="4791" spans="1:10" x14ac:dyDescent="0.25">
      <c r="A4791" s="78">
        <v>46246</v>
      </c>
      <c r="B4791" s="68">
        <v>18</v>
      </c>
      <c r="C4791" s="205" t="s">
        <v>1279</v>
      </c>
      <c r="D4791" s="30">
        <v>1</v>
      </c>
      <c r="E4791" s="30">
        <v>20</v>
      </c>
      <c r="F4791" s="30">
        <f t="shared" si="161"/>
        <v>20</v>
      </c>
      <c r="G4791" s="30" t="s">
        <v>9</v>
      </c>
      <c r="J4791" s="30" t="s">
        <v>391</v>
      </c>
    </row>
    <row r="4792" spans="1:10" ht="30" x14ac:dyDescent="0.25">
      <c r="A4792" s="78">
        <v>46246</v>
      </c>
      <c r="B4792" s="68">
        <v>18</v>
      </c>
      <c r="C4792" s="205" t="s">
        <v>1286</v>
      </c>
      <c r="D4792" s="30">
        <v>2</v>
      </c>
      <c r="E4792" s="30">
        <v>10</v>
      </c>
      <c r="F4792" s="30">
        <f t="shared" si="161"/>
        <v>20</v>
      </c>
      <c r="G4792" s="30" t="s">
        <v>16</v>
      </c>
      <c r="I4792" s="68" t="s">
        <v>1203</v>
      </c>
      <c r="J4792" s="30" t="s">
        <v>391</v>
      </c>
    </row>
    <row r="4793" spans="1:10" x14ac:dyDescent="0.25">
      <c r="A4793" s="78">
        <v>46246</v>
      </c>
      <c r="B4793" s="68">
        <v>19</v>
      </c>
      <c r="C4793" s="205" t="s">
        <v>915</v>
      </c>
      <c r="D4793" s="30">
        <v>1</v>
      </c>
      <c r="E4793" s="30">
        <v>10</v>
      </c>
      <c r="F4793" s="30">
        <f t="shared" si="161"/>
        <v>10</v>
      </c>
      <c r="G4793" s="30" t="s">
        <v>9</v>
      </c>
      <c r="J4793" s="30" t="s">
        <v>391</v>
      </c>
    </row>
    <row r="4794" spans="1:10" x14ac:dyDescent="0.25">
      <c r="A4794" s="78">
        <v>46246</v>
      </c>
      <c r="B4794" s="68">
        <v>20</v>
      </c>
      <c r="C4794" s="205" t="s">
        <v>533</v>
      </c>
      <c r="D4794" s="30">
        <v>1</v>
      </c>
      <c r="E4794" s="30">
        <v>10</v>
      </c>
      <c r="F4794" s="30">
        <f t="shared" si="161"/>
        <v>10</v>
      </c>
      <c r="G4794" s="30" t="s">
        <v>9</v>
      </c>
      <c r="J4794" s="30" t="s">
        <v>391</v>
      </c>
    </row>
    <row r="4795" spans="1:10" x14ac:dyDescent="0.25">
      <c r="A4795" s="78">
        <v>46246</v>
      </c>
      <c r="B4795" s="68">
        <v>20</v>
      </c>
      <c r="C4795" s="205" t="s">
        <v>1280</v>
      </c>
      <c r="D4795" s="30">
        <v>1</v>
      </c>
      <c r="E4795" s="30">
        <v>10</v>
      </c>
      <c r="F4795" s="30">
        <f t="shared" si="161"/>
        <v>10</v>
      </c>
      <c r="G4795" s="30" t="s">
        <v>9</v>
      </c>
      <c r="J4795" s="30" t="s">
        <v>391</v>
      </c>
    </row>
    <row r="4796" spans="1:10" x14ac:dyDescent="0.25">
      <c r="A4796" s="78">
        <v>46246</v>
      </c>
      <c r="B4796" s="68">
        <v>21</v>
      </c>
      <c r="C4796" s="205" t="s">
        <v>702</v>
      </c>
      <c r="D4796" s="30">
        <v>1</v>
      </c>
      <c r="E4796" s="30">
        <v>10</v>
      </c>
      <c r="F4796" s="30">
        <f t="shared" si="161"/>
        <v>10</v>
      </c>
      <c r="G4796" s="30" t="s">
        <v>9</v>
      </c>
      <c r="J4796" s="30" t="s">
        <v>391</v>
      </c>
    </row>
    <row r="4797" spans="1:10" x14ac:dyDescent="0.25">
      <c r="A4797" s="78">
        <v>46246</v>
      </c>
      <c r="B4797" s="68">
        <v>22</v>
      </c>
      <c r="C4797" s="205" t="s">
        <v>117</v>
      </c>
      <c r="D4797" s="30">
        <v>1</v>
      </c>
      <c r="E4797" s="30">
        <v>10</v>
      </c>
      <c r="F4797" s="30">
        <f t="shared" si="161"/>
        <v>10</v>
      </c>
      <c r="G4797" s="30" t="s">
        <v>9</v>
      </c>
      <c r="J4797" s="30" t="s">
        <v>391</v>
      </c>
    </row>
    <row r="4798" spans="1:10" x14ac:dyDescent="0.25">
      <c r="A4798" s="78">
        <v>46246</v>
      </c>
      <c r="B4798" s="68">
        <v>23</v>
      </c>
      <c r="C4798" s="205" t="s">
        <v>783</v>
      </c>
      <c r="D4798" s="30">
        <v>1</v>
      </c>
      <c r="E4798" s="30">
        <v>10</v>
      </c>
      <c r="F4798" s="30">
        <f t="shared" si="161"/>
        <v>10</v>
      </c>
      <c r="G4798" s="30" t="s">
        <v>9</v>
      </c>
      <c r="J4798" s="30" t="s">
        <v>391</v>
      </c>
    </row>
    <row r="4799" spans="1:10" x14ac:dyDescent="0.25">
      <c r="A4799" s="78">
        <v>46246</v>
      </c>
      <c r="B4799" s="68">
        <v>24</v>
      </c>
      <c r="C4799" s="205" t="s">
        <v>683</v>
      </c>
      <c r="D4799" s="30">
        <v>3</v>
      </c>
      <c r="E4799" s="30">
        <v>10</v>
      </c>
      <c r="F4799" s="30">
        <f t="shared" si="161"/>
        <v>30</v>
      </c>
      <c r="G4799" s="30" t="s">
        <v>9</v>
      </c>
      <c r="J4799" s="30" t="s">
        <v>391</v>
      </c>
    </row>
    <row r="4800" spans="1:10" x14ac:dyDescent="0.25">
      <c r="A4800" s="78">
        <v>46246</v>
      </c>
      <c r="B4800" s="68">
        <v>24</v>
      </c>
      <c r="C4800" s="205" t="s">
        <v>1142</v>
      </c>
      <c r="D4800" s="30">
        <v>1</v>
      </c>
      <c r="E4800" s="30">
        <v>5</v>
      </c>
      <c r="F4800" s="30">
        <f t="shared" si="161"/>
        <v>5</v>
      </c>
      <c r="G4800" s="30" t="s">
        <v>9</v>
      </c>
      <c r="J4800" s="30" t="s">
        <v>391</v>
      </c>
    </row>
    <row r="4801" spans="1:12" x14ac:dyDescent="0.25">
      <c r="A4801" s="78">
        <v>46246</v>
      </c>
      <c r="B4801" s="68">
        <v>24</v>
      </c>
      <c r="C4801" s="205" t="s">
        <v>1253</v>
      </c>
      <c r="D4801" s="30">
        <v>1</v>
      </c>
      <c r="E4801" s="30">
        <v>5</v>
      </c>
      <c r="F4801" s="30">
        <f t="shared" si="161"/>
        <v>5</v>
      </c>
      <c r="G4801" s="30" t="s">
        <v>9</v>
      </c>
      <c r="J4801" s="30" t="s">
        <v>391</v>
      </c>
    </row>
    <row r="4802" spans="1:12" s="199" customFormat="1" ht="31.5" x14ac:dyDescent="0.25">
      <c r="A4802" s="196">
        <v>46246</v>
      </c>
      <c r="B4802" s="197" t="s">
        <v>1245</v>
      </c>
      <c r="C4802" s="198">
        <f>MAX(B4758:B4801)</f>
        <v>24</v>
      </c>
      <c r="D4802" s="197" t="s">
        <v>1246</v>
      </c>
      <c r="E4802" s="199">
        <f>SUMIF(G4758:G4801,"UPI",F4758:F4801)</f>
        <v>85</v>
      </c>
      <c r="H4802" s="200" t="s">
        <v>1247</v>
      </c>
      <c r="I4802" s="200">
        <f>SUMIF(G4758:G4801, "&lt;&gt;UPI",F4758:F4801)</f>
        <v>969.97</v>
      </c>
    </row>
    <row r="4803" spans="1:12" x14ac:dyDescent="0.25">
      <c r="A4803" s="78">
        <v>46246</v>
      </c>
      <c r="B4803" s="68">
        <v>25</v>
      </c>
      <c r="C4803" s="205" t="s">
        <v>960</v>
      </c>
      <c r="D4803" s="30">
        <v>8</v>
      </c>
      <c r="E4803" s="30">
        <v>5</v>
      </c>
      <c r="F4803" s="30">
        <f>E4803*D4803</f>
        <v>40</v>
      </c>
      <c r="G4803" s="30" t="s">
        <v>9</v>
      </c>
      <c r="J4803" s="30" t="s">
        <v>392</v>
      </c>
    </row>
    <row r="4804" spans="1:12" x14ac:dyDescent="0.25">
      <c r="A4804" s="78">
        <v>46246</v>
      </c>
      <c r="B4804" s="68">
        <v>25</v>
      </c>
      <c r="C4804" s="205" t="s">
        <v>877</v>
      </c>
      <c r="D4804" s="30">
        <v>1</v>
      </c>
      <c r="E4804" s="30">
        <v>10</v>
      </c>
      <c r="F4804" s="30">
        <f>E4804*D4804</f>
        <v>10</v>
      </c>
      <c r="G4804" s="30" t="s">
        <v>9</v>
      </c>
      <c r="J4804" s="30" t="s">
        <v>392</v>
      </c>
    </row>
    <row r="4805" spans="1:12" x14ac:dyDescent="0.25">
      <c r="A4805" s="78">
        <v>46246</v>
      </c>
    </row>
    <row r="4806" spans="1:12" s="199" customFormat="1" ht="31.5" x14ac:dyDescent="0.25">
      <c r="A4806" s="196">
        <v>46246</v>
      </c>
      <c r="B4806" s="197" t="s">
        <v>1248</v>
      </c>
      <c r="C4806" s="198">
        <f>MAX(B4803:B4805)</f>
        <v>25</v>
      </c>
      <c r="D4806" s="197" t="s">
        <v>1249</v>
      </c>
      <c r="E4806" s="199">
        <f>SUMIF(G4803:G4805,"UPI",F4803:F4805)</f>
        <v>0</v>
      </c>
      <c r="H4806" s="200" t="s">
        <v>1251</v>
      </c>
      <c r="I4806" s="200">
        <f>SUMIF(G4803:G4805, "&lt;&gt;UPI",F4803:F4805)</f>
        <v>50</v>
      </c>
    </row>
    <row r="4807" spans="1:12" s="5" customFormat="1" ht="15.75" x14ac:dyDescent="0.25">
      <c r="A4807" s="201">
        <v>46246</v>
      </c>
      <c r="B4807" s="2"/>
      <c r="C4807" s="14"/>
      <c r="H4807" s="2" t="s">
        <v>1250</v>
      </c>
      <c r="I4807" s="2">
        <f>SUMIF(G4758:G4805, "&lt;&gt;UPI",F4758:F4805)</f>
        <v>1019.97</v>
      </c>
    </row>
    <row r="4808" spans="1:12" s="202" customFormat="1" ht="18.75" x14ac:dyDescent="0.3">
      <c r="A4808" s="146">
        <v>46246</v>
      </c>
      <c r="B4808" s="147" t="s">
        <v>987</v>
      </c>
      <c r="C4808" s="148">
        <f>MAX(B4758:B4805)</f>
        <v>25</v>
      </c>
      <c r="D4808" s="147" t="s">
        <v>988</v>
      </c>
      <c r="E4808" s="202">
        <f>SUMIF(G4758:G4805,"UPI",F4758:F4805)</f>
        <v>85</v>
      </c>
      <c r="F4808" s="230" t="s">
        <v>437</v>
      </c>
      <c r="G4808" s="230"/>
      <c r="H4808" s="230"/>
      <c r="I4808" s="230">
        <f>SUM(F4758:F4805)</f>
        <v>1104.97</v>
      </c>
      <c r="J4808" s="230"/>
      <c r="K4808" s="230"/>
      <c r="L4808" s="230"/>
    </row>
    <row r="4809" spans="1:12" x14ac:dyDescent="0.25">
      <c r="A4809" s="78">
        <v>46247</v>
      </c>
      <c r="B4809" s="68">
        <v>1</v>
      </c>
      <c r="C4809" s="205" t="s">
        <v>1231</v>
      </c>
      <c r="D4809" s="30">
        <v>1</v>
      </c>
      <c r="E4809" s="30">
        <v>25</v>
      </c>
      <c r="F4809" s="30">
        <f>E4809*D4809</f>
        <v>25</v>
      </c>
      <c r="G4809" s="30" t="s">
        <v>9</v>
      </c>
      <c r="J4809" s="30" t="s">
        <v>391</v>
      </c>
    </row>
    <row r="4810" spans="1:12" ht="30" x14ac:dyDescent="0.25">
      <c r="A4810" s="78">
        <v>46247</v>
      </c>
      <c r="B4810" s="68">
        <v>1</v>
      </c>
      <c r="C4810" s="205" t="s">
        <v>1195</v>
      </c>
      <c r="D4810" s="30">
        <v>1</v>
      </c>
      <c r="E4810" s="30">
        <v>30</v>
      </c>
      <c r="F4810" s="30">
        <f t="shared" ref="F4810:F4833" si="162">E4810*D4810</f>
        <v>30</v>
      </c>
      <c r="G4810" s="30" t="s">
        <v>9</v>
      </c>
      <c r="J4810" s="30" t="s">
        <v>391</v>
      </c>
    </row>
    <row r="4811" spans="1:12" x14ac:dyDescent="0.25">
      <c r="A4811" s="78">
        <v>46247</v>
      </c>
      <c r="B4811" s="68">
        <v>1</v>
      </c>
      <c r="C4811" s="205" t="s">
        <v>1229</v>
      </c>
      <c r="D4811" s="30">
        <v>1</v>
      </c>
      <c r="E4811" s="30">
        <v>40</v>
      </c>
      <c r="F4811" s="30">
        <f t="shared" si="162"/>
        <v>40</v>
      </c>
      <c r="G4811" s="30" t="s">
        <v>9</v>
      </c>
      <c r="J4811" s="30" t="s">
        <v>391</v>
      </c>
    </row>
    <row r="4812" spans="1:12" x14ac:dyDescent="0.25">
      <c r="A4812" s="78">
        <v>46247</v>
      </c>
      <c r="B4812" s="68">
        <v>1</v>
      </c>
      <c r="C4812" s="205" t="s">
        <v>1142</v>
      </c>
      <c r="D4812" s="30">
        <v>1</v>
      </c>
      <c r="E4812" s="30">
        <v>5</v>
      </c>
      <c r="F4812" s="30">
        <f t="shared" si="162"/>
        <v>5</v>
      </c>
      <c r="G4812" s="30" t="s">
        <v>9</v>
      </c>
      <c r="J4812" s="30" t="s">
        <v>391</v>
      </c>
    </row>
    <row r="4813" spans="1:12" x14ac:dyDescent="0.25">
      <c r="A4813" s="78">
        <v>46247</v>
      </c>
      <c r="B4813" s="68">
        <v>2</v>
      </c>
      <c r="C4813" s="205" t="s">
        <v>533</v>
      </c>
      <c r="D4813" s="30">
        <v>1</v>
      </c>
      <c r="E4813" s="30">
        <v>10</v>
      </c>
      <c r="F4813" s="30">
        <f t="shared" si="162"/>
        <v>10</v>
      </c>
      <c r="G4813" s="30" t="s">
        <v>9</v>
      </c>
      <c r="J4813" s="30" t="s">
        <v>391</v>
      </c>
    </row>
    <row r="4814" spans="1:12" x14ac:dyDescent="0.25">
      <c r="A4814" s="78">
        <v>46247</v>
      </c>
      <c r="B4814" s="68">
        <v>2</v>
      </c>
      <c r="C4814" s="205" t="s">
        <v>1259</v>
      </c>
      <c r="D4814" s="30">
        <v>1</v>
      </c>
      <c r="E4814" s="30">
        <v>10</v>
      </c>
      <c r="F4814" s="30">
        <f t="shared" si="162"/>
        <v>10</v>
      </c>
      <c r="G4814" s="30" t="s">
        <v>9</v>
      </c>
      <c r="J4814" s="30" t="s">
        <v>391</v>
      </c>
    </row>
    <row r="4815" spans="1:12" x14ac:dyDescent="0.25">
      <c r="A4815" s="78">
        <v>46247</v>
      </c>
      <c r="B4815" s="68">
        <v>3</v>
      </c>
      <c r="C4815" s="205" t="s">
        <v>1150</v>
      </c>
      <c r="D4815" s="30">
        <v>0.17</v>
      </c>
      <c r="E4815" s="30">
        <v>120</v>
      </c>
      <c r="F4815" s="30">
        <f t="shared" si="162"/>
        <v>20.400000000000002</v>
      </c>
      <c r="G4815" s="30" t="s">
        <v>9</v>
      </c>
      <c r="J4815" s="30" t="s">
        <v>391</v>
      </c>
    </row>
    <row r="4816" spans="1:12" x14ac:dyDescent="0.25">
      <c r="A4816" s="78">
        <v>46247</v>
      </c>
      <c r="B4816" s="68">
        <v>3</v>
      </c>
      <c r="C4816" s="205" t="s">
        <v>102</v>
      </c>
      <c r="D4816" s="30">
        <v>1</v>
      </c>
      <c r="E4816" s="30">
        <v>25</v>
      </c>
      <c r="F4816" s="30">
        <f t="shared" si="162"/>
        <v>25</v>
      </c>
      <c r="G4816" s="30" t="s">
        <v>9</v>
      </c>
      <c r="J4816" s="30" t="s">
        <v>391</v>
      </c>
    </row>
    <row r="4817" spans="1:10" x14ac:dyDescent="0.25">
      <c r="A4817" s="78">
        <v>46247</v>
      </c>
      <c r="B4817" s="68">
        <v>3</v>
      </c>
      <c r="C4817" s="205" t="s">
        <v>94</v>
      </c>
      <c r="D4817" s="30">
        <v>1</v>
      </c>
      <c r="E4817" s="30">
        <v>20</v>
      </c>
      <c r="F4817" s="30">
        <f t="shared" si="162"/>
        <v>20</v>
      </c>
      <c r="G4817" s="30" t="s">
        <v>9</v>
      </c>
      <c r="J4817" s="30" t="s">
        <v>391</v>
      </c>
    </row>
    <row r="4818" spans="1:10" x14ac:dyDescent="0.25">
      <c r="A4818" s="78">
        <v>46247</v>
      </c>
      <c r="B4818" s="68">
        <v>4</v>
      </c>
      <c r="C4818" s="205" t="s">
        <v>1106</v>
      </c>
      <c r="D4818" s="30">
        <v>1</v>
      </c>
      <c r="E4818" s="30">
        <v>25</v>
      </c>
      <c r="F4818" s="30">
        <f t="shared" si="162"/>
        <v>25</v>
      </c>
      <c r="G4818" s="30" t="s">
        <v>9</v>
      </c>
      <c r="J4818" s="30" t="s">
        <v>391</v>
      </c>
    </row>
    <row r="4819" spans="1:10" x14ac:dyDescent="0.25">
      <c r="A4819" s="78">
        <v>46247</v>
      </c>
      <c r="B4819" s="68">
        <v>5</v>
      </c>
      <c r="C4819" s="205" t="s">
        <v>969</v>
      </c>
      <c r="D4819" s="30">
        <v>0.125</v>
      </c>
      <c r="E4819" s="30">
        <v>160</v>
      </c>
      <c r="F4819" s="30">
        <f t="shared" si="162"/>
        <v>20</v>
      </c>
      <c r="G4819" s="30" t="s">
        <v>9</v>
      </c>
      <c r="J4819" s="30" t="s">
        <v>391</v>
      </c>
    </row>
    <row r="4820" spans="1:10" x14ac:dyDescent="0.25">
      <c r="A4820" s="78">
        <v>46247</v>
      </c>
      <c r="B4820" s="68">
        <v>5</v>
      </c>
      <c r="C4820" s="205" t="s">
        <v>971</v>
      </c>
      <c r="D4820" s="30">
        <v>1</v>
      </c>
      <c r="E4820" s="30">
        <v>10</v>
      </c>
      <c r="F4820" s="30">
        <f t="shared" si="162"/>
        <v>10</v>
      </c>
      <c r="G4820" s="30" t="s">
        <v>9</v>
      </c>
      <c r="J4820" s="30" t="s">
        <v>391</v>
      </c>
    </row>
    <row r="4821" spans="1:10" x14ac:dyDescent="0.25">
      <c r="A4821" s="78">
        <v>46247</v>
      </c>
      <c r="B4821" s="68">
        <v>6</v>
      </c>
      <c r="C4821" s="205" t="s">
        <v>1174</v>
      </c>
      <c r="D4821" s="30">
        <v>1</v>
      </c>
      <c r="E4821" s="30">
        <v>37</v>
      </c>
      <c r="F4821" s="30">
        <f t="shared" si="162"/>
        <v>37</v>
      </c>
      <c r="G4821" s="30" t="s">
        <v>9</v>
      </c>
      <c r="J4821" s="30" t="s">
        <v>391</v>
      </c>
    </row>
    <row r="4822" spans="1:10" x14ac:dyDescent="0.25">
      <c r="A4822" s="78">
        <v>46247</v>
      </c>
      <c r="B4822" s="68">
        <v>6</v>
      </c>
      <c r="C4822" s="205" t="s">
        <v>1280</v>
      </c>
      <c r="D4822" s="30">
        <v>1</v>
      </c>
      <c r="E4822" s="30">
        <v>10</v>
      </c>
      <c r="F4822" s="30">
        <f t="shared" si="162"/>
        <v>10</v>
      </c>
      <c r="G4822" s="30" t="s">
        <v>16</v>
      </c>
      <c r="I4822" s="68" t="s">
        <v>1203</v>
      </c>
      <c r="J4822" s="30" t="s">
        <v>391</v>
      </c>
    </row>
    <row r="4823" spans="1:10" x14ac:dyDescent="0.25">
      <c r="A4823" s="78">
        <v>46247</v>
      </c>
      <c r="B4823" s="68">
        <v>6</v>
      </c>
      <c r="C4823" s="205" t="s">
        <v>915</v>
      </c>
      <c r="D4823" s="30">
        <v>2</v>
      </c>
      <c r="E4823" s="30">
        <v>10</v>
      </c>
      <c r="F4823" s="30">
        <f t="shared" si="162"/>
        <v>20</v>
      </c>
      <c r="G4823" s="30" t="s">
        <v>9</v>
      </c>
      <c r="J4823" s="30" t="s">
        <v>391</v>
      </c>
    </row>
    <row r="4824" spans="1:10" x14ac:dyDescent="0.25">
      <c r="A4824" s="78">
        <v>46247</v>
      </c>
      <c r="B4824" s="68">
        <v>6</v>
      </c>
      <c r="C4824" s="205" t="s">
        <v>1255</v>
      </c>
      <c r="D4824" s="30">
        <v>1</v>
      </c>
      <c r="E4824" s="30">
        <v>10</v>
      </c>
      <c r="F4824" s="30">
        <f t="shared" si="162"/>
        <v>10</v>
      </c>
      <c r="G4824" s="30" t="s">
        <v>9</v>
      </c>
      <c r="J4824" s="30" t="s">
        <v>391</v>
      </c>
    </row>
    <row r="4825" spans="1:10" x14ac:dyDescent="0.25">
      <c r="A4825" s="78">
        <v>46247</v>
      </c>
      <c r="B4825" s="68">
        <v>7</v>
      </c>
      <c r="C4825" s="205" t="s">
        <v>1231</v>
      </c>
      <c r="D4825" s="30">
        <v>1</v>
      </c>
      <c r="E4825" s="30">
        <v>25</v>
      </c>
      <c r="F4825" s="30">
        <f t="shared" si="162"/>
        <v>25</v>
      </c>
      <c r="G4825" s="30" t="s">
        <v>9</v>
      </c>
      <c r="J4825" s="30" t="s">
        <v>391</v>
      </c>
    </row>
    <row r="4826" spans="1:10" x14ac:dyDescent="0.25">
      <c r="A4826" s="78">
        <v>46247</v>
      </c>
      <c r="B4826" s="68">
        <v>7</v>
      </c>
      <c r="C4826" s="205" t="s">
        <v>1117</v>
      </c>
      <c r="D4826" s="30">
        <v>3.4000000000000002E-2</v>
      </c>
      <c r="E4826" s="30">
        <v>300</v>
      </c>
      <c r="F4826" s="30">
        <f t="shared" si="162"/>
        <v>10.200000000000001</v>
      </c>
      <c r="G4826" s="30" t="s">
        <v>9</v>
      </c>
      <c r="J4826" s="30" t="s">
        <v>391</v>
      </c>
    </row>
    <row r="4827" spans="1:10" x14ac:dyDescent="0.25">
      <c r="A4827" s="78">
        <v>46247</v>
      </c>
      <c r="B4827" s="68">
        <v>7</v>
      </c>
      <c r="C4827" s="205" t="s">
        <v>95</v>
      </c>
      <c r="D4827" s="30">
        <v>1</v>
      </c>
      <c r="E4827" s="30">
        <v>10</v>
      </c>
      <c r="F4827" s="30">
        <f t="shared" si="162"/>
        <v>10</v>
      </c>
      <c r="G4827" s="30" t="s">
        <v>9</v>
      </c>
      <c r="J4827" s="30" t="s">
        <v>391</v>
      </c>
    </row>
    <row r="4828" spans="1:10" x14ac:dyDescent="0.25">
      <c r="A4828" s="78">
        <v>46247</v>
      </c>
      <c r="B4828" s="68">
        <v>8</v>
      </c>
      <c r="C4828" s="205" t="s">
        <v>1052</v>
      </c>
      <c r="D4828" s="30">
        <v>1</v>
      </c>
      <c r="E4828" s="30">
        <v>10</v>
      </c>
      <c r="F4828" s="30">
        <f t="shared" si="162"/>
        <v>10</v>
      </c>
      <c r="G4828" s="30" t="s">
        <v>9</v>
      </c>
      <c r="J4828" s="30" t="s">
        <v>391</v>
      </c>
    </row>
    <row r="4829" spans="1:10" x14ac:dyDescent="0.25">
      <c r="A4829" s="78">
        <v>46247</v>
      </c>
      <c r="B4829" s="68">
        <v>9</v>
      </c>
      <c r="C4829" s="205" t="s">
        <v>877</v>
      </c>
      <c r="D4829" s="30">
        <v>1</v>
      </c>
      <c r="E4829" s="30">
        <v>10</v>
      </c>
      <c r="F4829" s="30">
        <f t="shared" si="162"/>
        <v>10</v>
      </c>
      <c r="G4829" s="30" t="s">
        <v>10</v>
      </c>
      <c r="J4829" s="30" t="s">
        <v>391</v>
      </c>
    </row>
    <row r="4830" spans="1:10" x14ac:dyDescent="0.25">
      <c r="A4830" s="78">
        <v>46247</v>
      </c>
      <c r="B4830" s="68">
        <v>9</v>
      </c>
      <c r="C4830" s="205" t="s">
        <v>877</v>
      </c>
      <c r="D4830" s="30">
        <v>1</v>
      </c>
      <c r="E4830" s="30">
        <v>10</v>
      </c>
      <c r="F4830" s="30">
        <f t="shared" si="162"/>
        <v>10</v>
      </c>
      <c r="G4830" s="30" t="s">
        <v>10</v>
      </c>
      <c r="J4830" s="30" t="s">
        <v>391</v>
      </c>
    </row>
    <row r="4831" spans="1:10" x14ac:dyDescent="0.25">
      <c r="A4831" s="78">
        <v>46247</v>
      </c>
      <c r="B4831" s="68">
        <v>10</v>
      </c>
      <c r="C4831" s="205" t="s">
        <v>915</v>
      </c>
      <c r="D4831" s="30">
        <v>2</v>
      </c>
      <c r="E4831" s="30">
        <v>10</v>
      </c>
      <c r="F4831" s="30">
        <f t="shared" si="162"/>
        <v>20</v>
      </c>
      <c r="G4831" s="30" t="s">
        <v>9</v>
      </c>
      <c r="J4831" s="30" t="s">
        <v>391</v>
      </c>
    </row>
    <row r="4832" spans="1:10" x14ac:dyDescent="0.25">
      <c r="A4832" s="78">
        <v>46247</v>
      </c>
      <c r="B4832" s="68">
        <v>10</v>
      </c>
      <c r="C4832" s="205" t="s">
        <v>877</v>
      </c>
      <c r="D4832" s="30">
        <v>2</v>
      </c>
      <c r="E4832" s="30">
        <v>10</v>
      </c>
      <c r="F4832" s="30">
        <f t="shared" si="162"/>
        <v>20</v>
      </c>
      <c r="G4832" s="30" t="s">
        <v>9</v>
      </c>
      <c r="J4832" s="30" t="s">
        <v>391</v>
      </c>
    </row>
    <row r="4833" spans="1:10" x14ac:dyDescent="0.25">
      <c r="A4833" s="78">
        <v>46247</v>
      </c>
      <c r="B4833" s="68">
        <v>11</v>
      </c>
      <c r="C4833" s="205" t="s">
        <v>877</v>
      </c>
      <c r="D4833" s="30">
        <v>1</v>
      </c>
      <c r="E4833" s="30">
        <v>10</v>
      </c>
      <c r="F4833" s="30">
        <f t="shared" si="162"/>
        <v>10</v>
      </c>
      <c r="G4833" s="30" t="s">
        <v>9</v>
      </c>
      <c r="J4833" s="30" t="s">
        <v>391</v>
      </c>
    </row>
    <row r="4834" spans="1:10" s="199" customFormat="1" ht="31.5" x14ac:dyDescent="0.25">
      <c r="A4834" s="196">
        <v>46247</v>
      </c>
      <c r="B4834" s="197" t="s">
        <v>1245</v>
      </c>
      <c r="C4834" s="198">
        <f>MAX(B4809:B4833)</f>
        <v>11</v>
      </c>
      <c r="D4834" s="197" t="s">
        <v>1246</v>
      </c>
      <c r="E4834" s="199">
        <f>SUMIF(G4809:G4833,"UPI",F4809:F4833)</f>
        <v>20</v>
      </c>
      <c r="H4834" s="200" t="s">
        <v>1247</v>
      </c>
      <c r="I4834" s="200">
        <f>SUMIF(G4809:G4833, "&lt;&gt;UPI",F4809:F4833)</f>
        <v>422.59999999999997</v>
      </c>
    </row>
    <row r="4835" spans="1:10" x14ac:dyDescent="0.25">
      <c r="A4835" s="78">
        <v>46247</v>
      </c>
      <c r="B4835" s="68">
        <v>1</v>
      </c>
      <c r="C4835" s="205" t="s">
        <v>752</v>
      </c>
      <c r="D4835" s="30">
        <v>1</v>
      </c>
      <c r="E4835" s="30">
        <v>50</v>
      </c>
      <c r="F4835" s="30">
        <f>E4835*D4835</f>
        <v>50</v>
      </c>
      <c r="G4835" s="30" t="s">
        <v>9</v>
      </c>
      <c r="J4835" s="30" t="s">
        <v>392</v>
      </c>
    </row>
    <row r="4836" spans="1:10" x14ac:dyDescent="0.25">
      <c r="A4836" s="78">
        <v>46247</v>
      </c>
      <c r="B4836" s="68">
        <v>1</v>
      </c>
      <c r="C4836" s="205" t="s">
        <v>877</v>
      </c>
      <c r="D4836" s="30">
        <v>1</v>
      </c>
      <c r="E4836" s="30">
        <v>10</v>
      </c>
      <c r="F4836" s="30">
        <f t="shared" ref="F4836:F4864" si="163">E4836*D4836</f>
        <v>10</v>
      </c>
      <c r="G4836" s="30" t="s">
        <v>9</v>
      </c>
      <c r="J4836" s="30" t="s">
        <v>392</v>
      </c>
    </row>
    <row r="4837" spans="1:10" x14ac:dyDescent="0.25">
      <c r="A4837" s="78">
        <v>46247</v>
      </c>
      <c r="B4837" s="68">
        <v>2</v>
      </c>
      <c r="C4837" s="205" t="s">
        <v>957</v>
      </c>
      <c r="D4837" s="30">
        <v>1</v>
      </c>
      <c r="E4837" s="30">
        <v>10</v>
      </c>
      <c r="F4837" s="30">
        <f t="shared" si="163"/>
        <v>10</v>
      </c>
      <c r="G4837" s="30" t="s">
        <v>9</v>
      </c>
      <c r="J4837" s="30" t="s">
        <v>392</v>
      </c>
    </row>
    <row r="4838" spans="1:10" x14ac:dyDescent="0.25">
      <c r="A4838" s="78">
        <v>46247</v>
      </c>
      <c r="B4838" s="68">
        <v>3</v>
      </c>
      <c r="C4838" s="205" t="s">
        <v>949</v>
      </c>
      <c r="D4838" s="30">
        <v>5</v>
      </c>
      <c r="E4838" s="30">
        <v>1</v>
      </c>
      <c r="F4838" s="30">
        <f t="shared" si="163"/>
        <v>5</v>
      </c>
      <c r="G4838" s="30" t="s">
        <v>10</v>
      </c>
      <c r="J4838" s="30" t="s">
        <v>392</v>
      </c>
    </row>
    <row r="4839" spans="1:10" x14ac:dyDescent="0.25">
      <c r="A4839" s="78">
        <v>46247</v>
      </c>
      <c r="B4839" s="68">
        <v>4</v>
      </c>
      <c r="C4839" s="205" t="s">
        <v>1078</v>
      </c>
      <c r="D4839" s="30">
        <v>1</v>
      </c>
      <c r="E4839" s="30">
        <v>20</v>
      </c>
      <c r="F4839" s="30">
        <f t="shared" si="163"/>
        <v>20</v>
      </c>
      <c r="G4839" s="30" t="s">
        <v>9</v>
      </c>
      <c r="J4839" s="30" t="s">
        <v>392</v>
      </c>
    </row>
    <row r="4840" spans="1:10" x14ac:dyDescent="0.25">
      <c r="A4840" s="78">
        <v>46247</v>
      </c>
      <c r="B4840" s="68">
        <v>5</v>
      </c>
      <c r="C4840" s="205" t="s">
        <v>709</v>
      </c>
      <c r="D4840" s="30">
        <v>2</v>
      </c>
      <c r="E4840" s="30">
        <v>10</v>
      </c>
      <c r="F4840" s="30">
        <f t="shared" si="163"/>
        <v>20</v>
      </c>
      <c r="G4840" s="30" t="s">
        <v>16</v>
      </c>
      <c r="I4840" s="68" t="s">
        <v>663</v>
      </c>
      <c r="J4840" s="30" t="s">
        <v>392</v>
      </c>
    </row>
    <row r="4841" spans="1:10" x14ac:dyDescent="0.25">
      <c r="A4841" s="78">
        <v>46247</v>
      </c>
      <c r="B4841" s="68">
        <v>6</v>
      </c>
      <c r="C4841" s="205" t="s">
        <v>877</v>
      </c>
      <c r="D4841" s="30">
        <v>2</v>
      </c>
      <c r="E4841" s="30">
        <v>10</v>
      </c>
      <c r="F4841" s="30">
        <f t="shared" si="163"/>
        <v>20</v>
      </c>
      <c r="G4841" s="30" t="s">
        <v>9</v>
      </c>
      <c r="J4841" s="30" t="s">
        <v>392</v>
      </c>
    </row>
    <row r="4842" spans="1:10" x14ac:dyDescent="0.25">
      <c r="A4842" s="78">
        <v>46247</v>
      </c>
      <c r="B4842" s="68">
        <v>6</v>
      </c>
      <c r="C4842" s="33" t="s">
        <v>1298</v>
      </c>
      <c r="D4842" s="30">
        <v>2</v>
      </c>
      <c r="E4842" s="30">
        <v>10</v>
      </c>
      <c r="F4842" s="30">
        <f t="shared" si="163"/>
        <v>20</v>
      </c>
      <c r="G4842" s="30" t="s">
        <v>9</v>
      </c>
      <c r="J4842" s="30" t="s">
        <v>392</v>
      </c>
    </row>
    <row r="4843" spans="1:10" x14ac:dyDescent="0.25">
      <c r="A4843" s="78">
        <v>46247</v>
      </c>
      <c r="B4843" s="68">
        <v>6</v>
      </c>
      <c r="C4843" s="205" t="s">
        <v>1263</v>
      </c>
      <c r="D4843" s="30">
        <v>5</v>
      </c>
      <c r="E4843" s="30">
        <v>2</v>
      </c>
      <c r="F4843" s="30">
        <f t="shared" si="163"/>
        <v>10</v>
      </c>
      <c r="G4843" s="30" t="s">
        <v>9</v>
      </c>
      <c r="J4843" s="30" t="s">
        <v>392</v>
      </c>
    </row>
    <row r="4844" spans="1:10" x14ac:dyDescent="0.25">
      <c r="A4844" s="78">
        <v>46247</v>
      </c>
      <c r="B4844" s="68">
        <v>7</v>
      </c>
      <c r="C4844" s="205" t="s">
        <v>1231</v>
      </c>
      <c r="D4844" s="30">
        <v>0.4</v>
      </c>
      <c r="E4844" s="30">
        <v>25</v>
      </c>
      <c r="F4844" s="30">
        <f t="shared" si="163"/>
        <v>10</v>
      </c>
      <c r="G4844" s="30" t="s">
        <v>9</v>
      </c>
      <c r="J4844" s="30" t="s">
        <v>392</v>
      </c>
    </row>
    <row r="4845" spans="1:10" ht="30" x14ac:dyDescent="0.25">
      <c r="A4845" s="78">
        <v>46247</v>
      </c>
      <c r="B4845" s="68">
        <v>8</v>
      </c>
      <c r="C4845" s="205" t="s">
        <v>1286</v>
      </c>
      <c r="D4845" s="30">
        <v>2</v>
      </c>
      <c r="E4845" s="30">
        <v>10</v>
      </c>
      <c r="F4845" s="30">
        <f t="shared" si="163"/>
        <v>20</v>
      </c>
      <c r="G4845" s="30" t="s">
        <v>9</v>
      </c>
      <c r="J4845" s="30" t="s">
        <v>392</v>
      </c>
    </row>
    <row r="4846" spans="1:10" x14ac:dyDescent="0.25">
      <c r="A4846" s="78">
        <v>46247</v>
      </c>
      <c r="B4846" s="68">
        <v>6</v>
      </c>
      <c r="C4846" s="205" t="s">
        <v>1090</v>
      </c>
      <c r="D4846" s="30">
        <v>1</v>
      </c>
      <c r="E4846" s="30">
        <v>10</v>
      </c>
      <c r="F4846" s="30">
        <f t="shared" si="163"/>
        <v>10</v>
      </c>
      <c r="G4846" s="30" t="s">
        <v>16</v>
      </c>
      <c r="I4846" s="68" t="s">
        <v>1203</v>
      </c>
      <c r="J4846" s="30" t="s">
        <v>392</v>
      </c>
    </row>
    <row r="4847" spans="1:10" x14ac:dyDescent="0.25">
      <c r="A4847" s="78">
        <v>46247</v>
      </c>
      <c r="B4847" s="68">
        <v>6</v>
      </c>
      <c r="C4847" s="205" t="s">
        <v>1058</v>
      </c>
      <c r="D4847" s="30">
        <v>2</v>
      </c>
      <c r="E4847" s="30">
        <v>5</v>
      </c>
      <c r="F4847" s="30">
        <f t="shared" si="163"/>
        <v>10</v>
      </c>
      <c r="G4847" s="30" t="s">
        <v>16</v>
      </c>
      <c r="I4847" s="68" t="s">
        <v>1203</v>
      </c>
      <c r="J4847" s="30" t="s">
        <v>392</v>
      </c>
    </row>
    <row r="4848" spans="1:10" x14ac:dyDescent="0.25">
      <c r="A4848" s="78">
        <v>46247</v>
      </c>
      <c r="B4848" s="68">
        <v>6</v>
      </c>
      <c r="C4848" s="205" t="s">
        <v>1282</v>
      </c>
      <c r="D4848" s="30">
        <v>1</v>
      </c>
      <c r="E4848" s="30">
        <v>15</v>
      </c>
      <c r="F4848" s="30">
        <f t="shared" si="163"/>
        <v>15</v>
      </c>
      <c r="G4848" s="30" t="s">
        <v>16</v>
      </c>
      <c r="I4848" s="68" t="s">
        <v>1203</v>
      </c>
      <c r="J4848" s="30" t="s">
        <v>392</v>
      </c>
    </row>
    <row r="4849" spans="1:10" x14ac:dyDescent="0.25">
      <c r="A4849" s="78">
        <v>46247</v>
      </c>
      <c r="B4849" s="68">
        <v>9</v>
      </c>
      <c r="C4849" s="205" t="s">
        <v>1268</v>
      </c>
      <c r="D4849" s="30">
        <v>1</v>
      </c>
      <c r="E4849" s="30">
        <v>20</v>
      </c>
      <c r="F4849" s="30">
        <f t="shared" si="163"/>
        <v>20</v>
      </c>
      <c r="G4849" s="30" t="s">
        <v>9</v>
      </c>
      <c r="J4849" s="30" t="s">
        <v>392</v>
      </c>
    </row>
    <row r="4850" spans="1:10" x14ac:dyDescent="0.25">
      <c r="A4850" s="78">
        <v>46247</v>
      </c>
      <c r="B4850" s="68">
        <v>10</v>
      </c>
      <c r="C4850" s="205" t="s">
        <v>915</v>
      </c>
      <c r="D4850" s="30">
        <v>1</v>
      </c>
      <c r="E4850" s="30">
        <v>10</v>
      </c>
      <c r="F4850" s="30">
        <f t="shared" si="163"/>
        <v>10</v>
      </c>
      <c r="G4850" s="30" t="s">
        <v>9</v>
      </c>
      <c r="J4850" s="30" t="s">
        <v>392</v>
      </c>
    </row>
    <row r="4851" spans="1:10" x14ac:dyDescent="0.25">
      <c r="A4851" s="78">
        <v>46247</v>
      </c>
      <c r="B4851" s="68">
        <v>11</v>
      </c>
      <c r="C4851" s="205" t="s">
        <v>1289</v>
      </c>
      <c r="D4851" s="30">
        <v>1</v>
      </c>
      <c r="E4851" s="30">
        <v>5</v>
      </c>
      <c r="F4851" s="30">
        <f t="shared" si="163"/>
        <v>5</v>
      </c>
      <c r="G4851" s="30" t="s">
        <v>9</v>
      </c>
      <c r="J4851" s="30" t="s">
        <v>392</v>
      </c>
    </row>
    <row r="4852" spans="1:10" x14ac:dyDescent="0.25">
      <c r="A4852" s="78">
        <v>46247</v>
      </c>
      <c r="B4852" s="68">
        <v>11</v>
      </c>
      <c r="C4852" s="205" t="s">
        <v>1262</v>
      </c>
      <c r="D4852" s="30">
        <v>1</v>
      </c>
      <c r="E4852" s="30">
        <v>5</v>
      </c>
      <c r="F4852" s="30">
        <f t="shared" si="163"/>
        <v>5</v>
      </c>
      <c r="G4852" s="30" t="s">
        <v>9</v>
      </c>
      <c r="J4852" s="30" t="s">
        <v>392</v>
      </c>
    </row>
    <row r="4853" spans="1:10" x14ac:dyDescent="0.25">
      <c r="A4853" s="78">
        <v>46247</v>
      </c>
      <c r="B4853" s="68">
        <v>12</v>
      </c>
      <c r="C4853" s="205" t="s">
        <v>110</v>
      </c>
      <c r="D4853" s="30">
        <v>2</v>
      </c>
      <c r="E4853" s="30">
        <v>5</v>
      </c>
      <c r="F4853" s="30">
        <f t="shared" si="163"/>
        <v>10</v>
      </c>
      <c r="G4853" s="30" t="s">
        <v>9</v>
      </c>
      <c r="J4853" s="30" t="s">
        <v>392</v>
      </c>
    </row>
    <row r="4854" spans="1:10" x14ac:dyDescent="0.25">
      <c r="A4854" s="78">
        <v>46247</v>
      </c>
      <c r="B4854" s="68">
        <v>13</v>
      </c>
      <c r="C4854" s="205" t="s">
        <v>874</v>
      </c>
      <c r="D4854" s="30">
        <v>1</v>
      </c>
      <c r="E4854" s="30">
        <v>35</v>
      </c>
      <c r="F4854" s="30">
        <f t="shared" si="163"/>
        <v>35</v>
      </c>
      <c r="G4854" s="30" t="s">
        <v>9</v>
      </c>
      <c r="J4854" s="30" t="s">
        <v>392</v>
      </c>
    </row>
    <row r="4855" spans="1:10" x14ac:dyDescent="0.25">
      <c r="A4855" s="78">
        <v>46247</v>
      </c>
      <c r="B4855" s="68">
        <v>13</v>
      </c>
      <c r="C4855" s="205" t="s">
        <v>678</v>
      </c>
      <c r="D4855" s="30">
        <v>1</v>
      </c>
      <c r="E4855" s="30">
        <v>10</v>
      </c>
      <c r="F4855" s="30">
        <f t="shared" si="163"/>
        <v>10</v>
      </c>
      <c r="G4855" s="30" t="s">
        <v>9</v>
      </c>
      <c r="J4855" s="30" t="s">
        <v>392</v>
      </c>
    </row>
    <row r="4856" spans="1:10" x14ac:dyDescent="0.25">
      <c r="A4856" s="78">
        <v>46247</v>
      </c>
      <c r="B4856" s="68">
        <v>14</v>
      </c>
      <c r="C4856" s="205" t="s">
        <v>1159</v>
      </c>
      <c r="D4856" s="30">
        <v>0.5</v>
      </c>
      <c r="E4856" s="30">
        <v>60</v>
      </c>
      <c r="F4856" s="30">
        <f t="shared" si="163"/>
        <v>30</v>
      </c>
      <c r="G4856" s="30" t="s">
        <v>9</v>
      </c>
      <c r="J4856" s="30" t="s">
        <v>392</v>
      </c>
    </row>
    <row r="4857" spans="1:10" x14ac:dyDescent="0.25">
      <c r="A4857" s="78">
        <v>46247</v>
      </c>
      <c r="B4857" s="68">
        <v>15</v>
      </c>
      <c r="C4857" s="205" t="s">
        <v>1280</v>
      </c>
      <c r="D4857" s="30">
        <v>1</v>
      </c>
      <c r="E4857" s="30">
        <v>10</v>
      </c>
      <c r="F4857" s="30">
        <f t="shared" si="163"/>
        <v>10</v>
      </c>
      <c r="G4857" s="30" t="s">
        <v>9</v>
      </c>
      <c r="J4857" s="30" t="s">
        <v>392</v>
      </c>
    </row>
    <row r="4858" spans="1:10" x14ac:dyDescent="0.25">
      <c r="A4858" s="78">
        <v>46247</v>
      </c>
      <c r="B4858" s="68">
        <v>15</v>
      </c>
      <c r="C4858" s="205" t="s">
        <v>877</v>
      </c>
      <c r="D4858" s="30">
        <v>1</v>
      </c>
      <c r="E4858" s="30">
        <v>10</v>
      </c>
      <c r="F4858" s="30">
        <f t="shared" si="163"/>
        <v>10</v>
      </c>
      <c r="G4858" s="30" t="s">
        <v>9</v>
      </c>
      <c r="J4858" s="30" t="s">
        <v>392</v>
      </c>
    </row>
    <row r="4859" spans="1:10" x14ac:dyDescent="0.25">
      <c r="A4859" s="78">
        <v>46247</v>
      </c>
      <c r="B4859" s="68">
        <v>16</v>
      </c>
      <c r="C4859" s="205" t="s">
        <v>783</v>
      </c>
      <c r="D4859" s="30">
        <v>1</v>
      </c>
      <c r="E4859" s="30">
        <v>10</v>
      </c>
      <c r="F4859" s="30">
        <f t="shared" si="163"/>
        <v>10</v>
      </c>
      <c r="G4859" s="30" t="s">
        <v>9</v>
      </c>
      <c r="J4859" s="30" t="s">
        <v>392</v>
      </c>
    </row>
    <row r="4860" spans="1:10" x14ac:dyDescent="0.25">
      <c r="A4860" s="78">
        <v>46247</v>
      </c>
      <c r="B4860" s="68">
        <v>17</v>
      </c>
      <c r="C4860" s="205" t="s">
        <v>888</v>
      </c>
      <c r="D4860" s="30">
        <v>1</v>
      </c>
      <c r="E4860" s="30">
        <v>35</v>
      </c>
      <c r="F4860" s="30">
        <f t="shared" si="163"/>
        <v>35</v>
      </c>
      <c r="G4860" s="30" t="s">
        <v>9</v>
      </c>
      <c r="J4860" s="30" t="s">
        <v>392</v>
      </c>
    </row>
    <row r="4861" spans="1:10" x14ac:dyDescent="0.25">
      <c r="A4861" s="78">
        <v>46247</v>
      </c>
      <c r="B4861" s="68">
        <v>17</v>
      </c>
      <c r="C4861" s="205" t="s">
        <v>95</v>
      </c>
      <c r="D4861" s="30">
        <v>1</v>
      </c>
      <c r="E4861" s="30">
        <v>10</v>
      </c>
      <c r="F4861" s="30">
        <f t="shared" si="163"/>
        <v>10</v>
      </c>
      <c r="G4861" s="30" t="s">
        <v>9</v>
      </c>
      <c r="J4861" s="30" t="s">
        <v>392</v>
      </c>
    </row>
    <row r="4862" spans="1:10" x14ac:dyDescent="0.25">
      <c r="A4862" s="78">
        <v>46247</v>
      </c>
      <c r="B4862" s="68">
        <v>17</v>
      </c>
      <c r="C4862" s="205" t="s">
        <v>956</v>
      </c>
      <c r="D4862" s="30">
        <v>1</v>
      </c>
      <c r="E4862" s="30">
        <v>10</v>
      </c>
      <c r="F4862" s="30">
        <f t="shared" si="163"/>
        <v>10</v>
      </c>
      <c r="G4862" s="30" t="s">
        <v>9</v>
      </c>
      <c r="J4862" s="30" t="s">
        <v>392</v>
      </c>
    </row>
    <row r="4863" spans="1:10" x14ac:dyDescent="0.25">
      <c r="A4863" s="78">
        <v>46247</v>
      </c>
      <c r="B4863" s="68">
        <v>17</v>
      </c>
      <c r="C4863" s="205" t="s">
        <v>375</v>
      </c>
      <c r="D4863" s="30">
        <v>5</v>
      </c>
      <c r="E4863" s="30">
        <v>1</v>
      </c>
      <c r="F4863" s="30">
        <f t="shared" si="163"/>
        <v>5</v>
      </c>
      <c r="G4863" s="30" t="s">
        <v>9</v>
      </c>
      <c r="J4863" s="30" t="s">
        <v>392</v>
      </c>
    </row>
    <row r="4864" spans="1:10" x14ac:dyDescent="0.25">
      <c r="A4864" s="78">
        <v>46247</v>
      </c>
      <c r="B4864" s="68">
        <v>17</v>
      </c>
      <c r="C4864" s="205" t="s">
        <v>1252</v>
      </c>
      <c r="D4864" s="30">
        <v>1</v>
      </c>
      <c r="E4864" s="30">
        <v>5</v>
      </c>
      <c r="F4864" s="30">
        <f t="shared" si="163"/>
        <v>5</v>
      </c>
      <c r="G4864" s="30" t="s">
        <v>9</v>
      </c>
      <c r="J4864" s="30" t="s">
        <v>392</v>
      </c>
    </row>
    <row r="4865" spans="1:12" x14ac:dyDescent="0.25">
      <c r="A4865" s="78">
        <v>46247</v>
      </c>
      <c r="B4865" s="68">
        <v>17</v>
      </c>
      <c r="C4865" s="205" t="s">
        <v>1300</v>
      </c>
      <c r="D4865" s="30">
        <v>1</v>
      </c>
      <c r="E4865" s="30">
        <v>10</v>
      </c>
      <c r="F4865" s="30">
        <f>E4865*D4865</f>
        <v>10</v>
      </c>
      <c r="G4865" s="30" t="s">
        <v>9</v>
      </c>
      <c r="J4865" s="30" t="s">
        <v>392</v>
      </c>
    </row>
    <row r="4866" spans="1:12" x14ac:dyDescent="0.25">
      <c r="A4866" s="78">
        <v>46247</v>
      </c>
      <c r="B4866" s="68">
        <v>6</v>
      </c>
      <c r="C4866" s="19" t="s">
        <v>1299</v>
      </c>
      <c r="D4866" s="30">
        <v>4</v>
      </c>
      <c r="E4866" s="30">
        <v>10</v>
      </c>
      <c r="F4866" s="30">
        <f>E4866*D4866</f>
        <v>40</v>
      </c>
      <c r="G4866" s="30" t="s">
        <v>16</v>
      </c>
      <c r="I4866" s="68" t="s">
        <v>1203</v>
      </c>
      <c r="J4866" s="30" t="s">
        <v>392</v>
      </c>
    </row>
    <row r="4867" spans="1:12" s="199" customFormat="1" ht="31.5" x14ac:dyDescent="0.25">
      <c r="A4867" s="196">
        <v>46247</v>
      </c>
      <c r="B4867" s="197" t="s">
        <v>1248</v>
      </c>
      <c r="C4867" s="198">
        <f>MAX(B4835:B4866)</f>
        <v>17</v>
      </c>
      <c r="D4867" s="197" t="s">
        <v>1249</v>
      </c>
      <c r="E4867" s="199">
        <f>SUMIF(G4835:G4866,"UPI",F4835:F4866)</f>
        <v>5</v>
      </c>
      <c r="H4867" s="200" t="s">
        <v>1251</v>
      </c>
      <c r="I4867" s="200">
        <f>SUMIF(G4835:G4866, "&lt;&gt;UPI",F4835:F4866)</f>
        <v>495</v>
      </c>
    </row>
    <row r="4868" spans="1:12" s="5" customFormat="1" ht="15.75" x14ac:dyDescent="0.25">
      <c r="A4868" s="201">
        <v>46247</v>
      </c>
      <c r="B4868" s="2"/>
      <c r="C4868" s="14"/>
      <c r="H4868" s="2" t="s">
        <v>1250</v>
      </c>
      <c r="I4868" s="2">
        <f>SUMIF(G4809:G4866, "&lt;&gt;UPI",F4809:F4866)</f>
        <v>917.59999999999991</v>
      </c>
    </row>
    <row r="4869" spans="1:12" s="202" customFormat="1" ht="18.75" x14ac:dyDescent="0.3">
      <c r="A4869" s="146">
        <v>46247</v>
      </c>
      <c r="B4869" s="147" t="s">
        <v>987</v>
      </c>
      <c r="C4869" s="148">
        <f>MAX(B4809:B4866)</f>
        <v>17</v>
      </c>
      <c r="D4869" s="147" t="s">
        <v>988</v>
      </c>
      <c r="E4869" s="202">
        <f>SUMIF(G4809:G4864,"UPI",F4809:F4864)</f>
        <v>25</v>
      </c>
      <c r="F4869" s="230" t="s">
        <v>437</v>
      </c>
      <c r="G4869" s="230"/>
      <c r="H4869" s="230"/>
      <c r="I4869" s="230">
        <f>SUM(F4809:F4866)</f>
        <v>942.59999999999991</v>
      </c>
      <c r="J4869" s="230"/>
      <c r="K4869" s="230"/>
      <c r="L4869" s="230"/>
    </row>
    <row r="4870" spans="1:12" ht="30" x14ac:dyDescent="0.25">
      <c r="A4870" s="78">
        <v>46248</v>
      </c>
      <c r="B4870" s="68">
        <v>1</v>
      </c>
      <c r="C4870" s="205" t="s">
        <v>526</v>
      </c>
      <c r="D4870" s="30">
        <v>1</v>
      </c>
      <c r="E4870" s="30">
        <v>70</v>
      </c>
      <c r="F4870" s="30">
        <f>E4870*D4870</f>
        <v>70</v>
      </c>
      <c r="G4870" s="30" t="s">
        <v>9</v>
      </c>
      <c r="J4870" s="30" t="s">
        <v>391</v>
      </c>
    </row>
    <row r="4871" spans="1:12" x14ac:dyDescent="0.25">
      <c r="A4871" s="78">
        <v>46248</v>
      </c>
      <c r="B4871" s="68">
        <v>1</v>
      </c>
      <c r="C4871" s="205" t="s">
        <v>1158</v>
      </c>
      <c r="D4871" s="30">
        <v>1</v>
      </c>
      <c r="E4871" s="30">
        <v>30</v>
      </c>
      <c r="F4871" s="30">
        <f t="shared" ref="F4871:F4896" si="164">E4871*D4871</f>
        <v>30</v>
      </c>
      <c r="G4871" s="30" t="s">
        <v>9</v>
      </c>
      <c r="J4871" s="30" t="s">
        <v>391</v>
      </c>
    </row>
    <row r="4872" spans="1:12" x14ac:dyDescent="0.25">
      <c r="A4872" s="78">
        <v>46248</v>
      </c>
      <c r="B4872" s="68">
        <v>1</v>
      </c>
      <c r="C4872" s="205" t="s">
        <v>503</v>
      </c>
      <c r="D4872" s="30">
        <v>1</v>
      </c>
      <c r="E4872" s="30">
        <v>10</v>
      </c>
      <c r="F4872" s="30">
        <f t="shared" si="164"/>
        <v>10</v>
      </c>
      <c r="G4872" s="30" t="s">
        <v>9</v>
      </c>
      <c r="J4872" s="30" t="s">
        <v>391</v>
      </c>
    </row>
    <row r="4873" spans="1:12" x14ac:dyDescent="0.25">
      <c r="A4873" s="78">
        <v>46248</v>
      </c>
      <c r="B4873" s="68">
        <v>2</v>
      </c>
      <c r="C4873" s="205" t="s">
        <v>375</v>
      </c>
      <c r="D4873" s="30">
        <v>5</v>
      </c>
      <c r="E4873" s="30">
        <v>1</v>
      </c>
      <c r="F4873" s="30">
        <f t="shared" si="164"/>
        <v>5</v>
      </c>
      <c r="G4873" s="30" t="s">
        <v>9</v>
      </c>
      <c r="J4873" s="30" t="s">
        <v>391</v>
      </c>
    </row>
    <row r="4874" spans="1:12" x14ac:dyDescent="0.25">
      <c r="A4874" s="78">
        <v>46248</v>
      </c>
      <c r="B4874" s="68">
        <v>2</v>
      </c>
      <c r="C4874" s="205" t="s">
        <v>1288</v>
      </c>
      <c r="D4874" s="30">
        <v>3</v>
      </c>
      <c r="E4874" s="30">
        <v>5</v>
      </c>
      <c r="F4874" s="30">
        <f t="shared" si="164"/>
        <v>15</v>
      </c>
      <c r="G4874" s="30" t="s">
        <v>9</v>
      </c>
      <c r="J4874" s="30" t="s">
        <v>391</v>
      </c>
    </row>
    <row r="4875" spans="1:12" x14ac:dyDescent="0.25">
      <c r="A4875" s="78">
        <v>46248</v>
      </c>
      <c r="B4875" s="68">
        <v>2</v>
      </c>
      <c r="C4875" s="205" t="s">
        <v>1269</v>
      </c>
      <c r="D4875" s="30">
        <v>1</v>
      </c>
      <c r="E4875" s="30">
        <v>30</v>
      </c>
      <c r="F4875" s="30">
        <f t="shared" si="164"/>
        <v>30</v>
      </c>
      <c r="G4875" s="30" t="s">
        <v>9</v>
      </c>
      <c r="J4875" s="30" t="s">
        <v>391</v>
      </c>
    </row>
    <row r="4876" spans="1:12" x14ac:dyDescent="0.25">
      <c r="A4876" s="78">
        <v>46248</v>
      </c>
      <c r="B4876" s="68">
        <v>2</v>
      </c>
      <c r="C4876" s="204" t="s">
        <v>970</v>
      </c>
      <c r="D4876" s="30">
        <v>3</v>
      </c>
      <c r="E4876" s="30">
        <v>10</v>
      </c>
      <c r="F4876" s="30">
        <f t="shared" si="164"/>
        <v>30</v>
      </c>
      <c r="G4876" s="30" t="s">
        <v>9</v>
      </c>
      <c r="J4876" s="30" t="s">
        <v>391</v>
      </c>
    </row>
    <row r="4877" spans="1:12" ht="30" x14ac:dyDescent="0.25">
      <c r="A4877" s="78">
        <v>46248</v>
      </c>
      <c r="B4877" s="68">
        <v>2</v>
      </c>
      <c r="C4877" s="205" t="s">
        <v>897</v>
      </c>
      <c r="D4877" s="30">
        <v>10</v>
      </c>
      <c r="E4877" s="30">
        <v>1</v>
      </c>
      <c r="F4877" s="30">
        <f t="shared" si="164"/>
        <v>10</v>
      </c>
      <c r="G4877" s="30" t="s">
        <v>9</v>
      </c>
      <c r="J4877" s="30" t="s">
        <v>391</v>
      </c>
    </row>
    <row r="4878" spans="1:12" x14ac:dyDescent="0.25">
      <c r="A4878" s="78">
        <v>46248</v>
      </c>
      <c r="B4878" s="68">
        <v>2</v>
      </c>
      <c r="C4878" s="205" t="s">
        <v>680</v>
      </c>
      <c r="D4878" s="30">
        <v>1</v>
      </c>
      <c r="E4878" s="30">
        <v>10</v>
      </c>
      <c r="F4878" s="30">
        <f t="shared" si="164"/>
        <v>10</v>
      </c>
      <c r="G4878" s="30" t="s">
        <v>9</v>
      </c>
      <c r="J4878" s="30" t="s">
        <v>391</v>
      </c>
    </row>
    <row r="4879" spans="1:12" x14ac:dyDescent="0.25">
      <c r="A4879" s="78">
        <v>46248</v>
      </c>
      <c r="B4879" s="68">
        <v>3</v>
      </c>
      <c r="C4879" s="205" t="s">
        <v>1279</v>
      </c>
      <c r="D4879" s="30">
        <v>1</v>
      </c>
      <c r="E4879" s="30">
        <v>20</v>
      </c>
      <c r="F4879" s="30">
        <f t="shared" si="164"/>
        <v>20</v>
      </c>
      <c r="G4879" s="30" t="s">
        <v>9</v>
      </c>
      <c r="J4879" s="30" t="s">
        <v>391</v>
      </c>
    </row>
    <row r="4880" spans="1:12" x14ac:dyDescent="0.25">
      <c r="A4880" s="78">
        <v>46248</v>
      </c>
      <c r="B4880" s="68">
        <v>4</v>
      </c>
      <c r="C4880" s="205" t="s">
        <v>754</v>
      </c>
      <c r="D4880" s="30">
        <v>1</v>
      </c>
      <c r="E4880" s="30">
        <v>10</v>
      </c>
      <c r="F4880" s="30">
        <f t="shared" si="164"/>
        <v>10</v>
      </c>
      <c r="G4880" s="30" t="s">
        <v>9</v>
      </c>
      <c r="J4880" s="30" t="s">
        <v>391</v>
      </c>
    </row>
    <row r="4881" spans="1:10" x14ac:dyDescent="0.25">
      <c r="A4881" s="78">
        <v>46248</v>
      </c>
      <c r="B4881" s="68">
        <v>5</v>
      </c>
      <c r="C4881" s="205" t="s">
        <v>533</v>
      </c>
      <c r="D4881" s="30">
        <v>1</v>
      </c>
      <c r="E4881" s="30">
        <v>10</v>
      </c>
      <c r="F4881" s="30">
        <f t="shared" si="164"/>
        <v>10</v>
      </c>
      <c r="G4881" s="30" t="s">
        <v>9</v>
      </c>
      <c r="J4881" s="30" t="s">
        <v>391</v>
      </c>
    </row>
    <row r="4882" spans="1:10" x14ac:dyDescent="0.25">
      <c r="A4882" s="78">
        <v>46248</v>
      </c>
      <c r="B4882" s="68">
        <v>5</v>
      </c>
      <c r="C4882" s="204" t="s">
        <v>1141</v>
      </c>
      <c r="D4882" s="30">
        <v>1</v>
      </c>
      <c r="E4882" s="30">
        <v>10</v>
      </c>
      <c r="F4882" s="30">
        <f t="shared" si="164"/>
        <v>10</v>
      </c>
      <c r="G4882" s="30" t="s">
        <v>9</v>
      </c>
      <c r="J4882" s="30" t="s">
        <v>391</v>
      </c>
    </row>
    <row r="4883" spans="1:10" x14ac:dyDescent="0.25">
      <c r="A4883" s="78">
        <v>46248</v>
      </c>
      <c r="B4883" s="68">
        <v>6</v>
      </c>
      <c r="C4883" s="205" t="s">
        <v>683</v>
      </c>
      <c r="D4883" s="30">
        <v>1</v>
      </c>
      <c r="E4883" s="30">
        <v>10</v>
      </c>
      <c r="F4883" s="30">
        <f t="shared" si="164"/>
        <v>10</v>
      </c>
      <c r="G4883" s="30" t="s">
        <v>9</v>
      </c>
      <c r="J4883" s="30" t="s">
        <v>391</v>
      </c>
    </row>
    <row r="4884" spans="1:10" x14ac:dyDescent="0.25">
      <c r="A4884" s="78">
        <v>46248</v>
      </c>
      <c r="B4884" s="68">
        <v>7</v>
      </c>
      <c r="C4884" s="205" t="s">
        <v>722</v>
      </c>
      <c r="D4884" s="30">
        <v>0.05</v>
      </c>
      <c r="E4884" s="30">
        <v>380</v>
      </c>
      <c r="F4884" s="30">
        <f t="shared" si="164"/>
        <v>19</v>
      </c>
      <c r="G4884" s="30" t="s">
        <v>16</v>
      </c>
      <c r="I4884" s="68" t="s">
        <v>1200</v>
      </c>
      <c r="J4884" s="30" t="s">
        <v>391</v>
      </c>
    </row>
    <row r="4885" spans="1:10" x14ac:dyDescent="0.25">
      <c r="A4885" s="78">
        <v>46248</v>
      </c>
      <c r="B4885" s="68">
        <v>7</v>
      </c>
      <c r="C4885" s="205" t="s">
        <v>723</v>
      </c>
      <c r="D4885" s="30">
        <v>6.4000000000000001E-2</v>
      </c>
      <c r="E4885" s="30">
        <v>300</v>
      </c>
      <c r="F4885" s="30">
        <f t="shared" si="164"/>
        <v>19.2</v>
      </c>
      <c r="G4885" s="30" t="s">
        <v>16</v>
      </c>
      <c r="I4885" s="68" t="s">
        <v>1200</v>
      </c>
      <c r="J4885" s="30" t="s">
        <v>391</v>
      </c>
    </row>
    <row r="4886" spans="1:10" x14ac:dyDescent="0.25">
      <c r="A4886" s="78">
        <v>46248</v>
      </c>
      <c r="B4886" s="68">
        <v>7</v>
      </c>
      <c r="C4886" s="205" t="s">
        <v>503</v>
      </c>
      <c r="D4886" s="30">
        <v>2</v>
      </c>
      <c r="E4886" s="30">
        <v>10</v>
      </c>
      <c r="F4886" s="30">
        <f t="shared" si="164"/>
        <v>20</v>
      </c>
      <c r="G4886" s="30" t="s">
        <v>16</v>
      </c>
      <c r="I4886" s="68" t="s">
        <v>1200</v>
      </c>
      <c r="J4886" s="30" t="s">
        <v>391</v>
      </c>
    </row>
    <row r="4887" spans="1:10" x14ac:dyDescent="0.25">
      <c r="A4887" s="78">
        <v>46248</v>
      </c>
      <c r="B4887" s="68">
        <v>8</v>
      </c>
      <c r="C4887" s="205" t="s">
        <v>1108</v>
      </c>
      <c r="D4887" s="30">
        <v>1</v>
      </c>
      <c r="E4887" s="30">
        <v>25</v>
      </c>
      <c r="F4887" s="30">
        <f t="shared" si="164"/>
        <v>25</v>
      </c>
      <c r="G4887" s="30" t="s">
        <v>16</v>
      </c>
      <c r="I4887" s="68" t="s">
        <v>1301</v>
      </c>
      <c r="J4887" s="30" t="s">
        <v>391</v>
      </c>
    </row>
    <row r="4888" spans="1:10" x14ac:dyDescent="0.25">
      <c r="A4888" s="78">
        <v>46248</v>
      </c>
      <c r="B4888" s="68">
        <v>8</v>
      </c>
      <c r="C4888" s="205" t="s">
        <v>1280</v>
      </c>
      <c r="D4888" s="30">
        <v>2</v>
      </c>
      <c r="E4888" s="30">
        <v>10</v>
      </c>
      <c r="F4888" s="30">
        <f t="shared" si="164"/>
        <v>20</v>
      </c>
      <c r="G4888" s="30" t="s">
        <v>10</v>
      </c>
      <c r="J4888" s="30" t="s">
        <v>391</v>
      </c>
    </row>
    <row r="4889" spans="1:10" x14ac:dyDescent="0.25">
      <c r="A4889" s="78">
        <v>46248</v>
      </c>
      <c r="B4889" s="68">
        <v>9</v>
      </c>
      <c r="C4889" s="205" t="s">
        <v>1168</v>
      </c>
      <c r="D4889" s="30">
        <v>1</v>
      </c>
      <c r="E4889" s="30">
        <v>10</v>
      </c>
      <c r="F4889" s="30">
        <f t="shared" si="164"/>
        <v>10</v>
      </c>
      <c r="G4889" s="30" t="s">
        <v>16</v>
      </c>
      <c r="I4889" s="68" t="s">
        <v>1226</v>
      </c>
      <c r="J4889" s="30" t="s">
        <v>391</v>
      </c>
    </row>
    <row r="4890" spans="1:10" x14ac:dyDescent="0.25">
      <c r="A4890" s="78">
        <v>46248</v>
      </c>
      <c r="B4890" s="68">
        <v>10</v>
      </c>
      <c r="C4890" s="205" t="s">
        <v>1282</v>
      </c>
      <c r="D4890" s="30">
        <v>1</v>
      </c>
      <c r="E4890" s="30">
        <v>15</v>
      </c>
      <c r="F4890" s="30">
        <f t="shared" si="164"/>
        <v>15</v>
      </c>
      <c r="G4890" s="30" t="s">
        <v>9</v>
      </c>
      <c r="J4890" s="30" t="s">
        <v>391</v>
      </c>
    </row>
    <row r="4891" spans="1:10" x14ac:dyDescent="0.25">
      <c r="A4891" s="78">
        <v>46248</v>
      </c>
      <c r="B4891" s="68">
        <v>10</v>
      </c>
      <c r="C4891" s="205" t="s">
        <v>740</v>
      </c>
      <c r="D4891" s="30">
        <v>1</v>
      </c>
      <c r="E4891" s="30">
        <v>10</v>
      </c>
      <c r="F4891" s="30">
        <f t="shared" si="164"/>
        <v>10</v>
      </c>
      <c r="G4891" s="30" t="s">
        <v>9</v>
      </c>
      <c r="J4891" s="30" t="s">
        <v>391</v>
      </c>
    </row>
    <row r="4892" spans="1:10" x14ac:dyDescent="0.25">
      <c r="A4892" s="78">
        <v>46248</v>
      </c>
      <c r="B4892" s="68">
        <v>11</v>
      </c>
      <c r="C4892" s="205" t="s">
        <v>1231</v>
      </c>
      <c r="D4892" s="30">
        <v>1.5</v>
      </c>
      <c r="E4892" s="30">
        <v>25</v>
      </c>
      <c r="F4892" s="30">
        <f t="shared" si="164"/>
        <v>37.5</v>
      </c>
      <c r="G4892" s="30" t="s">
        <v>9</v>
      </c>
      <c r="J4892" s="30" t="s">
        <v>391</v>
      </c>
    </row>
    <row r="4893" spans="1:10" x14ac:dyDescent="0.25">
      <c r="A4893" s="78">
        <v>46248</v>
      </c>
      <c r="B4893" s="68">
        <v>11</v>
      </c>
      <c r="C4893" s="19" t="s">
        <v>1299</v>
      </c>
      <c r="D4893" s="30">
        <v>4</v>
      </c>
      <c r="E4893" s="30">
        <v>10</v>
      </c>
      <c r="F4893" s="30">
        <f t="shared" si="164"/>
        <v>40</v>
      </c>
      <c r="G4893" s="30" t="s">
        <v>9</v>
      </c>
      <c r="J4893" s="30" t="s">
        <v>391</v>
      </c>
    </row>
    <row r="4894" spans="1:10" x14ac:dyDescent="0.25">
      <c r="A4894" s="78">
        <v>46248</v>
      </c>
      <c r="B4894" s="68">
        <v>11</v>
      </c>
      <c r="C4894" s="205" t="s">
        <v>375</v>
      </c>
      <c r="D4894" s="30">
        <v>2</v>
      </c>
      <c r="E4894" s="30">
        <v>1</v>
      </c>
      <c r="F4894" s="30">
        <f t="shared" si="164"/>
        <v>2</v>
      </c>
      <c r="G4894" s="30" t="s">
        <v>9</v>
      </c>
      <c r="J4894" s="30" t="s">
        <v>391</v>
      </c>
    </row>
    <row r="4895" spans="1:10" x14ac:dyDescent="0.25">
      <c r="A4895" s="78">
        <v>46248</v>
      </c>
      <c r="B4895" s="68">
        <v>12</v>
      </c>
      <c r="C4895" s="205" t="s">
        <v>857</v>
      </c>
      <c r="D4895" s="30">
        <v>4</v>
      </c>
      <c r="E4895" s="30">
        <v>5</v>
      </c>
      <c r="F4895" s="30">
        <f t="shared" si="164"/>
        <v>20</v>
      </c>
      <c r="G4895" s="30" t="s">
        <v>9</v>
      </c>
      <c r="J4895" s="30" t="s">
        <v>391</v>
      </c>
    </row>
    <row r="4896" spans="1:10" x14ac:dyDescent="0.25">
      <c r="A4896" s="78">
        <v>46248</v>
      </c>
      <c r="B4896" s="68">
        <v>13</v>
      </c>
      <c r="C4896" s="205" t="s">
        <v>1263</v>
      </c>
      <c r="D4896" s="30">
        <v>10</v>
      </c>
      <c r="E4896" s="30">
        <v>2</v>
      </c>
      <c r="F4896" s="30">
        <f t="shared" si="164"/>
        <v>20</v>
      </c>
      <c r="G4896" s="30" t="s">
        <v>9</v>
      </c>
      <c r="J4896" s="30" t="s">
        <v>391</v>
      </c>
    </row>
    <row r="4897" spans="1:10" s="199" customFormat="1" ht="31.5" x14ac:dyDescent="0.25">
      <c r="A4897" s="196">
        <v>46248</v>
      </c>
      <c r="B4897" s="197" t="s">
        <v>1245</v>
      </c>
      <c r="C4897" s="198">
        <f>MAX(B4870:B4896)</f>
        <v>13</v>
      </c>
      <c r="D4897" s="197" t="s">
        <v>1246</v>
      </c>
      <c r="E4897" s="199">
        <f>SUMIF(G4870:G4896,"UPI",F4870:F4896)</f>
        <v>20</v>
      </c>
      <c r="H4897" s="200" t="s">
        <v>1247</v>
      </c>
      <c r="I4897" s="200">
        <f>SUMIF(G4870:G4896, "&lt;&gt;UPI",F4870:F4896)</f>
        <v>507.7</v>
      </c>
    </row>
    <row r="4898" spans="1:10" x14ac:dyDescent="0.25">
      <c r="A4898" s="78">
        <v>46248</v>
      </c>
      <c r="B4898" s="33">
        <v>1</v>
      </c>
      <c r="C4898" s="205" t="s">
        <v>1178</v>
      </c>
      <c r="D4898" s="30">
        <v>1</v>
      </c>
      <c r="E4898" s="30">
        <v>100</v>
      </c>
      <c r="F4898" s="30">
        <f>E4898*D4898</f>
        <v>100</v>
      </c>
      <c r="G4898" s="30" t="s">
        <v>9</v>
      </c>
      <c r="J4898" s="30" t="s">
        <v>392</v>
      </c>
    </row>
    <row r="4899" spans="1:10" x14ac:dyDescent="0.25">
      <c r="A4899" s="78">
        <v>46248</v>
      </c>
      <c r="B4899" s="33">
        <v>1</v>
      </c>
      <c r="C4899" s="205" t="s">
        <v>1179</v>
      </c>
      <c r="D4899" s="30">
        <v>1</v>
      </c>
      <c r="E4899" s="30">
        <v>100</v>
      </c>
      <c r="F4899" s="30">
        <f t="shared" ref="F4899:F4945" si="165">E4899*D4899</f>
        <v>100</v>
      </c>
      <c r="G4899" s="30" t="s">
        <v>9</v>
      </c>
      <c r="J4899" s="30" t="s">
        <v>392</v>
      </c>
    </row>
    <row r="4900" spans="1:10" x14ac:dyDescent="0.25">
      <c r="A4900" s="78">
        <v>46248</v>
      </c>
      <c r="B4900" s="33">
        <v>2</v>
      </c>
      <c r="C4900" s="205" t="s">
        <v>1137</v>
      </c>
      <c r="D4900" s="30">
        <v>1</v>
      </c>
      <c r="E4900" s="30">
        <v>40</v>
      </c>
      <c r="F4900" s="30">
        <f t="shared" si="165"/>
        <v>40</v>
      </c>
      <c r="G4900" s="30" t="s">
        <v>9</v>
      </c>
      <c r="J4900" s="30" t="s">
        <v>392</v>
      </c>
    </row>
    <row r="4901" spans="1:10" x14ac:dyDescent="0.25">
      <c r="A4901" s="78">
        <v>46248</v>
      </c>
      <c r="B4901" s="68">
        <v>2</v>
      </c>
      <c r="C4901" s="205" t="s">
        <v>1229</v>
      </c>
      <c r="D4901" s="30">
        <v>1</v>
      </c>
      <c r="E4901" s="30">
        <v>40</v>
      </c>
      <c r="F4901" s="30">
        <f t="shared" si="165"/>
        <v>40</v>
      </c>
      <c r="G4901" s="30" t="s">
        <v>9</v>
      </c>
      <c r="J4901" s="30" t="s">
        <v>392</v>
      </c>
    </row>
    <row r="4902" spans="1:10" x14ac:dyDescent="0.25">
      <c r="A4902" s="78">
        <v>46248</v>
      </c>
      <c r="B4902" s="68">
        <v>2</v>
      </c>
      <c r="C4902" s="205" t="s">
        <v>1234</v>
      </c>
      <c r="D4902" s="30">
        <v>0.5</v>
      </c>
      <c r="E4902" s="30">
        <v>60</v>
      </c>
      <c r="F4902" s="30">
        <f t="shared" si="165"/>
        <v>30</v>
      </c>
      <c r="G4902" s="30" t="s">
        <v>9</v>
      </c>
      <c r="J4902" s="30" t="s">
        <v>392</v>
      </c>
    </row>
    <row r="4903" spans="1:10" x14ac:dyDescent="0.25">
      <c r="A4903" s="78">
        <v>46248</v>
      </c>
      <c r="B4903" s="68">
        <v>2</v>
      </c>
      <c r="C4903" s="205" t="s">
        <v>497</v>
      </c>
      <c r="D4903" s="30">
        <v>1</v>
      </c>
      <c r="E4903" s="30">
        <v>35</v>
      </c>
      <c r="F4903" s="30">
        <f t="shared" si="165"/>
        <v>35</v>
      </c>
      <c r="G4903" s="30" t="s">
        <v>9</v>
      </c>
      <c r="J4903" s="30" t="s">
        <v>392</v>
      </c>
    </row>
    <row r="4904" spans="1:10" x14ac:dyDescent="0.25">
      <c r="A4904" s="78">
        <v>46248</v>
      </c>
      <c r="B4904" s="68">
        <v>2</v>
      </c>
      <c r="C4904" s="205" t="s">
        <v>1139</v>
      </c>
      <c r="D4904" s="30">
        <v>1</v>
      </c>
      <c r="E4904" s="30">
        <v>5</v>
      </c>
      <c r="F4904" s="30">
        <f t="shared" si="165"/>
        <v>5</v>
      </c>
      <c r="G4904" s="30" t="s">
        <v>9</v>
      </c>
      <c r="J4904" s="30" t="s">
        <v>392</v>
      </c>
    </row>
    <row r="4905" spans="1:10" x14ac:dyDescent="0.25">
      <c r="A4905" s="78">
        <v>46248</v>
      </c>
      <c r="B4905" s="68">
        <v>3</v>
      </c>
      <c r="C4905" s="205" t="s">
        <v>110</v>
      </c>
      <c r="D4905" s="30">
        <v>2</v>
      </c>
      <c r="E4905" s="30">
        <v>5</v>
      </c>
      <c r="F4905" s="30">
        <f t="shared" si="165"/>
        <v>10</v>
      </c>
      <c r="G4905" s="30" t="s">
        <v>9</v>
      </c>
      <c r="J4905" s="30" t="s">
        <v>392</v>
      </c>
    </row>
    <row r="4906" spans="1:10" x14ac:dyDescent="0.25">
      <c r="A4906" s="78">
        <v>46248</v>
      </c>
      <c r="B4906" s="68">
        <v>4</v>
      </c>
      <c r="C4906" s="205" t="s">
        <v>1252</v>
      </c>
      <c r="D4906" s="30">
        <v>2</v>
      </c>
      <c r="E4906" s="30">
        <v>5</v>
      </c>
      <c r="F4906" s="30">
        <f t="shared" si="165"/>
        <v>10</v>
      </c>
      <c r="G4906" s="30" t="s">
        <v>10</v>
      </c>
      <c r="J4906" s="30" t="s">
        <v>392</v>
      </c>
    </row>
    <row r="4907" spans="1:10" x14ac:dyDescent="0.25">
      <c r="A4907" s="78">
        <v>46248</v>
      </c>
      <c r="B4907" s="68">
        <v>4</v>
      </c>
      <c r="C4907" s="205" t="s">
        <v>1090</v>
      </c>
      <c r="D4907" s="30">
        <v>1</v>
      </c>
      <c r="E4907" s="30">
        <v>10</v>
      </c>
      <c r="F4907" s="30">
        <f t="shared" si="165"/>
        <v>10</v>
      </c>
      <c r="G4907" s="30" t="s">
        <v>10</v>
      </c>
      <c r="J4907" s="30" t="s">
        <v>392</v>
      </c>
    </row>
    <row r="4908" spans="1:10" x14ac:dyDescent="0.25">
      <c r="A4908" s="78">
        <v>46248</v>
      </c>
      <c r="B4908" s="68">
        <v>9</v>
      </c>
      <c r="C4908" s="209" t="s">
        <v>1299</v>
      </c>
      <c r="D4908" s="30">
        <v>4</v>
      </c>
      <c r="E4908" s="30">
        <v>10</v>
      </c>
      <c r="F4908" s="30">
        <f t="shared" si="165"/>
        <v>40</v>
      </c>
      <c r="G4908" s="30" t="s">
        <v>16</v>
      </c>
      <c r="I4908" s="68" t="s">
        <v>1226</v>
      </c>
      <c r="J4908" s="30" t="s">
        <v>392</v>
      </c>
    </row>
    <row r="4909" spans="1:10" x14ac:dyDescent="0.25">
      <c r="A4909" s="78">
        <v>46248</v>
      </c>
      <c r="B4909" s="68">
        <v>9</v>
      </c>
      <c r="C4909" s="205" t="s">
        <v>88</v>
      </c>
      <c r="D4909" s="30">
        <v>1</v>
      </c>
      <c r="E4909" s="30">
        <v>100</v>
      </c>
      <c r="F4909" s="30">
        <f t="shared" si="165"/>
        <v>100</v>
      </c>
      <c r="G4909" s="30" t="s">
        <v>16</v>
      </c>
      <c r="I4909" s="68" t="s">
        <v>1226</v>
      </c>
      <c r="J4909" s="30" t="s">
        <v>392</v>
      </c>
    </row>
    <row r="4910" spans="1:10" x14ac:dyDescent="0.25">
      <c r="A4910" s="78">
        <v>46248</v>
      </c>
      <c r="B4910" s="68">
        <v>4</v>
      </c>
      <c r="C4910" s="205" t="s">
        <v>133</v>
      </c>
      <c r="D4910" s="30">
        <v>1</v>
      </c>
      <c r="E4910" s="30">
        <v>10</v>
      </c>
      <c r="F4910" s="30">
        <f t="shared" si="165"/>
        <v>10</v>
      </c>
      <c r="G4910" s="30" t="s">
        <v>10</v>
      </c>
      <c r="J4910" s="30" t="s">
        <v>392</v>
      </c>
    </row>
    <row r="4911" spans="1:10" x14ac:dyDescent="0.25">
      <c r="A4911" s="78">
        <v>46248</v>
      </c>
      <c r="B4911" s="68">
        <v>4</v>
      </c>
      <c r="C4911" s="205" t="s">
        <v>1078</v>
      </c>
      <c r="D4911" s="30">
        <v>1</v>
      </c>
      <c r="E4911" s="30">
        <v>20</v>
      </c>
      <c r="F4911" s="30">
        <f t="shared" si="165"/>
        <v>20</v>
      </c>
      <c r="G4911" s="30" t="s">
        <v>10</v>
      </c>
      <c r="J4911" s="30" t="s">
        <v>392</v>
      </c>
    </row>
    <row r="4912" spans="1:10" x14ac:dyDescent="0.25">
      <c r="A4912" s="78">
        <v>46248</v>
      </c>
      <c r="B4912" s="68">
        <v>5</v>
      </c>
      <c r="C4912" s="204" t="s">
        <v>1141</v>
      </c>
      <c r="D4912" s="30">
        <v>1</v>
      </c>
      <c r="E4912" s="30">
        <v>10</v>
      </c>
      <c r="F4912" s="30">
        <f t="shared" si="165"/>
        <v>10</v>
      </c>
      <c r="G4912" s="30" t="s">
        <v>10</v>
      </c>
      <c r="J4912" s="30" t="s">
        <v>392</v>
      </c>
    </row>
    <row r="4913" spans="1:10" x14ac:dyDescent="0.25">
      <c r="A4913" s="78">
        <v>46248</v>
      </c>
      <c r="B4913" s="68">
        <v>5</v>
      </c>
      <c r="C4913" s="205" t="s">
        <v>954</v>
      </c>
      <c r="D4913" s="30">
        <v>1</v>
      </c>
      <c r="E4913" s="30">
        <v>35</v>
      </c>
      <c r="F4913" s="30">
        <f t="shared" si="165"/>
        <v>35</v>
      </c>
      <c r="G4913" s="30" t="s">
        <v>10</v>
      </c>
      <c r="J4913" s="30" t="s">
        <v>392</v>
      </c>
    </row>
    <row r="4914" spans="1:10" x14ac:dyDescent="0.25">
      <c r="A4914" s="78">
        <v>46248</v>
      </c>
      <c r="B4914" s="68">
        <v>5</v>
      </c>
      <c r="C4914" s="205" t="s">
        <v>1262</v>
      </c>
      <c r="D4914" s="30">
        <v>1</v>
      </c>
      <c r="E4914" s="30">
        <v>5</v>
      </c>
      <c r="F4914" s="30">
        <f t="shared" si="165"/>
        <v>5</v>
      </c>
      <c r="G4914" s="30" t="s">
        <v>10</v>
      </c>
      <c r="J4914" s="30" t="s">
        <v>392</v>
      </c>
    </row>
    <row r="4915" spans="1:10" x14ac:dyDescent="0.25">
      <c r="A4915" s="78">
        <v>46248</v>
      </c>
      <c r="B4915" s="68">
        <v>5</v>
      </c>
      <c r="C4915" s="209" t="s">
        <v>1299</v>
      </c>
      <c r="D4915" s="30">
        <v>4</v>
      </c>
      <c r="E4915" s="30">
        <v>10</v>
      </c>
      <c r="F4915" s="30">
        <f t="shared" si="165"/>
        <v>40</v>
      </c>
      <c r="G4915" s="30" t="s">
        <v>10</v>
      </c>
      <c r="J4915" s="30" t="s">
        <v>392</v>
      </c>
    </row>
    <row r="4916" spans="1:10" ht="30" x14ac:dyDescent="0.25">
      <c r="A4916" s="78">
        <v>46248</v>
      </c>
      <c r="B4916" s="68">
        <v>5</v>
      </c>
      <c r="C4916" s="205" t="s">
        <v>1005</v>
      </c>
      <c r="D4916" s="30">
        <v>1</v>
      </c>
      <c r="E4916" s="30">
        <v>30</v>
      </c>
      <c r="F4916" s="30">
        <f t="shared" si="165"/>
        <v>30</v>
      </c>
      <c r="G4916" s="30" t="s">
        <v>10</v>
      </c>
      <c r="J4916" s="30" t="s">
        <v>392</v>
      </c>
    </row>
    <row r="4917" spans="1:10" x14ac:dyDescent="0.25">
      <c r="A4917" s="78">
        <v>46248</v>
      </c>
      <c r="B4917" s="68">
        <v>5</v>
      </c>
      <c r="C4917" s="205" t="s">
        <v>1260</v>
      </c>
      <c r="D4917" s="30">
        <v>2</v>
      </c>
      <c r="E4917" s="30">
        <v>5</v>
      </c>
      <c r="F4917" s="30">
        <f t="shared" si="165"/>
        <v>10</v>
      </c>
      <c r="G4917" s="30" t="s">
        <v>10</v>
      </c>
      <c r="J4917" s="30" t="s">
        <v>392</v>
      </c>
    </row>
    <row r="4918" spans="1:10" x14ac:dyDescent="0.25">
      <c r="A4918" s="78">
        <v>46248</v>
      </c>
      <c r="B4918" s="68">
        <v>6</v>
      </c>
      <c r="C4918" s="205" t="s">
        <v>1138</v>
      </c>
      <c r="D4918" s="30">
        <v>1</v>
      </c>
      <c r="E4918" s="30">
        <v>5</v>
      </c>
      <c r="F4918" s="30">
        <f t="shared" si="165"/>
        <v>5</v>
      </c>
      <c r="G4918" s="30" t="s">
        <v>9</v>
      </c>
      <c r="J4918" s="30" t="s">
        <v>392</v>
      </c>
    </row>
    <row r="4919" spans="1:10" x14ac:dyDescent="0.25">
      <c r="A4919" s="78">
        <v>46248</v>
      </c>
      <c r="B4919" s="68">
        <v>6</v>
      </c>
      <c r="C4919" s="205" t="s">
        <v>1289</v>
      </c>
      <c r="D4919" s="30">
        <v>1</v>
      </c>
      <c r="E4919" s="30">
        <v>5</v>
      </c>
      <c r="F4919" s="30">
        <f t="shared" si="165"/>
        <v>5</v>
      </c>
      <c r="G4919" s="30" t="s">
        <v>9</v>
      </c>
      <c r="J4919" s="30" t="s">
        <v>392</v>
      </c>
    </row>
    <row r="4920" spans="1:10" x14ac:dyDescent="0.25">
      <c r="A4920" s="78">
        <v>46248</v>
      </c>
      <c r="B4920" s="68">
        <v>7</v>
      </c>
      <c r="C4920" s="205" t="s">
        <v>1089</v>
      </c>
      <c r="D4920" s="30">
        <v>0.5</v>
      </c>
      <c r="E4920" s="30">
        <v>70</v>
      </c>
      <c r="F4920" s="30">
        <f t="shared" si="165"/>
        <v>35</v>
      </c>
      <c r="G4920" s="30" t="s">
        <v>9</v>
      </c>
      <c r="J4920" s="30" t="s">
        <v>392</v>
      </c>
    </row>
    <row r="4921" spans="1:10" x14ac:dyDescent="0.25">
      <c r="A4921" s="78">
        <v>46248</v>
      </c>
      <c r="B4921" s="68">
        <v>7</v>
      </c>
      <c r="C4921" s="205" t="s">
        <v>580</v>
      </c>
      <c r="D4921" s="30">
        <v>5</v>
      </c>
      <c r="E4921" s="30">
        <v>1</v>
      </c>
      <c r="F4921" s="30">
        <f t="shared" si="165"/>
        <v>5</v>
      </c>
      <c r="G4921" s="30" t="s">
        <v>9</v>
      </c>
      <c r="J4921" s="30" t="s">
        <v>392</v>
      </c>
    </row>
    <row r="4922" spans="1:10" x14ac:dyDescent="0.25">
      <c r="A4922" s="78">
        <v>46248</v>
      </c>
      <c r="B4922" s="68">
        <v>8</v>
      </c>
      <c r="C4922" s="205" t="s">
        <v>680</v>
      </c>
      <c r="D4922" s="30">
        <v>1</v>
      </c>
      <c r="E4922" s="30">
        <v>10</v>
      </c>
      <c r="F4922" s="30">
        <f t="shared" si="165"/>
        <v>10</v>
      </c>
      <c r="G4922" s="30" t="s">
        <v>9</v>
      </c>
      <c r="J4922" s="30" t="s">
        <v>392</v>
      </c>
    </row>
    <row r="4923" spans="1:10" x14ac:dyDescent="0.25">
      <c r="A4923" s="78">
        <v>46248</v>
      </c>
      <c r="B4923" s="68">
        <v>8</v>
      </c>
      <c r="C4923" s="205" t="s">
        <v>1161</v>
      </c>
      <c r="D4923" s="30">
        <v>1</v>
      </c>
      <c r="E4923" s="30">
        <v>30</v>
      </c>
      <c r="F4923" s="30">
        <f t="shared" si="165"/>
        <v>30</v>
      </c>
      <c r="G4923" s="30" t="s">
        <v>9</v>
      </c>
      <c r="J4923" s="30" t="s">
        <v>392</v>
      </c>
    </row>
    <row r="4924" spans="1:10" x14ac:dyDescent="0.25">
      <c r="A4924" s="78">
        <v>46248</v>
      </c>
      <c r="B4924" s="68">
        <v>9</v>
      </c>
      <c r="C4924" s="205" t="s">
        <v>1284</v>
      </c>
      <c r="D4924" s="30">
        <v>1</v>
      </c>
      <c r="E4924" s="30">
        <v>70</v>
      </c>
      <c r="F4924" s="30">
        <f t="shared" si="165"/>
        <v>70</v>
      </c>
      <c r="G4924" s="30" t="s">
        <v>9</v>
      </c>
      <c r="J4924" s="30" t="s">
        <v>392</v>
      </c>
    </row>
    <row r="4925" spans="1:10" x14ac:dyDescent="0.25">
      <c r="A4925" s="78">
        <v>46248</v>
      </c>
      <c r="B4925" s="68">
        <v>9</v>
      </c>
      <c r="C4925" s="205" t="s">
        <v>1154</v>
      </c>
      <c r="D4925" s="30">
        <v>0.2</v>
      </c>
      <c r="E4925" s="30">
        <v>45</v>
      </c>
      <c r="F4925" s="30">
        <f t="shared" si="165"/>
        <v>9</v>
      </c>
      <c r="G4925" s="30" t="s">
        <v>9</v>
      </c>
      <c r="J4925" s="30" t="s">
        <v>392</v>
      </c>
    </row>
    <row r="4926" spans="1:10" x14ac:dyDescent="0.25">
      <c r="A4926" s="78">
        <v>46248</v>
      </c>
      <c r="B4926" s="68">
        <v>9</v>
      </c>
      <c r="C4926" s="205" t="s">
        <v>1231</v>
      </c>
      <c r="D4926" s="30">
        <v>0.4</v>
      </c>
      <c r="E4926" s="30">
        <v>25</v>
      </c>
      <c r="F4926" s="30">
        <f t="shared" si="165"/>
        <v>10</v>
      </c>
      <c r="G4926" s="30" t="s">
        <v>9</v>
      </c>
      <c r="J4926" s="30" t="s">
        <v>392</v>
      </c>
    </row>
    <row r="4927" spans="1:10" x14ac:dyDescent="0.25">
      <c r="A4927" s="78">
        <v>46248</v>
      </c>
      <c r="B4927" s="68">
        <v>9</v>
      </c>
      <c r="C4927" s="205" t="s">
        <v>1078</v>
      </c>
      <c r="D4927" s="30">
        <v>1</v>
      </c>
      <c r="E4927" s="30">
        <v>20</v>
      </c>
      <c r="F4927" s="30">
        <f t="shared" si="165"/>
        <v>20</v>
      </c>
      <c r="G4927" s="30" t="s">
        <v>9</v>
      </c>
      <c r="J4927" s="30" t="s">
        <v>392</v>
      </c>
    </row>
    <row r="4928" spans="1:10" x14ac:dyDescent="0.25">
      <c r="A4928" s="78">
        <v>46248</v>
      </c>
      <c r="B4928" s="68">
        <v>10</v>
      </c>
      <c r="C4928" s="205" t="s">
        <v>1259</v>
      </c>
      <c r="D4928" s="30">
        <v>1</v>
      </c>
      <c r="E4928" s="30">
        <v>10</v>
      </c>
      <c r="F4928" s="30">
        <f t="shared" si="165"/>
        <v>10</v>
      </c>
      <c r="G4928" s="30" t="s">
        <v>9</v>
      </c>
      <c r="J4928" s="30" t="s">
        <v>392</v>
      </c>
    </row>
    <row r="4929" spans="1:10" x14ac:dyDescent="0.25">
      <c r="A4929" s="78">
        <v>46248</v>
      </c>
      <c r="B4929" s="68">
        <v>10</v>
      </c>
      <c r="C4929" s="205" t="s">
        <v>1124</v>
      </c>
      <c r="D4929" s="30">
        <v>1</v>
      </c>
      <c r="E4929" s="30">
        <v>10</v>
      </c>
      <c r="F4929" s="30">
        <f t="shared" si="165"/>
        <v>10</v>
      </c>
      <c r="G4929" s="30" t="s">
        <v>9</v>
      </c>
      <c r="J4929" s="30" t="s">
        <v>392</v>
      </c>
    </row>
    <row r="4930" spans="1:10" x14ac:dyDescent="0.25">
      <c r="A4930" s="78">
        <v>46248</v>
      </c>
      <c r="B4930" s="68">
        <v>11</v>
      </c>
      <c r="C4930" s="205" t="s">
        <v>750</v>
      </c>
      <c r="D4930" s="30">
        <v>1</v>
      </c>
      <c r="E4930" s="30">
        <v>50</v>
      </c>
      <c r="F4930" s="30">
        <f t="shared" si="165"/>
        <v>50</v>
      </c>
      <c r="G4930" s="30" t="s">
        <v>9</v>
      </c>
      <c r="J4930" s="30" t="s">
        <v>392</v>
      </c>
    </row>
    <row r="4931" spans="1:10" x14ac:dyDescent="0.25">
      <c r="A4931" s="78">
        <v>46248</v>
      </c>
      <c r="B4931" s="68">
        <v>11</v>
      </c>
      <c r="C4931" s="205" t="s">
        <v>539</v>
      </c>
      <c r="D4931" s="30">
        <v>1</v>
      </c>
      <c r="E4931" s="30">
        <v>20</v>
      </c>
      <c r="F4931" s="30">
        <f t="shared" si="165"/>
        <v>20</v>
      </c>
      <c r="G4931" s="30" t="s">
        <v>9</v>
      </c>
      <c r="J4931" s="30" t="s">
        <v>392</v>
      </c>
    </row>
    <row r="4932" spans="1:10" x14ac:dyDescent="0.25">
      <c r="A4932" s="78">
        <v>46248</v>
      </c>
      <c r="B4932" s="68">
        <v>12</v>
      </c>
      <c r="C4932" s="205" t="s">
        <v>1257</v>
      </c>
      <c r="D4932" s="30">
        <v>1</v>
      </c>
      <c r="E4932" s="30">
        <v>50</v>
      </c>
      <c r="F4932" s="30">
        <f t="shared" si="165"/>
        <v>50</v>
      </c>
      <c r="G4932" s="30" t="s">
        <v>10</v>
      </c>
      <c r="J4932" s="30" t="s">
        <v>392</v>
      </c>
    </row>
    <row r="4933" spans="1:10" x14ac:dyDescent="0.25">
      <c r="A4933" s="78">
        <v>46248</v>
      </c>
      <c r="B4933" s="68">
        <v>12</v>
      </c>
      <c r="C4933" s="205" t="s">
        <v>1137</v>
      </c>
      <c r="D4933" s="30">
        <v>1</v>
      </c>
      <c r="E4933" s="30">
        <v>40</v>
      </c>
      <c r="F4933" s="30">
        <f t="shared" si="165"/>
        <v>40</v>
      </c>
      <c r="G4933" s="30" t="s">
        <v>10</v>
      </c>
      <c r="J4933" s="30" t="s">
        <v>392</v>
      </c>
    </row>
    <row r="4934" spans="1:10" x14ac:dyDescent="0.25">
      <c r="A4934" s="78">
        <v>46248</v>
      </c>
      <c r="B4934" s="68">
        <v>12</v>
      </c>
      <c r="C4934" s="204" t="s">
        <v>379</v>
      </c>
      <c r="D4934" s="30">
        <v>1</v>
      </c>
      <c r="E4934" s="30">
        <v>10</v>
      </c>
      <c r="F4934" s="30">
        <f t="shared" si="165"/>
        <v>10</v>
      </c>
      <c r="G4934" s="30" t="s">
        <v>10</v>
      </c>
      <c r="J4934" s="30" t="s">
        <v>392</v>
      </c>
    </row>
    <row r="4935" spans="1:10" ht="30" x14ac:dyDescent="0.25">
      <c r="A4935" s="78">
        <v>46248</v>
      </c>
      <c r="B4935" s="68">
        <v>12</v>
      </c>
      <c r="C4935" s="205" t="s">
        <v>361</v>
      </c>
      <c r="D4935" s="30">
        <v>1</v>
      </c>
      <c r="E4935" s="30">
        <v>10</v>
      </c>
      <c r="F4935" s="30">
        <f t="shared" si="165"/>
        <v>10</v>
      </c>
      <c r="G4935" s="30" t="s">
        <v>10</v>
      </c>
      <c r="J4935" s="30" t="s">
        <v>392</v>
      </c>
    </row>
    <row r="4936" spans="1:10" x14ac:dyDescent="0.25">
      <c r="A4936" s="78">
        <v>46248</v>
      </c>
      <c r="B4936" s="68">
        <v>12</v>
      </c>
      <c r="C4936" s="205" t="s">
        <v>381</v>
      </c>
      <c r="D4936" s="30">
        <v>1</v>
      </c>
      <c r="E4936" s="30">
        <v>15</v>
      </c>
      <c r="F4936" s="30">
        <f t="shared" si="165"/>
        <v>15</v>
      </c>
      <c r="G4936" s="30" t="s">
        <v>10</v>
      </c>
      <c r="J4936" s="30" t="s">
        <v>392</v>
      </c>
    </row>
    <row r="4937" spans="1:10" x14ac:dyDescent="0.25">
      <c r="A4937" s="78">
        <v>46248</v>
      </c>
      <c r="B4937" s="68">
        <v>12</v>
      </c>
      <c r="C4937" s="205" t="s">
        <v>1130</v>
      </c>
      <c r="D4937" s="30">
        <v>1</v>
      </c>
      <c r="E4937" s="30">
        <v>105</v>
      </c>
      <c r="F4937" s="30">
        <f t="shared" si="165"/>
        <v>105</v>
      </c>
      <c r="G4937" s="30" t="s">
        <v>10</v>
      </c>
      <c r="J4937" s="30" t="s">
        <v>392</v>
      </c>
    </row>
    <row r="4938" spans="1:10" x14ac:dyDescent="0.25">
      <c r="A4938" s="78">
        <v>46248</v>
      </c>
      <c r="B4938" s="68">
        <v>12</v>
      </c>
      <c r="C4938" s="205" t="s">
        <v>846</v>
      </c>
      <c r="D4938" s="30">
        <v>1</v>
      </c>
      <c r="E4938" s="30">
        <v>10</v>
      </c>
      <c r="F4938" s="30">
        <f t="shared" si="165"/>
        <v>10</v>
      </c>
      <c r="G4938" s="30" t="s">
        <v>10</v>
      </c>
      <c r="J4938" s="30" t="s">
        <v>392</v>
      </c>
    </row>
    <row r="4939" spans="1:10" x14ac:dyDescent="0.25">
      <c r="A4939" s="78">
        <v>46248</v>
      </c>
      <c r="B4939" s="68">
        <v>12</v>
      </c>
      <c r="C4939" s="205" t="s">
        <v>752</v>
      </c>
      <c r="D4939" s="30">
        <v>2</v>
      </c>
      <c r="E4939" s="30">
        <v>50</v>
      </c>
      <c r="F4939" s="30">
        <f t="shared" si="165"/>
        <v>100</v>
      </c>
      <c r="G4939" s="30" t="s">
        <v>10</v>
      </c>
      <c r="J4939" s="30" t="s">
        <v>392</v>
      </c>
    </row>
    <row r="4940" spans="1:10" x14ac:dyDescent="0.25">
      <c r="A4940" s="78">
        <v>46248</v>
      </c>
      <c r="B4940" s="68">
        <v>12</v>
      </c>
      <c r="C4940" s="205" t="s">
        <v>954</v>
      </c>
      <c r="D4940" s="30">
        <v>1</v>
      </c>
      <c r="E4940" s="30">
        <v>35</v>
      </c>
      <c r="F4940" s="30">
        <f t="shared" si="165"/>
        <v>35</v>
      </c>
      <c r="G4940" s="30" t="s">
        <v>10</v>
      </c>
      <c r="J4940" s="30" t="s">
        <v>392</v>
      </c>
    </row>
    <row r="4941" spans="1:10" ht="30" x14ac:dyDescent="0.25">
      <c r="A4941" s="78">
        <v>46248</v>
      </c>
      <c r="B4941" s="68">
        <v>13</v>
      </c>
      <c r="C4941" s="205" t="s">
        <v>577</v>
      </c>
      <c r="D4941" s="30">
        <v>1</v>
      </c>
      <c r="E4941" s="30">
        <v>5</v>
      </c>
      <c r="F4941" s="30">
        <f t="shared" si="165"/>
        <v>5</v>
      </c>
      <c r="G4941" s="30" t="s">
        <v>9</v>
      </c>
      <c r="J4941" s="30" t="s">
        <v>392</v>
      </c>
    </row>
    <row r="4942" spans="1:10" x14ac:dyDescent="0.25">
      <c r="A4942" s="78">
        <v>46248</v>
      </c>
      <c r="B4942" s="68">
        <v>13</v>
      </c>
      <c r="C4942" s="205" t="s">
        <v>1280</v>
      </c>
      <c r="D4942" s="30">
        <v>1</v>
      </c>
      <c r="E4942" s="30">
        <v>10</v>
      </c>
      <c r="F4942" s="30">
        <f t="shared" si="165"/>
        <v>10</v>
      </c>
      <c r="G4942" s="30" t="s">
        <v>9</v>
      </c>
      <c r="J4942" s="30" t="s">
        <v>392</v>
      </c>
    </row>
    <row r="4943" spans="1:10" x14ac:dyDescent="0.25">
      <c r="A4943" s="78">
        <v>46248</v>
      </c>
      <c r="B4943" s="68">
        <v>13</v>
      </c>
      <c r="C4943" s="205" t="s">
        <v>1162</v>
      </c>
      <c r="D4943" s="30">
        <v>1</v>
      </c>
      <c r="E4943" s="30">
        <v>5</v>
      </c>
      <c r="F4943" s="30">
        <f t="shared" si="165"/>
        <v>5</v>
      </c>
      <c r="G4943" s="30" t="s">
        <v>9</v>
      </c>
      <c r="J4943" s="30" t="s">
        <v>392</v>
      </c>
    </row>
    <row r="4944" spans="1:10" x14ac:dyDescent="0.25">
      <c r="A4944" s="78">
        <v>46248</v>
      </c>
      <c r="B4944" s="68">
        <v>14</v>
      </c>
      <c r="C4944" s="205" t="s">
        <v>960</v>
      </c>
      <c r="D4944" s="30">
        <v>1</v>
      </c>
      <c r="E4944" s="30">
        <v>5</v>
      </c>
      <c r="F4944" s="30">
        <f t="shared" si="165"/>
        <v>5</v>
      </c>
      <c r="G4944" s="30" t="s">
        <v>9</v>
      </c>
      <c r="J4944" s="30" t="s">
        <v>392</v>
      </c>
    </row>
    <row r="4945" spans="1:12" x14ac:dyDescent="0.25">
      <c r="A4945" s="78">
        <v>46248</v>
      </c>
      <c r="B4945" s="68">
        <v>14</v>
      </c>
      <c r="C4945" s="205" t="s">
        <v>1253</v>
      </c>
      <c r="D4945" s="30">
        <v>1</v>
      </c>
      <c r="E4945" s="30">
        <v>5</v>
      </c>
      <c r="F4945" s="30">
        <f t="shared" si="165"/>
        <v>5</v>
      </c>
      <c r="G4945" s="30" t="s">
        <v>9</v>
      </c>
      <c r="J4945" s="30" t="s">
        <v>392</v>
      </c>
    </row>
    <row r="4946" spans="1:12" s="199" customFormat="1" ht="31.5" x14ac:dyDescent="0.25">
      <c r="A4946" s="196">
        <v>46248</v>
      </c>
      <c r="B4946" s="197" t="s">
        <v>1248</v>
      </c>
      <c r="C4946" s="198">
        <f>MAX(B4898:B4945)</f>
        <v>14</v>
      </c>
      <c r="D4946" s="197" t="s">
        <v>1249</v>
      </c>
      <c r="E4946" s="199">
        <f>SUMIF(G4898:G4945,"UPI",F4898:F4945)</f>
        <v>555</v>
      </c>
      <c r="H4946" s="200" t="s">
        <v>1251</v>
      </c>
      <c r="I4946" s="200">
        <f>SUMIF(G4898:G4945, "&lt;&gt;UPI",F4898:F4945)</f>
        <v>819</v>
      </c>
    </row>
    <row r="4947" spans="1:12" s="5" customFormat="1" ht="15.75" x14ac:dyDescent="0.25">
      <c r="A4947" s="201">
        <v>46248</v>
      </c>
      <c r="B4947" s="2"/>
      <c r="C4947" s="14"/>
      <c r="H4947" s="2" t="s">
        <v>1250</v>
      </c>
      <c r="I4947" s="2">
        <f>SUMIF(G4870:G4945, "&lt;&gt;UPI",F4870:F4945)</f>
        <v>1326.7</v>
      </c>
    </row>
    <row r="4948" spans="1:12" s="202" customFormat="1" ht="18.75" x14ac:dyDescent="0.3">
      <c r="A4948" s="146">
        <v>46248</v>
      </c>
      <c r="B4948" s="147" t="s">
        <v>987</v>
      </c>
      <c r="C4948" s="148">
        <f>MAX(B4870:B4945)</f>
        <v>14</v>
      </c>
      <c r="D4948" s="147" t="s">
        <v>988</v>
      </c>
      <c r="E4948" s="202">
        <f>SUMIF(G4870:G4946,"UPI",F4870:F4946)</f>
        <v>575</v>
      </c>
      <c r="F4948" s="230" t="s">
        <v>437</v>
      </c>
      <c r="G4948" s="230"/>
      <c r="H4948" s="230"/>
      <c r="I4948" s="230">
        <f>SUM(F4870:F4945)</f>
        <v>1901.7</v>
      </c>
      <c r="J4948" s="230"/>
      <c r="K4948" s="230"/>
      <c r="L4948" s="230"/>
    </row>
    <row r="4949" spans="1:12" x14ac:dyDescent="0.25">
      <c r="A4949" s="78">
        <v>46249</v>
      </c>
      <c r="B4949" s="68">
        <v>1</v>
      </c>
      <c r="C4949" s="205" t="s">
        <v>1280</v>
      </c>
      <c r="D4949" s="30">
        <v>1</v>
      </c>
      <c r="E4949" s="30">
        <v>10</v>
      </c>
      <c r="F4949" s="30">
        <f>E4949*D4949</f>
        <v>10</v>
      </c>
      <c r="G4949" s="30" t="s">
        <v>9</v>
      </c>
      <c r="J4949" s="30" t="s">
        <v>391</v>
      </c>
    </row>
    <row r="4950" spans="1:12" x14ac:dyDescent="0.25">
      <c r="A4950" s="78">
        <v>46249</v>
      </c>
      <c r="B4950" s="68">
        <v>2</v>
      </c>
      <c r="C4950" s="205" t="s">
        <v>1090</v>
      </c>
      <c r="D4950" s="30">
        <v>2</v>
      </c>
      <c r="E4950" s="30">
        <v>10</v>
      </c>
      <c r="F4950" s="30">
        <f t="shared" ref="F4950:F4997" si="166">E4950*D4950</f>
        <v>20</v>
      </c>
      <c r="G4950" s="30" t="s">
        <v>9</v>
      </c>
      <c r="J4950" s="30" t="s">
        <v>391</v>
      </c>
    </row>
    <row r="4951" spans="1:12" x14ac:dyDescent="0.25">
      <c r="A4951" s="78">
        <v>46249</v>
      </c>
      <c r="B4951" s="68">
        <v>3</v>
      </c>
      <c r="C4951" s="205" t="s">
        <v>316</v>
      </c>
      <c r="D4951" s="30">
        <v>1</v>
      </c>
      <c r="E4951" s="30">
        <v>37</v>
      </c>
      <c r="F4951" s="30">
        <f t="shared" si="166"/>
        <v>37</v>
      </c>
      <c r="G4951" s="30" t="s">
        <v>10</v>
      </c>
      <c r="J4951" s="30" t="s">
        <v>391</v>
      </c>
    </row>
    <row r="4952" spans="1:12" ht="30" x14ac:dyDescent="0.25">
      <c r="A4952" s="78">
        <v>46249</v>
      </c>
      <c r="B4952" s="68">
        <v>4</v>
      </c>
      <c r="C4952" s="205" t="s">
        <v>1122</v>
      </c>
      <c r="D4952" s="30">
        <v>1</v>
      </c>
      <c r="E4952" s="30">
        <v>90</v>
      </c>
      <c r="F4952" s="30">
        <f t="shared" si="166"/>
        <v>90</v>
      </c>
      <c r="G4952" s="30" t="s">
        <v>9</v>
      </c>
      <c r="J4952" s="30" t="s">
        <v>391</v>
      </c>
    </row>
    <row r="4953" spans="1:12" ht="30" x14ac:dyDescent="0.25">
      <c r="A4953" s="78">
        <v>46249</v>
      </c>
      <c r="B4953" s="68">
        <v>4</v>
      </c>
      <c r="C4953" s="205" t="s">
        <v>1064</v>
      </c>
      <c r="D4953" s="30">
        <v>1</v>
      </c>
      <c r="E4953" s="30">
        <v>45</v>
      </c>
      <c r="F4953" s="30">
        <f t="shared" si="166"/>
        <v>45</v>
      </c>
      <c r="G4953" s="30" t="s">
        <v>9</v>
      </c>
      <c r="J4953" s="30" t="s">
        <v>391</v>
      </c>
    </row>
    <row r="4954" spans="1:12" ht="30" x14ac:dyDescent="0.25">
      <c r="A4954" s="78">
        <v>46249</v>
      </c>
      <c r="B4954" s="68">
        <v>4</v>
      </c>
      <c r="C4954" s="205" t="s">
        <v>935</v>
      </c>
      <c r="D4954" s="30">
        <v>1</v>
      </c>
      <c r="E4954" s="30">
        <v>30</v>
      </c>
      <c r="F4954" s="30">
        <f t="shared" si="166"/>
        <v>30</v>
      </c>
      <c r="G4954" s="30" t="s">
        <v>9</v>
      </c>
      <c r="J4954" s="30" t="s">
        <v>391</v>
      </c>
    </row>
    <row r="4955" spans="1:12" x14ac:dyDescent="0.25">
      <c r="A4955" s="78">
        <v>46249</v>
      </c>
      <c r="B4955" s="68">
        <v>4</v>
      </c>
      <c r="C4955" s="205" t="s">
        <v>764</v>
      </c>
      <c r="D4955" s="30">
        <v>1</v>
      </c>
      <c r="E4955" s="30">
        <v>5</v>
      </c>
      <c r="F4955" s="30">
        <f t="shared" si="166"/>
        <v>5</v>
      </c>
      <c r="G4955" s="30" t="s">
        <v>9</v>
      </c>
      <c r="J4955" s="30" t="s">
        <v>391</v>
      </c>
    </row>
    <row r="4956" spans="1:12" x14ac:dyDescent="0.25">
      <c r="A4956" s="78">
        <v>46249</v>
      </c>
      <c r="B4956" s="68">
        <v>5</v>
      </c>
      <c r="C4956" s="205" t="s">
        <v>1229</v>
      </c>
      <c r="D4956" s="30">
        <v>1</v>
      </c>
      <c r="E4956" s="30">
        <v>40</v>
      </c>
      <c r="F4956" s="30">
        <f t="shared" si="166"/>
        <v>40</v>
      </c>
      <c r="G4956" s="30" t="s">
        <v>9</v>
      </c>
      <c r="J4956" s="30" t="s">
        <v>391</v>
      </c>
    </row>
    <row r="4957" spans="1:12" x14ac:dyDescent="0.25">
      <c r="A4957" s="78">
        <v>46249</v>
      </c>
      <c r="B4957" s="68">
        <v>6</v>
      </c>
      <c r="C4957" s="205" t="s">
        <v>1090</v>
      </c>
      <c r="D4957" s="30">
        <v>2</v>
      </c>
      <c r="E4957" s="30">
        <v>10</v>
      </c>
      <c r="F4957" s="30">
        <f t="shared" si="166"/>
        <v>20</v>
      </c>
      <c r="G4957" s="30" t="s">
        <v>16</v>
      </c>
      <c r="I4957" s="68" t="s">
        <v>1226</v>
      </c>
      <c r="J4957" s="30" t="s">
        <v>391</v>
      </c>
    </row>
    <row r="4958" spans="1:12" x14ac:dyDescent="0.25">
      <c r="A4958" s="78">
        <v>46249</v>
      </c>
      <c r="B4958" s="68">
        <v>6</v>
      </c>
      <c r="C4958" s="205" t="s">
        <v>1252</v>
      </c>
      <c r="D4958" s="30">
        <v>2</v>
      </c>
      <c r="E4958" s="30">
        <v>5</v>
      </c>
      <c r="F4958" s="30">
        <f t="shared" si="166"/>
        <v>10</v>
      </c>
      <c r="G4958" s="30" t="s">
        <v>9</v>
      </c>
      <c r="J4958" s="30" t="s">
        <v>391</v>
      </c>
    </row>
    <row r="4959" spans="1:12" x14ac:dyDescent="0.25">
      <c r="A4959" s="78">
        <v>46249</v>
      </c>
      <c r="B4959" s="68">
        <v>7</v>
      </c>
      <c r="C4959" s="205" t="s">
        <v>836</v>
      </c>
      <c r="D4959" s="30">
        <v>1</v>
      </c>
      <c r="E4959" s="30">
        <v>30</v>
      </c>
      <c r="F4959" s="30">
        <f t="shared" si="166"/>
        <v>30</v>
      </c>
      <c r="G4959" s="30" t="s">
        <v>16</v>
      </c>
      <c r="I4959" s="68" t="s">
        <v>663</v>
      </c>
      <c r="J4959" s="30" t="s">
        <v>391</v>
      </c>
    </row>
    <row r="4960" spans="1:12" x14ac:dyDescent="0.25">
      <c r="A4960" s="78">
        <v>46249</v>
      </c>
      <c r="B4960" s="68">
        <v>7</v>
      </c>
      <c r="C4960" s="205" t="s">
        <v>1285</v>
      </c>
      <c r="D4960" s="30">
        <v>1</v>
      </c>
      <c r="E4960" s="30">
        <v>60</v>
      </c>
      <c r="F4960" s="30">
        <f t="shared" si="166"/>
        <v>60</v>
      </c>
      <c r="G4960" s="30" t="s">
        <v>16</v>
      </c>
      <c r="I4960" s="68" t="s">
        <v>663</v>
      </c>
      <c r="J4960" s="30" t="s">
        <v>391</v>
      </c>
    </row>
    <row r="4961" spans="1:10" x14ac:dyDescent="0.25">
      <c r="A4961" s="78">
        <v>46249</v>
      </c>
      <c r="B4961" s="68">
        <v>7</v>
      </c>
      <c r="C4961" s="205" t="s">
        <v>887</v>
      </c>
      <c r="D4961" s="30">
        <v>1</v>
      </c>
      <c r="E4961" s="30">
        <v>56</v>
      </c>
      <c r="F4961" s="30">
        <f t="shared" si="166"/>
        <v>56</v>
      </c>
      <c r="G4961" s="30" t="s">
        <v>16</v>
      </c>
      <c r="I4961" s="68" t="s">
        <v>663</v>
      </c>
      <c r="J4961" s="30" t="s">
        <v>391</v>
      </c>
    </row>
    <row r="4962" spans="1:10" ht="30" x14ac:dyDescent="0.25">
      <c r="A4962" s="78">
        <v>46249</v>
      </c>
      <c r="B4962" s="68">
        <v>7</v>
      </c>
      <c r="C4962" s="205" t="s">
        <v>599</v>
      </c>
      <c r="D4962" s="30">
        <v>1</v>
      </c>
      <c r="E4962" s="30">
        <v>185</v>
      </c>
      <c r="F4962" s="30">
        <f t="shared" si="166"/>
        <v>185</v>
      </c>
      <c r="G4962" s="30" t="s">
        <v>16</v>
      </c>
      <c r="I4962" s="68" t="s">
        <v>663</v>
      </c>
      <c r="J4962" s="30" t="s">
        <v>391</v>
      </c>
    </row>
    <row r="4963" spans="1:10" ht="30" x14ac:dyDescent="0.25">
      <c r="A4963" s="78">
        <v>46249</v>
      </c>
      <c r="B4963" s="68">
        <v>8</v>
      </c>
      <c r="C4963" s="204" t="s">
        <v>377</v>
      </c>
      <c r="D4963" s="30">
        <v>2</v>
      </c>
      <c r="E4963" s="30">
        <v>10</v>
      </c>
      <c r="F4963" s="30">
        <f t="shared" si="166"/>
        <v>20</v>
      </c>
      <c r="G4963" s="30" t="s">
        <v>10</v>
      </c>
      <c r="J4963" s="30" t="s">
        <v>391</v>
      </c>
    </row>
    <row r="4964" spans="1:10" x14ac:dyDescent="0.25">
      <c r="A4964" s="78">
        <v>46249</v>
      </c>
      <c r="B4964" s="68">
        <v>9</v>
      </c>
      <c r="C4964" s="205" t="s">
        <v>1154</v>
      </c>
      <c r="D4964" s="30">
        <v>0.2</v>
      </c>
      <c r="E4964" s="30">
        <v>45</v>
      </c>
      <c r="F4964" s="30">
        <f t="shared" si="166"/>
        <v>9</v>
      </c>
      <c r="G4964" s="30" t="s">
        <v>9</v>
      </c>
      <c r="J4964" s="30" t="s">
        <v>391</v>
      </c>
    </row>
    <row r="4965" spans="1:10" ht="30" x14ac:dyDescent="0.25">
      <c r="A4965" s="78">
        <v>46249</v>
      </c>
      <c r="B4965" s="68">
        <v>7</v>
      </c>
      <c r="C4965" s="205" t="s">
        <v>1172</v>
      </c>
      <c r="D4965" s="30">
        <v>1</v>
      </c>
      <c r="E4965" s="30">
        <v>210</v>
      </c>
      <c r="F4965" s="30">
        <f t="shared" si="166"/>
        <v>210</v>
      </c>
      <c r="G4965" s="30" t="s">
        <v>16</v>
      </c>
      <c r="I4965" s="68" t="s">
        <v>663</v>
      </c>
      <c r="J4965" s="30" t="s">
        <v>391</v>
      </c>
    </row>
    <row r="4966" spans="1:10" x14ac:dyDescent="0.25">
      <c r="A4966" s="78">
        <v>46249</v>
      </c>
      <c r="B4966" s="68">
        <v>7</v>
      </c>
      <c r="C4966" s="205" t="s">
        <v>1154</v>
      </c>
      <c r="D4966" s="30">
        <v>1</v>
      </c>
      <c r="E4966" s="30">
        <v>45</v>
      </c>
      <c r="F4966" s="30">
        <f t="shared" si="166"/>
        <v>45</v>
      </c>
      <c r="G4966" s="30" t="s">
        <v>16</v>
      </c>
      <c r="I4966" s="68" t="s">
        <v>663</v>
      </c>
      <c r="J4966" s="30" t="s">
        <v>391</v>
      </c>
    </row>
    <row r="4967" spans="1:10" x14ac:dyDescent="0.25">
      <c r="A4967" s="78">
        <v>46249</v>
      </c>
      <c r="B4967" s="68">
        <v>7</v>
      </c>
      <c r="C4967" s="205" t="s">
        <v>720</v>
      </c>
      <c r="D4967" s="30">
        <v>1</v>
      </c>
      <c r="E4967" s="30">
        <v>135</v>
      </c>
      <c r="F4967" s="30">
        <f t="shared" si="166"/>
        <v>135</v>
      </c>
      <c r="G4967" s="30" t="s">
        <v>16</v>
      </c>
      <c r="I4967" s="68" t="s">
        <v>663</v>
      </c>
      <c r="J4967" s="30" t="s">
        <v>391</v>
      </c>
    </row>
    <row r="4968" spans="1:10" x14ac:dyDescent="0.25">
      <c r="A4968" s="78">
        <v>46249</v>
      </c>
      <c r="B4968" s="68">
        <v>8</v>
      </c>
      <c r="C4968" s="205" t="s">
        <v>877</v>
      </c>
      <c r="D4968" s="30">
        <v>1</v>
      </c>
      <c r="E4968" s="30">
        <v>10</v>
      </c>
      <c r="F4968" s="30">
        <f t="shared" si="166"/>
        <v>10</v>
      </c>
      <c r="G4968" s="30" t="s">
        <v>10</v>
      </c>
      <c r="J4968" s="30" t="s">
        <v>391</v>
      </c>
    </row>
    <row r="4969" spans="1:10" x14ac:dyDescent="0.25">
      <c r="A4969" s="78">
        <v>46249</v>
      </c>
      <c r="B4969" s="68">
        <v>8</v>
      </c>
      <c r="C4969" s="205" t="s">
        <v>1260</v>
      </c>
      <c r="D4969" s="30">
        <v>2</v>
      </c>
      <c r="E4969" s="30">
        <v>5</v>
      </c>
      <c r="F4969" s="30">
        <f t="shared" si="166"/>
        <v>10</v>
      </c>
      <c r="G4969" s="30" t="s">
        <v>10</v>
      </c>
      <c r="J4969" s="30" t="s">
        <v>391</v>
      </c>
    </row>
    <row r="4970" spans="1:10" x14ac:dyDescent="0.25">
      <c r="A4970" s="78">
        <v>46249</v>
      </c>
      <c r="B4970" s="68">
        <v>9</v>
      </c>
      <c r="C4970" s="205" t="s">
        <v>709</v>
      </c>
      <c r="D4970" s="30">
        <v>1</v>
      </c>
      <c r="E4970" s="30">
        <v>10</v>
      </c>
      <c r="F4970" s="30">
        <f t="shared" si="166"/>
        <v>10</v>
      </c>
      <c r="G4970" s="30" t="s">
        <v>10</v>
      </c>
      <c r="J4970" s="30" t="s">
        <v>391</v>
      </c>
    </row>
    <row r="4971" spans="1:10" x14ac:dyDescent="0.25">
      <c r="A4971" s="78">
        <v>46249</v>
      </c>
      <c r="B4971" s="68">
        <v>9</v>
      </c>
      <c r="C4971" s="205" t="s">
        <v>1126</v>
      </c>
      <c r="D4971" s="30">
        <v>1</v>
      </c>
      <c r="E4971" s="30">
        <v>10</v>
      </c>
      <c r="F4971" s="30">
        <f t="shared" si="166"/>
        <v>10</v>
      </c>
      <c r="G4971" s="30" t="s">
        <v>10</v>
      </c>
      <c r="J4971" s="30" t="s">
        <v>391</v>
      </c>
    </row>
    <row r="4972" spans="1:10" ht="30" x14ac:dyDescent="0.25">
      <c r="A4972" s="78">
        <v>46249</v>
      </c>
      <c r="B4972" s="68">
        <v>10</v>
      </c>
      <c r="C4972" s="204" t="s">
        <v>301</v>
      </c>
      <c r="D4972" s="30">
        <v>2</v>
      </c>
      <c r="E4972" s="30">
        <v>5</v>
      </c>
      <c r="F4972" s="30">
        <f t="shared" si="166"/>
        <v>10</v>
      </c>
      <c r="G4972" s="30" t="s">
        <v>9</v>
      </c>
      <c r="J4972" s="30" t="s">
        <v>391</v>
      </c>
    </row>
    <row r="4973" spans="1:10" x14ac:dyDescent="0.25">
      <c r="A4973" s="78">
        <v>46249</v>
      </c>
      <c r="B4973" s="68">
        <v>8</v>
      </c>
      <c r="C4973" s="205" t="s">
        <v>1078</v>
      </c>
      <c r="D4973" s="30">
        <v>1</v>
      </c>
      <c r="E4973" s="30">
        <v>20</v>
      </c>
      <c r="F4973" s="30">
        <f t="shared" si="166"/>
        <v>20</v>
      </c>
      <c r="G4973" s="30" t="s">
        <v>9</v>
      </c>
      <c r="J4973" s="30" t="s">
        <v>391</v>
      </c>
    </row>
    <row r="4974" spans="1:10" x14ac:dyDescent="0.25">
      <c r="A4974" s="78">
        <v>46249</v>
      </c>
      <c r="B4974" s="68">
        <v>8</v>
      </c>
      <c r="C4974" s="205" t="s">
        <v>1253</v>
      </c>
      <c r="D4974" s="30">
        <v>2</v>
      </c>
      <c r="E4974" s="30">
        <v>5</v>
      </c>
      <c r="F4974" s="30">
        <f t="shared" si="166"/>
        <v>10</v>
      </c>
      <c r="G4974" s="30" t="s">
        <v>9</v>
      </c>
      <c r="J4974" s="30" t="s">
        <v>391</v>
      </c>
    </row>
    <row r="4975" spans="1:10" x14ac:dyDescent="0.25">
      <c r="A4975" s="78">
        <v>46249</v>
      </c>
      <c r="B4975" s="68">
        <v>8</v>
      </c>
      <c r="C4975" s="204" t="s">
        <v>1141</v>
      </c>
      <c r="D4975" s="30">
        <v>1</v>
      </c>
      <c r="E4975" s="30">
        <v>10</v>
      </c>
      <c r="F4975" s="30">
        <f t="shared" si="166"/>
        <v>10</v>
      </c>
      <c r="G4975" s="30" t="s">
        <v>9</v>
      </c>
      <c r="J4975" s="30" t="s">
        <v>391</v>
      </c>
    </row>
    <row r="4976" spans="1:10" ht="30" x14ac:dyDescent="0.25">
      <c r="A4976" s="78">
        <v>46249</v>
      </c>
      <c r="B4976" s="68">
        <v>8</v>
      </c>
      <c r="C4976" s="205" t="s">
        <v>999</v>
      </c>
      <c r="D4976" s="30">
        <v>1</v>
      </c>
      <c r="E4976" s="30">
        <v>20</v>
      </c>
      <c r="F4976" s="30">
        <f t="shared" si="166"/>
        <v>20</v>
      </c>
      <c r="G4976" s="30" t="s">
        <v>9</v>
      </c>
      <c r="J4976" s="30" t="s">
        <v>391</v>
      </c>
    </row>
    <row r="4977" spans="1:10" x14ac:dyDescent="0.25">
      <c r="A4977" s="78">
        <v>46249</v>
      </c>
      <c r="B4977" s="68">
        <v>11</v>
      </c>
      <c r="C4977" s="205" t="s">
        <v>1090</v>
      </c>
      <c r="D4977" s="30">
        <v>2</v>
      </c>
      <c r="E4977" s="30">
        <v>10</v>
      </c>
      <c r="F4977" s="30">
        <f t="shared" si="166"/>
        <v>20</v>
      </c>
      <c r="G4977" s="30" t="s">
        <v>9</v>
      </c>
      <c r="J4977" s="30" t="s">
        <v>391</v>
      </c>
    </row>
    <row r="4978" spans="1:10" x14ac:dyDescent="0.25">
      <c r="A4978" s="78">
        <v>46249</v>
      </c>
      <c r="B4978" s="68">
        <v>11</v>
      </c>
      <c r="C4978" s="205" t="s">
        <v>1252</v>
      </c>
      <c r="D4978" s="30">
        <v>1</v>
      </c>
      <c r="E4978" s="30">
        <v>5</v>
      </c>
      <c r="F4978" s="30">
        <f t="shared" si="166"/>
        <v>5</v>
      </c>
      <c r="G4978" s="30" t="s">
        <v>9</v>
      </c>
      <c r="J4978" s="30" t="s">
        <v>391</v>
      </c>
    </row>
    <row r="4979" spans="1:10" ht="30" x14ac:dyDescent="0.25">
      <c r="A4979" s="78">
        <v>46249</v>
      </c>
      <c r="B4979" s="68">
        <v>12</v>
      </c>
      <c r="C4979" s="205" t="s">
        <v>1281</v>
      </c>
      <c r="D4979" s="30">
        <v>1</v>
      </c>
      <c r="E4979" s="30">
        <v>57</v>
      </c>
      <c r="F4979" s="30">
        <f t="shared" si="166"/>
        <v>57</v>
      </c>
      <c r="G4979" s="30" t="s">
        <v>10</v>
      </c>
      <c r="I4979" s="68" t="s">
        <v>1202</v>
      </c>
      <c r="J4979" s="30" t="s">
        <v>391</v>
      </c>
    </row>
    <row r="4980" spans="1:10" x14ac:dyDescent="0.25">
      <c r="A4980" s="78">
        <v>46249</v>
      </c>
      <c r="B4980" s="68">
        <v>12</v>
      </c>
      <c r="C4980" s="205" t="s">
        <v>948</v>
      </c>
      <c r="D4980" s="30">
        <v>1</v>
      </c>
      <c r="E4980" s="30">
        <v>205</v>
      </c>
      <c r="F4980" s="30">
        <f t="shared" si="166"/>
        <v>205</v>
      </c>
      <c r="G4980" s="30" t="s">
        <v>10</v>
      </c>
      <c r="I4980" s="68" t="s">
        <v>1202</v>
      </c>
      <c r="J4980" s="30" t="s">
        <v>391</v>
      </c>
    </row>
    <row r="4981" spans="1:10" x14ac:dyDescent="0.25">
      <c r="A4981" s="78">
        <v>46249</v>
      </c>
      <c r="B4981" s="68">
        <v>12</v>
      </c>
      <c r="C4981" s="205" t="s">
        <v>914</v>
      </c>
      <c r="D4981" s="30">
        <v>1</v>
      </c>
      <c r="E4981" s="30">
        <v>30</v>
      </c>
      <c r="F4981" s="30">
        <f t="shared" si="166"/>
        <v>30</v>
      </c>
      <c r="G4981" s="30" t="s">
        <v>10</v>
      </c>
      <c r="I4981" s="68" t="s">
        <v>1202</v>
      </c>
      <c r="J4981" s="30" t="s">
        <v>391</v>
      </c>
    </row>
    <row r="4982" spans="1:10" x14ac:dyDescent="0.25">
      <c r="A4982" s="78">
        <v>46249</v>
      </c>
      <c r="B4982" s="68">
        <v>12</v>
      </c>
      <c r="C4982" s="205" t="s">
        <v>1016</v>
      </c>
      <c r="D4982" s="30">
        <v>0.5</v>
      </c>
      <c r="E4982" s="30">
        <v>160</v>
      </c>
      <c r="F4982" s="30">
        <f t="shared" si="166"/>
        <v>80</v>
      </c>
      <c r="G4982" s="30" t="s">
        <v>10</v>
      </c>
      <c r="I4982" s="68" t="s">
        <v>1202</v>
      </c>
      <c r="J4982" s="30" t="s">
        <v>391</v>
      </c>
    </row>
    <row r="4983" spans="1:10" x14ac:dyDescent="0.25">
      <c r="A4983" s="78">
        <v>46249</v>
      </c>
      <c r="B4983" s="68">
        <v>12</v>
      </c>
      <c r="C4983" s="209" t="s">
        <v>1299</v>
      </c>
      <c r="D4983" s="30">
        <v>30</v>
      </c>
      <c r="E4983" s="30">
        <v>8.5</v>
      </c>
      <c r="F4983" s="30">
        <f t="shared" si="166"/>
        <v>255</v>
      </c>
      <c r="G4983" s="30" t="s">
        <v>10</v>
      </c>
      <c r="I4983" s="68" t="s">
        <v>1202</v>
      </c>
      <c r="J4983" s="30" t="s">
        <v>391</v>
      </c>
    </row>
    <row r="4984" spans="1:10" x14ac:dyDescent="0.25">
      <c r="A4984" s="78">
        <v>46249</v>
      </c>
      <c r="B4984" s="68">
        <v>13</v>
      </c>
      <c r="C4984" s="205" t="s">
        <v>1280</v>
      </c>
      <c r="D4984" s="30">
        <v>2</v>
      </c>
      <c r="E4984" s="30">
        <v>10</v>
      </c>
      <c r="F4984" s="30">
        <f t="shared" si="166"/>
        <v>20</v>
      </c>
      <c r="G4984" s="30" t="s">
        <v>9</v>
      </c>
      <c r="J4984" s="30" t="s">
        <v>391</v>
      </c>
    </row>
    <row r="4985" spans="1:10" x14ac:dyDescent="0.25">
      <c r="A4985" s="78">
        <v>46249</v>
      </c>
      <c r="B4985" s="68">
        <v>13</v>
      </c>
      <c r="C4985" s="205" t="s">
        <v>738</v>
      </c>
      <c r="D4985" s="30">
        <v>1</v>
      </c>
      <c r="E4985" s="30">
        <v>50</v>
      </c>
      <c r="F4985" s="30">
        <f t="shared" si="166"/>
        <v>50</v>
      </c>
      <c r="G4985" s="30" t="s">
        <v>9</v>
      </c>
      <c r="J4985" s="30" t="s">
        <v>391</v>
      </c>
    </row>
    <row r="4986" spans="1:10" x14ac:dyDescent="0.25">
      <c r="A4986" s="78">
        <v>46249</v>
      </c>
      <c r="B4986" s="68">
        <v>14</v>
      </c>
      <c r="C4986" s="205" t="s">
        <v>613</v>
      </c>
      <c r="D4986" s="30">
        <v>1</v>
      </c>
      <c r="E4986" s="30">
        <v>10</v>
      </c>
      <c r="F4986" s="30">
        <f t="shared" si="166"/>
        <v>10</v>
      </c>
      <c r="G4986" s="30" t="s">
        <v>9</v>
      </c>
      <c r="J4986" s="30" t="s">
        <v>391</v>
      </c>
    </row>
    <row r="4987" spans="1:10" x14ac:dyDescent="0.25">
      <c r="A4987" s="78">
        <v>46249</v>
      </c>
      <c r="B4987" s="68">
        <v>15</v>
      </c>
      <c r="C4987" s="205" t="s">
        <v>1283</v>
      </c>
      <c r="D4987" s="30">
        <v>1</v>
      </c>
      <c r="E4987" s="30">
        <v>40</v>
      </c>
      <c r="F4987" s="30">
        <f t="shared" si="166"/>
        <v>40</v>
      </c>
      <c r="G4987" s="30" t="s">
        <v>9</v>
      </c>
      <c r="J4987" s="30" t="s">
        <v>391</v>
      </c>
    </row>
    <row r="4988" spans="1:10" x14ac:dyDescent="0.25">
      <c r="A4988" s="78">
        <v>46249</v>
      </c>
      <c r="B4988" s="68">
        <v>16</v>
      </c>
      <c r="C4988" s="205" t="s">
        <v>1252</v>
      </c>
      <c r="D4988" s="30">
        <v>1</v>
      </c>
      <c r="E4988" s="30">
        <v>5</v>
      </c>
      <c r="F4988" s="30">
        <f t="shared" si="166"/>
        <v>5</v>
      </c>
      <c r="G4988" s="30" t="s">
        <v>10</v>
      </c>
      <c r="J4988" s="30" t="s">
        <v>391</v>
      </c>
    </row>
    <row r="4989" spans="1:10" x14ac:dyDescent="0.25">
      <c r="A4989" s="78">
        <v>46249</v>
      </c>
      <c r="B4989" s="68">
        <v>16</v>
      </c>
      <c r="C4989" s="205" t="s">
        <v>1140</v>
      </c>
      <c r="D4989" s="30">
        <v>1</v>
      </c>
      <c r="E4989" s="30">
        <v>5</v>
      </c>
      <c r="F4989" s="30">
        <f t="shared" si="166"/>
        <v>5</v>
      </c>
      <c r="G4989" s="30" t="s">
        <v>10</v>
      </c>
      <c r="J4989" s="30" t="s">
        <v>391</v>
      </c>
    </row>
    <row r="4990" spans="1:10" x14ac:dyDescent="0.25">
      <c r="A4990" s="78">
        <v>46249</v>
      </c>
      <c r="B4990" s="68">
        <v>6</v>
      </c>
      <c r="C4990" s="205" t="s">
        <v>783</v>
      </c>
      <c r="D4990" s="30">
        <v>1</v>
      </c>
      <c r="E4990" s="30">
        <v>10</v>
      </c>
      <c r="F4990" s="30">
        <f t="shared" si="166"/>
        <v>10</v>
      </c>
      <c r="G4990" s="30" t="s">
        <v>16</v>
      </c>
      <c r="I4990" s="68" t="s">
        <v>1226</v>
      </c>
      <c r="J4990" s="30" t="s">
        <v>391</v>
      </c>
    </row>
    <row r="4991" spans="1:10" x14ac:dyDescent="0.25">
      <c r="A4991" s="78">
        <v>46249</v>
      </c>
      <c r="B4991" s="68">
        <v>18</v>
      </c>
      <c r="C4991" s="205" t="s">
        <v>750</v>
      </c>
      <c r="D4991" s="30">
        <v>1</v>
      </c>
      <c r="E4991" s="30">
        <v>50</v>
      </c>
      <c r="F4991" s="30">
        <f t="shared" si="166"/>
        <v>50</v>
      </c>
      <c r="G4991" s="30" t="s">
        <v>9</v>
      </c>
      <c r="J4991" s="30" t="s">
        <v>391</v>
      </c>
    </row>
    <row r="4992" spans="1:10" x14ac:dyDescent="0.25">
      <c r="A4992" s="78">
        <v>46249</v>
      </c>
      <c r="B4992" s="68">
        <v>19</v>
      </c>
      <c r="C4992" s="205" t="s">
        <v>1272</v>
      </c>
      <c r="D4992" s="30">
        <v>2</v>
      </c>
      <c r="E4992" s="30">
        <v>10</v>
      </c>
      <c r="F4992" s="30">
        <f t="shared" ref="F4992" si="167">E4992*D4992</f>
        <v>20</v>
      </c>
      <c r="G4992" s="30" t="s">
        <v>9</v>
      </c>
      <c r="J4992" s="30" t="s">
        <v>391</v>
      </c>
    </row>
    <row r="4993" spans="1:10" x14ac:dyDescent="0.25">
      <c r="A4993" s="78">
        <v>46249</v>
      </c>
      <c r="B4993" s="68">
        <v>20</v>
      </c>
      <c r="C4993" s="205" t="s">
        <v>1299</v>
      </c>
      <c r="D4993" s="30">
        <v>2</v>
      </c>
      <c r="E4993" s="30">
        <v>10</v>
      </c>
      <c r="F4993" s="30">
        <f t="shared" si="166"/>
        <v>20</v>
      </c>
      <c r="G4993" s="30" t="s">
        <v>9</v>
      </c>
      <c r="J4993" s="30" t="s">
        <v>391</v>
      </c>
    </row>
    <row r="4994" spans="1:10" x14ac:dyDescent="0.25">
      <c r="A4994" s="78">
        <v>46249</v>
      </c>
      <c r="B4994" s="68">
        <v>20</v>
      </c>
      <c r="C4994" s="205" t="s">
        <v>646</v>
      </c>
      <c r="D4994" s="30">
        <v>1</v>
      </c>
      <c r="E4994" s="30">
        <v>4</v>
      </c>
      <c r="F4994" s="30">
        <f t="shared" si="166"/>
        <v>4</v>
      </c>
      <c r="G4994" s="30" t="s">
        <v>9</v>
      </c>
      <c r="J4994" s="30" t="s">
        <v>391</v>
      </c>
    </row>
    <row r="4995" spans="1:10" ht="30" x14ac:dyDescent="0.25">
      <c r="A4995" s="78">
        <v>46249</v>
      </c>
      <c r="B4995" s="68">
        <v>20</v>
      </c>
      <c r="C4995" s="205" t="s">
        <v>897</v>
      </c>
      <c r="D4995" s="30">
        <v>1</v>
      </c>
      <c r="E4995" s="30">
        <v>1</v>
      </c>
      <c r="F4995" s="30">
        <f t="shared" si="166"/>
        <v>1</v>
      </c>
      <c r="G4995" s="30" t="s">
        <v>9</v>
      </c>
      <c r="J4995" s="30" t="s">
        <v>391</v>
      </c>
    </row>
    <row r="4996" spans="1:10" x14ac:dyDescent="0.25">
      <c r="B4996" s="68">
        <v>21</v>
      </c>
      <c r="C4996" s="205" t="s">
        <v>877</v>
      </c>
      <c r="D4996" s="30">
        <v>2</v>
      </c>
      <c r="E4996" s="30">
        <v>10</v>
      </c>
      <c r="F4996" s="30">
        <f t="shared" si="166"/>
        <v>20</v>
      </c>
      <c r="G4996" s="30" t="s">
        <v>9</v>
      </c>
      <c r="J4996" s="30" t="s">
        <v>391</v>
      </c>
    </row>
    <row r="4997" spans="1:10" x14ac:dyDescent="0.25">
      <c r="A4997" s="78">
        <v>46249</v>
      </c>
      <c r="B4997" s="68">
        <v>22</v>
      </c>
      <c r="C4997" s="205" t="s">
        <v>1161</v>
      </c>
      <c r="D4997" s="30">
        <v>1</v>
      </c>
      <c r="E4997" s="30">
        <v>30</v>
      </c>
      <c r="F4997" s="30">
        <f t="shared" si="166"/>
        <v>30</v>
      </c>
      <c r="G4997" s="30" t="s">
        <v>9</v>
      </c>
      <c r="J4997" s="30" t="s">
        <v>391</v>
      </c>
    </row>
    <row r="4998" spans="1:10" s="199" customFormat="1" ht="31.5" x14ac:dyDescent="0.25">
      <c r="A4998" s="196">
        <v>46249</v>
      </c>
      <c r="B4998" s="197" t="s">
        <v>1245</v>
      </c>
      <c r="C4998" s="198">
        <f>MAX(B4949:B4997)</f>
        <v>22</v>
      </c>
      <c r="D4998" s="197" t="s">
        <v>1246</v>
      </c>
      <c r="E4998" s="199">
        <f>SUMIF(G4949:G4997,"UPI",F4949:F4997)</f>
        <v>734</v>
      </c>
      <c r="H4998" s="200" t="s">
        <v>1247</v>
      </c>
      <c r="I4998" s="200">
        <f>SUMIF(G4949:G4997, "&lt;&gt;UPI",F4949:F4997)</f>
        <v>1370</v>
      </c>
    </row>
    <row r="4999" spans="1:10" x14ac:dyDescent="0.25">
      <c r="A4999" s="78">
        <v>46249</v>
      </c>
      <c r="B4999" s="68">
        <v>23</v>
      </c>
      <c r="C4999" s="205" t="s">
        <v>1162</v>
      </c>
      <c r="D4999" s="30">
        <v>8</v>
      </c>
      <c r="E4999" s="30">
        <v>5</v>
      </c>
      <c r="F4999" s="30">
        <f t="shared" ref="F4999:F5022" si="168">E4999*D4999</f>
        <v>40</v>
      </c>
      <c r="G4999" s="30" t="s">
        <v>9</v>
      </c>
      <c r="J4999" s="30" t="s">
        <v>392</v>
      </c>
    </row>
    <row r="5000" spans="1:10" x14ac:dyDescent="0.25">
      <c r="A5000" s="78">
        <v>46249</v>
      </c>
      <c r="B5000" s="68">
        <v>24</v>
      </c>
      <c r="C5000" s="205" t="s">
        <v>1229</v>
      </c>
      <c r="D5000" s="30">
        <v>1</v>
      </c>
      <c r="E5000" s="30">
        <v>40</v>
      </c>
      <c r="F5000" s="30">
        <f t="shared" si="168"/>
        <v>40</v>
      </c>
      <c r="G5000" s="30" t="s">
        <v>9</v>
      </c>
      <c r="I5000" s="68" t="s">
        <v>1046</v>
      </c>
      <c r="J5000" s="30" t="s">
        <v>392</v>
      </c>
    </row>
    <row r="5001" spans="1:10" x14ac:dyDescent="0.25">
      <c r="A5001" s="78">
        <v>46249</v>
      </c>
      <c r="B5001" s="68">
        <v>24</v>
      </c>
      <c r="C5001" s="205" t="s">
        <v>948</v>
      </c>
      <c r="D5001" s="30">
        <v>1</v>
      </c>
      <c r="E5001" s="30">
        <v>205</v>
      </c>
      <c r="F5001" s="30">
        <f t="shared" si="168"/>
        <v>205</v>
      </c>
      <c r="G5001" s="30" t="s">
        <v>9</v>
      </c>
      <c r="I5001" s="68" t="s">
        <v>1046</v>
      </c>
      <c r="J5001" s="30" t="s">
        <v>392</v>
      </c>
    </row>
    <row r="5002" spans="1:10" x14ac:dyDescent="0.25">
      <c r="A5002" s="78">
        <v>46249</v>
      </c>
      <c r="B5002" s="68">
        <v>24</v>
      </c>
      <c r="C5002" s="205" t="s">
        <v>788</v>
      </c>
      <c r="D5002" s="30">
        <v>1</v>
      </c>
      <c r="E5002" s="30">
        <v>40</v>
      </c>
      <c r="F5002" s="30">
        <f t="shared" si="168"/>
        <v>40</v>
      </c>
      <c r="G5002" s="30" t="s">
        <v>9</v>
      </c>
      <c r="I5002" s="68" t="s">
        <v>1046</v>
      </c>
      <c r="J5002" s="30" t="s">
        <v>392</v>
      </c>
    </row>
    <row r="5003" spans="1:10" x14ac:dyDescent="0.25">
      <c r="A5003" s="78">
        <v>46249</v>
      </c>
      <c r="B5003" s="68">
        <v>25</v>
      </c>
      <c r="C5003" s="205" t="s">
        <v>1120</v>
      </c>
      <c r="D5003" s="30">
        <v>1</v>
      </c>
      <c r="E5003" s="30">
        <v>60</v>
      </c>
      <c r="F5003" s="30">
        <f t="shared" si="168"/>
        <v>60</v>
      </c>
      <c r="G5003" s="30" t="s">
        <v>9</v>
      </c>
      <c r="J5003" s="30" t="s">
        <v>392</v>
      </c>
    </row>
    <row r="5004" spans="1:10" x14ac:dyDescent="0.25">
      <c r="A5004" s="78">
        <v>46249</v>
      </c>
      <c r="B5004" s="68">
        <v>6</v>
      </c>
      <c r="C5004" s="205" t="s">
        <v>1154</v>
      </c>
      <c r="D5004" s="30">
        <v>0.5</v>
      </c>
      <c r="E5004" s="30">
        <v>45</v>
      </c>
      <c r="F5004" s="30">
        <f t="shared" si="168"/>
        <v>22.5</v>
      </c>
      <c r="G5004" s="30" t="s">
        <v>16</v>
      </c>
      <c r="I5004" s="68" t="s">
        <v>1203</v>
      </c>
      <c r="J5004" s="30" t="s">
        <v>392</v>
      </c>
    </row>
    <row r="5005" spans="1:10" x14ac:dyDescent="0.25">
      <c r="A5005" s="78">
        <v>46249</v>
      </c>
      <c r="B5005" s="68">
        <v>25</v>
      </c>
      <c r="C5005" s="205" t="s">
        <v>580</v>
      </c>
      <c r="D5005" s="30">
        <v>2</v>
      </c>
      <c r="E5005" s="30">
        <v>1</v>
      </c>
      <c r="F5005" s="30">
        <f t="shared" si="168"/>
        <v>2</v>
      </c>
      <c r="G5005" s="30" t="s">
        <v>9</v>
      </c>
      <c r="J5005" s="30" t="s">
        <v>392</v>
      </c>
    </row>
    <row r="5006" spans="1:10" x14ac:dyDescent="0.25">
      <c r="A5006" s="78">
        <v>46249</v>
      </c>
      <c r="B5006" s="68">
        <v>26</v>
      </c>
      <c r="C5006" s="205" t="s">
        <v>702</v>
      </c>
      <c r="D5006" s="30">
        <v>2</v>
      </c>
      <c r="E5006" s="30">
        <v>10</v>
      </c>
      <c r="F5006" s="30">
        <f t="shared" si="168"/>
        <v>20</v>
      </c>
      <c r="G5006" s="30" t="s">
        <v>10</v>
      </c>
      <c r="J5006" s="30" t="s">
        <v>392</v>
      </c>
    </row>
    <row r="5007" spans="1:10" x14ac:dyDescent="0.25">
      <c r="A5007" s="78">
        <v>46249</v>
      </c>
      <c r="B5007" s="68">
        <v>27</v>
      </c>
      <c r="C5007" s="205" t="s">
        <v>852</v>
      </c>
      <c r="D5007" s="30">
        <v>1</v>
      </c>
      <c r="E5007" s="30">
        <v>105</v>
      </c>
      <c r="F5007" s="30">
        <f t="shared" si="168"/>
        <v>105</v>
      </c>
      <c r="G5007" s="30" t="s">
        <v>9</v>
      </c>
      <c r="J5007" s="30" t="s">
        <v>392</v>
      </c>
    </row>
    <row r="5008" spans="1:10" x14ac:dyDescent="0.25">
      <c r="A5008" s="78">
        <v>46249</v>
      </c>
      <c r="B5008" s="68">
        <v>28</v>
      </c>
      <c r="C5008" s="205" t="s">
        <v>533</v>
      </c>
      <c r="D5008" s="30">
        <v>1</v>
      </c>
      <c r="E5008" s="30">
        <v>10</v>
      </c>
      <c r="F5008" s="30">
        <f t="shared" si="168"/>
        <v>10</v>
      </c>
      <c r="G5008" s="30" t="s">
        <v>9</v>
      </c>
      <c r="J5008" s="30" t="s">
        <v>392</v>
      </c>
    </row>
    <row r="5009" spans="1:10" x14ac:dyDescent="0.25">
      <c r="A5009" s="78">
        <v>46249</v>
      </c>
      <c r="B5009" s="68">
        <v>28</v>
      </c>
      <c r="C5009" s="204" t="s">
        <v>535</v>
      </c>
      <c r="D5009" s="30">
        <v>1</v>
      </c>
      <c r="E5009" s="30">
        <v>10</v>
      </c>
      <c r="F5009" s="30">
        <f t="shared" si="168"/>
        <v>10</v>
      </c>
      <c r="G5009" s="30" t="s">
        <v>9</v>
      </c>
      <c r="J5009" s="30" t="s">
        <v>392</v>
      </c>
    </row>
    <row r="5010" spans="1:10" ht="30" x14ac:dyDescent="0.25">
      <c r="A5010" s="78">
        <v>46249</v>
      </c>
      <c r="B5010" s="68">
        <v>28</v>
      </c>
      <c r="C5010" s="205" t="s">
        <v>1286</v>
      </c>
      <c r="D5010" s="30">
        <v>1</v>
      </c>
      <c r="E5010" s="30">
        <v>10</v>
      </c>
      <c r="F5010" s="30">
        <f t="shared" si="168"/>
        <v>10</v>
      </c>
      <c r="G5010" s="30" t="s">
        <v>9</v>
      </c>
      <c r="J5010" s="30" t="s">
        <v>392</v>
      </c>
    </row>
    <row r="5011" spans="1:10" x14ac:dyDescent="0.25">
      <c r="A5011" s="78">
        <v>46249</v>
      </c>
      <c r="B5011" s="68">
        <v>28</v>
      </c>
      <c r="C5011" s="205" t="s">
        <v>788</v>
      </c>
      <c r="D5011" s="30">
        <v>1</v>
      </c>
      <c r="E5011" s="30">
        <v>40</v>
      </c>
      <c r="F5011" s="30">
        <f t="shared" si="168"/>
        <v>40</v>
      </c>
      <c r="G5011" s="30" t="s">
        <v>9</v>
      </c>
      <c r="J5011" s="30" t="s">
        <v>392</v>
      </c>
    </row>
    <row r="5012" spans="1:10" x14ac:dyDescent="0.25">
      <c r="A5012" s="78">
        <v>46249</v>
      </c>
      <c r="B5012" s="68">
        <v>28</v>
      </c>
      <c r="C5012" s="205" t="s">
        <v>964</v>
      </c>
      <c r="D5012" s="30">
        <v>2</v>
      </c>
      <c r="E5012" s="30">
        <v>10</v>
      </c>
      <c r="F5012" s="30">
        <f t="shared" si="168"/>
        <v>20</v>
      </c>
      <c r="G5012" s="30" t="s">
        <v>9</v>
      </c>
      <c r="J5012" s="30" t="s">
        <v>392</v>
      </c>
    </row>
    <row r="5013" spans="1:10" x14ac:dyDescent="0.25">
      <c r="A5013" s="78">
        <v>46249</v>
      </c>
      <c r="B5013" s="68">
        <v>28</v>
      </c>
      <c r="C5013" s="205" t="s">
        <v>639</v>
      </c>
      <c r="D5013" s="30">
        <v>2</v>
      </c>
      <c r="E5013" s="30">
        <v>2</v>
      </c>
      <c r="F5013" s="30">
        <f t="shared" si="168"/>
        <v>4</v>
      </c>
      <c r="G5013" s="30" t="s">
        <v>9</v>
      </c>
      <c r="J5013" s="30" t="s">
        <v>392</v>
      </c>
    </row>
    <row r="5014" spans="1:10" x14ac:dyDescent="0.25">
      <c r="A5014" s="78">
        <v>46249</v>
      </c>
      <c r="B5014" s="68">
        <v>28</v>
      </c>
      <c r="C5014" s="205" t="s">
        <v>1166</v>
      </c>
      <c r="D5014" s="30">
        <v>1</v>
      </c>
      <c r="E5014" s="30">
        <v>1</v>
      </c>
      <c r="F5014" s="30">
        <f t="shared" si="168"/>
        <v>1</v>
      </c>
      <c r="G5014" s="30" t="s">
        <v>9</v>
      </c>
      <c r="J5014" s="30" t="s">
        <v>392</v>
      </c>
    </row>
    <row r="5015" spans="1:10" x14ac:dyDescent="0.25">
      <c r="A5015" s="78">
        <v>46249</v>
      </c>
      <c r="B5015" s="68">
        <v>29</v>
      </c>
      <c r="C5015" s="205" t="s">
        <v>717</v>
      </c>
      <c r="D5015" s="30">
        <v>1</v>
      </c>
      <c r="E5015" s="30">
        <v>92</v>
      </c>
      <c r="F5015" s="30">
        <f t="shared" si="168"/>
        <v>92</v>
      </c>
      <c r="G5015" s="30" t="s">
        <v>9</v>
      </c>
      <c r="J5015" s="30" t="s">
        <v>392</v>
      </c>
    </row>
    <row r="5016" spans="1:10" x14ac:dyDescent="0.25">
      <c r="A5016" s="78">
        <v>46249</v>
      </c>
      <c r="B5016" s="68">
        <v>29</v>
      </c>
      <c r="C5016" s="205" t="s">
        <v>375</v>
      </c>
      <c r="D5016" s="30">
        <v>1</v>
      </c>
      <c r="E5016" s="30">
        <v>1</v>
      </c>
      <c r="F5016" s="30">
        <f t="shared" si="168"/>
        <v>1</v>
      </c>
      <c r="G5016" s="30" t="s">
        <v>9</v>
      </c>
      <c r="J5016" s="30" t="s">
        <v>392</v>
      </c>
    </row>
    <row r="5017" spans="1:10" x14ac:dyDescent="0.25">
      <c r="A5017" s="78">
        <v>46249</v>
      </c>
      <c r="B5017" s="68">
        <v>30</v>
      </c>
      <c r="C5017" s="205" t="s">
        <v>1263</v>
      </c>
      <c r="D5017" s="30">
        <v>5</v>
      </c>
      <c r="E5017" s="30">
        <v>2</v>
      </c>
      <c r="F5017" s="30">
        <f t="shared" si="168"/>
        <v>10</v>
      </c>
      <c r="G5017" s="30" t="s">
        <v>9</v>
      </c>
      <c r="J5017" s="30" t="s">
        <v>392</v>
      </c>
    </row>
    <row r="5018" spans="1:10" x14ac:dyDescent="0.25">
      <c r="A5018" s="78">
        <v>46249</v>
      </c>
      <c r="B5018" s="68">
        <v>31</v>
      </c>
      <c r="C5018" s="205" t="s">
        <v>1302</v>
      </c>
      <c r="D5018" s="30">
        <v>1</v>
      </c>
      <c r="E5018" s="30">
        <v>20</v>
      </c>
      <c r="F5018" s="30">
        <f t="shared" si="168"/>
        <v>20</v>
      </c>
      <c r="G5018" s="30" t="s">
        <v>10</v>
      </c>
      <c r="J5018" s="30" t="s">
        <v>392</v>
      </c>
    </row>
    <row r="5019" spans="1:10" x14ac:dyDescent="0.25">
      <c r="A5019" s="78">
        <v>46249</v>
      </c>
      <c r="B5019" s="68">
        <v>31</v>
      </c>
      <c r="C5019" s="205" t="s">
        <v>1303</v>
      </c>
      <c r="D5019" s="30">
        <v>1</v>
      </c>
      <c r="E5019" s="30">
        <v>60</v>
      </c>
      <c r="F5019" s="30">
        <f t="shared" si="168"/>
        <v>60</v>
      </c>
      <c r="G5019" s="30" t="s">
        <v>10</v>
      </c>
      <c r="J5019" s="30" t="s">
        <v>392</v>
      </c>
    </row>
    <row r="5020" spans="1:10" x14ac:dyDescent="0.25">
      <c r="A5020" s="78">
        <v>46249</v>
      </c>
      <c r="B5020" s="68">
        <v>32</v>
      </c>
      <c r="C5020" s="204" t="s">
        <v>626</v>
      </c>
      <c r="D5020" s="30">
        <v>10</v>
      </c>
      <c r="E5020" s="30">
        <v>10</v>
      </c>
      <c r="F5020" s="30">
        <f t="shared" si="168"/>
        <v>100</v>
      </c>
      <c r="G5020" s="30" t="s">
        <v>9</v>
      </c>
      <c r="J5020" s="30" t="s">
        <v>392</v>
      </c>
    </row>
    <row r="5021" spans="1:10" x14ac:dyDescent="0.25">
      <c r="A5021" s="78">
        <v>46249</v>
      </c>
      <c r="B5021" s="68">
        <v>33</v>
      </c>
      <c r="C5021" s="205" t="s">
        <v>1198</v>
      </c>
      <c r="D5021" s="30">
        <v>1</v>
      </c>
      <c r="E5021" s="30">
        <v>10</v>
      </c>
      <c r="F5021" s="30">
        <f t="shared" si="168"/>
        <v>10</v>
      </c>
      <c r="G5021" s="30" t="s">
        <v>9</v>
      </c>
      <c r="J5021" s="30" t="s">
        <v>392</v>
      </c>
    </row>
    <row r="5022" spans="1:10" x14ac:dyDescent="0.25">
      <c r="A5022" s="78">
        <v>46249</v>
      </c>
      <c r="B5022" s="68">
        <v>34</v>
      </c>
      <c r="C5022" s="205" t="s">
        <v>1231</v>
      </c>
      <c r="D5022" s="30">
        <v>0.5</v>
      </c>
      <c r="E5022" s="30">
        <v>25</v>
      </c>
      <c r="F5022" s="30">
        <f t="shared" si="168"/>
        <v>12.5</v>
      </c>
      <c r="G5022" s="30" t="s">
        <v>10</v>
      </c>
      <c r="J5022" s="30" t="s">
        <v>392</v>
      </c>
    </row>
    <row r="5023" spans="1:10" x14ac:dyDescent="0.25">
      <c r="A5023" s="78">
        <v>46249</v>
      </c>
      <c r="J5023" s="30" t="s">
        <v>392</v>
      </c>
    </row>
    <row r="5024" spans="1:10" s="199" customFormat="1" ht="31.5" x14ac:dyDescent="0.25">
      <c r="A5024" s="196">
        <v>46249</v>
      </c>
      <c r="B5024" s="197" t="s">
        <v>1248</v>
      </c>
      <c r="C5024" s="198">
        <f>MAX(B4999:B5023)</f>
        <v>34</v>
      </c>
      <c r="D5024" s="197" t="s">
        <v>1249</v>
      </c>
      <c r="E5024" s="199">
        <f>SUMIF(G4999:G5023,"UPI",F4999:F5023)</f>
        <v>112.5</v>
      </c>
      <c r="H5024" s="200" t="s">
        <v>1251</v>
      </c>
      <c r="I5024" s="200">
        <f>SUMIF(G4999:G5023, "&lt;&gt;UPI",F4999:F5023)</f>
        <v>822.5</v>
      </c>
    </row>
    <row r="5025" spans="1:12" s="5" customFormat="1" ht="15.75" x14ac:dyDescent="0.25">
      <c r="A5025" s="201">
        <v>46249</v>
      </c>
      <c r="B5025" s="2"/>
      <c r="C5025" s="14"/>
      <c r="H5025" s="2" t="s">
        <v>1250</v>
      </c>
      <c r="I5025" s="2">
        <f>SUMIF(G4949:G5023, "&lt;&gt;UPI",F4949:F5023)</f>
        <v>2192.5</v>
      </c>
    </row>
    <row r="5026" spans="1:12" s="202" customFormat="1" ht="18.75" x14ac:dyDescent="0.3">
      <c r="A5026" s="146">
        <v>46249</v>
      </c>
      <c r="B5026" s="147" t="s">
        <v>987</v>
      </c>
      <c r="C5026" s="148">
        <f>MAX(B4949:B5023)</f>
        <v>34</v>
      </c>
      <c r="D5026" s="147" t="s">
        <v>988</v>
      </c>
      <c r="E5026" s="202">
        <f>SUMIF(G4949:G5024,"UPI",F4949:F5024)</f>
        <v>846.5</v>
      </c>
      <c r="F5026" s="230" t="s">
        <v>437</v>
      </c>
      <c r="G5026" s="230"/>
      <c r="H5026" s="230"/>
      <c r="I5026" s="230">
        <f>SUM(F4949:F5023)</f>
        <v>3039</v>
      </c>
      <c r="J5026" s="230"/>
      <c r="K5026" s="230"/>
      <c r="L5026" s="230"/>
    </row>
    <row r="5027" spans="1:12" x14ac:dyDescent="0.25">
      <c r="A5027" s="78">
        <v>46250</v>
      </c>
      <c r="B5027" s="68">
        <v>1</v>
      </c>
      <c r="C5027" s="205" t="s">
        <v>1308</v>
      </c>
      <c r="D5027" s="30">
        <v>1</v>
      </c>
      <c r="E5027" s="30">
        <v>20</v>
      </c>
      <c r="F5027" s="30">
        <f>E5027*D5027</f>
        <v>20</v>
      </c>
      <c r="G5027" s="30" t="s">
        <v>9</v>
      </c>
      <c r="J5027" s="30" t="s">
        <v>392</v>
      </c>
    </row>
    <row r="5028" spans="1:12" x14ac:dyDescent="0.25">
      <c r="A5028" s="78">
        <v>46250</v>
      </c>
      <c r="B5028" s="68">
        <v>2</v>
      </c>
      <c r="C5028" s="205" t="s">
        <v>670</v>
      </c>
      <c r="D5028" s="30">
        <v>1</v>
      </c>
      <c r="E5028" s="30">
        <v>10</v>
      </c>
      <c r="F5028" s="30">
        <f t="shared" ref="F5028:F5085" si="169">E5028*D5028</f>
        <v>10</v>
      </c>
      <c r="G5028" s="30" t="s">
        <v>10</v>
      </c>
      <c r="J5028" s="30" t="s">
        <v>392</v>
      </c>
    </row>
    <row r="5029" spans="1:12" x14ac:dyDescent="0.25">
      <c r="A5029" s="78">
        <v>46250</v>
      </c>
      <c r="B5029" s="68">
        <v>2</v>
      </c>
      <c r="C5029" s="205" t="s">
        <v>912</v>
      </c>
      <c r="D5029" s="30">
        <v>1</v>
      </c>
      <c r="E5029" s="30">
        <v>10</v>
      </c>
      <c r="F5029" s="30">
        <f t="shared" si="169"/>
        <v>10</v>
      </c>
      <c r="G5029" s="30" t="s">
        <v>10</v>
      </c>
      <c r="J5029" s="30" t="s">
        <v>392</v>
      </c>
    </row>
    <row r="5030" spans="1:12" x14ac:dyDescent="0.25">
      <c r="A5030" s="78">
        <v>46250</v>
      </c>
      <c r="B5030" s="68">
        <v>2</v>
      </c>
      <c r="C5030" s="205" t="s">
        <v>1067</v>
      </c>
      <c r="D5030" s="30">
        <v>1</v>
      </c>
      <c r="E5030" s="30">
        <v>10</v>
      </c>
      <c r="F5030" s="30">
        <f t="shared" si="169"/>
        <v>10</v>
      </c>
      <c r="G5030" s="30" t="s">
        <v>10</v>
      </c>
      <c r="J5030" s="30" t="s">
        <v>392</v>
      </c>
    </row>
    <row r="5031" spans="1:12" ht="30" x14ac:dyDescent="0.25">
      <c r="A5031" s="78">
        <v>46250</v>
      </c>
      <c r="B5031" s="68">
        <v>2</v>
      </c>
      <c r="C5031" s="205" t="s">
        <v>1286</v>
      </c>
      <c r="D5031" s="30">
        <v>1</v>
      </c>
      <c r="E5031" s="30">
        <v>10</v>
      </c>
      <c r="F5031" s="30">
        <f t="shared" si="169"/>
        <v>10</v>
      </c>
      <c r="G5031" s="30" t="s">
        <v>10</v>
      </c>
      <c r="J5031" s="30" t="s">
        <v>392</v>
      </c>
    </row>
    <row r="5032" spans="1:12" x14ac:dyDescent="0.25">
      <c r="A5032" s="78">
        <v>46250</v>
      </c>
      <c r="B5032" s="68">
        <v>2</v>
      </c>
      <c r="C5032" s="205" t="s">
        <v>1279</v>
      </c>
      <c r="D5032" s="30">
        <v>2</v>
      </c>
      <c r="E5032" s="30">
        <v>20</v>
      </c>
      <c r="F5032" s="30">
        <f t="shared" si="169"/>
        <v>40</v>
      </c>
      <c r="G5032" s="30" t="s">
        <v>10</v>
      </c>
      <c r="J5032" s="30" t="s">
        <v>392</v>
      </c>
    </row>
    <row r="5033" spans="1:12" x14ac:dyDescent="0.25">
      <c r="A5033" s="78">
        <v>46250</v>
      </c>
      <c r="B5033" s="68">
        <v>3</v>
      </c>
      <c r="C5033" s="205" t="s">
        <v>578</v>
      </c>
      <c r="D5033" s="30">
        <v>2</v>
      </c>
      <c r="E5033" s="30">
        <v>5</v>
      </c>
      <c r="F5033" s="30">
        <f t="shared" si="169"/>
        <v>10</v>
      </c>
      <c r="G5033" s="30" t="s">
        <v>9</v>
      </c>
      <c r="J5033" s="30" t="s">
        <v>392</v>
      </c>
    </row>
    <row r="5034" spans="1:12" x14ac:dyDescent="0.25">
      <c r="A5034" s="78">
        <v>46250</v>
      </c>
      <c r="B5034" s="68">
        <v>2</v>
      </c>
      <c r="C5034" s="205" t="s">
        <v>958</v>
      </c>
      <c r="D5034" s="30">
        <v>1</v>
      </c>
      <c r="E5034" s="30">
        <v>10</v>
      </c>
      <c r="F5034" s="30">
        <f t="shared" si="169"/>
        <v>10</v>
      </c>
      <c r="G5034" s="30" t="s">
        <v>10</v>
      </c>
      <c r="J5034" s="30" t="s">
        <v>392</v>
      </c>
    </row>
    <row r="5035" spans="1:12" x14ac:dyDescent="0.25">
      <c r="A5035" s="78">
        <v>46250</v>
      </c>
      <c r="B5035" s="68">
        <v>2</v>
      </c>
      <c r="C5035" s="205" t="s">
        <v>956</v>
      </c>
      <c r="D5035" s="30">
        <v>1</v>
      </c>
      <c r="E5035" s="30">
        <v>10</v>
      </c>
      <c r="F5035" s="30">
        <f t="shared" si="169"/>
        <v>10</v>
      </c>
      <c r="G5035" s="30" t="s">
        <v>10</v>
      </c>
      <c r="J5035" s="30" t="s">
        <v>392</v>
      </c>
    </row>
    <row r="5036" spans="1:12" x14ac:dyDescent="0.25">
      <c r="A5036" s="78">
        <v>46250</v>
      </c>
      <c r="B5036" s="68">
        <v>4</v>
      </c>
      <c r="C5036" s="205" t="s">
        <v>1231</v>
      </c>
      <c r="D5036" s="30">
        <v>0.4</v>
      </c>
      <c r="E5036" s="30">
        <v>25</v>
      </c>
      <c r="F5036" s="30">
        <f t="shared" si="169"/>
        <v>10</v>
      </c>
      <c r="G5036" s="30" t="s">
        <v>9</v>
      </c>
      <c r="J5036" s="30" t="s">
        <v>392</v>
      </c>
    </row>
    <row r="5037" spans="1:12" x14ac:dyDescent="0.25">
      <c r="A5037" s="78">
        <v>46250</v>
      </c>
      <c r="B5037" s="68">
        <v>4</v>
      </c>
      <c r="C5037" s="205" t="s">
        <v>960</v>
      </c>
      <c r="D5037" s="30">
        <v>1</v>
      </c>
      <c r="E5037" s="30">
        <v>5</v>
      </c>
      <c r="F5037" s="30">
        <f t="shared" si="169"/>
        <v>5</v>
      </c>
      <c r="G5037" s="30" t="s">
        <v>9</v>
      </c>
      <c r="J5037" s="30" t="s">
        <v>392</v>
      </c>
    </row>
    <row r="5038" spans="1:12" x14ac:dyDescent="0.25">
      <c r="A5038" s="78">
        <v>46250</v>
      </c>
      <c r="B5038" s="68">
        <v>5</v>
      </c>
      <c r="C5038" s="205" t="s">
        <v>1089</v>
      </c>
      <c r="D5038" s="30">
        <v>0.5</v>
      </c>
      <c r="E5038" s="30">
        <v>70</v>
      </c>
      <c r="F5038" s="30">
        <f t="shared" si="169"/>
        <v>35</v>
      </c>
      <c r="G5038" s="30" t="s">
        <v>9</v>
      </c>
      <c r="J5038" s="30" t="s">
        <v>392</v>
      </c>
    </row>
    <row r="5039" spans="1:12" x14ac:dyDescent="0.25">
      <c r="A5039" s="78">
        <v>46250</v>
      </c>
      <c r="B5039" s="68">
        <v>5</v>
      </c>
      <c r="C5039" s="205" t="s">
        <v>848</v>
      </c>
      <c r="D5039" s="30">
        <v>1</v>
      </c>
      <c r="E5039" s="30">
        <v>5</v>
      </c>
      <c r="F5039" s="30">
        <f t="shared" si="169"/>
        <v>5</v>
      </c>
      <c r="G5039" s="30" t="s">
        <v>9</v>
      </c>
      <c r="J5039" s="30" t="s">
        <v>392</v>
      </c>
    </row>
    <row r="5040" spans="1:12" x14ac:dyDescent="0.25">
      <c r="A5040" s="78">
        <v>46250</v>
      </c>
      <c r="B5040" s="68">
        <v>6</v>
      </c>
      <c r="C5040" s="205" t="s">
        <v>915</v>
      </c>
      <c r="D5040" s="30">
        <v>1</v>
      </c>
      <c r="E5040" s="30">
        <v>10</v>
      </c>
      <c r="F5040" s="30">
        <f t="shared" si="169"/>
        <v>10</v>
      </c>
      <c r="G5040" s="30" t="s">
        <v>9</v>
      </c>
      <c r="J5040" s="30" t="s">
        <v>392</v>
      </c>
    </row>
    <row r="5041" spans="1:10" x14ac:dyDescent="0.25">
      <c r="A5041" s="78">
        <v>46250</v>
      </c>
      <c r="B5041" s="68">
        <v>7</v>
      </c>
      <c r="C5041" s="205" t="s">
        <v>533</v>
      </c>
      <c r="D5041" s="30">
        <v>1</v>
      </c>
      <c r="E5041" s="30">
        <v>10</v>
      </c>
      <c r="F5041" s="30">
        <f t="shared" si="169"/>
        <v>10</v>
      </c>
      <c r="G5041" s="30" t="s">
        <v>9</v>
      </c>
      <c r="J5041" s="30" t="s">
        <v>392</v>
      </c>
    </row>
    <row r="5042" spans="1:10" x14ac:dyDescent="0.25">
      <c r="A5042" s="78">
        <v>46250</v>
      </c>
      <c r="B5042" s="68">
        <v>7</v>
      </c>
      <c r="C5042" s="205" t="s">
        <v>1162</v>
      </c>
      <c r="D5042" s="30">
        <v>1</v>
      </c>
      <c r="E5042" s="30">
        <v>5</v>
      </c>
      <c r="F5042" s="30">
        <f t="shared" si="169"/>
        <v>5</v>
      </c>
      <c r="G5042" s="30" t="s">
        <v>16</v>
      </c>
      <c r="I5042" s="68" t="s">
        <v>1208</v>
      </c>
      <c r="J5042" s="30" t="s">
        <v>392</v>
      </c>
    </row>
    <row r="5043" spans="1:10" x14ac:dyDescent="0.25">
      <c r="A5043" s="78">
        <v>46250</v>
      </c>
      <c r="B5043" s="68">
        <v>8</v>
      </c>
      <c r="C5043" s="205" t="s">
        <v>1078</v>
      </c>
      <c r="D5043" s="30">
        <v>1</v>
      </c>
      <c r="E5043" s="30">
        <v>20</v>
      </c>
      <c r="F5043" s="30">
        <f t="shared" si="169"/>
        <v>20</v>
      </c>
      <c r="G5043" s="30" t="s">
        <v>9</v>
      </c>
      <c r="J5043" s="30" t="s">
        <v>392</v>
      </c>
    </row>
    <row r="5044" spans="1:10" x14ac:dyDescent="0.25">
      <c r="A5044" s="78">
        <v>46250</v>
      </c>
      <c r="B5044" s="68">
        <v>9</v>
      </c>
      <c r="C5044" s="205" t="s">
        <v>1285</v>
      </c>
      <c r="D5044" s="30">
        <v>1</v>
      </c>
      <c r="E5044" s="30">
        <v>60</v>
      </c>
      <c r="F5044" s="30">
        <f t="shared" si="169"/>
        <v>60</v>
      </c>
      <c r="G5044" s="30" t="s">
        <v>9</v>
      </c>
      <c r="J5044" s="30" t="s">
        <v>392</v>
      </c>
    </row>
    <row r="5045" spans="1:10" x14ac:dyDescent="0.25">
      <c r="A5045" s="78">
        <v>46250</v>
      </c>
      <c r="B5045" s="68">
        <v>9</v>
      </c>
      <c r="C5045" s="209" t="s">
        <v>1299</v>
      </c>
      <c r="D5045" s="30">
        <v>4</v>
      </c>
      <c r="E5045" s="30">
        <v>10</v>
      </c>
      <c r="F5045" s="30">
        <f t="shared" si="169"/>
        <v>40</v>
      </c>
      <c r="G5045" s="30" t="s">
        <v>9</v>
      </c>
      <c r="J5045" s="30" t="s">
        <v>392</v>
      </c>
    </row>
    <row r="5046" spans="1:10" x14ac:dyDescent="0.25">
      <c r="A5046" s="78">
        <v>46250</v>
      </c>
      <c r="B5046" s="68">
        <v>9</v>
      </c>
      <c r="C5046" s="205" t="s">
        <v>680</v>
      </c>
      <c r="D5046" s="30">
        <v>1</v>
      </c>
      <c r="E5046" s="30">
        <v>10</v>
      </c>
      <c r="F5046" s="30">
        <f t="shared" si="169"/>
        <v>10</v>
      </c>
      <c r="G5046" s="30" t="s">
        <v>9</v>
      </c>
      <c r="J5046" s="30" t="s">
        <v>392</v>
      </c>
    </row>
    <row r="5047" spans="1:10" x14ac:dyDescent="0.25">
      <c r="A5047" s="78">
        <v>46250</v>
      </c>
      <c r="B5047" s="68">
        <v>9</v>
      </c>
      <c r="C5047" s="205" t="s">
        <v>1124</v>
      </c>
      <c r="D5047" s="30">
        <v>1</v>
      </c>
      <c r="E5047" s="30">
        <v>10</v>
      </c>
      <c r="F5047" s="30">
        <f t="shared" si="169"/>
        <v>10</v>
      </c>
      <c r="G5047" s="30" t="s">
        <v>9</v>
      </c>
      <c r="J5047" s="30" t="s">
        <v>392</v>
      </c>
    </row>
    <row r="5048" spans="1:10" x14ac:dyDescent="0.25">
      <c r="A5048" s="78">
        <v>46250</v>
      </c>
      <c r="B5048" s="68">
        <v>10</v>
      </c>
      <c r="C5048" s="205" t="s">
        <v>1306</v>
      </c>
      <c r="D5048" s="30">
        <v>1</v>
      </c>
      <c r="E5048" s="30">
        <v>10</v>
      </c>
      <c r="F5048" s="30">
        <f t="shared" si="169"/>
        <v>10</v>
      </c>
      <c r="G5048" s="30" t="s">
        <v>9</v>
      </c>
      <c r="J5048" s="30" t="s">
        <v>392</v>
      </c>
    </row>
    <row r="5049" spans="1:10" x14ac:dyDescent="0.25">
      <c r="A5049" s="78">
        <v>46250</v>
      </c>
      <c r="B5049" s="68">
        <v>10</v>
      </c>
      <c r="C5049" s="205" t="s">
        <v>1307</v>
      </c>
      <c r="D5049" s="30">
        <v>1</v>
      </c>
      <c r="E5049" s="30">
        <v>7</v>
      </c>
      <c r="F5049" s="30">
        <f t="shared" si="169"/>
        <v>7</v>
      </c>
      <c r="G5049" s="30" t="s">
        <v>9</v>
      </c>
      <c r="J5049" s="30" t="s">
        <v>392</v>
      </c>
    </row>
    <row r="5050" spans="1:10" x14ac:dyDescent="0.25">
      <c r="A5050" s="78">
        <v>46250</v>
      </c>
      <c r="B5050" s="68">
        <v>10</v>
      </c>
      <c r="C5050" s="205" t="s">
        <v>966</v>
      </c>
      <c r="D5050" s="30">
        <v>3</v>
      </c>
      <c r="E5050" s="30">
        <v>1</v>
      </c>
      <c r="F5050" s="30">
        <f t="shared" si="169"/>
        <v>3</v>
      </c>
      <c r="G5050" s="30" t="s">
        <v>9</v>
      </c>
      <c r="J5050" s="30" t="s">
        <v>392</v>
      </c>
    </row>
    <row r="5051" spans="1:10" x14ac:dyDescent="0.25">
      <c r="A5051" s="78">
        <v>46250</v>
      </c>
      <c r="B5051" s="68">
        <v>10</v>
      </c>
      <c r="C5051" s="205" t="s">
        <v>395</v>
      </c>
      <c r="D5051" s="30">
        <v>1</v>
      </c>
      <c r="E5051" s="30">
        <v>10</v>
      </c>
      <c r="F5051" s="30">
        <f t="shared" si="169"/>
        <v>10</v>
      </c>
      <c r="G5051" s="30" t="s">
        <v>9</v>
      </c>
      <c r="J5051" s="30" t="s">
        <v>392</v>
      </c>
    </row>
    <row r="5052" spans="1:10" x14ac:dyDescent="0.25">
      <c r="A5052" s="78">
        <v>46250</v>
      </c>
      <c r="B5052" s="68">
        <v>11</v>
      </c>
      <c r="C5052" s="205" t="s">
        <v>1089</v>
      </c>
      <c r="D5052" s="30">
        <v>0.27600000000000002</v>
      </c>
      <c r="E5052" s="30">
        <v>70</v>
      </c>
      <c r="F5052" s="30">
        <f t="shared" si="169"/>
        <v>19.32</v>
      </c>
      <c r="G5052" s="30" t="s">
        <v>9</v>
      </c>
      <c r="J5052" s="30" t="s">
        <v>392</v>
      </c>
    </row>
    <row r="5053" spans="1:10" x14ac:dyDescent="0.25">
      <c r="A5053" s="78">
        <v>46250</v>
      </c>
      <c r="B5053" s="68">
        <v>11</v>
      </c>
      <c r="C5053" s="205" t="s">
        <v>1133</v>
      </c>
      <c r="D5053" s="30">
        <v>1</v>
      </c>
      <c r="E5053" s="30">
        <v>20</v>
      </c>
      <c r="F5053" s="30">
        <f t="shared" si="169"/>
        <v>20</v>
      </c>
      <c r="G5053" s="30" t="s">
        <v>9</v>
      </c>
      <c r="J5053" s="30" t="s">
        <v>392</v>
      </c>
    </row>
    <row r="5054" spans="1:10" x14ac:dyDescent="0.25">
      <c r="A5054" s="78">
        <v>46250</v>
      </c>
      <c r="B5054" s="68">
        <v>9</v>
      </c>
      <c r="C5054" s="205" t="s">
        <v>588</v>
      </c>
      <c r="D5054" s="30">
        <v>0.105</v>
      </c>
      <c r="E5054" s="30">
        <v>190</v>
      </c>
      <c r="F5054" s="30">
        <f t="shared" si="169"/>
        <v>19.95</v>
      </c>
      <c r="G5054" s="30" t="s">
        <v>9</v>
      </c>
      <c r="J5054" s="30" t="s">
        <v>392</v>
      </c>
    </row>
    <row r="5055" spans="1:10" x14ac:dyDescent="0.25">
      <c r="A5055" s="78">
        <v>46250</v>
      </c>
      <c r="B5055" s="68">
        <v>9</v>
      </c>
      <c r="C5055" s="205" t="s">
        <v>1231</v>
      </c>
      <c r="D5055" s="30">
        <v>1</v>
      </c>
      <c r="E5055" s="30">
        <v>25</v>
      </c>
      <c r="F5055" s="30">
        <f t="shared" si="169"/>
        <v>25</v>
      </c>
      <c r="G5055" s="30" t="s">
        <v>9</v>
      </c>
      <c r="J5055" s="30" t="s">
        <v>392</v>
      </c>
    </row>
    <row r="5056" spans="1:10" x14ac:dyDescent="0.25">
      <c r="A5056" s="78">
        <v>46250</v>
      </c>
      <c r="B5056" s="68">
        <v>9</v>
      </c>
      <c r="C5056" s="205" t="s">
        <v>764</v>
      </c>
      <c r="D5056" s="30">
        <v>1</v>
      </c>
      <c r="E5056" s="30">
        <v>5</v>
      </c>
      <c r="F5056" s="30">
        <f t="shared" si="169"/>
        <v>5</v>
      </c>
      <c r="G5056" s="30" t="s">
        <v>9</v>
      </c>
      <c r="J5056" s="30" t="s">
        <v>392</v>
      </c>
    </row>
    <row r="5057" spans="1:10" x14ac:dyDescent="0.25">
      <c r="A5057" s="78">
        <v>46250</v>
      </c>
      <c r="B5057" s="68">
        <v>9</v>
      </c>
      <c r="C5057" s="205" t="s">
        <v>1127</v>
      </c>
      <c r="D5057" s="30">
        <v>1</v>
      </c>
      <c r="E5057" s="30">
        <v>10</v>
      </c>
      <c r="F5057" s="30">
        <f t="shared" si="169"/>
        <v>10</v>
      </c>
      <c r="G5057" s="30" t="s">
        <v>9</v>
      </c>
      <c r="J5057" s="30" t="s">
        <v>392</v>
      </c>
    </row>
    <row r="5058" spans="1:10" x14ac:dyDescent="0.25">
      <c r="A5058" s="78">
        <v>46250</v>
      </c>
      <c r="B5058" s="68">
        <v>10</v>
      </c>
      <c r="C5058" s="205" t="s">
        <v>888</v>
      </c>
      <c r="D5058" s="30">
        <v>1</v>
      </c>
      <c r="E5058" s="30">
        <v>35</v>
      </c>
      <c r="F5058" s="30">
        <f t="shared" si="169"/>
        <v>35</v>
      </c>
      <c r="G5058" s="30" t="s">
        <v>9</v>
      </c>
      <c r="J5058" s="30" t="s">
        <v>392</v>
      </c>
    </row>
    <row r="5059" spans="1:10" x14ac:dyDescent="0.25">
      <c r="A5059" s="78">
        <v>46250</v>
      </c>
      <c r="B5059" s="68">
        <v>10</v>
      </c>
      <c r="C5059" s="205" t="s">
        <v>1279</v>
      </c>
      <c r="D5059" s="30">
        <v>1</v>
      </c>
      <c r="E5059" s="30">
        <v>20</v>
      </c>
      <c r="F5059" s="30">
        <f t="shared" si="169"/>
        <v>20</v>
      </c>
      <c r="G5059" s="30" t="s">
        <v>9</v>
      </c>
      <c r="J5059" s="30" t="s">
        <v>392</v>
      </c>
    </row>
    <row r="5060" spans="1:10" x14ac:dyDescent="0.25">
      <c r="A5060" s="78">
        <v>46250</v>
      </c>
      <c r="B5060" s="68">
        <v>10</v>
      </c>
      <c r="C5060" s="205" t="s">
        <v>1288</v>
      </c>
      <c r="D5060" s="30">
        <v>1</v>
      </c>
      <c r="E5060" s="30">
        <v>5</v>
      </c>
      <c r="F5060" s="30">
        <f t="shared" si="169"/>
        <v>5</v>
      </c>
      <c r="G5060" s="30" t="s">
        <v>9</v>
      </c>
      <c r="J5060" s="30" t="s">
        <v>392</v>
      </c>
    </row>
    <row r="5061" spans="1:10" x14ac:dyDescent="0.25">
      <c r="A5061" s="78">
        <v>46250</v>
      </c>
      <c r="B5061" s="68">
        <v>10</v>
      </c>
      <c r="C5061" s="205" t="s">
        <v>1162</v>
      </c>
      <c r="D5061" s="30">
        <v>1</v>
      </c>
      <c r="E5061" s="30">
        <v>5</v>
      </c>
      <c r="F5061" s="30">
        <f t="shared" si="169"/>
        <v>5</v>
      </c>
      <c r="G5061" s="30" t="s">
        <v>9</v>
      </c>
      <c r="J5061" s="30" t="s">
        <v>392</v>
      </c>
    </row>
    <row r="5062" spans="1:10" x14ac:dyDescent="0.25">
      <c r="A5062" s="78">
        <v>46250</v>
      </c>
      <c r="B5062" s="68">
        <v>11</v>
      </c>
      <c r="C5062" s="205" t="s">
        <v>1090</v>
      </c>
      <c r="D5062" s="30">
        <v>5</v>
      </c>
      <c r="E5062" s="30">
        <v>10</v>
      </c>
      <c r="F5062" s="30">
        <f t="shared" si="169"/>
        <v>50</v>
      </c>
      <c r="G5062" s="30" t="s">
        <v>16</v>
      </c>
      <c r="I5062" s="68" t="s">
        <v>1203</v>
      </c>
      <c r="J5062" s="30" t="s">
        <v>392</v>
      </c>
    </row>
    <row r="5063" spans="1:10" ht="30" x14ac:dyDescent="0.25">
      <c r="A5063" s="78">
        <v>46250</v>
      </c>
      <c r="B5063" s="68">
        <v>12</v>
      </c>
      <c r="C5063" s="205" t="s">
        <v>999</v>
      </c>
      <c r="D5063" s="30">
        <v>1</v>
      </c>
      <c r="E5063" s="30">
        <v>20</v>
      </c>
      <c r="F5063" s="30">
        <f t="shared" si="169"/>
        <v>20</v>
      </c>
      <c r="G5063" s="30" t="s">
        <v>9</v>
      </c>
      <c r="J5063" s="30" t="s">
        <v>392</v>
      </c>
    </row>
    <row r="5064" spans="1:10" x14ac:dyDescent="0.25">
      <c r="A5064" s="78">
        <v>46250</v>
      </c>
      <c r="B5064" s="68">
        <v>13</v>
      </c>
      <c r="C5064" s="205" t="s">
        <v>877</v>
      </c>
      <c r="D5064" s="30">
        <v>2</v>
      </c>
      <c r="E5064" s="30">
        <v>10</v>
      </c>
      <c r="F5064" s="30">
        <f t="shared" si="169"/>
        <v>20</v>
      </c>
      <c r="G5064" s="30" t="s">
        <v>9</v>
      </c>
      <c r="J5064" s="30" t="s">
        <v>392</v>
      </c>
    </row>
    <row r="5065" spans="1:10" x14ac:dyDescent="0.25">
      <c r="A5065" s="78">
        <v>46250</v>
      </c>
      <c r="B5065" s="68">
        <v>13</v>
      </c>
      <c r="C5065" s="205" t="s">
        <v>1168</v>
      </c>
      <c r="D5065" s="30">
        <v>1</v>
      </c>
      <c r="E5065" s="30">
        <v>10</v>
      </c>
      <c r="F5065" s="30">
        <f t="shared" si="169"/>
        <v>10</v>
      </c>
      <c r="G5065" s="30" t="s">
        <v>9</v>
      </c>
      <c r="J5065" s="30" t="s">
        <v>392</v>
      </c>
    </row>
    <row r="5066" spans="1:10" x14ac:dyDescent="0.25">
      <c r="A5066" s="78">
        <v>46250</v>
      </c>
      <c r="B5066" s="68">
        <v>14</v>
      </c>
      <c r="C5066" s="205" t="s">
        <v>1089</v>
      </c>
      <c r="D5066" s="30">
        <v>0.5</v>
      </c>
      <c r="E5066" s="30">
        <v>70</v>
      </c>
      <c r="F5066" s="30">
        <f t="shared" si="169"/>
        <v>35</v>
      </c>
      <c r="G5066" s="30" t="s">
        <v>16</v>
      </c>
      <c r="I5066" s="68" t="s">
        <v>663</v>
      </c>
      <c r="J5066" s="30" t="s">
        <v>392</v>
      </c>
    </row>
    <row r="5067" spans="1:10" x14ac:dyDescent="0.25">
      <c r="A5067" s="78">
        <v>46250</v>
      </c>
      <c r="B5067" s="68">
        <v>14</v>
      </c>
      <c r="C5067" s="205" t="s">
        <v>877</v>
      </c>
      <c r="D5067" s="30">
        <v>3</v>
      </c>
      <c r="E5067" s="30">
        <v>10</v>
      </c>
      <c r="F5067" s="30">
        <f t="shared" si="169"/>
        <v>30</v>
      </c>
      <c r="G5067" s="30" t="s">
        <v>16</v>
      </c>
      <c r="I5067" s="68" t="s">
        <v>663</v>
      </c>
      <c r="J5067" s="30" t="s">
        <v>392</v>
      </c>
    </row>
    <row r="5068" spans="1:10" x14ac:dyDescent="0.25">
      <c r="A5068" s="78">
        <v>46250</v>
      </c>
      <c r="B5068" s="68">
        <v>15</v>
      </c>
      <c r="C5068" s="205" t="s">
        <v>783</v>
      </c>
      <c r="D5068" s="30">
        <v>1</v>
      </c>
      <c r="E5068" s="30">
        <v>10</v>
      </c>
      <c r="F5068" s="30">
        <f t="shared" si="169"/>
        <v>10</v>
      </c>
      <c r="G5068" s="30" t="s">
        <v>9</v>
      </c>
      <c r="J5068" s="30" t="s">
        <v>392</v>
      </c>
    </row>
    <row r="5069" spans="1:10" x14ac:dyDescent="0.25">
      <c r="A5069" s="78">
        <v>46250</v>
      </c>
      <c r="B5069" s="68">
        <v>16</v>
      </c>
      <c r="C5069" s="205" t="s">
        <v>1150</v>
      </c>
      <c r="D5069" s="30">
        <v>0.17</v>
      </c>
      <c r="E5069" s="30">
        <v>120</v>
      </c>
      <c r="F5069" s="30">
        <f t="shared" si="169"/>
        <v>20.400000000000002</v>
      </c>
      <c r="G5069" s="30" t="s">
        <v>9</v>
      </c>
      <c r="J5069" s="30" t="s">
        <v>392</v>
      </c>
    </row>
    <row r="5070" spans="1:10" x14ac:dyDescent="0.25">
      <c r="A5070" s="78">
        <v>46250</v>
      </c>
      <c r="B5070" s="68">
        <v>16</v>
      </c>
      <c r="C5070" s="205" t="s">
        <v>709</v>
      </c>
      <c r="D5070" s="30">
        <v>1</v>
      </c>
      <c r="E5070" s="30">
        <v>10</v>
      </c>
      <c r="F5070" s="30">
        <f t="shared" si="169"/>
        <v>10</v>
      </c>
      <c r="G5070" s="30" t="s">
        <v>9</v>
      </c>
      <c r="J5070" s="30" t="s">
        <v>392</v>
      </c>
    </row>
    <row r="5071" spans="1:10" x14ac:dyDescent="0.25">
      <c r="A5071" s="78">
        <v>46250</v>
      </c>
      <c r="B5071" s="68">
        <v>16</v>
      </c>
      <c r="C5071" s="205" t="s">
        <v>1126</v>
      </c>
      <c r="D5071" s="30">
        <v>1</v>
      </c>
      <c r="E5071" s="30">
        <v>10</v>
      </c>
      <c r="F5071" s="30">
        <f t="shared" si="169"/>
        <v>10</v>
      </c>
      <c r="G5071" s="30" t="s">
        <v>9</v>
      </c>
      <c r="J5071" s="30" t="s">
        <v>392</v>
      </c>
    </row>
    <row r="5072" spans="1:10" x14ac:dyDescent="0.25">
      <c r="A5072" s="78">
        <v>46250</v>
      </c>
      <c r="B5072" s="68">
        <v>16</v>
      </c>
      <c r="C5072" s="204" t="s">
        <v>1141</v>
      </c>
      <c r="D5072" s="30">
        <v>1</v>
      </c>
      <c r="E5072" s="30">
        <v>10</v>
      </c>
      <c r="F5072" s="30">
        <f t="shared" si="169"/>
        <v>10</v>
      </c>
      <c r="G5072" s="30" t="s">
        <v>9</v>
      </c>
      <c r="J5072" s="30" t="s">
        <v>392</v>
      </c>
    </row>
    <row r="5073" spans="1:10" x14ac:dyDescent="0.25">
      <c r="A5073" s="78">
        <v>46250</v>
      </c>
      <c r="B5073" s="68">
        <v>16</v>
      </c>
      <c r="C5073" s="205" t="s">
        <v>1260</v>
      </c>
      <c r="D5073" s="30">
        <v>2</v>
      </c>
      <c r="E5073" s="30">
        <v>5</v>
      </c>
      <c r="F5073" s="30">
        <f t="shared" si="169"/>
        <v>10</v>
      </c>
      <c r="G5073" s="30" t="s">
        <v>9</v>
      </c>
      <c r="J5073" s="30" t="s">
        <v>392</v>
      </c>
    </row>
    <row r="5074" spans="1:10" x14ac:dyDescent="0.25">
      <c r="A5074" s="78">
        <v>46250</v>
      </c>
      <c r="B5074" s="68">
        <v>17</v>
      </c>
      <c r="C5074" s="205" t="s">
        <v>1231</v>
      </c>
      <c r="D5074" s="30">
        <v>1</v>
      </c>
      <c r="E5074" s="30">
        <v>25</v>
      </c>
      <c r="F5074" s="30">
        <f t="shared" si="169"/>
        <v>25</v>
      </c>
      <c r="G5074" s="30" t="s">
        <v>9</v>
      </c>
      <c r="J5074" s="30" t="s">
        <v>392</v>
      </c>
    </row>
    <row r="5075" spans="1:10" x14ac:dyDescent="0.25">
      <c r="A5075" s="78">
        <v>46250</v>
      </c>
      <c r="B5075" s="68">
        <v>17</v>
      </c>
      <c r="C5075" s="205" t="s">
        <v>1154</v>
      </c>
      <c r="D5075" s="30">
        <v>0.5</v>
      </c>
      <c r="E5075" s="30">
        <v>45</v>
      </c>
      <c r="F5075" s="30">
        <f t="shared" si="169"/>
        <v>22.5</v>
      </c>
      <c r="G5075" s="30" t="s">
        <v>9</v>
      </c>
      <c r="J5075" s="30" t="s">
        <v>392</v>
      </c>
    </row>
    <row r="5076" spans="1:10" x14ac:dyDescent="0.25">
      <c r="A5076" s="78">
        <v>46250</v>
      </c>
      <c r="B5076" s="68">
        <v>17</v>
      </c>
      <c r="C5076" s="209" t="s">
        <v>1299</v>
      </c>
      <c r="D5076" s="30">
        <v>6</v>
      </c>
      <c r="E5076" s="30">
        <v>10</v>
      </c>
      <c r="F5076" s="30">
        <f t="shared" si="169"/>
        <v>60</v>
      </c>
      <c r="G5076" s="30" t="s">
        <v>9</v>
      </c>
      <c r="J5076" s="30" t="s">
        <v>392</v>
      </c>
    </row>
    <row r="5077" spans="1:10" x14ac:dyDescent="0.25">
      <c r="A5077" s="78">
        <v>46250</v>
      </c>
      <c r="B5077" s="68">
        <v>17</v>
      </c>
      <c r="C5077" s="205" t="s">
        <v>797</v>
      </c>
      <c r="D5077" s="30">
        <v>1</v>
      </c>
      <c r="E5077" s="30">
        <v>100</v>
      </c>
      <c r="F5077" s="30">
        <f t="shared" si="169"/>
        <v>100</v>
      </c>
      <c r="G5077" s="30" t="s">
        <v>9</v>
      </c>
      <c r="J5077" s="30" t="s">
        <v>392</v>
      </c>
    </row>
    <row r="5078" spans="1:10" x14ac:dyDescent="0.25">
      <c r="A5078" s="78">
        <v>46250</v>
      </c>
      <c r="B5078" s="68">
        <v>17</v>
      </c>
      <c r="C5078" s="205" t="s">
        <v>957</v>
      </c>
      <c r="D5078" s="30">
        <v>1</v>
      </c>
      <c r="E5078" s="30">
        <v>10</v>
      </c>
      <c r="F5078" s="30">
        <f t="shared" si="169"/>
        <v>10</v>
      </c>
      <c r="G5078" s="30" t="s">
        <v>9</v>
      </c>
      <c r="J5078" s="30" t="s">
        <v>392</v>
      </c>
    </row>
    <row r="5079" spans="1:10" x14ac:dyDescent="0.25">
      <c r="A5079" s="78">
        <v>46250</v>
      </c>
      <c r="B5079" s="68">
        <v>17</v>
      </c>
      <c r="C5079" s="205" t="s">
        <v>1252</v>
      </c>
      <c r="D5079" s="30">
        <v>1</v>
      </c>
      <c r="E5079" s="30">
        <v>5</v>
      </c>
      <c r="F5079" s="30">
        <f t="shared" si="169"/>
        <v>5</v>
      </c>
      <c r="G5079" s="30" t="s">
        <v>9</v>
      </c>
      <c r="J5079" s="30" t="s">
        <v>392</v>
      </c>
    </row>
    <row r="5080" spans="1:10" ht="30" x14ac:dyDescent="0.25">
      <c r="A5080" s="78">
        <v>46250</v>
      </c>
      <c r="B5080" s="68">
        <v>17</v>
      </c>
      <c r="C5080" s="205" t="s">
        <v>1286</v>
      </c>
      <c r="D5080" s="30">
        <v>1</v>
      </c>
      <c r="E5080" s="30">
        <v>10</v>
      </c>
      <c r="F5080" s="30">
        <f t="shared" si="169"/>
        <v>10</v>
      </c>
      <c r="G5080" s="30" t="s">
        <v>9</v>
      </c>
      <c r="J5080" s="30" t="s">
        <v>392</v>
      </c>
    </row>
    <row r="5081" spans="1:10" x14ac:dyDescent="0.25">
      <c r="A5081" s="78">
        <v>46250</v>
      </c>
      <c r="B5081" s="68">
        <v>17</v>
      </c>
      <c r="C5081" s="205" t="s">
        <v>1142</v>
      </c>
      <c r="D5081" s="30">
        <v>1</v>
      </c>
      <c r="E5081" s="30">
        <v>5</v>
      </c>
      <c r="F5081" s="30">
        <f t="shared" si="169"/>
        <v>5</v>
      </c>
      <c r="G5081" s="30" t="s">
        <v>9</v>
      </c>
      <c r="J5081" s="30" t="s">
        <v>392</v>
      </c>
    </row>
    <row r="5082" spans="1:10" x14ac:dyDescent="0.25">
      <c r="A5082" s="78">
        <v>46250</v>
      </c>
      <c r="B5082" s="68">
        <v>17</v>
      </c>
      <c r="C5082" s="205" t="s">
        <v>1280</v>
      </c>
      <c r="D5082" s="30">
        <v>1</v>
      </c>
      <c r="E5082" s="30">
        <v>10</v>
      </c>
      <c r="F5082" s="30">
        <f t="shared" si="169"/>
        <v>10</v>
      </c>
      <c r="G5082" s="30" t="s">
        <v>9</v>
      </c>
      <c r="J5082" s="30" t="s">
        <v>392</v>
      </c>
    </row>
    <row r="5083" spans="1:10" x14ac:dyDescent="0.25">
      <c r="A5083" s="78">
        <v>46250</v>
      </c>
      <c r="B5083" s="68">
        <v>18</v>
      </c>
      <c r="C5083" s="205" t="s">
        <v>1259</v>
      </c>
      <c r="D5083" s="30">
        <v>1</v>
      </c>
      <c r="E5083" s="30">
        <v>10</v>
      </c>
      <c r="F5083" s="30">
        <f t="shared" si="169"/>
        <v>10</v>
      </c>
      <c r="G5083" s="30" t="s">
        <v>9</v>
      </c>
      <c r="J5083" s="30" t="s">
        <v>392</v>
      </c>
    </row>
    <row r="5084" spans="1:10" x14ac:dyDescent="0.25">
      <c r="A5084" s="78">
        <v>46250</v>
      </c>
      <c r="B5084" s="68">
        <v>18</v>
      </c>
      <c r="C5084" s="205" t="s">
        <v>1261</v>
      </c>
      <c r="D5084" s="30">
        <v>1</v>
      </c>
      <c r="E5084" s="30">
        <v>10</v>
      </c>
      <c r="F5084" s="30">
        <f t="shared" si="169"/>
        <v>10</v>
      </c>
      <c r="G5084" s="30" t="s">
        <v>9</v>
      </c>
      <c r="J5084" s="30" t="s">
        <v>392</v>
      </c>
    </row>
    <row r="5085" spans="1:10" x14ac:dyDescent="0.25">
      <c r="A5085" s="78">
        <v>46250</v>
      </c>
      <c r="B5085" s="68">
        <v>19</v>
      </c>
      <c r="C5085" s="205" t="s">
        <v>783</v>
      </c>
      <c r="D5085" s="30">
        <v>1</v>
      </c>
      <c r="E5085" s="30">
        <v>10</v>
      </c>
      <c r="F5085" s="30">
        <f t="shared" si="169"/>
        <v>10</v>
      </c>
      <c r="G5085" s="30" t="s">
        <v>9</v>
      </c>
      <c r="J5085" s="30" t="s">
        <v>392</v>
      </c>
    </row>
    <row r="5086" spans="1:10" x14ac:dyDescent="0.25">
      <c r="A5086" s="78">
        <v>46250</v>
      </c>
      <c r="B5086" s="68">
        <v>20</v>
      </c>
      <c r="C5086" s="205" t="s">
        <v>1273</v>
      </c>
      <c r="D5086" s="30">
        <v>2</v>
      </c>
      <c r="E5086" s="30">
        <v>5</v>
      </c>
      <c r="F5086" s="30">
        <f t="shared" ref="F5086:F5089" si="170">E5086*D5086</f>
        <v>10</v>
      </c>
      <c r="G5086" s="30" t="s">
        <v>9</v>
      </c>
      <c r="J5086" s="30" t="s">
        <v>392</v>
      </c>
    </row>
    <row r="5087" spans="1:10" x14ac:dyDescent="0.25">
      <c r="A5087" s="78">
        <v>46250</v>
      </c>
      <c r="B5087" s="68">
        <v>21</v>
      </c>
      <c r="C5087" s="205" t="s">
        <v>1090</v>
      </c>
      <c r="D5087" s="30">
        <v>1</v>
      </c>
      <c r="E5087" s="30">
        <v>10</v>
      </c>
      <c r="F5087" s="30">
        <f t="shared" si="170"/>
        <v>10</v>
      </c>
      <c r="G5087" s="30" t="s">
        <v>10</v>
      </c>
      <c r="J5087" s="30" t="s">
        <v>392</v>
      </c>
    </row>
    <row r="5088" spans="1:10" x14ac:dyDescent="0.25">
      <c r="A5088" s="78">
        <v>46250</v>
      </c>
      <c r="B5088" s="68">
        <v>21</v>
      </c>
      <c r="C5088" s="209" t="s">
        <v>1299</v>
      </c>
      <c r="D5088" s="30">
        <v>1</v>
      </c>
      <c r="E5088" s="30">
        <v>10</v>
      </c>
      <c r="F5088" s="30">
        <f t="shared" si="170"/>
        <v>10</v>
      </c>
      <c r="G5088" s="30" t="s">
        <v>10</v>
      </c>
      <c r="J5088" s="30" t="s">
        <v>392</v>
      </c>
    </row>
    <row r="5089" spans="1:12" x14ac:dyDescent="0.25">
      <c r="A5089" s="78">
        <v>46250</v>
      </c>
      <c r="B5089" s="68">
        <v>22</v>
      </c>
      <c r="C5089" s="205" t="s">
        <v>967</v>
      </c>
      <c r="D5089" s="30">
        <v>1</v>
      </c>
      <c r="E5089" s="30">
        <v>120</v>
      </c>
      <c r="F5089" s="30">
        <f t="shared" si="170"/>
        <v>120</v>
      </c>
      <c r="G5089" s="30" t="s">
        <v>9</v>
      </c>
      <c r="J5089" s="30" t="s">
        <v>392</v>
      </c>
    </row>
    <row r="5090" spans="1:12" s="199" customFormat="1" ht="31.5" x14ac:dyDescent="0.25">
      <c r="A5090" s="196">
        <v>46250</v>
      </c>
      <c r="B5090" s="197" t="s">
        <v>1248</v>
      </c>
      <c r="C5090" s="198">
        <f>MAX(B5027:B5089)</f>
        <v>22</v>
      </c>
      <c r="D5090" s="197" t="s">
        <v>1249</v>
      </c>
      <c r="E5090" s="199">
        <f>SUMIF(G5027:G5089,"UPI",F5027:F5089)</f>
        <v>120</v>
      </c>
      <c r="H5090" s="200" t="s">
        <v>1251</v>
      </c>
      <c r="I5090" s="200">
        <f>SUMIF(G5027:G5089, "&lt;&gt;UPI",F5027:F5089)</f>
        <v>1087.17</v>
      </c>
    </row>
    <row r="5091" spans="1:12" s="5" customFormat="1" ht="15.75" x14ac:dyDescent="0.25">
      <c r="A5091" s="201">
        <v>46250</v>
      </c>
      <c r="B5091" s="2"/>
      <c r="C5091" s="14"/>
      <c r="H5091" s="2" t="s">
        <v>1250</v>
      </c>
      <c r="I5091" s="2">
        <f>SUMIF(G5027:G5089, "&lt;&gt;UPI",F5027:F5089)</f>
        <v>1087.17</v>
      </c>
    </row>
    <row r="5092" spans="1:12" s="202" customFormat="1" ht="18.75" x14ac:dyDescent="0.3">
      <c r="A5092" s="146">
        <v>46250</v>
      </c>
      <c r="B5092" s="147" t="s">
        <v>987</v>
      </c>
      <c r="C5092" s="148">
        <f>MAX(B5027:B5089)</f>
        <v>22</v>
      </c>
      <c r="D5092" s="147" t="s">
        <v>988</v>
      </c>
      <c r="E5092" s="202">
        <f>SUMIF(G5027:G5090,"UPI",F5027:F5090)</f>
        <v>120</v>
      </c>
      <c r="F5092" s="230" t="s">
        <v>437</v>
      </c>
      <c r="G5092" s="230"/>
      <c r="H5092" s="230"/>
      <c r="I5092" s="230">
        <f>SUM(F5027:F5089)</f>
        <v>1207.17</v>
      </c>
      <c r="J5092" s="230"/>
      <c r="K5092" s="230"/>
      <c r="L5092" s="230"/>
    </row>
    <row r="5093" spans="1:12" x14ac:dyDescent="0.25">
      <c r="A5093" s="78">
        <v>46251</v>
      </c>
      <c r="B5093" s="68">
        <v>1</v>
      </c>
      <c r="C5093" s="204" t="s">
        <v>1141</v>
      </c>
      <c r="D5093" s="30">
        <v>1</v>
      </c>
      <c r="E5093" s="30">
        <v>10</v>
      </c>
      <c r="F5093" s="30">
        <f>E5093*D5093</f>
        <v>10</v>
      </c>
      <c r="G5093" s="30" t="s">
        <v>9</v>
      </c>
      <c r="J5093" s="30" t="s">
        <v>391</v>
      </c>
    </row>
    <row r="5094" spans="1:12" x14ac:dyDescent="0.25">
      <c r="A5094" s="78">
        <v>46251</v>
      </c>
      <c r="B5094" s="68">
        <v>2</v>
      </c>
      <c r="C5094" s="205" t="s">
        <v>1231</v>
      </c>
      <c r="D5094" s="30">
        <v>1</v>
      </c>
      <c r="E5094" s="30">
        <v>25</v>
      </c>
      <c r="F5094" s="30">
        <f t="shared" ref="F5094:F5140" si="171">E5094*D5094</f>
        <v>25</v>
      </c>
      <c r="G5094" s="30" t="s">
        <v>10</v>
      </c>
      <c r="J5094" s="30" t="s">
        <v>391</v>
      </c>
    </row>
    <row r="5095" spans="1:12" x14ac:dyDescent="0.25">
      <c r="A5095" s="78">
        <v>46251</v>
      </c>
      <c r="B5095" s="68">
        <v>3</v>
      </c>
      <c r="C5095" s="205" t="s">
        <v>1072</v>
      </c>
      <c r="D5095" s="30">
        <v>1</v>
      </c>
      <c r="E5095" s="30">
        <v>45</v>
      </c>
      <c r="F5095" s="30">
        <f t="shared" si="171"/>
        <v>45</v>
      </c>
      <c r="G5095" s="30" t="s">
        <v>16</v>
      </c>
      <c r="I5095" s="68" t="s">
        <v>663</v>
      </c>
      <c r="J5095" s="30" t="s">
        <v>391</v>
      </c>
    </row>
    <row r="5096" spans="1:12" ht="30" x14ac:dyDescent="0.25">
      <c r="A5096" s="78">
        <v>46251</v>
      </c>
      <c r="B5096" s="68">
        <v>3</v>
      </c>
      <c r="C5096" s="205" t="s">
        <v>1144</v>
      </c>
      <c r="D5096" s="30">
        <v>1</v>
      </c>
      <c r="E5096" s="30">
        <v>5</v>
      </c>
      <c r="F5096" s="30">
        <f t="shared" si="171"/>
        <v>5</v>
      </c>
      <c r="G5096" s="30" t="s">
        <v>16</v>
      </c>
      <c r="I5096" s="68" t="s">
        <v>663</v>
      </c>
      <c r="J5096" s="30" t="s">
        <v>391</v>
      </c>
    </row>
    <row r="5097" spans="1:12" x14ac:dyDescent="0.25">
      <c r="A5097" s="78">
        <v>46251</v>
      </c>
      <c r="B5097" s="68">
        <v>4</v>
      </c>
      <c r="C5097" s="204" t="s">
        <v>859</v>
      </c>
      <c r="D5097" s="30">
        <v>1</v>
      </c>
      <c r="E5097" s="30">
        <v>10</v>
      </c>
      <c r="F5097" s="30">
        <f t="shared" si="171"/>
        <v>10</v>
      </c>
      <c r="G5097" s="30" t="s">
        <v>9</v>
      </c>
      <c r="J5097" s="30" t="s">
        <v>391</v>
      </c>
    </row>
    <row r="5098" spans="1:12" x14ac:dyDescent="0.25">
      <c r="A5098" s="78">
        <v>46251</v>
      </c>
      <c r="B5098" s="68">
        <v>4</v>
      </c>
      <c r="C5098" s="205" t="s">
        <v>1288</v>
      </c>
      <c r="D5098" s="30">
        <v>2</v>
      </c>
      <c r="E5098" s="30">
        <v>5</v>
      </c>
      <c r="F5098" s="30">
        <f t="shared" si="171"/>
        <v>10</v>
      </c>
      <c r="G5098" s="30" t="s">
        <v>9</v>
      </c>
      <c r="J5098" s="30" t="s">
        <v>391</v>
      </c>
    </row>
    <row r="5099" spans="1:12" x14ac:dyDescent="0.25">
      <c r="A5099" s="78">
        <v>46251</v>
      </c>
      <c r="B5099" s="68">
        <v>5</v>
      </c>
      <c r="C5099" s="205" t="s">
        <v>1163</v>
      </c>
      <c r="D5099" s="30">
        <v>1</v>
      </c>
      <c r="E5099" s="30">
        <v>10</v>
      </c>
      <c r="F5099" s="30">
        <f t="shared" si="171"/>
        <v>10</v>
      </c>
      <c r="G5099" s="30" t="s">
        <v>9</v>
      </c>
      <c r="J5099" s="30" t="s">
        <v>391</v>
      </c>
    </row>
    <row r="5100" spans="1:12" x14ac:dyDescent="0.25">
      <c r="A5100" s="78">
        <v>46251</v>
      </c>
      <c r="B5100" s="68">
        <v>5</v>
      </c>
      <c r="C5100" s="205" t="s">
        <v>877</v>
      </c>
      <c r="D5100" s="30">
        <v>1</v>
      </c>
      <c r="E5100" s="30">
        <v>10</v>
      </c>
      <c r="F5100" s="30">
        <f t="shared" si="171"/>
        <v>10</v>
      </c>
      <c r="G5100" s="30" t="s">
        <v>9</v>
      </c>
      <c r="J5100" s="30" t="s">
        <v>391</v>
      </c>
    </row>
    <row r="5101" spans="1:12" x14ac:dyDescent="0.25">
      <c r="A5101" s="78">
        <v>46251</v>
      </c>
      <c r="B5101" s="68">
        <v>6</v>
      </c>
      <c r="C5101" s="205" t="s">
        <v>914</v>
      </c>
      <c r="D5101" s="30">
        <v>1</v>
      </c>
      <c r="E5101" s="30">
        <v>30</v>
      </c>
      <c r="F5101" s="30">
        <f t="shared" si="171"/>
        <v>30</v>
      </c>
      <c r="G5101" s="30" t="s">
        <v>9</v>
      </c>
      <c r="J5101" s="30" t="s">
        <v>391</v>
      </c>
    </row>
    <row r="5102" spans="1:12" x14ac:dyDescent="0.25">
      <c r="A5102" s="78">
        <v>46251</v>
      </c>
      <c r="B5102" s="68">
        <v>6</v>
      </c>
      <c r="C5102" s="205" t="s">
        <v>117</v>
      </c>
      <c r="D5102" s="30">
        <v>1</v>
      </c>
      <c r="E5102" s="30">
        <v>10</v>
      </c>
      <c r="F5102" s="30">
        <f t="shared" si="171"/>
        <v>10</v>
      </c>
      <c r="G5102" s="30" t="s">
        <v>9</v>
      </c>
      <c r="J5102" s="30" t="s">
        <v>391</v>
      </c>
    </row>
    <row r="5103" spans="1:12" x14ac:dyDescent="0.25">
      <c r="A5103" s="78">
        <v>46251</v>
      </c>
      <c r="B5103" s="68">
        <v>6</v>
      </c>
      <c r="C5103" s="205" t="s">
        <v>1306</v>
      </c>
      <c r="D5103" s="30">
        <v>1</v>
      </c>
      <c r="E5103" s="30">
        <v>10</v>
      </c>
      <c r="F5103" s="30">
        <f t="shared" si="171"/>
        <v>10</v>
      </c>
      <c r="G5103" s="30" t="s">
        <v>9</v>
      </c>
      <c r="J5103" s="30" t="s">
        <v>391</v>
      </c>
    </row>
    <row r="5104" spans="1:12" x14ac:dyDescent="0.25">
      <c r="A5104" s="78">
        <v>46251</v>
      </c>
      <c r="B5104" s="68">
        <v>6</v>
      </c>
      <c r="C5104" s="205" t="s">
        <v>368</v>
      </c>
      <c r="D5104" s="30">
        <v>1</v>
      </c>
      <c r="E5104" s="30">
        <v>5</v>
      </c>
      <c r="F5104" s="30">
        <f t="shared" si="171"/>
        <v>5</v>
      </c>
      <c r="G5104" s="30" t="s">
        <v>16</v>
      </c>
      <c r="J5104" s="30" t="s">
        <v>391</v>
      </c>
    </row>
    <row r="5105" spans="1:10" x14ac:dyDescent="0.25">
      <c r="A5105" s="78">
        <v>46251</v>
      </c>
      <c r="B5105" s="68">
        <v>7</v>
      </c>
      <c r="C5105" s="205" t="s">
        <v>1309</v>
      </c>
      <c r="D5105" s="30">
        <v>1</v>
      </c>
      <c r="E5105" s="30">
        <v>6</v>
      </c>
      <c r="F5105" s="30">
        <f t="shared" si="171"/>
        <v>6</v>
      </c>
      <c r="G5105" s="30" t="s">
        <v>9</v>
      </c>
      <c r="J5105" s="30" t="s">
        <v>391</v>
      </c>
    </row>
    <row r="5106" spans="1:10" x14ac:dyDescent="0.25">
      <c r="A5106" s="78">
        <v>46251</v>
      </c>
      <c r="B5106" s="68">
        <v>7</v>
      </c>
      <c r="C5106" s="205" t="s">
        <v>375</v>
      </c>
      <c r="D5106" s="30">
        <v>4</v>
      </c>
      <c r="E5106" s="30">
        <v>1</v>
      </c>
      <c r="F5106" s="30">
        <f t="shared" si="171"/>
        <v>4</v>
      </c>
      <c r="G5106" s="30" t="s">
        <v>9</v>
      </c>
      <c r="J5106" s="30" t="s">
        <v>391</v>
      </c>
    </row>
    <row r="5107" spans="1:10" x14ac:dyDescent="0.25">
      <c r="A5107" s="78">
        <v>46251</v>
      </c>
      <c r="B5107" s="68">
        <v>8</v>
      </c>
      <c r="C5107" s="205" t="s">
        <v>95</v>
      </c>
      <c r="D5107" s="30">
        <v>1</v>
      </c>
      <c r="E5107" s="30">
        <v>10</v>
      </c>
      <c r="F5107" s="30">
        <f t="shared" si="171"/>
        <v>10</v>
      </c>
      <c r="G5107" s="30" t="s">
        <v>9</v>
      </c>
      <c r="J5107" s="30" t="s">
        <v>391</v>
      </c>
    </row>
    <row r="5108" spans="1:10" x14ac:dyDescent="0.25">
      <c r="A5108" s="78">
        <v>46251</v>
      </c>
      <c r="B5108" s="68">
        <v>9</v>
      </c>
      <c r="C5108" s="205" t="s">
        <v>1229</v>
      </c>
      <c r="D5108" s="30">
        <v>1</v>
      </c>
      <c r="E5108" s="30">
        <v>40</v>
      </c>
      <c r="F5108" s="30">
        <f t="shared" si="171"/>
        <v>40</v>
      </c>
      <c r="G5108" s="30" t="s">
        <v>9</v>
      </c>
      <c r="J5108" s="30" t="s">
        <v>391</v>
      </c>
    </row>
    <row r="5109" spans="1:10" x14ac:dyDescent="0.25">
      <c r="A5109" s="78">
        <v>46251</v>
      </c>
      <c r="B5109" s="68">
        <v>10</v>
      </c>
      <c r="C5109" s="205" t="s">
        <v>1279</v>
      </c>
      <c r="D5109" s="30">
        <v>1</v>
      </c>
      <c r="E5109" s="30">
        <v>20</v>
      </c>
      <c r="F5109" s="30">
        <f t="shared" si="171"/>
        <v>20</v>
      </c>
      <c r="G5109" s="30" t="s">
        <v>10</v>
      </c>
      <c r="J5109" s="30" t="s">
        <v>391</v>
      </c>
    </row>
    <row r="5110" spans="1:10" x14ac:dyDescent="0.25">
      <c r="A5110" s="78">
        <v>46251</v>
      </c>
      <c r="B5110" s="68">
        <v>10</v>
      </c>
      <c r="C5110" s="205" t="s">
        <v>783</v>
      </c>
      <c r="D5110" s="30">
        <v>1</v>
      </c>
      <c r="E5110" s="30">
        <v>10</v>
      </c>
      <c r="F5110" s="30">
        <f t="shared" si="171"/>
        <v>10</v>
      </c>
      <c r="G5110" s="30" t="s">
        <v>10</v>
      </c>
      <c r="J5110" s="30" t="s">
        <v>391</v>
      </c>
    </row>
    <row r="5111" spans="1:10" x14ac:dyDescent="0.25">
      <c r="A5111" s="78">
        <v>46251</v>
      </c>
      <c r="B5111" s="68">
        <v>10</v>
      </c>
      <c r="C5111" s="205" t="s">
        <v>578</v>
      </c>
      <c r="D5111" s="30">
        <v>1</v>
      </c>
      <c r="E5111" s="30">
        <v>5</v>
      </c>
      <c r="F5111" s="30">
        <f t="shared" si="171"/>
        <v>5</v>
      </c>
      <c r="G5111" s="30" t="s">
        <v>10</v>
      </c>
      <c r="J5111" s="30" t="s">
        <v>391</v>
      </c>
    </row>
    <row r="5112" spans="1:10" ht="30" x14ac:dyDescent="0.25">
      <c r="A5112" s="78">
        <v>46251</v>
      </c>
      <c r="B5112" s="68">
        <v>10</v>
      </c>
      <c r="C5112" s="205" t="s">
        <v>1286</v>
      </c>
      <c r="D5112" s="30">
        <v>2</v>
      </c>
      <c r="E5112" s="30">
        <v>10</v>
      </c>
      <c r="F5112" s="30">
        <f t="shared" si="171"/>
        <v>20</v>
      </c>
      <c r="G5112" s="30" t="s">
        <v>10</v>
      </c>
      <c r="J5112" s="30" t="s">
        <v>391</v>
      </c>
    </row>
    <row r="5113" spans="1:10" x14ac:dyDescent="0.25">
      <c r="A5113" s="78">
        <v>46251</v>
      </c>
      <c r="B5113" s="68">
        <v>10</v>
      </c>
      <c r="C5113" s="205" t="s">
        <v>1168</v>
      </c>
      <c r="D5113" s="30">
        <v>1</v>
      </c>
      <c r="E5113" s="30">
        <v>10</v>
      </c>
      <c r="F5113" s="30">
        <f t="shared" si="171"/>
        <v>10</v>
      </c>
      <c r="G5113" s="30" t="s">
        <v>10</v>
      </c>
      <c r="J5113" s="30" t="s">
        <v>391</v>
      </c>
    </row>
    <row r="5114" spans="1:10" x14ac:dyDescent="0.25">
      <c r="A5114" s="78">
        <v>46251</v>
      </c>
      <c r="B5114" s="68">
        <v>11</v>
      </c>
      <c r="C5114" s="205" t="s">
        <v>1165</v>
      </c>
      <c r="D5114" s="30">
        <v>10</v>
      </c>
      <c r="E5114" s="30">
        <v>1</v>
      </c>
      <c r="F5114" s="30">
        <f t="shared" si="171"/>
        <v>10</v>
      </c>
      <c r="G5114" s="30" t="s">
        <v>9</v>
      </c>
      <c r="J5114" s="30" t="s">
        <v>391</v>
      </c>
    </row>
    <row r="5115" spans="1:10" x14ac:dyDescent="0.25">
      <c r="A5115" s="78">
        <v>46251</v>
      </c>
      <c r="B5115" s="68">
        <v>12</v>
      </c>
      <c r="C5115" s="205" t="s">
        <v>1252</v>
      </c>
      <c r="D5115" s="30">
        <v>2</v>
      </c>
      <c r="E5115" s="30">
        <v>5</v>
      </c>
      <c r="F5115" s="30">
        <f t="shared" si="171"/>
        <v>10</v>
      </c>
      <c r="G5115" s="30" t="s">
        <v>9</v>
      </c>
      <c r="J5115" s="30" t="s">
        <v>391</v>
      </c>
    </row>
    <row r="5116" spans="1:10" x14ac:dyDescent="0.25">
      <c r="A5116" s="78">
        <v>46251</v>
      </c>
      <c r="B5116" s="68">
        <v>12</v>
      </c>
      <c r="C5116" s="205" t="s">
        <v>1154</v>
      </c>
      <c r="D5116" s="30">
        <v>0.5</v>
      </c>
      <c r="E5116" s="30">
        <v>45</v>
      </c>
      <c r="F5116" s="30">
        <f t="shared" si="171"/>
        <v>22.5</v>
      </c>
      <c r="G5116" s="30" t="s">
        <v>9</v>
      </c>
      <c r="J5116" s="30" t="s">
        <v>391</v>
      </c>
    </row>
    <row r="5117" spans="1:10" x14ac:dyDescent="0.25">
      <c r="A5117" s="78">
        <v>46251</v>
      </c>
      <c r="B5117" s="68">
        <v>12</v>
      </c>
      <c r="C5117" s="209" t="s">
        <v>1299</v>
      </c>
      <c r="D5117" s="30">
        <v>6</v>
      </c>
      <c r="E5117" s="30">
        <v>10</v>
      </c>
      <c r="F5117" s="30">
        <f t="shared" si="171"/>
        <v>60</v>
      </c>
      <c r="G5117" s="30" t="s">
        <v>9</v>
      </c>
      <c r="J5117" s="30" t="s">
        <v>391</v>
      </c>
    </row>
    <row r="5118" spans="1:10" x14ac:dyDescent="0.25">
      <c r="A5118" s="78">
        <v>46251</v>
      </c>
      <c r="B5118" s="68">
        <v>13</v>
      </c>
      <c r="C5118" s="205" t="s">
        <v>1252</v>
      </c>
      <c r="D5118" s="30">
        <v>5</v>
      </c>
      <c r="E5118" s="30">
        <v>5</v>
      </c>
      <c r="F5118" s="30">
        <f t="shared" si="171"/>
        <v>25</v>
      </c>
      <c r="G5118" s="30" t="s">
        <v>10</v>
      </c>
      <c r="J5118" s="30" t="s">
        <v>391</v>
      </c>
    </row>
    <row r="5119" spans="1:10" ht="30" x14ac:dyDescent="0.25">
      <c r="A5119" s="78">
        <v>46251</v>
      </c>
      <c r="B5119" s="68">
        <v>13</v>
      </c>
      <c r="C5119" s="205" t="s">
        <v>1003</v>
      </c>
      <c r="D5119" s="30">
        <v>1</v>
      </c>
      <c r="E5119" s="30">
        <v>30</v>
      </c>
      <c r="F5119" s="30">
        <f t="shared" si="171"/>
        <v>30</v>
      </c>
      <c r="G5119" s="30" t="s">
        <v>10</v>
      </c>
      <c r="J5119" s="30" t="s">
        <v>391</v>
      </c>
    </row>
    <row r="5120" spans="1:10" x14ac:dyDescent="0.25">
      <c r="A5120" s="78">
        <v>46251</v>
      </c>
      <c r="B5120" s="68">
        <v>12</v>
      </c>
      <c r="C5120" s="205" t="s">
        <v>1263</v>
      </c>
      <c r="D5120" s="30">
        <v>2</v>
      </c>
      <c r="E5120" s="30">
        <v>1</v>
      </c>
      <c r="F5120" s="30">
        <f t="shared" si="171"/>
        <v>2</v>
      </c>
      <c r="G5120" s="30" t="s">
        <v>10</v>
      </c>
      <c r="J5120" s="30" t="s">
        <v>391</v>
      </c>
    </row>
    <row r="5121" spans="1:10" x14ac:dyDescent="0.25">
      <c r="A5121" s="78">
        <v>46251</v>
      </c>
      <c r="B5121" s="68">
        <v>14</v>
      </c>
      <c r="C5121" s="205" t="s">
        <v>764</v>
      </c>
      <c r="D5121" s="30">
        <v>1</v>
      </c>
      <c r="E5121" s="30">
        <v>5</v>
      </c>
      <c r="F5121" s="30">
        <f t="shared" si="171"/>
        <v>5</v>
      </c>
      <c r="G5121" s="30" t="s">
        <v>10</v>
      </c>
      <c r="J5121" s="30" t="s">
        <v>391</v>
      </c>
    </row>
    <row r="5122" spans="1:10" x14ac:dyDescent="0.25">
      <c r="A5122" s="78">
        <v>46251</v>
      </c>
      <c r="B5122" s="68">
        <v>15</v>
      </c>
      <c r="C5122" s="205" t="s">
        <v>1310</v>
      </c>
      <c r="D5122" s="30">
        <v>1</v>
      </c>
      <c r="E5122" s="30">
        <v>20</v>
      </c>
      <c r="F5122" s="30">
        <f t="shared" si="171"/>
        <v>20</v>
      </c>
      <c r="G5122" s="30" t="s">
        <v>9</v>
      </c>
      <c r="J5122" s="30" t="s">
        <v>391</v>
      </c>
    </row>
    <row r="5123" spans="1:10" x14ac:dyDescent="0.25">
      <c r="A5123" s="78">
        <v>46251</v>
      </c>
      <c r="B5123" s="68">
        <v>16</v>
      </c>
      <c r="C5123" s="204" t="s">
        <v>859</v>
      </c>
      <c r="D5123" s="30">
        <v>1</v>
      </c>
      <c r="E5123" s="30">
        <v>10</v>
      </c>
      <c r="F5123" s="30">
        <f t="shared" si="171"/>
        <v>10</v>
      </c>
      <c r="G5123" s="30" t="s">
        <v>9</v>
      </c>
      <c r="J5123" s="30" t="s">
        <v>391</v>
      </c>
    </row>
    <row r="5124" spans="1:10" x14ac:dyDescent="0.25">
      <c r="A5124" s="78">
        <v>46251</v>
      </c>
      <c r="B5124" s="68">
        <v>16</v>
      </c>
      <c r="C5124" s="205" t="s">
        <v>1109</v>
      </c>
      <c r="D5124" s="30">
        <v>1</v>
      </c>
      <c r="E5124" s="30">
        <v>20</v>
      </c>
      <c r="F5124" s="30">
        <f t="shared" ref="F5124:F5139" si="172">E5124*D5124</f>
        <v>20</v>
      </c>
      <c r="G5124" s="30" t="s">
        <v>9</v>
      </c>
      <c r="J5124" s="30" t="s">
        <v>391</v>
      </c>
    </row>
    <row r="5125" spans="1:10" x14ac:dyDescent="0.25">
      <c r="A5125" s="78">
        <v>46251</v>
      </c>
      <c r="B5125" s="68">
        <v>17</v>
      </c>
      <c r="C5125" s="205" t="s">
        <v>848</v>
      </c>
      <c r="D5125" s="30">
        <v>1</v>
      </c>
      <c r="E5125" s="30">
        <v>5</v>
      </c>
      <c r="F5125" s="30">
        <f t="shared" si="172"/>
        <v>5</v>
      </c>
      <c r="G5125" s="30" t="s">
        <v>16</v>
      </c>
      <c r="I5125" s="68" t="s">
        <v>1199</v>
      </c>
      <c r="J5125" s="30" t="s">
        <v>391</v>
      </c>
    </row>
    <row r="5126" spans="1:10" x14ac:dyDescent="0.25">
      <c r="A5126" s="78">
        <v>46251</v>
      </c>
      <c r="B5126" s="68">
        <v>18</v>
      </c>
      <c r="C5126" s="205" t="s">
        <v>1288</v>
      </c>
      <c r="D5126" s="30">
        <v>1</v>
      </c>
      <c r="E5126" s="30">
        <v>5</v>
      </c>
      <c r="F5126" s="30">
        <f t="shared" si="172"/>
        <v>5</v>
      </c>
      <c r="G5126" s="30" t="s">
        <v>9</v>
      </c>
      <c r="J5126" s="30" t="s">
        <v>391</v>
      </c>
    </row>
    <row r="5127" spans="1:10" x14ac:dyDescent="0.25">
      <c r="A5127" s="78">
        <v>46251</v>
      </c>
      <c r="B5127" s="68">
        <v>18</v>
      </c>
      <c r="C5127" s="205" t="s">
        <v>1138</v>
      </c>
      <c r="D5127" s="30">
        <v>1</v>
      </c>
      <c r="E5127" s="30">
        <v>5</v>
      </c>
      <c r="F5127" s="30">
        <f t="shared" si="172"/>
        <v>5</v>
      </c>
      <c r="G5127" s="30" t="s">
        <v>9</v>
      </c>
      <c r="J5127" s="30" t="s">
        <v>391</v>
      </c>
    </row>
    <row r="5128" spans="1:10" x14ac:dyDescent="0.25">
      <c r="A5128" s="78">
        <v>46251</v>
      </c>
      <c r="B5128" s="68">
        <v>18</v>
      </c>
      <c r="C5128" s="204" t="s">
        <v>1141</v>
      </c>
      <c r="D5128" s="30">
        <v>1</v>
      </c>
      <c r="E5128" s="30">
        <v>10</v>
      </c>
      <c r="F5128" s="30">
        <f t="shared" si="172"/>
        <v>10</v>
      </c>
      <c r="G5128" s="30" t="s">
        <v>9</v>
      </c>
      <c r="J5128" s="30" t="s">
        <v>391</v>
      </c>
    </row>
    <row r="5129" spans="1:10" x14ac:dyDescent="0.25">
      <c r="A5129" s="78">
        <v>46251</v>
      </c>
      <c r="B5129" s="68">
        <v>19</v>
      </c>
      <c r="C5129" s="205" t="s">
        <v>539</v>
      </c>
      <c r="D5129" s="30">
        <v>1</v>
      </c>
      <c r="E5129" s="30">
        <v>20</v>
      </c>
      <c r="F5129" s="30">
        <f t="shared" si="172"/>
        <v>20</v>
      </c>
      <c r="G5129" s="30" t="s">
        <v>16</v>
      </c>
      <c r="I5129" s="68" t="s">
        <v>1200</v>
      </c>
      <c r="J5129" s="30" t="s">
        <v>391</v>
      </c>
    </row>
    <row r="5130" spans="1:10" x14ac:dyDescent="0.25">
      <c r="A5130" s="78">
        <v>46251</v>
      </c>
      <c r="B5130" s="68">
        <v>20</v>
      </c>
      <c r="C5130" s="205" t="s">
        <v>1280</v>
      </c>
      <c r="D5130" s="30">
        <v>2</v>
      </c>
      <c r="E5130" s="30">
        <v>10</v>
      </c>
      <c r="F5130" s="30">
        <f t="shared" si="172"/>
        <v>20</v>
      </c>
      <c r="G5130" s="30" t="s">
        <v>10</v>
      </c>
      <c r="J5130" s="30" t="s">
        <v>391</v>
      </c>
    </row>
    <row r="5131" spans="1:10" ht="30" x14ac:dyDescent="0.25">
      <c r="A5131" s="78">
        <v>46251</v>
      </c>
      <c r="B5131" s="68">
        <v>21</v>
      </c>
      <c r="C5131" s="205" t="s">
        <v>1115</v>
      </c>
      <c r="D5131" s="30">
        <v>1</v>
      </c>
      <c r="E5131" s="30">
        <v>120</v>
      </c>
      <c r="F5131" s="30">
        <f t="shared" si="172"/>
        <v>120</v>
      </c>
      <c r="G5131" s="30" t="s">
        <v>9</v>
      </c>
      <c r="J5131" s="30" t="s">
        <v>391</v>
      </c>
    </row>
    <row r="5132" spans="1:10" x14ac:dyDescent="0.25">
      <c r="A5132" s="78">
        <v>46251</v>
      </c>
      <c r="B5132" s="68">
        <v>22</v>
      </c>
      <c r="C5132" s="209" t="s">
        <v>1299</v>
      </c>
      <c r="D5132" s="30">
        <v>2</v>
      </c>
      <c r="E5132" s="30">
        <v>10</v>
      </c>
      <c r="F5132" s="30">
        <f t="shared" si="172"/>
        <v>20</v>
      </c>
      <c r="G5132" s="30" t="s">
        <v>9</v>
      </c>
      <c r="J5132" s="30" t="s">
        <v>391</v>
      </c>
    </row>
    <row r="5133" spans="1:10" x14ac:dyDescent="0.25">
      <c r="A5133" s="78">
        <v>46251</v>
      </c>
      <c r="B5133" s="68">
        <v>23</v>
      </c>
      <c r="C5133" s="205" t="s">
        <v>914</v>
      </c>
      <c r="D5133" s="210">
        <v>1</v>
      </c>
      <c r="E5133" s="30">
        <v>30</v>
      </c>
      <c r="F5133" s="30">
        <f t="shared" si="172"/>
        <v>30</v>
      </c>
      <c r="G5133" s="30" t="s">
        <v>9</v>
      </c>
      <c r="J5133" s="30" t="s">
        <v>391</v>
      </c>
    </row>
    <row r="5134" spans="1:10" x14ac:dyDescent="0.25">
      <c r="A5134" s="78">
        <v>46251</v>
      </c>
      <c r="B5134" s="68">
        <v>23</v>
      </c>
      <c r="C5134" s="205" t="s">
        <v>1062</v>
      </c>
      <c r="D5134" s="30">
        <v>2</v>
      </c>
      <c r="E5134" s="30">
        <v>10</v>
      </c>
      <c r="F5134" s="30">
        <f t="shared" si="172"/>
        <v>20</v>
      </c>
      <c r="G5134" s="30" t="s">
        <v>9</v>
      </c>
      <c r="J5134" s="30" t="s">
        <v>391</v>
      </c>
    </row>
    <row r="5135" spans="1:10" x14ac:dyDescent="0.25">
      <c r="A5135" s="78">
        <v>46251</v>
      </c>
      <c r="B5135" s="68">
        <v>24</v>
      </c>
      <c r="C5135" s="205" t="s">
        <v>887</v>
      </c>
      <c r="D5135" s="30">
        <v>1</v>
      </c>
      <c r="E5135" s="30">
        <v>55</v>
      </c>
      <c r="F5135" s="30">
        <f t="shared" si="172"/>
        <v>55</v>
      </c>
      <c r="G5135" s="30" t="s">
        <v>9</v>
      </c>
      <c r="J5135" s="30" t="s">
        <v>391</v>
      </c>
    </row>
    <row r="5136" spans="1:10" x14ac:dyDescent="0.25">
      <c r="A5136" s="78">
        <v>46251</v>
      </c>
      <c r="B5136" s="68">
        <v>24</v>
      </c>
      <c r="C5136" s="205" t="s">
        <v>764</v>
      </c>
      <c r="D5136" s="30">
        <v>1</v>
      </c>
      <c r="E5136" s="30">
        <v>5</v>
      </c>
      <c r="F5136" s="30">
        <f t="shared" si="172"/>
        <v>5</v>
      </c>
      <c r="G5136" s="30" t="s">
        <v>16</v>
      </c>
      <c r="I5136" s="68" t="s">
        <v>1203</v>
      </c>
      <c r="J5136" s="30" t="s">
        <v>391</v>
      </c>
    </row>
    <row r="5137" spans="1:10" x14ac:dyDescent="0.25">
      <c r="A5137" s="78">
        <v>46251</v>
      </c>
      <c r="B5137" s="68">
        <v>25</v>
      </c>
      <c r="C5137" s="205" t="s">
        <v>1284</v>
      </c>
      <c r="D5137" s="30">
        <v>1</v>
      </c>
      <c r="E5137" s="30">
        <v>70</v>
      </c>
      <c r="F5137" s="30">
        <f t="shared" si="172"/>
        <v>70</v>
      </c>
      <c r="G5137" s="30" t="s">
        <v>9</v>
      </c>
      <c r="J5137" s="30" t="s">
        <v>391</v>
      </c>
    </row>
    <row r="5138" spans="1:10" x14ac:dyDescent="0.25">
      <c r="A5138" s="78">
        <v>46251</v>
      </c>
      <c r="B5138" s="68">
        <v>25</v>
      </c>
      <c r="C5138" s="205" t="s">
        <v>1133</v>
      </c>
      <c r="D5138" s="30">
        <v>1</v>
      </c>
      <c r="E5138" s="30">
        <v>20</v>
      </c>
      <c r="F5138" s="30">
        <f t="shared" si="172"/>
        <v>20</v>
      </c>
      <c r="G5138" s="30" t="s">
        <v>9</v>
      </c>
      <c r="J5138" s="30" t="s">
        <v>391</v>
      </c>
    </row>
    <row r="5139" spans="1:10" x14ac:dyDescent="0.25">
      <c r="A5139" s="78">
        <v>46251</v>
      </c>
      <c r="B5139" s="68">
        <v>26</v>
      </c>
      <c r="C5139" s="205" t="s">
        <v>1288</v>
      </c>
      <c r="D5139" s="30">
        <v>2</v>
      </c>
      <c r="E5139" s="30">
        <v>5</v>
      </c>
      <c r="F5139" s="30">
        <f t="shared" si="172"/>
        <v>10</v>
      </c>
      <c r="G5139" s="30" t="s">
        <v>9</v>
      </c>
      <c r="J5139" s="30" t="s">
        <v>391</v>
      </c>
    </row>
    <row r="5140" spans="1:10" x14ac:dyDescent="0.25">
      <c r="A5140" s="78">
        <v>46251</v>
      </c>
      <c r="B5140" s="68">
        <v>24</v>
      </c>
      <c r="C5140" s="33" t="s">
        <v>1311</v>
      </c>
      <c r="D5140" s="30">
        <v>1</v>
      </c>
      <c r="E5140" s="30">
        <v>20</v>
      </c>
      <c r="F5140" s="30">
        <f t="shared" si="171"/>
        <v>20</v>
      </c>
      <c r="G5140" s="30" t="s">
        <v>9</v>
      </c>
      <c r="I5140" s="68" t="s">
        <v>1203</v>
      </c>
      <c r="J5140" s="30" t="s">
        <v>391</v>
      </c>
    </row>
    <row r="5141" spans="1:10" s="199" customFormat="1" ht="31.5" x14ac:dyDescent="0.25">
      <c r="A5141" s="196">
        <v>46251</v>
      </c>
      <c r="B5141" s="197" t="s">
        <v>1245</v>
      </c>
      <c r="C5141" s="198">
        <f>MAX(B5093:B5140)</f>
        <v>26</v>
      </c>
      <c r="D5141" s="197" t="s">
        <v>1246</v>
      </c>
      <c r="E5141" s="199">
        <f ca="1">SUMIF(G5093:G5199,"UPI",F5093:F5140)</f>
        <v>416</v>
      </c>
      <c r="H5141" s="200" t="s">
        <v>1247</v>
      </c>
      <c r="I5141" s="200">
        <f>SUMIF(G5093:G5140, "&lt;&gt;UPI",F5093:F5140)</f>
        <v>782.5</v>
      </c>
    </row>
    <row r="5142" spans="1:10" x14ac:dyDescent="0.25">
      <c r="A5142" s="78">
        <v>46251</v>
      </c>
      <c r="B5142" s="68">
        <v>27</v>
      </c>
      <c r="C5142" s="205" t="s">
        <v>720</v>
      </c>
      <c r="D5142" s="30">
        <v>0.15</v>
      </c>
      <c r="E5142" s="30">
        <v>135</v>
      </c>
      <c r="F5142" s="30">
        <f t="shared" ref="F5142:F5167" si="173">E5142*D5142</f>
        <v>20.25</v>
      </c>
      <c r="G5142" s="30" t="s">
        <v>9</v>
      </c>
      <c r="J5142" s="30" t="s">
        <v>392</v>
      </c>
    </row>
    <row r="5143" spans="1:10" x14ac:dyDescent="0.25">
      <c r="A5143" s="78">
        <v>46251</v>
      </c>
      <c r="B5143" s="68">
        <v>28</v>
      </c>
      <c r="C5143" s="205" t="s">
        <v>1280</v>
      </c>
      <c r="D5143" s="30">
        <v>2</v>
      </c>
      <c r="E5143" s="30">
        <v>10</v>
      </c>
      <c r="F5143" s="30">
        <f t="shared" si="173"/>
        <v>20</v>
      </c>
      <c r="G5143" s="30" t="s">
        <v>9</v>
      </c>
      <c r="J5143" s="30" t="s">
        <v>392</v>
      </c>
    </row>
    <row r="5144" spans="1:10" x14ac:dyDescent="0.25">
      <c r="A5144" s="78">
        <v>46251</v>
      </c>
      <c r="B5144" s="68">
        <v>29</v>
      </c>
      <c r="C5144" s="205" t="s">
        <v>815</v>
      </c>
      <c r="D5144" s="30">
        <v>0.25</v>
      </c>
      <c r="E5144" s="30">
        <v>58</v>
      </c>
      <c r="F5144" s="30">
        <f t="shared" si="173"/>
        <v>14.5</v>
      </c>
      <c r="G5144" s="30" t="s">
        <v>9</v>
      </c>
      <c r="J5144" s="30" t="s">
        <v>392</v>
      </c>
    </row>
    <row r="5145" spans="1:10" x14ac:dyDescent="0.25">
      <c r="A5145" s="78">
        <v>46251</v>
      </c>
      <c r="B5145" s="68">
        <v>30</v>
      </c>
      <c r="C5145" s="205" t="s">
        <v>877</v>
      </c>
      <c r="D5145" s="30">
        <v>1</v>
      </c>
      <c r="E5145" s="30">
        <v>10</v>
      </c>
      <c r="F5145" s="30">
        <f t="shared" si="173"/>
        <v>10</v>
      </c>
      <c r="G5145" s="30" t="s">
        <v>9</v>
      </c>
      <c r="J5145" s="30" t="s">
        <v>392</v>
      </c>
    </row>
    <row r="5146" spans="1:10" x14ac:dyDescent="0.25">
      <c r="A5146" s="78">
        <v>46251</v>
      </c>
      <c r="B5146" s="68">
        <v>30</v>
      </c>
      <c r="C5146" s="205" t="s">
        <v>1260</v>
      </c>
      <c r="D5146" s="30">
        <v>2</v>
      </c>
      <c r="E5146" s="30">
        <v>5</v>
      </c>
      <c r="F5146" s="30">
        <f t="shared" si="173"/>
        <v>10</v>
      </c>
      <c r="G5146" s="30" t="s">
        <v>9</v>
      </c>
      <c r="J5146" s="30" t="s">
        <v>392</v>
      </c>
    </row>
    <row r="5147" spans="1:10" x14ac:dyDescent="0.25">
      <c r="A5147" s="78">
        <v>46251</v>
      </c>
      <c r="B5147" s="68">
        <v>31</v>
      </c>
      <c r="C5147" s="205" t="s">
        <v>1072</v>
      </c>
      <c r="D5147" s="30">
        <v>1</v>
      </c>
      <c r="E5147" s="30">
        <v>45</v>
      </c>
      <c r="F5147" s="30">
        <f t="shared" si="173"/>
        <v>45</v>
      </c>
      <c r="G5147" s="30" t="s">
        <v>9</v>
      </c>
      <c r="J5147" s="30" t="s">
        <v>392</v>
      </c>
    </row>
    <row r="5148" spans="1:10" x14ac:dyDescent="0.25">
      <c r="A5148" s="78">
        <v>46251</v>
      </c>
      <c r="B5148" s="68">
        <v>31</v>
      </c>
      <c r="C5148" s="209" t="s">
        <v>1299</v>
      </c>
      <c r="D5148" s="30">
        <v>2</v>
      </c>
      <c r="E5148" s="30">
        <v>10</v>
      </c>
      <c r="F5148" s="30">
        <f t="shared" si="173"/>
        <v>20</v>
      </c>
      <c r="G5148" s="30" t="s">
        <v>9</v>
      </c>
      <c r="J5148" s="30" t="s">
        <v>392</v>
      </c>
    </row>
    <row r="5149" spans="1:10" x14ac:dyDescent="0.25">
      <c r="A5149" s="78">
        <v>46251</v>
      </c>
      <c r="B5149" s="68">
        <v>31</v>
      </c>
      <c r="C5149" s="205" t="s">
        <v>1311</v>
      </c>
      <c r="D5149" s="30">
        <v>1</v>
      </c>
      <c r="E5149" s="30">
        <v>20</v>
      </c>
      <c r="F5149" s="30">
        <f t="shared" si="173"/>
        <v>20</v>
      </c>
      <c r="G5149" s="30" t="s">
        <v>9</v>
      </c>
      <c r="J5149" s="30" t="s">
        <v>392</v>
      </c>
    </row>
    <row r="5150" spans="1:10" x14ac:dyDescent="0.25">
      <c r="A5150" s="78">
        <v>46251</v>
      </c>
      <c r="B5150" s="68">
        <v>31</v>
      </c>
      <c r="C5150" s="205" t="s">
        <v>1252</v>
      </c>
      <c r="D5150" s="30">
        <v>1</v>
      </c>
      <c r="E5150" s="30">
        <v>5</v>
      </c>
      <c r="F5150" s="30">
        <f t="shared" si="173"/>
        <v>5</v>
      </c>
      <c r="G5150" s="30" t="s">
        <v>9</v>
      </c>
      <c r="J5150" s="30" t="s">
        <v>392</v>
      </c>
    </row>
    <row r="5151" spans="1:10" x14ac:dyDescent="0.25">
      <c r="A5151" s="78">
        <v>46251</v>
      </c>
      <c r="B5151" s="68">
        <v>32</v>
      </c>
      <c r="C5151" s="205" t="s">
        <v>1067</v>
      </c>
      <c r="D5151" s="30">
        <v>1</v>
      </c>
      <c r="E5151" s="30">
        <v>10</v>
      </c>
      <c r="F5151" s="30">
        <f t="shared" si="173"/>
        <v>10</v>
      </c>
      <c r="G5151" s="30" t="s">
        <v>9</v>
      </c>
      <c r="J5151" s="30" t="s">
        <v>392</v>
      </c>
    </row>
    <row r="5152" spans="1:10" x14ac:dyDescent="0.25">
      <c r="A5152" s="78">
        <v>46251</v>
      </c>
      <c r="B5152" s="68">
        <v>33</v>
      </c>
      <c r="C5152" s="205" t="s">
        <v>1259</v>
      </c>
      <c r="D5152" s="30">
        <v>1</v>
      </c>
      <c r="E5152" s="30">
        <v>10</v>
      </c>
      <c r="F5152" s="30">
        <f t="shared" si="173"/>
        <v>10</v>
      </c>
      <c r="G5152" s="30" t="s">
        <v>9</v>
      </c>
      <c r="J5152" s="30" t="s">
        <v>392</v>
      </c>
    </row>
    <row r="5153" spans="1:10" x14ac:dyDescent="0.25">
      <c r="A5153" s="78">
        <v>46251</v>
      </c>
      <c r="B5153" s="68">
        <v>34</v>
      </c>
      <c r="C5153" s="205" t="s">
        <v>1007</v>
      </c>
      <c r="D5153" s="30">
        <v>1</v>
      </c>
      <c r="E5153" s="30">
        <v>35</v>
      </c>
      <c r="F5153" s="30">
        <f t="shared" si="173"/>
        <v>35</v>
      </c>
      <c r="G5153" s="30" t="s">
        <v>10</v>
      </c>
      <c r="J5153" s="30" t="s">
        <v>392</v>
      </c>
    </row>
    <row r="5154" spans="1:10" x14ac:dyDescent="0.25">
      <c r="A5154" s="78">
        <v>46251</v>
      </c>
      <c r="B5154" s="68">
        <v>34</v>
      </c>
      <c r="C5154" s="205" t="s">
        <v>1288</v>
      </c>
      <c r="D5154" s="30">
        <v>2</v>
      </c>
      <c r="E5154" s="30">
        <v>5</v>
      </c>
      <c r="F5154" s="30">
        <f t="shared" si="173"/>
        <v>10</v>
      </c>
      <c r="G5154" s="30" t="s">
        <v>10</v>
      </c>
      <c r="J5154" s="30" t="s">
        <v>392</v>
      </c>
    </row>
    <row r="5155" spans="1:10" x14ac:dyDescent="0.25">
      <c r="A5155" s="78">
        <v>46251</v>
      </c>
      <c r="B5155" s="68">
        <v>34</v>
      </c>
      <c r="C5155" s="205" t="s">
        <v>1253</v>
      </c>
      <c r="D5155" s="30">
        <v>1</v>
      </c>
      <c r="E5155" s="30">
        <v>5</v>
      </c>
      <c r="F5155" s="30">
        <f t="shared" si="173"/>
        <v>5</v>
      </c>
      <c r="G5155" s="30" t="s">
        <v>10</v>
      </c>
      <c r="I5155" s="68" t="s">
        <v>1202</v>
      </c>
      <c r="J5155" s="30" t="s">
        <v>392</v>
      </c>
    </row>
    <row r="5156" spans="1:10" x14ac:dyDescent="0.25">
      <c r="A5156" s="78">
        <v>46251</v>
      </c>
      <c r="B5156" s="68">
        <v>35</v>
      </c>
      <c r="C5156" s="205" t="s">
        <v>1252</v>
      </c>
      <c r="D5156" s="30">
        <v>1</v>
      </c>
      <c r="E5156" s="30">
        <v>5</v>
      </c>
      <c r="F5156" s="30">
        <f t="shared" si="173"/>
        <v>5</v>
      </c>
      <c r="G5156" s="30" t="s">
        <v>16</v>
      </c>
      <c r="J5156" s="30" t="s">
        <v>392</v>
      </c>
    </row>
    <row r="5157" spans="1:10" x14ac:dyDescent="0.25">
      <c r="A5157" s="78">
        <v>46251</v>
      </c>
      <c r="B5157" s="68">
        <v>24</v>
      </c>
      <c r="C5157" s="205" t="s">
        <v>588</v>
      </c>
      <c r="D5157" s="30">
        <v>0.2</v>
      </c>
      <c r="E5157" s="30">
        <v>190</v>
      </c>
      <c r="F5157" s="30">
        <f t="shared" si="173"/>
        <v>38</v>
      </c>
      <c r="G5157" s="30" t="s">
        <v>16</v>
      </c>
      <c r="I5157" s="68" t="s">
        <v>1203</v>
      </c>
      <c r="J5157" s="30" t="s">
        <v>392</v>
      </c>
    </row>
    <row r="5158" spans="1:10" x14ac:dyDescent="0.25">
      <c r="A5158" s="78">
        <v>46251</v>
      </c>
      <c r="B5158" s="68">
        <v>36</v>
      </c>
      <c r="C5158" s="205" t="s">
        <v>503</v>
      </c>
      <c r="D5158" s="30">
        <v>1</v>
      </c>
      <c r="E5158" s="30">
        <v>10</v>
      </c>
      <c r="F5158" s="30">
        <f t="shared" si="173"/>
        <v>10</v>
      </c>
      <c r="G5158" s="30" t="s">
        <v>9</v>
      </c>
      <c r="J5158" s="30" t="s">
        <v>392</v>
      </c>
    </row>
    <row r="5159" spans="1:10" x14ac:dyDescent="0.25">
      <c r="A5159" s="78">
        <v>46251</v>
      </c>
      <c r="B5159" s="68">
        <v>24</v>
      </c>
      <c r="C5159" s="205" t="s">
        <v>1117</v>
      </c>
      <c r="D5159" s="30">
        <v>0.02</v>
      </c>
      <c r="E5159" s="30">
        <v>300</v>
      </c>
      <c r="F5159" s="30">
        <f t="shared" si="173"/>
        <v>6</v>
      </c>
      <c r="G5159" s="30" t="s">
        <v>16</v>
      </c>
      <c r="I5159" s="68" t="s">
        <v>1203</v>
      </c>
      <c r="J5159" s="30" t="s">
        <v>392</v>
      </c>
    </row>
    <row r="5160" spans="1:10" x14ac:dyDescent="0.25">
      <c r="A5160" s="78">
        <v>46251</v>
      </c>
      <c r="B5160" s="68">
        <v>24</v>
      </c>
      <c r="C5160" s="205" t="s">
        <v>1136</v>
      </c>
      <c r="D5160" s="30">
        <v>1</v>
      </c>
      <c r="E5160" s="30">
        <v>10</v>
      </c>
      <c r="F5160" s="30">
        <f t="shared" si="173"/>
        <v>10</v>
      </c>
      <c r="G5160" s="30" t="s">
        <v>16</v>
      </c>
      <c r="I5160" s="68" t="s">
        <v>1203</v>
      </c>
      <c r="J5160" s="30" t="s">
        <v>392</v>
      </c>
    </row>
    <row r="5161" spans="1:10" ht="30" x14ac:dyDescent="0.25">
      <c r="A5161" s="78">
        <v>46251</v>
      </c>
      <c r="B5161" s="68">
        <v>37</v>
      </c>
      <c r="C5161" s="205" t="s">
        <v>601</v>
      </c>
      <c r="D5161" s="30">
        <v>1</v>
      </c>
      <c r="E5161" s="30">
        <v>69</v>
      </c>
      <c r="F5161" s="30">
        <f t="shared" si="173"/>
        <v>69</v>
      </c>
      <c r="G5161" s="30" t="s">
        <v>10</v>
      </c>
      <c r="J5161" s="30" t="s">
        <v>392</v>
      </c>
    </row>
    <row r="5162" spans="1:10" x14ac:dyDescent="0.25">
      <c r="A5162" s="78">
        <v>46251</v>
      </c>
      <c r="B5162" s="68">
        <v>37</v>
      </c>
      <c r="C5162" s="205" t="s">
        <v>721</v>
      </c>
      <c r="D5162" s="30">
        <v>0.05</v>
      </c>
      <c r="E5162" s="30">
        <v>900</v>
      </c>
      <c r="F5162" s="30">
        <f t="shared" si="173"/>
        <v>45</v>
      </c>
      <c r="G5162" s="30" t="s">
        <v>10</v>
      </c>
      <c r="J5162" s="30" t="s">
        <v>392</v>
      </c>
    </row>
    <row r="5163" spans="1:10" x14ac:dyDescent="0.25">
      <c r="A5163" s="78">
        <v>46251</v>
      </c>
      <c r="B5163" s="68">
        <v>37</v>
      </c>
      <c r="C5163" s="205" t="s">
        <v>1107</v>
      </c>
      <c r="D5163" s="30">
        <v>1</v>
      </c>
      <c r="E5163" s="30">
        <v>15</v>
      </c>
      <c r="F5163" s="30">
        <f t="shared" si="173"/>
        <v>15</v>
      </c>
      <c r="G5163" s="30" t="s">
        <v>10</v>
      </c>
      <c r="J5163" s="30" t="s">
        <v>392</v>
      </c>
    </row>
    <row r="5164" spans="1:10" x14ac:dyDescent="0.25">
      <c r="A5164" s="78">
        <v>46251</v>
      </c>
      <c r="B5164" s="68">
        <v>38</v>
      </c>
      <c r="C5164" s="205" t="s">
        <v>1279</v>
      </c>
      <c r="D5164" s="30">
        <v>1</v>
      </c>
      <c r="E5164" s="30">
        <v>20</v>
      </c>
      <c r="F5164" s="30">
        <f t="shared" si="173"/>
        <v>20</v>
      </c>
      <c r="G5164" s="30" t="s">
        <v>9</v>
      </c>
      <c r="J5164" s="30" t="s">
        <v>392</v>
      </c>
    </row>
    <row r="5165" spans="1:10" x14ac:dyDescent="0.25">
      <c r="A5165" s="78">
        <v>46251</v>
      </c>
      <c r="B5165" s="68">
        <v>38</v>
      </c>
      <c r="C5165" s="205" t="s">
        <v>1272</v>
      </c>
      <c r="D5165" s="30">
        <v>1</v>
      </c>
      <c r="E5165" s="30">
        <v>10</v>
      </c>
      <c r="F5165" s="30">
        <f t="shared" si="173"/>
        <v>10</v>
      </c>
      <c r="G5165" s="30" t="s">
        <v>9</v>
      </c>
      <c r="J5165" s="30" t="s">
        <v>392</v>
      </c>
    </row>
    <row r="5166" spans="1:10" x14ac:dyDescent="0.25">
      <c r="A5166" s="78">
        <v>46251</v>
      </c>
      <c r="B5166" s="68">
        <v>39</v>
      </c>
      <c r="C5166" s="205" t="s">
        <v>368</v>
      </c>
      <c r="D5166" s="30">
        <v>1</v>
      </c>
      <c r="E5166" s="30">
        <v>5</v>
      </c>
      <c r="F5166" s="30">
        <f t="shared" si="173"/>
        <v>5</v>
      </c>
      <c r="G5166" s="30" t="s">
        <v>10</v>
      </c>
      <c r="J5166" s="30" t="s">
        <v>392</v>
      </c>
    </row>
    <row r="5167" spans="1:10" x14ac:dyDescent="0.25">
      <c r="A5167" s="78">
        <v>46251</v>
      </c>
      <c r="B5167" s="211">
        <v>39</v>
      </c>
      <c r="C5167" s="205" t="s">
        <v>1263</v>
      </c>
      <c r="D5167" s="30">
        <v>5</v>
      </c>
      <c r="E5167" s="30">
        <v>2</v>
      </c>
      <c r="F5167" s="30">
        <f t="shared" si="173"/>
        <v>10</v>
      </c>
      <c r="G5167" s="30" t="s">
        <v>10</v>
      </c>
      <c r="J5167" s="30" t="s">
        <v>392</v>
      </c>
    </row>
    <row r="5168" spans="1:10" s="199" customFormat="1" ht="31.5" x14ac:dyDescent="0.25">
      <c r="A5168" s="196">
        <v>46251</v>
      </c>
      <c r="B5168" s="197" t="s">
        <v>1248</v>
      </c>
      <c r="C5168" s="198">
        <f>MAX(B5142:B5167)</f>
        <v>39</v>
      </c>
      <c r="D5168" s="197" t="s">
        <v>1249</v>
      </c>
      <c r="E5168" s="199">
        <f>SUMIF(G5142:G5167,"UPI",F5142:F5167)</f>
        <v>194</v>
      </c>
      <c r="H5168" s="200" t="s">
        <v>1251</v>
      </c>
      <c r="I5168" s="200">
        <f>SUMIF(G5142:G5167, "&lt;&gt;UPI",F5142:F5167)</f>
        <v>283.75</v>
      </c>
    </row>
    <row r="5169" spans="1:12" s="5" customFormat="1" ht="15.75" x14ac:dyDescent="0.25">
      <c r="A5169" s="201">
        <v>46251</v>
      </c>
      <c r="B5169" s="2"/>
      <c r="C5169" s="14"/>
      <c r="H5169" s="2" t="s">
        <v>1250</v>
      </c>
      <c r="I5169" s="2">
        <f>SUMIF(G5093:G5167, "&lt;&gt;UPI",F5093:F5167)</f>
        <v>1066.25</v>
      </c>
    </row>
    <row r="5170" spans="1:12" s="202" customFormat="1" ht="18.75" x14ac:dyDescent="0.3">
      <c r="A5170" s="146">
        <v>46251</v>
      </c>
      <c r="B5170" s="147" t="s">
        <v>987</v>
      </c>
      <c r="C5170" s="148">
        <f>MAX(B5093:B5167)</f>
        <v>39</v>
      </c>
      <c r="D5170" s="147" t="s">
        <v>988</v>
      </c>
      <c r="E5170" s="202">
        <f>SUMIF(G5093:G5168,"UPI",F5093:F5168)</f>
        <v>366</v>
      </c>
      <c r="F5170" s="230" t="s">
        <v>437</v>
      </c>
      <c r="G5170" s="230"/>
      <c r="H5170" s="230"/>
      <c r="I5170" s="230">
        <f>SUM(F5093:F5167)</f>
        <v>1432.25</v>
      </c>
      <c r="J5170" s="230"/>
      <c r="K5170" s="230"/>
      <c r="L5170" s="230"/>
    </row>
    <row r="5171" spans="1:12" x14ac:dyDescent="0.25">
      <c r="A5171" s="78">
        <v>46252</v>
      </c>
      <c r="B5171" s="68">
        <v>1</v>
      </c>
      <c r="C5171" s="205" t="s">
        <v>1261</v>
      </c>
      <c r="D5171" s="30">
        <v>1</v>
      </c>
      <c r="E5171" s="30">
        <v>10</v>
      </c>
      <c r="F5171" s="30">
        <f>E5171*D5171</f>
        <v>10</v>
      </c>
      <c r="G5171" s="30" t="s">
        <v>9</v>
      </c>
      <c r="J5171" s="30" t="s">
        <v>391</v>
      </c>
    </row>
    <row r="5172" spans="1:12" x14ac:dyDescent="0.25">
      <c r="A5172" s="78">
        <v>46252</v>
      </c>
      <c r="B5172" s="68">
        <v>1</v>
      </c>
      <c r="C5172" s="205" t="s">
        <v>520</v>
      </c>
      <c r="D5172" s="30">
        <v>1</v>
      </c>
      <c r="E5172" s="30">
        <v>10</v>
      </c>
      <c r="F5172" s="30">
        <f t="shared" ref="F5172:F5199" si="174">E5172*D5172</f>
        <v>10</v>
      </c>
      <c r="G5172" s="30" t="s">
        <v>9</v>
      </c>
      <c r="J5172" s="30" t="s">
        <v>391</v>
      </c>
    </row>
    <row r="5173" spans="1:12" x14ac:dyDescent="0.25">
      <c r="A5173" s="78">
        <v>46252</v>
      </c>
      <c r="B5173" s="68">
        <v>2</v>
      </c>
      <c r="C5173" s="205" t="s">
        <v>524</v>
      </c>
      <c r="D5173" s="30">
        <v>1</v>
      </c>
      <c r="E5173" s="30">
        <v>1</v>
      </c>
      <c r="F5173" s="30">
        <f t="shared" si="174"/>
        <v>1</v>
      </c>
      <c r="G5173" s="30" t="s">
        <v>9</v>
      </c>
      <c r="J5173" s="30" t="s">
        <v>391</v>
      </c>
    </row>
    <row r="5174" spans="1:12" x14ac:dyDescent="0.25">
      <c r="A5174" s="78">
        <v>46252</v>
      </c>
      <c r="B5174" s="68">
        <v>3</v>
      </c>
      <c r="C5174" s="205" t="s">
        <v>811</v>
      </c>
      <c r="D5174" s="30">
        <v>0.125</v>
      </c>
      <c r="E5174" s="30">
        <v>160</v>
      </c>
      <c r="F5174" s="30">
        <f t="shared" si="174"/>
        <v>20</v>
      </c>
      <c r="G5174" s="30" t="s">
        <v>9</v>
      </c>
      <c r="J5174" s="30" t="s">
        <v>391</v>
      </c>
    </row>
    <row r="5175" spans="1:12" x14ac:dyDescent="0.25">
      <c r="A5175" s="78">
        <v>46252</v>
      </c>
      <c r="B5175" s="68">
        <v>4</v>
      </c>
      <c r="C5175" s="19" t="s">
        <v>1299</v>
      </c>
      <c r="D5175" s="30">
        <v>8</v>
      </c>
      <c r="E5175" s="30">
        <v>10</v>
      </c>
      <c r="F5175" s="30">
        <f t="shared" si="174"/>
        <v>80</v>
      </c>
      <c r="G5175" s="30" t="s">
        <v>9</v>
      </c>
      <c r="J5175" s="30" t="s">
        <v>391</v>
      </c>
    </row>
    <row r="5176" spans="1:12" x14ac:dyDescent="0.25">
      <c r="A5176" s="78">
        <v>46252</v>
      </c>
      <c r="B5176" s="68">
        <v>4</v>
      </c>
      <c r="C5176" s="205" t="s">
        <v>1124</v>
      </c>
      <c r="D5176" s="30">
        <v>1</v>
      </c>
      <c r="E5176" s="30">
        <v>10</v>
      </c>
      <c r="F5176" s="30">
        <f t="shared" si="174"/>
        <v>10</v>
      </c>
      <c r="G5176" s="30" t="s">
        <v>9</v>
      </c>
      <c r="J5176" s="30" t="s">
        <v>391</v>
      </c>
    </row>
    <row r="5177" spans="1:12" x14ac:dyDescent="0.25">
      <c r="A5177" s="78">
        <v>46252</v>
      </c>
      <c r="B5177" s="68">
        <v>5</v>
      </c>
      <c r="C5177" s="19" t="s">
        <v>1299</v>
      </c>
      <c r="D5177" s="30">
        <v>4</v>
      </c>
      <c r="E5177" s="30">
        <v>10</v>
      </c>
      <c r="F5177" s="30">
        <f t="shared" si="174"/>
        <v>40</v>
      </c>
      <c r="G5177" s="30" t="s">
        <v>9</v>
      </c>
      <c r="J5177" s="30" t="s">
        <v>391</v>
      </c>
    </row>
    <row r="5178" spans="1:12" x14ac:dyDescent="0.25">
      <c r="A5178" s="78">
        <v>46252</v>
      </c>
      <c r="B5178" s="68">
        <v>6</v>
      </c>
      <c r="C5178" s="207" t="s">
        <v>610</v>
      </c>
      <c r="D5178" s="30">
        <v>4</v>
      </c>
      <c r="E5178" s="30">
        <v>5</v>
      </c>
      <c r="F5178" s="30">
        <f t="shared" si="174"/>
        <v>20</v>
      </c>
      <c r="G5178" s="30" t="s">
        <v>9</v>
      </c>
      <c r="J5178" s="30" t="s">
        <v>391</v>
      </c>
    </row>
    <row r="5179" spans="1:12" x14ac:dyDescent="0.25">
      <c r="A5179" s="78">
        <v>46252</v>
      </c>
      <c r="B5179" s="68">
        <v>6</v>
      </c>
      <c r="C5179" s="205" t="s">
        <v>769</v>
      </c>
      <c r="D5179" s="30">
        <v>1</v>
      </c>
      <c r="E5179" s="30">
        <v>20</v>
      </c>
      <c r="F5179" s="30">
        <f t="shared" si="174"/>
        <v>20</v>
      </c>
      <c r="G5179" s="30" t="s">
        <v>9</v>
      </c>
      <c r="J5179" s="30" t="s">
        <v>391</v>
      </c>
    </row>
    <row r="5180" spans="1:12" x14ac:dyDescent="0.25">
      <c r="A5180" s="78">
        <v>46252</v>
      </c>
      <c r="B5180" s="68">
        <v>6</v>
      </c>
      <c r="C5180" s="205" t="s">
        <v>1126</v>
      </c>
      <c r="D5180" s="30">
        <v>1</v>
      </c>
      <c r="E5180" s="30">
        <v>10</v>
      </c>
      <c r="F5180" s="30">
        <f t="shared" si="174"/>
        <v>10</v>
      </c>
      <c r="G5180" s="30" t="s">
        <v>9</v>
      </c>
      <c r="J5180" s="30" t="s">
        <v>391</v>
      </c>
    </row>
    <row r="5181" spans="1:12" x14ac:dyDescent="0.25">
      <c r="A5181" s="78">
        <v>46252</v>
      </c>
      <c r="B5181" s="68">
        <v>6</v>
      </c>
      <c r="C5181" s="205" t="s">
        <v>843</v>
      </c>
      <c r="D5181" s="30">
        <v>1</v>
      </c>
      <c r="E5181" s="30">
        <v>10</v>
      </c>
      <c r="F5181" s="30">
        <f t="shared" si="174"/>
        <v>10</v>
      </c>
      <c r="G5181" s="30" t="s">
        <v>9</v>
      </c>
      <c r="J5181" s="30" t="s">
        <v>391</v>
      </c>
    </row>
    <row r="5182" spans="1:12" x14ac:dyDescent="0.25">
      <c r="A5182" s="78">
        <v>46252</v>
      </c>
      <c r="B5182" s="68">
        <v>7</v>
      </c>
      <c r="C5182" s="205" t="s">
        <v>917</v>
      </c>
      <c r="D5182" s="30">
        <v>1</v>
      </c>
      <c r="E5182" s="30">
        <v>70</v>
      </c>
      <c r="F5182" s="30">
        <f t="shared" si="174"/>
        <v>70</v>
      </c>
      <c r="G5182" s="30" t="s">
        <v>16</v>
      </c>
      <c r="I5182" s="68" t="s">
        <v>1200</v>
      </c>
      <c r="J5182" s="30" t="s">
        <v>391</v>
      </c>
    </row>
    <row r="5183" spans="1:12" x14ac:dyDescent="0.25">
      <c r="A5183" s="78">
        <v>46252</v>
      </c>
      <c r="B5183" s="68">
        <v>7</v>
      </c>
      <c r="C5183" s="205" t="s">
        <v>734</v>
      </c>
      <c r="D5183" s="30">
        <v>3.8</v>
      </c>
      <c r="E5183" s="30">
        <v>50</v>
      </c>
      <c r="F5183" s="30">
        <f t="shared" si="174"/>
        <v>190</v>
      </c>
      <c r="G5183" s="30" t="s">
        <v>16</v>
      </c>
      <c r="I5183" s="68" t="s">
        <v>1200</v>
      </c>
      <c r="J5183" s="30" t="s">
        <v>391</v>
      </c>
    </row>
    <row r="5184" spans="1:12" x14ac:dyDescent="0.25">
      <c r="A5184" s="78">
        <v>46252</v>
      </c>
      <c r="B5184" s="68">
        <v>8</v>
      </c>
      <c r="C5184" s="204" t="s">
        <v>1141</v>
      </c>
      <c r="D5184" s="30">
        <v>1</v>
      </c>
      <c r="E5184" s="30">
        <v>10</v>
      </c>
      <c r="F5184" s="30">
        <f t="shared" si="174"/>
        <v>10</v>
      </c>
      <c r="G5184" s="30" t="s">
        <v>9</v>
      </c>
      <c r="J5184" s="30" t="s">
        <v>391</v>
      </c>
    </row>
    <row r="5185" spans="1:10" x14ac:dyDescent="0.25">
      <c r="A5185" s="78">
        <v>46252</v>
      </c>
      <c r="B5185" s="68">
        <v>9</v>
      </c>
      <c r="C5185" s="205" t="s">
        <v>783</v>
      </c>
      <c r="D5185" s="30">
        <v>1</v>
      </c>
      <c r="E5185" s="30">
        <v>10</v>
      </c>
      <c r="F5185" s="30">
        <f t="shared" si="174"/>
        <v>10</v>
      </c>
      <c r="G5185" s="30" t="s">
        <v>10</v>
      </c>
      <c r="J5185" s="30" t="s">
        <v>391</v>
      </c>
    </row>
    <row r="5186" spans="1:10" x14ac:dyDescent="0.25">
      <c r="A5186" s="78">
        <v>46252</v>
      </c>
      <c r="B5186" s="68">
        <v>10</v>
      </c>
      <c r="C5186" s="205" t="s">
        <v>533</v>
      </c>
      <c r="D5186" s="30">
        <v>1</v>
      </c>
      <c r="E5186" s="30">
        <v>10</v>
      </c>
      <c r="F5186" s="30">
        <f t="shared" si="174"/>
        <v>10</v>
      </c>
      <c r="G5186" s="30" t="s">
        <v>9</v>
      </c>
      <c r="J5186" s="30" t="s">
        <v>391</v>
      </c>
    </row>
    <row r="5187" spans="1:10" x14ac:dyDescent="0.25">
      <c r="A5187" s="78">
        <v>46252</v>
      </c>
      <c r="B5187" s="68">
        <v>11</v>
      </c>
      <c r="C5187" s="205" t="s">
        <v>524</v>
      </c>
      <c r="D5187" s="30">
        <v>10</v>
      </c>
      <c r="E5187" s="30">
        <v>1</v>
      </c>
      <c r="F5187" s="30">
        <f t="shared" si="174"/>
        <v>10</v>
      </c>
      <c r="G5187" s="30" t="s">
        <v>9</v>
      </c>
      <c r="J5187" s="30" t="s">
        <v>391</v>
      </c>
    </row>
    <row r="5188" spans="1:10" x14ac:dyDescent="0.25">
      <c r="A5188" s="78">
        <v>46252</v>
      </c>
      <c r="B5188" s="68">
        <v>11</v>
      </c>
      <c r="C5188" s="205" t="s">
        <v>753</v>
      </c>
      <c r="D5188" s="30">
        <v>1</v>
      </c>
      <c r="E5188" s="30">
        <v>10</v>
      </c>
      <c r="F5188" s="30">
        <f t="shared" si="174"/>
        <v>10</v>
      </c>
      <c r="G5188" s="30" t="s">
        <v>9</v>
      </c>
      <c r="J5188" s="30" t="s">
        <v>391</v>
      </c>
    </row>
    <row r="5189" spans="1:10" x14ac:dyDescent="0.25">
      <c r="A5189" s="78">
        <v>46252</v>
      </c>
      <c r="B5189" s="68">
        <v>11</v>
      </c>
      <c r="C5189" s="205" t="s">
        <v>877</v>
      </c>
      <c r="D5189" s="30">
        <v>1</v>
      </c>
      <c r="E5189" s="30">
        <v>10</v>
      </c>
      <c r="F5189" s="30">
        <f t="shared" si="174"/>
        <v>10</v>
      </c>
      <c r="G5189" s="30" t="s">
        <v>9</v>
      </c>
      <c r="J5189" s="30" t="s">
        <v>391</v>
      </c>
    </row>
    <row r="5190" spans="1:10" x14ac:dyDescent="0.25">
      <c r="A5190" s="78">
        <v>46252</v>
      </c>
      <c r="B5190" s="68">
        <v>12</v>
      </c>
      <c r="C5190" s="205" t="s">
        <v>1229</v>
      </c>
      <c r="D5190" s="30">
        <v>1</v>
      </c>
      <c r="E5190" s="30">
        <v>40</v>
      </c>
      <c r="F5190" s="30">
        <f t="shared" si="174"/>
        <v>40</v>
      </c>
      <c r="G5190" s="30" t="s">
        <v>9</v>
      </c>
      <c r="J5190" s="30" t="s">
        <v>391</v>
      </c>
    </row>
    <row r="5191" spans="1:10" x14ac:dyDescent="0.25">
      <c r="A5191" s="78">
        <v>46252</v>
      </c>
      <c r="B5191" s="68">
        <v>13</v>
      </c>
      <c r="C5191" s="205" t="s">
        <v>811</v>
      </c>
      <c r="D5191" s="30">
        <v>0.125</v>
      </c>
      <c r="E5191" s="30">
        <v>160</v>
      </c>
      <c r="F5191" s="30">
        <f t="shared" si="174"/>
        <v>20</v>
      </c>
      <c r="G5191" s="30" t="s">
        <v>9</v>
      </c>
      <c r="J5191" s="30" t="s">
        <v>391</v>
      </c>
    </row>
    <row r="5192" spans="1:10" ht="30" x14ac:dyDescent="0.25">
      <c r="A5192" s="78">
        <v>46252</v>
      </c>
      <c r="B5192" s="68">
        <v>14</v>
      </c>
      <c r="C5192" s="205" t="s">
        <v>1183</v>
      </c>
      <c r="D5192" s="30">
        <v>2</v>
      </c>
      <c r="E5192" s="30">
        <v>10</v>
      </c>
      <c r="F5192" s="30">
        <f t="shared" si="174"/>
        <v>20</v>
      </c>
      <c r="G5192" s="30" t="s">
        <v>9</v>
      </c>
      <c r="J5192" s="30" t="s">
        <v>391</v>
      </c>
    </row>
    <row r="5193" spans="1:10" x14ac:dyDescent="0.25">
      <c r="A5193" s="78">
        <v>46252</v>
      </c>
      <c r="B5193" s="68">
        <v>14</v>
      </c>
      <c r="C5193" s="205" t="s">
        <v>1126</v>
      </c>
      <c r="D5193" s="30">
        <v>2</v>
      </c>
      <c r="E5193" s="30">
        <v>10</v>
      </c>
      <c r="F5193" s="30">
        <f t="shared" si="174"/>
        <v>20</v>
      </c>
      <c r="G5193" s="30" t="s">
        <v>9</v>
      </c>
      <c r="J5193" s="30" t="s">
        <v>391</v>
      </c>
    </row>
    <row r="5194" spans="1:10" x14ac:dyDescent="0.25">
      <c r="A5194" s="78">
        <v>46252</v>
      </c>
      <c r="B5194" s="68">
        <v>15</v>
      </c>
      <c r="C5194" s="205" t="s">
        <v>1078</v>
      </c>
      <c r="D5194" s="30">
        <v>1</v>
      </c>
      <c r="E5194" s="30">
        <v>20</v>
      </c>
      <c r="F5194" s="30">
        <f t="shared" si="174"/>
        <v>20</v>
      </c>
      <c r="G5194" s="30" t="s">
        <v>10</v>
      </c>
      <c r="J5194" s="30" t="s">
        <v>391</v>
      </c>
    </row>
    <row r="5195" spans="1:10" x14ac:dyDescent="0.25">
      <c r="A5195" s="78">
        <v>46252</v>
      </c>
      <c r="B5195" s="68">
        <v>9</v>
      </c>
      <c r="C5195" s="205" t="s">
        <v>1279</v>
      </c>
      <c r="D5195" s="30">
        <v>1</v>
      </c>
      <c r="E5195" s="30">
        <v>20</v>
      </c>
      <c r="F5195" s="30">
        <f t="shared" si="174"/>
        <v>20</v>
      </c>
      <c r="G5195" s="30" t="s">
        <v>9</v>
      </c>
      <c r="J5195" s="30" t="s">
        <v>391</v>
      </c>
    </row>
    <row r="5196" spans="1:10" x14ac:dyDescent="0.25">
      <c r="A5196" s="78">
        <v>46252</v>
      </c>
      <c r="B5196" s="68">
        <v>9</v>
      </c>
      <c r="C5196" s="33" t="s">
        <v>1312</v>
      </c>
      <c r="D5196" s="30">
        <v>1</v>
      </c>
      <c r="E5196" s="30">
        <v>20</v>
      </c>
      <c r="F5196" s="30">
        <f t="shared" si="174"/>
        <v>20</v>
      </c>
      <c r="G5196" s="30" t="s">
        <v>9</v>
      </c>
      <c r="J5196" s="30" t="s">
        <v>391</v>
      </c>
    </row>
    <row r="5197" spans="1:10" x14ac:dyDescent="0.25">
      <c r="A5197" s="78">
        <v>46252</v>
      </c>
      <c r="B5197" s="68">
        <v>16</v>
      </c>
      <c r="C5197" s="205" t="s">
        <v>783</v>
      </c>
      <c r="D5197" s="30">
        <v>1</v>
      </c>
      <c r="E5197" s="30">
        <v>10</v>
      </c>
      <c r="F5197" s="30">
        <f t="shared" si="174"/>
        <v>10</v>
      </c>
      <c r="G5197" s="30" t="s">
        <v>9</v>
      </c>
      <c r="J5197" s="30" t="s">
        <v>391</v>
      </c>
    </row>
    <row r="5198" spans="1:10" x14ac:dyDescent="0.25">
      <c r="A5198" s="78">
        <v>46252</v>
      </c>
      <c r="B5198" s="68">
        <v>17</v>
      </c>
      <c r="C5198" s="205" t="s">
        <v>877</v>
      </c>
      <c r="D5198" s="30">
        <v>1</v>
      </c>
      <c r="E5198" s="30">
        <v>10</v>
      </c>
      <c r="F5198" s="30">
        <f t="shared" si="174"/>
        <v>10</v>
      </c>
      <c r="G5198" s="30" t="s">
        <v>10</v>
      </c>
      <c r="J5198" s="30" t="s">
        <v>391</v>
      </c>
    </row>
    <row r="5199" spans="1:10" x14ac:dyDescent="0.25">
      <c r="A5199" s="78">
        <v>46252</v>
      </c>
      <c r="B5199" s="68">
        <v>17</v>
      </c>
      <c r="C5199" s="205" t="s">
        <v>1260</v>
      </c>
      <c r="D5199" s="30">
        <v>2</v>
      </c>
      <c r="E5199" s="30">
        <v>5</v>
      </c>
      <c r="F5199" s="30">
        <f t="shared" si="174"/>
        <v>10</v>
      </c>
      <c r="G5199" s="30" t="s">
        <v>10</v>
      </c>
      <c r="J5199" s="30" t="s">
        <v>391</v>
      </c>
    </row>
    <row r="5200" spans="1:10" s="199" customFormat="1" ht="31.5" x14ac:dyDescent="0.25">
      <c r="A5200" s="196">
        <v>46252</v>
      </c>
      <c r="B5200" s="197" t="s">
        <v>1245</v>
      </c>
      <c r="C5200" s="198">
        <f>MAX(B5171:B5199)</f>
        <v>17</v>
      </c>
      <c r="D5200" s="197" t="s">
        <v>1246</v>
      </c>
      <c r="E5200" s="199">
        <f ca="1">SUMIF(G5171:G5303,"UPI",F5171:F5199)</f>
        <v>405.89</v>
      </c>
      <c r="H5200" s="200" t="s">
        <v>1247</v>
      </c>
      <c r="I5200" s="200">
        <f>SUMIF(G5171:G5199, "&lt;&gt;UPI",F5171:F5199)</f>
        <v>691</v>
      </c>
    </row>
    <row r="5201" spans="1:10" x14ac:dyDescent="0.25">
      <c r="A5201" s="78">
        <v>46252</v>
      </c>
      <c r="B5201" s="68">
        <v>18</v>
      </c>
      <c r="C5201" s="205" t="s">
        <v>1252</v>
      </c>
      <c r="D5201" s="30">
        <v>2</v>
      </c>
      <c r="E5201" s="30">
        <v>5</v>
      </c>
      <c r="F5201" s="30">
        <f>E5201*D5201</f>
        <v>10</v>
      </c>
      <c r="G5201" s="30" t="s">
        <v>9</v>
      </c>
      <c r="J5201" s="30" t="s">
        <v>392</v>
      </c>
    </row>
    <row r="5202" spans="1:10" x14ac:dyDescent="0.25">
      <c r="A5202" s="78">
        <v>46252</v>
      </c>
      <c r="B5202" s="68">
        <v>19</v>
      </c>
      <c r="C5202" s="205" t="s">
        <v>807</v>
      </c>
      <c r="D5202" s="30">
        <v>0.26</v>
      </c>
      <c r="E5202" s="30">
        <v>70</v>
      </c>
      <c r="F5202" s="30">
        <f t="shared" ref="F5202:F5216" si="175">E5202*D5202</f>
        <v>18.2</v>
      </c>
      <c r="G5202" s="30" t="s">
        <v>9</v>
      </c>
      <c r="J5202" s="30" t="s">
        <v>392</v>
      </c>
    </row>
    <row r="5203" spans="1:10" x14ac:dyDescent="0.25">
      <c r="A5203" s="78">
        <v>46252</v>
      </c>
      <c r="B5203" s="68">
        <v>20</v>
      </c>
      <c r="C5203" s="205" t="s">
        <v>877</v>
      </c>
      <c r="D5203" s="30">
        <v>1</v>
      </c>
      <c r="E5203" s="30">
        <v>10</v>
      </c>
      <c r="F5203" s="30">
        <f t="shared" si="175"/>
        <v>10</v>
      </c>
      <c r="G5203" s="30" t="s">
        <v>9</v>
      </c>
      <c r="J5203" s="30" t="s">
        <v>392</v>
      </c>
    </row>
    <row r="5204" spans="1:10" x14ac:dyDescent="0.25">
      <c r="A5204" s="78">
        <v>46252</v>
      </c>
      <c r="B5204" s="68">
        <v>21</v>
      </c>
      <c r="C5204" s="205" t="s">
        <v>1252</v>
      </c>
      <c r="D5204" s="30">
        <v>2</v>
      </c>
      <c r="E5204" s="30">
        <v>5</v>
      </c>
      <c r="F5204" s="30">
        <f t="shared" si="175"/>
        <v>10</v>
      </c>
      <c r="G5204" s="30" t="s">
        <v>9</v>
      </c>
      <c r="J5204" s="30" t="s">
        <v>392</v>
      </c>
    </row>
    <row r="5205" spans="1:10" x14ac:dyDescent="0.25">
      <c r="A5205" s="78">
        <v>46252</v>
      </c>
      <c r="B5205" s="68">
        <v>21</v>
      </c>
      <c r="C5205" s="205" t="s">
        <v>1052</v>
      </c>
      <c r="D5205" s="30">
        <v>1</v>
      </c>
      <c r="E5205" s="30">
        <v>10</v>
      </c>
      <c r="F5205" s="30">
        <f t="shared" si="175"/>
        <v>10</v>
      </c>
      <c r="G5205" s="30" t="s">
        <v>16</v>
      </c>
      <c r="I5205" s="68" t="s">
        <v>1203</v>
      </c>
      <c r="J5205" s="30" t="s">
        <v>392</v>
      </c>
    </row>
    <row r="5206" spans="1:10" x14ac:dyDescent="0.25">
      <c r="A5206" s="78">
        <v>46252</v>
      </c>
      <c r="B5206" s="68">
        <v>22</v>
      </c>
      <c r="C5206" s="205" t="s">
        <v>520</v>
      </c>
      <c r="D5206" s="30">
        <v>1</v>
      </c>
      <c r="E5206" s="30">
        <v>10</v>
      </c>
      <c r="F5206" s="30">
        <f t="shared" si="175"/>
        <v>10</v>
      </c>
      <c r="G5206" s="30" t="s">
        <v>9</v>
      </c>
      <c r="J5206" s="30" t="s">
        <v>392</v>
      </c>
    </row>
    <row r="5207" spans="1:10" x14ac:dyDescent="0.25">
      <c r="A5207" s="78">
        <v>46252</v>
      </c>
      <c r="B5207" s="68">
        <v>23</v>
      </c>
      <c r="C5207" s="205" t="s">
        <v>524</v>
      </c>
      <c r="D5207" s="30">
        <v>10</v>
      </c>
      <c r="E5207" s="30">
        <v>1</v>
      </c>
      <c r="F5207" s="30">
        <f t="shared" si="175"/>
        <v>10</v>
      </c>
      <c r="G5207" s="30" t="s">
        <v>9</v>
      </c>
      <c r="J5207" s="30" t="s">
        <v>392</v>
      </c>
    </row>
    <row r="5208" spans="1:10" ht="30" x14ac:dyDescent="0.25">
      <c r="A5208" s="78">
        <v>46252</v>
      </c>
      <c r="B5208" s="68">
        <v>24</v>
      </c>
      <c r="C5208" s="205" t="s">
        <v>1144</v>
      </c>
      <c r="D5208" s="30">
        <v>2</v>
      </c>
      <c r="E5208" s="30">
        <v>5</v>
      </c>
      <c r="F5208" s="30">
        <f t="shared" si="175"/>
        <v>10</v>
      </c>
      <c r="G5208" s="30" t="s">
        <v>9</v>
      </c>
      <c r="J5208" s="30" t="s">
        <v>392</v>
      </c>
    </row>
    <row r="5209" spans="1:10" x14ac:dyDescent="0.25">
      <c r="A5209" s="78">
        <v>46252</v>
      </c>
      <c r="B5209" s="68">
        <v>24</v>
      </c>
      <c r="C5209" s="205" t="s">
        <v>1258</v>
      </c>
      <c r="D5209" s="30">
        <v>2</v>
      </c>
      <c r="E5209" s="30">
        <v>10</v>
      </c>
      <c r="F5209" s="30">
        <f t="shared" si="175"/>
        <v>20</v>
      </c>
      <c r="G5209" s="30" t="s">
        <v>9</v>
      </c>
      <c r="J5209" s="30" t="s">
        <v>392</v>
      </c>
    </row>
    <row r="5210" spans="1:10" x14ac:dyDescent="0.25">
      <c r="A5210" s="78">
        <v>46252</v>
      </c>
      <c r="B5210" s="68">
        <v>24</v>
      </c>
      <c r="C5210" s="205" t="s">
        <v>1280</v>
      </c>
      <c r="D5210" s="30">
        <v>1</v>
      </c>
      <c r="E5210" s="30">
        <v>10</v>
      </c>
      <c r="F5210" s="30">
        <f t="shared" si="175"/>
        <v>10</v>
      </c>
      <c r="G5210" s="30" t="s">
        <v>9</v>
      </c>
      <c r="J5210" s="30" t="s">
        <v>392</v>
      </c>
    </row>
    <row r="5211" spans="1:10" x14ac:dyDescent="0.25">
      <c r="A5211" s="78">
        <v>46252</v>
      </c>
      <c r="B5211" s="68">
        <v>25</v>
      </c>
      <c r="C5211" s="205" t="s">
        <v>1163</v>
      </c>
      <c r="D5211" s="30">
        <v>1</v>
      </c>
      <c r="E5211" s="30">
        <v>10</v>
      </c>
      <c r="F5211" s="30">
        <f t="shared" si="175"/>
        <v>10</v>
      </c>
      <c r="G5211" s="30" t="s">
        <v>9</v>
      </c>
      <c r="J5211" s="30" t="s">
        <v>392</v>
      </c>
    </row>
    <row r="5212" spans="1:10" x14ac:dyDescent="0.25">
      <c r="A5212" s="78">
        <v>46252</v>
      </c>
      <c r="B5212" s="68">
        <v>26</v>
      </c>
      <c r="C5212" s="205" t="s">
        <v>877</v>
      </c>
      <c r="D5212" s="30">
        <v>5</v>
      </c>
      <c r="E5212" s="30">
        <v>10</v>
      </c>
      <c r="F5212" s="30">
        <f t="shared" si="175"/>
        <v>50</v>
      </c>
      <c r="G5212" s="30" t="s">
        <v>9</v>
      </c>
      <c r="J5212" s="30" t="s">
        <v>392</v>
      </c>
    </row>
    <row r="5213" spans="1:10" x14ac:dyDescent="0.25">
      <c r="A5213" s="78">
        <v>46252</v>
      </c>
      <c r="B5213" s="68">
        <v>27</v>
      </c>
      <c r="C5213" s="205" t="s">
        <v>524</v>
      </c>
      <c r="D5213" s="30">
        <v>10</v>
      </c>
      <c r="E5213" s="30">
        <v>1</v>
      </c>
      <c r="F5213" s="30">
        <f t="shared" si="175"/>
        <v>10</v>
      </c>
      <c r="G5213" s="30" t="s">
        <v>9</v>
      </c>
      <c r="J5213" s="30" t="s">
        <v>392</v>
      </c>
    </row>
    <row r="5214" spans="1:10" x14ac:dyDescent="0.25">
      <c r="A5214" s="78">
        <v>46252</v>
      </c>
      <c r="B5214" s="68">
        <v>28</v>
      </c>
      <c r="C5214" s="205" t="s">
        <v>1283</v>
      </c>
      <c r="D5214" s="30">
        <v>1</v>
      </c>
      <c r="E5214" s="30">
        <v>40</v>
      </c>
      <c r="F5214" s="30">
        <f t="shared" si="175"/>
        <v>40</v>
      </c>
      <c r="G5214" s="30" t="s">
        <v>16</v>
      </c>
      <c r="I5214" s="68" t="s">
        <v>1200</v>
      </c>
    </row>
    <row r="5215" spans="1:10" x14ac:dyDescent="0.25">
      <c r="A5215" s="78">
        <v>46252</v>
      </c>
      <c r="B5215" s="68">
        <v>29</v>
      </c>
      <c r="C5215" s="205" t="s">
        <v>1090</v>
      </c>
      <c r="D5215" s="30">
        <v>4</v>
      </c>
      <c r="E5215" s="30">
        <v>9.5</v>
      </c>
      <c r="F5215" s="30">
        <f t="shared" si="175"/>
        <v>38</v>
      </c>
      <c r="G5215" s="30" t="s">
        <v>9</v>
      </c>
      <c r="J5215" s="30" t="s">
        <v>392</v>
      </c>
    </row>
    <row r="5216" spans="1:10" x14ac:dyDescent="0.25">
      <c r="A5216" s="78">
        <v>46252</v>
      </c>
      <c r="B5216" s="68">
        <v>29</v>
      </c>
      <c r="C5216" s="205" t="s">
        <v>348</v>
      </c>
      <c r="D5216" s="30">
        <v>2</v>
      </c>
      <c r="E5216" s="30">
        <v>1</v>
      </c>
      <c r="F5216" s="30">
        <f t="shared" si="175"/>
        <v>2</v>
      </c>
      <c r="G5216" s="30" t="s">
        <v>9</v>
      </c>
      <c r="J5216" s="30" t="s">
        <v>392</v>
      </c>
    </row>
    <row r="5217" spans="1:12" s="199" customFormat="1" ht="31.5" x14ac:dyDescent="0.25">
      <c r="A5217" s="196">
        <v>46252</v>
      </c>
      <c r="B5217" s="197" t="s">
        <v>1248</v>
      </c>
      <c r="C5217" s="198">
        <f>MAX(B5201:B5216)</f>
        <v>29</v>
      </c>
      <c r="D5217" s="197" t="s">
        <v>1249</v>
      </c>
      <c r="E5217" s="199">
        <f>SUMIF(G5201:G5216,"UPI",F5201:F5216)</f>
        <v>0</v>
      </c>
      <c r="H5217" s="200" t="s">
        <v>1251</v>
      </c>
      <c r="I5217" s="200">
        <f>SUMIF(G5201:G5216, "&lt;&gt;UPI",F5201:F5216)</f>
        <v>268.2</v>
      </c>
    </row>
    <row r="5218" spans="1:12" s="5" customFormat="1" ht="15.75" x14ac:dyDescent="0.25">
      <c r="A5218" s="201">
        <v>46252</v>
      </c>
      <c r="B5218" s="2"/>
      <c r="C5218" s="14"/>
      <c r="H5218" s="2" t="s">
        <v>1250</v>
      </c>
      <c r="I5218" s="2">
        <f>SUMIF(G5171:G5216, "&lt;&gt;UPI",F5171:F5216)</f>
        <v>959.2</v>
      </c>
    </row>
    <row r="5219" spans="1:12" s="202" customFormat="1" ht="18.75" x14ac:dyDescent="0.3">
      <c r="A5219" s="146">
        <v>46252</v>
      </c>
      <c r="B5219" s="147" t="s">
        <v>987</v>
      </c>
      <c r="C5219" s="148">
        <f>MAX(B5171:B5216)</f>
        <v>29</v>
      </c>
      <c r="D5219" s="147" t="s">
        <v>988</v>
      </c>
      <c r="E5219" s="202">
        <f>SUMIF(G5171:G5217,"UPI",F5171:F5217)</f>
        <v>50</v>
      </c>
      <c r="F5219" s="230" t="s">
        <v>437</v>
      </c>
      <c r="G5219" s="230"/>
      <c r="H5219" s="230"/>
      <c r="I5219" s="230">
        <f>SUM(F5171:F5216)</f>
        <v>1009.2</v>
      </c>
      <c r="J5219" s="230"/>
      <c r="K5219" s="230"/>
      <c r="L5219" s="230"/>
    </row>
    <row r="5220" spans="1:12" x14ac:dyDescent="0.25">
      <c r="A5220" s="78">
        <v>46253</v>
      </c>
      <c r="B5220" s="68">
        <v>1</v>
      </c>
      <c r="C5220" s="205" t="s">
        <v>1078</v>
      </c>
      <c r="D5220" s="30">
        <v>1</v>
      </c>
      <c r="E5220" s="30">
        <v>20</v>
      </c>
      <c r="F5220" s="30">
        <f>E5220*D5220</f>
        <v>20</v>
      </c>
      <c r="G5220" s="30" t="s">
        <v>9</v>
      </c>
      <c r="J5220" s="30" t="s">
        <v>391</v>
      </c>
    </row>
    <row r="5221" spans="1:12" x14ac:dyDescent="0.25">
      <c r="A5221" s="78">
        <v>46253</v>
      </c>
      <c r="B5221" s="68">
        <v>2</v>
      </c>
      <c r="C5221" s="205" t="s">
        <v>1078</v>
      </c>
      <c r="D5221" s="30">
        <v>1</v>
      </c>
      <c r="E5221" s="30">
        <v>20</v>
      </c>
      <c r="F5221" s="30">
        <f t="shared" ref="F5221:F5243" si="176">E5221*D5221</f>
        <v>20</v>
      </c>
      <c r="G5221" s="30" t="s">
        <v>9</v>
      </c>
      <c r="J5221" s="30" t="s">
        <v>391</v>
      </c>
    </row>
    <row r="5222" spans="1:12" x14ac:dyDescent="0.25">
      <c r="A5222" s="78">
        <v>46253</v>
      </c>
      <c r="B5222" s="68">
        <v>3</v>
      </c>
      <c r="C5222" s="205" t="s">
        <v>98</v>
      </c>
      <c r="D5222" s="30">
        <v>1</v>
      </c>
      <c r="E5222" s="30">
        <v>20</v>
      </c>
      <c r="F5222" s="30">
        <f t="shared" si="176"/>
        <v>20</v>
      </c>
      <c r="G5222" s="30" t="s">
        <v>9</v>
      </c>
      <c r="J5222" s="30" t="s">
        <v>391</v>
      </c>
    </row>
    <row r="5223" spans="1:12" x14ac:dyDescent="0.25">
      <c r="A5223" s="78">
        <v>46253</v>
      </c>
      <c r="B5223" s="68">
        <v>4</v>
      </c>
      <c r="C5223" s="205" t="s">
        <v>1198</v>
      </c>
      <c r="D5223" s="30">
        <v>1</v>
      </c>
      <c r="E5223" s="30">
        <v>10</v>
      </c>
      <c r="F5223" s="30">
        <f t="shared" si="176"/>
        <v>10</v>
      </c>
      <c r="G5223" s="30" t="s">
        <v>9</v>
      </c>
      <c r="J5223" s="30" t="s">
        <v>391</v>
      </c>
    </row>
    <row r="5224" spans="1:12" x14ac:dyDescent="0.25">
      <c r="A5224" s="78">
        <v>46253</v>
      </c>
      <c r="B5224" s="68">
        <v>4</v>
      </c>
      <c r="C5224" s="205" t="s">
        <v>1133</v>
      </c>
      <c r="D5224" s="30">
        <v>1</v>
      </c>
      <c r="E5224" s="30">
        <v>20</v>
      </c>
      <c r="F5224" s="30">
        <f t="shared" si="176"/>
        <v>20</v>
      </c>
      <c r="G5224" s="30" t="s">
        <v>9</v>
      </c>
      <c r="J5224" s="30" t="s">
        <v>391</v>
      </c>
    </row>
    <row r="5225" spans="1:12" x14ac:dyDescent="0.25">
      <c r="A5225" s="78">
        <v>46253</v>
      </c>
      <c r="B5225" s="68">
        <v>5</v>
      </c>
      <c r="C5225" s="33" t="s">
        <v>1313</v>
      </c>
      <c r="D5225" s="30">
        <v>1</v>
      </c>
      <c r="E5225" s="30">
        <v>20</v>
      </c>
      <c r="F5225" s="30">
        <f t="shared" si="176"/>
        <v>20</v>
      </c>
      <c r="G5225" s="30" t="s">
        <v>10</v>
      </c>
      <c r="J5225" s="30" t="s">
        <v>391</v>
      </c>
    </row>
    <row r="5226" spans="1:12" x14ac:dyDescent="0.25">
      <c r="A5226" s="78">
        <v>46253</v>
      </c>
      <c r="B5226" s="68">
        <v>5</v>
      </c>
      <c r="C5226" s="205" t="s">
        <v>1260</v>
      </c>
      <c r="D5226" s="30">
        <v>2</v>
      </c>
      <c r="E5226" s="30">
        <v>5</v>
      </c>
      <c r="F5226" s="30">
        <f t="shared" si="176"/>
        <v>10</v>
      </c>
      <c r="G5226" s="30" t="s">
        <v>10</v>
      </c>
      <c r="J5226" s="30" t="s">
        <v>391</v>
      </c>
    </row>
    <row r="5227" spans="1:12" x14ac:dyDescent="0.25">
      <c r="A5227" s="78">
        <v>46253</v>
      </c>
      <c r="B5227" s="68">
        <v>5</v>
      </c>
      <c r="C5227" s="205" t="s">
        <v>1052</v>
      </c>
      <c r="D5227" s="30">
        <v>1</v>
      </c>
      <c r="E5227" s="30">
        <v>10</v>
      </c>
      <c r="F5227" s="30">
        <f t="shared" si="176"/>
        <v>10</v>
      </c>
      <c r="G5227" s="30" t="s">
        <v>10</v>
      </c>
      <c r="J5227" s="30" t="s">
        <v>391</v>
      </c>
    </row>
    <row r="5228" spans="1:12" x14ac:dyDescent="0.25">
      <c r="A5228" s="78">
        <v>46253</v>
      </c>
      <c r="B5228" s="68">
        <v>6</v>
      </c>
      <c r="C5228" s="205" t="s">
        <v>1078</v>
      </c>
      <c r="D5228" s="30">
        <v>2</v>
      </c>
      <c r="E5228" s="30">
        <v>20</v>
      </c>
      <c r="F5228" s="30">
        <f t="shared" si="176"/>
        <v>40</v>
      </c>
      <c r="G5228" s="30" t="s">
        <v>9</v>
      </c>
      <c r="J5228" s="30" t="s">
        <v>391</v>
      </c>
    </row>
    <row r="5229" spans="1:12" x14ac:dyDescent="0.25">
      <c r="A5229" s="78">
        <v>46253</v>
      </c>
      <c r="B5229" s="68">
        <v>7</v>
      </c>
      <c r="C5229" s="33" t="s">
        <v>1314</v>
      </c>
      <c r="D5229" s="30">
        <v>1</v>
      </c>
      <c r="E5229" s="30">
        <v>48</v>
      </c>
      <c r="F5229" s="30">
        <f t="shared" si="176"/>
        <v>48</v>
      </c>
      <c r="G5229" s="30" t="s">
        <v>16</v>
      </c>
      <c r="I5229" s="68" t="s">
        <v>1200</v>
      </c>
      <c r="J5229" s="30" t="s">
        <v>391</v>
      </c>
    </row>
    <row r="5230" spans="1:12" x14ac:dyDescent="0.25">
      <c r="A5230" s="78">
        <v>46253</v>
      </c>
      <c r="B5230" s="68">
        <v>8</v>
      </c>
      <c r="C5230" s="205" t="s">
        <v>1089</v>
      </c>
      <c r="D5230" s="30">
        <v>0.5</v>
      </c>
      <c r="E5230" s="30">
        <v>70</v>
      </c>
      <c r="F5230" s="30">
        <f t="shared" si="176"/>
        <v>35</v>
      </c>
      <c r="G5230" s="30" t="s">
        <v>9</v>
      </c>
      <c r="J5230" s="30" t="s">
        <v>391</v>
      </c>
    </row>
    <row r="5231" spans="1:12" x14ac:dyDescent="0.25">
      <c r="A5231" s="78">
        <v>46253</v>
      </c>
      <c r="B5231" s="68">
        <v>9</v>
      </c>
      <c r="C5231" s="205" t="s">
        <v>960</v>
      </c>
      <c r="D5231" s="30">
        <v>4</v>
      </c>
      <c r="E5231" s="30">
        <v>5</v>
      </c>
      <c r="F5231" s="30">
        <f t="shared" si="176"/>
        <v>20</v>
      </c>
      <c r="G5231" s="30" t="s">
        <v>10</v>
      </c>
      <c r="J5231" s="30" t="s">
        <v>391</v>
      </c>
    </row>
    <row r="5232" spans="1:12" x14ac:dyDescent="0.25">
      <c r="A5232" s="78">
        <v>46253</v>
      </c>
      <c r="B5232" s="68">
        <v>9</v>
      </c>
      <c r="C5232" s="205" t="s">
        <v>1253</v>
      </c>
      <c r="D5232" s="30">
        <v>4</v>
      </c>
      <c r="E5232" s="30">
        <v>5</v>
      </c>
      <c r="F5232" s="30">
        <f t="shared" si="176"/>
        <v>20</v>
      </c>
      <c r="G5232" s="30" t="s">
        <v>10</v>
      </c>
      <c r="J5232" s="30" t="s">
        <v>391</v>
      </c>
    </row>
    <row r="5233" spans="1:10" x14ac:dyDescent="0.25">
      <c r="A5233" s="78">
        <v>46253</v>
      </c>
      <c r="B5233" s="68">
        <v>9</v>
      </c>
      <c r="C5233" s="205" t="s">
        <v>1140</v>
      </c>
      <c r="D5233" s="30">
        <v>2</v>
      </c>
      <c r="E5233" s="30">
        <v>5</v>
      </c>
      <c r="F5233" s="30">
        <f t="shared" si="176"/>
        <v>10</v>
      </c>
      <c r="G5233" s="30" t="s">
        <v>10</v>
      </c>
      <c r="J5233" s="30" t="s">
        <v>391</v>
      </c>
    </row>
    <row r="5234" spans="1:10" x14ac:dyDescent="0.25">
      <c r="A5234" s="78">
        <v>46253</v>
      </c>
      <c r="B5234" s="68">
        <v>9</v>
      </c>
      <c r="C5234" s="205" t="s">
        <v>1166</v>
      </c>
      <c r="D5234" s="30">
        <v>10</v>
      </c>
      <c r="E5234" s="30">
        <v>1</v>
      </c>
      <c r="F5234" s="30">
        <f t="shared" si="176"/>
        <v>10</v>
      </c>
      <c r="G5234" s="30" t="s">
        <v>10</v>
      </c>
      <c r="J5234" s="30" t="s">
        <v>391</v>
      </c>
    </row>
    <row r="5235" spans="1:10" x14ac:dyDescent="0.25">
      <c r="A5235" s="78">
        <v>46253</v>
      </c>
      <c r="B5235" s="68">
        <v>10</v>
      </c>
      <c r="C5235" s="33" t="s">
        <v>1315</v>
      </c>
      <c r="D5235" s="30">
        <v>1</v>
      </c>
      <c r="E5235" s="30">
        <v>65</v>
      </c>
      <c r="F5235" s="30">
        <f t="shared" si="176"/>
        <v>65</v>
      </c>
      <c r="G5235" s="30" t="s">
        <v>9</v>
      </c>
      <c r="J5235" s="30" t="s">
        <v>391</v>
      </c>
    </row>
    <row r="5236" spans="1:10" x14ac:dyDescent="0.25">
      <c r="A5236" s="78">
        <v>46253</v>
      </c>
      <c r="B5236" s="68">
        <v>11</v>
      </c>
      <c r="C5236" s="205" t="s">
        <v>135</v>
      </c>
      <c r="D5236" s="30">
        <v>1</v>
      </c>
      <c r="E5236" s="30">
        <v>14</v>
      </c>
      <c r="F5236" s="30">
        <f t="shared" si="176"/>
        <v>14</v>
      </c>
      <c r="G5236" s="30" t="s">
        <v>9</v>
      </c>
      <c r="J5236" s="30" t="s">
        <v>391</v>
      </c>
    </row>
    <row r="5237" spans="1:10" x14ac:dyDescent="0.25">
      <c r="A5237" s="78">
        <v>46253</v>
      </c>
      <c r="B5237" s="68">
        <v>11</v>
      </c>
      <c r="C5237" s="205" t="s">
        <v>1165</v>
      </c>
      <c r="D5237" s="30">
        <v>1</v>
      </c>
      <c r="E5237" s="30">
        <v>1</v>
      </c>
      <c r="F5237" s="30">
        <f t="shared" si="176"/>
        <v>1</v>
      </c>
      <c r="G5237" s="30" t="s">
        <v>9</v>
      </c>
      <c r="J5237" s="30" t="s">
        <v>391</v>
      </c>
    </row>
    <row r="5238" spans="1:10" x14ac:dyDescent="0.25">
      <c r="A5238" s="78">
        <v>46253</v>
      </c>
      <c r="B5238" s="68">
        <v>12</v>
      </c>
      <c r="C5238" s="205" t="s">
        <v>1280</v>
      </c>
      <c r="D5238" s="30">
        <v>2</v>
      </c>
      <c r="E5238" s="30">
        <v>10</v>
      </c>
      <c r="F5238" s="30">
        <f t="shared" si="176"/>
        <v>20</v>
      </c>
      <c r="G5238" s="30" t="s">
        <v>9</v>
      </c>
      <c r="J5238" s="30" t="s">
        <v>391</v>
      </c>
    </row>
    <row r="5239" spans="1:10" x14ac:dyDescent="0.25">
      <c r="A5239" s="78">
        <v>46253</v>
      </c>
      <c r="B5239" s="68">
        <v>13</v>
      </c>
      <c r="C5239" s="19" t="s">
        <v>1299</v>
      </c>
      <c r="D5239" s="30">
        <v>5</v>
      </c>
      <c r="E5239" s="30">
        <v>10</v>
      </c>
      <c r="F5239" s="30">
        <f t="shared" si="176"/>
        <v>50</v>
      </c>
      <c r="G5239" s="30" t="s">
        <v>9</v>
      </c>
      <c r="J5239" s="30" t="s">
        <v>391</v>
      </c>
    </row>
    <row r="5240" spans="1:10" ht="30" x14ac:dyDescent="0.25">
      <c r="A5240" s="78">
        <v>46253</v>
      </c>
      <c r="B5240" s="68">
        <v>13</v>
      </c>
      <c r="C5240" s="205" t="s">
        <v>1286</v>
      </c>
      <c r="D5240" s="30">
        <v>2</v>
      </c>
      <c r="E5240" s="30">
        <v>10</v>
      </c>
      <c r="F5240" s="30">
        <f t="shared" si="176"/>
        <v>20</v>
      </c>
      <c r="G5240" s="30" t="s">
        <v>16</v>
      </c>
      <c r="I5240" s="68" t="s">
        <v>1203</v>
      </c>
      <c r="J5240" s="30" t="s">
        <v>391</v>
      </c>
    </row>
    <row r="5241" spans="1:10" x14ac:dyDescent="0.25">
      <c r="A5241" s="78">
        <v>46253</v>
      </c>
      <c r="B5241" s="68">
        <v>13</v>
      </c>
      <c r="C5241" s="205" t="s">
        <v>1253</v>
      </c>
      <c r="D5241" s="30">
        <v>2</v>
      </c>
      <c r="E5241" s="30">
        <v>5</v>
      </c>
      <c r="F5241" s="30">
        <f t="shared" si="176"/>
        <v>10</v>
      </c>
      <c r="G5241" s="30" t="s">
        <v>16</v>
      </c>
      <c r="I5241" s="68" t="s">
        <v>1203</v>
      </c>
      <c r="J5241" s="30" t="s">
        <v>391</v>
      </c>
    </row>
    <row r="5242" spans="1:10" x14ac:dyDescent="0.25">
      <c r="A5242" s="78">
        <v>46253</v>
      </c>
      <c r="B5242" s="68">
        <v>14</v>
      </c>
      <c r="C5242" s="205" t="s">
        <v>753</v>
      </c>
      <c r="D5242" s="30">
        <v>1</v>
      </c>
      <c r="E5242" s="30">
        <v>10</v>
      </c>
      <c r="F5242" s="30">
        <f t="shared" si="176"/>
        <v>10</v>
      </c>
      <c r="G5242" s="30" t="s">
        <v>9</v>
      </c>
      <c r="J5242" s="30" t="s">
        <v>391</v>
      </c>
    </row>
    <row r="5243" spans="1:10" x14ac:dyDescent="0.25">
      <c r="A5243" s="78">
        <v>46253</v>
      </c>
      <c r="B5243" s="68">
        <v>15</v>
      </c>
      <c r="C5243" s="205" t="s">
        <v>740</v>
      </c>
      <c r="D5243" s="30">
        <v>1</v>
      </c>
      <c r="E5243" s="30">
        <v>10</v>
      </c>
      <c r="F5243" s="30">
        <f t="shared" si="176"/>
        <v>10</v>
      </c>
      <c r="G5243" s="30" t="s">
        <v>9</v>
      </c>
      <c r="J5243" s="30" t="s">
        <v>391</v>
      </c>
    </row>
    <row r="5244" spans="1:10" s="199" customFormat="1" ht="31.5" x14ac:dyDescent="0.25">
      <c r="A5244" s="196">
        <v>46253</v>
      </c>
      <c r="B5244" s="197" t="s">
        <v>1245</v>
      </c>
      <c r="C5244" s="198">
        <f>MAX(B5220:B5243)</f>
        <v>15</v>
      </c>
      <c r="D5244" s="197" t="s">
        <v>1246</v>
      </c>
      <c r="E5244" s="199">
        <f ca="1">SUMIF(G5220:G5408,"UPI",F5220:F5243)</f>
        <v>1165.8899999999999</v>
      </c>
      <c r="H5244" s="200" t="s">
        <v>1247</v>
      </c>
      <c r="I5244" s="200">
        <f>SUMIF(G5220:G5243, "&lt;&gt;UPI",F5220:F5243)</f>
        <v>413</v>
      </c>
    </row>
    <row r="5245" spans="1:10" x14ac:dyDescent="0.25">
      <c r="A5245" s="78">
        <v>46253</v>
      </c>
      <c r="B5245" s="68">
        <v>16</v>
      </c>
      <c r="C5245" s="205" t="s">
        <v>1052</v>
      </c>
      <c r="D5245" s="30">
        <v>1</v>
      </c>
      <c r="E5245" s="30">
        <v>10</v>
      </c>
      <c r="F5245" s="30">
        <f t="shared" ref="F5245:F5298" si="177">E5245*D5245</f>
        <v>10</v>
      </c>
      <c r="G5245" s="30" t="s">
        <v>9</v>
      </c>
      <c r="J5245" s="30" t="s">
        <v>392</v>
      </c>
    </row>
    <row r="5246" spans="1:10" x14ac:dyDescent="0.25">
      <c r="A5246" s="78">
        <v>46253</v>
      </c>
      <c r="B5246" s="68">
        <v>17</v>
      </c>
      <c r="C5246" s="205" t="s">
        <v>747</v>
      </c>
      <c r="D5246" s="30">
        <v>2</v>
      </c>
      <c r="E5246" s="30">
        <v>10</v>
      </c>
      <c r="F5246" s="30">
        <f t="shared" si="177"/>
        <v>20</v>
      </c>
      <c r="G5246" s="30" t="s">
        <v>9</v>
      </c>
      <c r="J5246" s="30" t="s">
        <v>392</v>
      </c>
    </row>
    <row r="5247" spans="1:10" x14ac:dyDescent="0.25">
      <c r="A5247" s="78">
        <v>46253</v>
      </c>
      <c r="B5247" s="68">
        <v>18</v>
      </c>
      <c r="C5247" s="205" t="s">
        <v>783</v>
      </c>
      <c r="D5247" s="30">
        <v>1</v>
      </c>
      <c r="E5247" s="30">
        <v>10</v>
      </c>
      <c r="F5247" s="30">
        <f t="shared" si="177"/>
        <v>10</v>
      </c>
      <c r="G5247" s="30" t="s">
        <v>10</v>
      </c>
      <c r="J5247" s="30" t="s">
        <v>392</v>
      </c>
    </row>
    <row r="5248" spans="1:10" x14ac:dyDescent="0.25">
      <c r="A5248" s="78">
        <v>46253</v>
      </c>
      <c r="B5248" s="68">
        <v>18</v>
      </c>
      <c r="C5248" s="205" t="s">
        <v>783</v>
      </c>
      <c r="D5248" s="30">
        <v>1</v>
      </c>
      <c r="E5248" s="30">
        <v>10</v>
      </c>
      <c r="F5248" s="30">
        <f t="shared" si="177"/>
        <v>10</v>
      </c>
      <c r="G5248" s="30" t="s">
        <v>9</v>
      </c>
      <c r="J5248" s="30" t="s">
        <v>392</v>
      </c>
    </row>
    <row r="5249" spans="1:10" x14ac:dyDescent="0.25">
      <c r="A5249" s="78">
        <v>46253</v>
      </c>
      <c r="B5249" s="68">
        <v>18</v>
      </c>
      <c r="C5249" s="33" t="s">
        <v>1313</v>
      </c>
      <c r="D5249" s="30">
        <v>1</v>
      </c>
      <c r="E5249" s="30">
        <v>20</v>
      </c>
      <c r="F5249" s="30">
        <f t="shared" si="177"/>
        <v>20</v>
      </c>
      <c r="G5249" s="30" t="s">
        <v>9</v>
      </c>
      <c r="J5249" s="30" t="s">
        <v>392</v>
      </c>
    </row>
    <row r="5250" spans="1:10" x14ac:dyDescent="0.25">
      <c r="A5250" s="78">
        <v>46253</v>
      </c>
      <c r="B5250" s="68">
        <v>18</v>
      </c>
      <c r="C5250" s="205" t="s">
        <v>1142</v>
      </c>
      <c r="D5250" s="30">
        <v>2</v>
      </c>
      <c r="E5250" s="30">
        <v>5</v>
      </c>
      <c r="F5250" s="30">
        <f t="shared" si="177"/>
        <v>10</v>
      </c>
      <c r="G5250" s="30" t="s">
        <v>9</v>
      </c>
      <c r="J5250" s="30" t="s">
        <v>392</v>
      </c>
    </row>
    <row r="5251" spans="1:10" ht="30" x14ac:dyDescent="0.25">
      <c r="A5251" s="78">
        <v>46253</v>
      </c>
      <c r="B5251" s="68">
        <v>19</v>
      </c>
      <c r="C5251" s="205" t="s">
        <v>1286</v>
      </c>
      <c r="D5251" s="30">
        <v>2</v>
      </c>
      <c r="E5251" s="30">
        <v>10</v>
      </c>
      <c r="F5251" s="30">
        <f t="shared" si="177"/>
        <v>20</v>
      </c>
      <c r="G5251" s="30" t="s">
        <v>9</v>
      </c>
      <c r="J5251" s="30" t="s">
        <v>392</v>
      </c>
    </row>
    <row r="5252" spans="1:10" x14ac:dyDescent="0.25">
      <c r="A5252" s="78">
        <v>46253</v>
      </c>
      <c r="B5252" s="68">
        <v>19</v>
      </c>
      <c r="C5252" s="205" t="s">
        <v>962</v>
      </c>
      <c r="D5252" s="30">
        <v>2</v>
      </c>
      <c r="E5252" s="30">
        <v>5</v>
      </c>
      <c r="F5252" s="30">
        <f t="shared" si="177"/>
        <v>10</v>
      </c>
      <c r="G5252" s="30" t="s">
        <v>9</v>
      </c>
      <c r="J5252" s="30" t="s">
        <v>392</v>
      </c>
    </row>
    <row r="5253" spans="1:10" x14ac:dyDescent="0.25">
      <c r="A5253" s="78">
        <v>46253</v>
      </c>
      <c r="B5253" s="68">
        <v>19</v>
      </c>
      <c r="C5253" s="205" t="s">
        <v>639</v>
      </c>
      <c r="D5253" s="30">
        <v>5</v>
      </c>
      <c r="E5253" s="30">
        <v>2</v>
      </c>
      <c r="F5253" s="30">
        <f t="shared" si="177"/>
        <v>10</v>
      </c>
      <c r="G5253" s="30" t="s">
        <v>9</v>
      </c>
      <c r="J5253" s="30" t="s">
        <v>392</v>
      </c>
    </row>
    <row r="5254" spans="1:10" x14ac:dyDescent="0.25">
      <c r="A5254" s="78">
        <v>46253</v>
      </c>
      <c r="B5254" s="68">
        <v>20</v>
      </c>
      <c r="C5254" s="205" t="s">
        <v>1279</v>
      </c>
      <c r="D5254" s="30">
        <v>1</v>
      </c>
      <c r="E5254" s="30">
        <v>20</v>
      </c>
      <c r="F5254" s="30">
        <f t="shared" si="177"/>
        <v>20</v>
      </c>
      <c r="G5254" s="30" t="s">
        <v>9</v>
      </c>
      <c r="J5254" s="30" t="s">
        <v>392</v>
      </c>
    </row>
    <row r="5255" spans="1:10" x14ac:dyDescent="0.25">
      <c r="A5255" s="78">
        <v>46253</v>
      </c>
      <c r="B5255" s="68">
        <v>20</v>
      </c>
      <c r="C5255" s="205" t="s">
        <v>1090</v>
      </c>
      <c r="D5255" s="30">
        <v>3</v>
      </c>
      <c r="E5255" s="30">
        <v>10</v>
      </c>
      <c r="F5255" s="30">
        <f t="shared" si="177"/>
        <v>30</v>
      </c>
      <c r="G5255" s="30" t="s">
        <v>9</v>
      </c>
      <c r="J5255" s="30" t="s">
        <v>392</v>
      </c>
    </row>
    <row r="5256" spans="1:10" x14ac:dyDescent="0.25">
      <c r="A5256" s="78">
        <v>46253</v>
      </c>
      <c r="B5256" s="68">
        <v>21</v>
      </c>
      <c r="C5256" s="205" t="s">
        <v>1126</v>
      </c>
      <c r="D5256" s="30">
        <v>1</v>
      </c>
      <c r="E5256" s="30">
        <v>10</v>
      </c>
      <c r="F5256" s="30">
        <f t="shared" si="177"/>
        <v>10</v>
      </c>
      <c r="G5256" s="30" t="s">
        <v>9</v>
      </c>
      <c r="J5256" s="30" t="s">
        <v>392</v>
      </c>
    </row>
    <row r="5257" spans="1:10" x14ac:dyDescent="0.25">
      <c r="A5257" s="78">
        <v>46253</v>
      </c>
      <c r="B5257" s="68">
        <v>22</v>
      </c>
      <c r="C5257" s="205" t="s">
        <v>877</v>
      </c>
      <c r="D5257" s="30">
        <v>1</v>
      </c>
      <c r="E5257" s="30">
        <v>10</v>
      </c>
      <c r="F5257" s="30">
        <f t="shared" si="177"/>
        <v>10</v>
      </c>
      <c r="G5257" s="30" t="s">
        <v>9</v>
      </c>
      <c r="J5257" s="30" t="s">
        <v>392</v>
      </c>
    </row>
    <row r="5258" spans="1:10" x14ac:dyDescent="0.25">
      <c r="A5258" s="78">
        <v>46253</v>
      </c>
      <c r="B5258" s="68">
        <v>23</v>
      </c>
      <c r="C5258" s="205" t="s">
        <v>520</v>
      </c>
      <c r="D5258" s="30">
        <v>1</v>
      </c>
      <c r="E5258" s="30">
        <v>10</v>
      </c>
      <c r="F5258" s="30">
        <f t="shared" si="177"/>
        <v>10</v>
      </c>
      <c r="G5258" s="30" t="s">
        <v>9</v>
      </c>
      <c r="J5258" s="30" t="s">
        <v>392</v>
      </c>
    </row>
    <row r="5259" spans="1:10" x14ac:dyDescent="0.25">
      <c r="A5259" s="78">
        <v>46253</v>
      </c>
      <c r="B5259" s="68">
        <v>23</v>
      </c>
      <c r="C5259" s="205" t="s">
        <v>1124</v>
      </c>
      <c r="D5259" s="30">
        <v>2</v>
      </c>
      <c r="E5259" s="30">
        <v>10</v>
      </c>
      <c r="F5259" s="30">
        <f t="shared" si="177"/>
        <v>20</v>
      </c>
      <c r="G5259" s="30" t="s">
        <v>9</v>
      </c>
      <c r="J5259" s="30" t="s">
        <v>392</v>
      </c>
    </row>
    <row r="5260" spans="1:10" x14ac:dyDescent="0.25">
      <c r="A5260" s="78">
        <v>46253</v>
      </c>
      <c r="B5260" s="68">
        <v>23</v>
      </c>
      <c r="C5260" s="205" t="s">
        <v>1229</v>
      </c>
      <c r="D5260" s="30">
        <v>1</v>
      </c>
      <c r="E5260" s="30">
        <v>40</v>
      </c>
      <c r="F5260" s="30">
        <f t="shared" si="177"/>
        <v>40</v>
      </c>
      <c r="G5260" s="30" t="s">
        <v>9</v>
      </c>
      <c r="J5260" s="30" t="s">
        <v>392</v>
      </c>
    </row>
    <row r="5261" spans="1:10" x14ac:dyDescent="0.25">
      <c r="A5261" s="78">
        <v>46253</v>
      </c>
      <c r="B5261" s="68">
        <v>23</v>
      </c>
      <c r="C5261" s="205" t="s">
        <v>66</v>
      </c>
      <c r="D5261" s="30">
        <v>1</v>
      </c>
      <c r="E5261" s="30">
        <v>10</v>
      </c>
      <c r="F5261" s="30">
        <f t="shared" si="177"/>
        <v>10</v>
      </c>
      <c r="G5261" s="30" t="s">
        <v>9</v>
      </c>
      <c r="J5261" s="30" t="s">
        <v>392</v>
      </c>
    </row>
    <row r="5262" spans="1:10" x14ac:dyDescent="0.25">
      <c r="A5262" s="78">
        <v>46253</v>
      </c>
      <c r="B5262" s="68">
        <v>23</v>
      </c>
      <c r="C5262" s="205" t="s">
        <v>1067</v>
      </c>
      <c r="D5262" s="30">
        <v>1</v>
      </c>
      <c r="E5262" s="30">
        <v>10</v>
      </c>
      <c r="F5262" s="30">
        <f t="shared" si="177"/>
        <v>10</v>
      </c>
      <c r="G5262" s="30" t="s">
        <v>9</v>
      </c>
      <c r="J5262" s="30" t="s">
        <v>392</v>
      </c>
    </row>
    <row r="5263" spans="1:10" x14ac:dyDescent="0.25">
      <c r="A5263" s="78">
        <v>46253</v>
      </c>
      <c r="B5263" s="68">
        <v>24</v>
      </c>
      <c r="C5263" s="205" t="s">
        <v>348</v>
      </c>
      <c r="D5263" s="30">
        <v>5</v>
      </c>
      <c r="E5263" s="30">
        <v>1</v>
      </c>
      <c r="F5263" s="30">
        <f t="shared" si="177"/>
        <v>5</v>
      </c>
      <c r="G5263" s="30" t="s">
        <v>9</v>
      </c>
      <c r="J5263" s="30" t="s">
        <v>392</v>
      </c>
    </row>
    <row r="5264" spans="1:10" x14ac:dyDescent="0.25">
      <c r="A5264" s="78">
        <v>46253</v>
      </c>
      <c r="B5264" s="68">
        <v>24</v>
      </c>
      <c r="C5264" s="205" t="s">
        <v>1262</v>
      </c>
      <c r="D5264" s="30">
        <v>1</v>
      </c>
      <c r="E5264" s="30">
        <v>5</v>
      </c>
      <c r="F5264" s="30">
        <f t="shared" si="177"/>
        <v>5</v>
      </c>
      <c r="G5264" s="30" t="s">
        <v>9</v>
      </c>
      <c r="J5264" s="30" t="s">
        <v>392</v>
      </c>
    </row>
    <row r="5265" spans="1:10" x14ac:dyDescent="0.25">
      <c r="A5265" s="78">
        <v>46253</v>
      </c>
      <c r="B5265" s="68">
        <v>24</v>
      </c>
      <c r="C5265" s="205" t="s">
        <v>1316</v>
      </c>
      <c r="D5265" s="30">
        <v>1</v>
      </c>
      <c r="E5265" s="30">
        <v>10</v>
      </c>
      <c r="F5265" s="30">
        <f t="shared" si="177"/>
        <v>10</v>
      </c>
      <c r="G5265" s="30" t="s">
        <v>9</v>
      </c>
      <c r="J5265" s="30" t="s">
        <v>392</v>
      </c>
    </row>
    <row r="5266" spans="1:10" x14ac:dyDescent="0.25">
      <c r="A5266" s="78">
        <v>46253</v>
      </c>
      <c r="B5266" s="68">
        <v>25</v>
      </c>
      <c r="C5266" s="205" t="s">
        <v>1059</v>
      </c>
      <c r="D5266" s="30">
        <v>1</v>
      </c>
      <c r="E5266" s="30">
        <v>10</v>
      </c>
      <c r="F5266" s="30">
        <f t="shared" si="177"/>
        <v>10</v>
      </c>
      <c r="G5266" s="30" t="s">
        <v>9</v>
      </c>
      <c r="J5266" s="30" t="s">
        <v>392</v>
      </c>
    </row>
    <row r="5267" spans="1:10" x14ac:dyDescent="0.25">
      <c r="A5267" s="78">
        <v>46253</v>
      </c>
      <c r="B5267" s="68">
        <v>25</v>
      </c>
      <c r="C5267" s="205" t="s">
        <v>1136</v>
      </c>
      <c r="D5267" s="30">
        <v>1</v>
      </c>
      <c r="E5267" s="30">
        <v>10</v>
      </c>
      <c r="F5267" s="30">
        <f t="shared" si="177"/>
        <v>10</v>
      </c>
      <c r="G5267" s="30" t="s">
        <v>9</v>
      </c>
      <c r="J5267" s="30" t="s">
        <v>392</v>
      </c>
    </row>
    <row r="5268" spans="1:10" x14ac:dyDescent="0.25">
      <c r="A5268" s="78">
        <v>46253</v>
      </c>
      <c r="B5268" s="68">
        <v>26</v>
      </c>
      <c r="C5268" s="205" t="s">
        <v>55</v>
      </c>
      <c r="D5268" s="30">
        <v>25</v>
      </c>
      <c r="E5268" s="30">
        <v>1</v>
      </c>
      <c r="F5268" s="30">
        <f t="shared" si="177"/>
        <v>25</v>
      </c>
      <c r="G5268" s="30" t="s">
        <v>9</v>
      </c>
      <c r="J5268" s="30" t="s">
        <v>392</v>
      </c>
    </row>
    <row r="5269" spans="1:10" x14ac:dyDescent="0.25">
      <c r="A5269" s="78">
        <v>46253</v>
      </c>
      <c r="B5269" s="68">
        <v>26</v>
      </c>
      <c r="C5269" s="205" t="s">
        <v>784</v>
      </c>
      <c r="D5269" s="30">
        <v>25</v>
      </c>
      <c r="E5269" s="30">
        <v>1</v>
      </c>
      <c r="F5269" s="30">
        <f t="shared" si="177"/>
        <v>25</v>
      </c>
      <c r="G5269" s="30" t="s">
        <v>9</v>
      </c>
      <c r="J5269" s="30" t="s">
        <v>392</v>
      </c>
    </row>
    <row r="5270" spans="1:10" x14ac:dyDescent="0.25">
      <c r="A5270" s="78">
        <v>46253</v>
      </c>
      <c r="B5270" s="68">
        <v>26</v>
      </c>
      <c r="C5270" s="205" t="s">
        <v>1165</v>
      </c>
      <c r="D5270" s="30">
        <v>5</v>
      </c>
      <c r="E5270" s="30">
        <v>1</v>
      </c>
      <c r="F5270" s="30">
        <f t="shared" si="177"/>
        <v>5</v>
      </c>
      <c r="G5270" s="30" t="s">
        <v>9</v>
      </c>
      <c r="J5270" s="30" t="s">
        <v>392</v>
      </c>
    </row>
    <row r="5271" spans="1:10" x14ac:dyDescent="0.25">
      <c r="A5271" s="78">
        <v>46253</v>
      </c>
      <c r="B5271" s="68">
        <v>13</v>
      </c>
      <c r="C5271" s="205" t="s">
        <v>1067</v>
      </c>
      <c r="D5271" s="30">
        <v>1</v>
      </c>
      <c r="E5271" s="30">
        <v>10</v>
      </c>
      <c r="F5271" s="30">
        <f t="shared" si="177"/>
        <v>10</v>
      </c>
      <c r="G5271" s="30" t="s">
        <v>16</v>
      </c>
      <c r="I5271" s="68" t="s">
        <v>1203</v>
      </c>
      <c r="J5271" s="30" t="s">
        <v>392</v>
      </c>
    </row>
    <row r="5272" spans="1:10" x14ac:dyDescent="0.25">
      <c r="A5272" s="78">
        <v>46253</v>
      </c>
      <c r="B5272" s="68">
        <v>19</v>
      </c>
      <c r="C5272" s="205" t="s">
        <v>1259</v>
      </c>
      <c r="D5272" s="30">
        <v>1</v>
      </c>
      <c r="E5272" s="30">
        <v>10</v>
      </c>
      <c r="F5272" s="30">
        <f t="shared" si="177"/>
        <v>10</v>
      </c>
      <c r="G5272" s="30" t="s">
        <v>9</v>
      </c>
      <c r="J5272" s="30" t="s">
        <v>392</v>
      </c>
    </row>
    <row r="5273" spans="1:10" x14ac:dyDescent="0.25">
      <c r="A5273" s="78">
        <v>46253</v>
      </c>
      <c r="B5273" s="68">
        <v>27</v>
      </c>
      <c r="C5273" s="205" t="s">
        <v>1285</v>
      </c>
      <c r="D5273" s="30">
        <v>1</v>
      </c>
      <c r="E5273" s="30">
        <v>60</v>
      </c>
      <c r="F5273" s="30">
        <f t="shared" si="177"/>
        <v>60</v>
      </c>
      <c r="G5273" s="30" t="s">
        <v>9</v>
      </c>
      <c r="J5273" s="30" t="s">
        <v>392</v>
      </c>
    </row>
    <row r="5274" spans="1:10" x14ac:dyDescent="0.25">
      <c r="A5274" s="78">
        <v>46253</v>
      </c>
      <c r="B5274" s="68">
        <v>28</v>
      </c>
      <c r="C5274" s="205" t="s">
        <v>1254</v>
      </c>
      <c r="D5274" s="30">
        <v>1</v>
      </c>
      <c r="E5274" s="30">
        <v>10</v>
      </c>
      <c r="F5274" s="30">
        <f t="shared" si="177"/>
        <v>10</v>
      </c>
      <c r="G5274" s="30" t="s">
        <v>9</v>
      </c>
      <c r="J5274" s="30" t="s">
        <v>392</v>
      </c>
    </row>
    <row r="5275" spans="1:10" x14ac:dyDescent="0.25">
      <c r="A5275" s="78">
        <v>46253</v>
      </c>
      <c r="B5275" s="68">
        <v>29</v>
      </c>
      <c r="C5275" s="205" t="s">
        <v>1198</v>
      </c>
      <c r="D5275" s="30">
        <v>1</v>
      </c>
      <c r="E5275" s="30">
        <v>10</v>
      </c>
      <c r="F5275" s="30">
        <f t="shared" si="177"/>
        <v>10</v>
      </c>
      <c r="G5275" s="30" t="s">
        <v>9</v>
      </c>
      <c r="J5275" s="30" t="s">
        <v>392</v>
      </c>
    </row>
    <row r="5276" spans="1:10" x14ac:dyDescent="0.25">
      <c r="A5276" s="78">
        <v>46253</v>
      </c>
      <c r="B5276" s="68">
        <v>30</v>
      </c>
      <c r="C5276" s="205" t="s">
        <v>99</v>
      </c>
      <c r="D5276" s="30">
        <v>1</v>
      </c>
      <c r="E5276" s="30">
        <v>10</v>
      </c>
      <c r="F5276" s="30">
        <f t="shared" si="177"/>
        <v>10</v>
      </c>
      <c r="G5276" s="30" t="s">
        <v>9</v>
      </c>
      <c r="J5276" s="30" t="s">
        <v>392</v>
      </c>
    </row>
    <row r="5277" spans="1:10" x14ac:dyDescent="0.25">
      <c r="A5277" s="78">
        <v>46253</v>
      </c>
      <c r="B5277" s="68">
        <v>30</v>
      </c>
      <c r="C5277" s="205" t="s">
        <v>655</v>
      </c>
      <c r="D5277" s="30">
        <v>1</v>
      </c>
      <c r="E5277" s="30">
        <v>15</v>
      </c>
      <c r="F5277" s="30">
        <f t="shared" si="177"/>
        <v>15</v>
      </c>
      <c r="G5277" s="30" t="s">
        <v>9</v>
      </c>
      <c r="J5277" s="30" t="s">
        <v>392</v>
      </c>
    </row>
    <row r="5278" spans="1:10" x14ac:dyDescent="0.25">
      <c r="A5278" s="78">
        <v>46253</v>
      </c>
      <c r="B5278" s="68">
        <v>30</v>
      </c>
      <c r="C5278" s="205" t="s">
        <v>1138</v>
      </c>
      <c r="D5278" s="30">
        <v>1</v>
      </c>
      <c r="E5278" s="30">
        <v>5</v>
      </c>
      <c r="F5278" s="30">
        <f t="shared" si="177"/>
        <v>5</v>
      </c>
      <c r="G5278" s="30" t="s">
        <v>9</v>
      </c>
      <c r="J5278" s="30" t="s">
        <v>392</v>
      </c>
    </row>
    <row r="5279" spans="1:10" x14ac:dyDescent="0.25">
      <c r="A5279" s="78">
        <v>46253</v>
      </c>
      <c r="B5279" s="68">
        <v>31</v>
      </c>
      <c r="C5279" s="205" t="s">
        <v>1090</v>
      </c>
      <c r="D5279" s="30">
        <v>2</v>
      </c>
      <c r="E5279" s="30">
        <v>10</v>
      </c>
      <c r="F5279" s="30">
        <f t="shared" si="177"/>
        <v>20</v>
      </c>
      <c r="G5279" s="30" t="s">
        <v>10</v>
      </c>
      <c r="J5279" s="30" t="s">
        <v>392</v>
      </c>
    </row>
    <row r="5280" spans="1:10" x14ac:dyDescent="0.25">
      <c r="A5280" s="78">
        <v>46253</v>
      </c>
      <c r="B5280" s="68">
        <v>31</v>
      </c>
      <c r="C5280" s="205" t="s">
        <v>1198</v>
      </c>
      <c r="D5280" s="30">
        <v>2</v>
      </c>
      <c r="E5280" s="30">
        <v>10</v>
      </c>
      <c r="F5280" s="30">
        <f t="shared" si="177"/>
        <v>20</v>
      </c>
      <c r="G5280" s="30" t="s">
        <v>10</v>
      </c>
      <c r="J5280" s="30" t="s">
        <v>392</v>
      </c>
    </row>
    <row r="5281" spans="1:10" x14ac:dyDescent="0.25">
      <c r="A5281" s="78">
        <v>46253</v>
      </c>
      <c r="B5281" s="68">
        <v>31</v>
      </c>
      <c r="C5281" s="205" t="s">
        <v>971</v>
      </c>
      <c r="D5281" s="30">
        <v>1</v>
      </c>
      <c r="E5281" s="30">
        <v>10</v>
      </c>
      <c r="F5281" s="30">
        <f t="shared" si="177"/>
        <v>10</v>
      </c>
      <c r="G5281" s="30" t="s">
        <v>10</v>
      </c>
      <c r="J5281" s="30" t="s">
        <v>392</v>
      </c>
    </row>
    <row r="5282" spans="1:10" x14ac:dyDescent="0.25">
      <c r="A5282" s="78">
        <v>46253</v>
      </c>
      <c r="B5282" s="68">
        <v>31</v>
      </c>
      <c r="C5282" s="205" t="s">
        <v>1318</v>
      </c>
      <c r="D5282" s="30">
        <v>1</v>
      </c>
      <c r="E5282" s="30">
        <v>65</v>
      </c>
      <c r="F5282" s="30">
        <f t="shared" si="177"/>
        <v>65</v>
      </c>
      <c r="G5282" s="30" t="s">
        <v>10</v>
      </c>
      <c r="J5282" s="30" t="s">
        <v>392</v>
      </c>
    </row>
    <row r="5283" spans="1:10" x14ac:dyDescent="0.25">
      <c r="A5283" s="78">
        <v>46253</v>
      </c>
      <c r="B5283" s="68">
        <v>31</v>
      </c>
      <c r="C5283" s="205" t="s">
        <v>1313</v>
      </c>
      <c r="D5283" s="30">
        <v>1</v>
      </c>
      <c r="E5283" s="30">
        <v>20</v>
      </c>
      <c r="F5283" s="30">
        <f t="shared" si="177"/>
        <v>20</v>
      </c>
      <c r="G5283" s="30" t="s">
        <v>10</v>
      </c>
      <c r="J5283" s="30" t="s">
        <v>392</v>
      </c>
    </row>
    <row r="5284" spans="1:10" x14ac:dyDescent="0.25">
      <c r="A5284" s="78">
        <v>46253</v>
      </c>
      <c r="B5284" s="68">
        <v>31</v>
      </c>
      <c r="C5284" s="205" t="s">
        <v>1231</v>
      </c>
      <c r="D5284" s="30">
        <v>0.4</v>
      </c>
      <c r="E5284" s="30">
        <v>25</v>
      </c>
      <c r="F5284" s="30">
        <f t="shared" si="177"/>
        <v>10</v>
      </c>
      <c r="G5284" s="30" t="s">
        <v>10</v>
      </c>
      <c r="J5284" s="30" t="s">
        <v>392</v>
      </c>
    </row>
    <row r="5285" spans="1:10" x14ac:dyDescent="0.25">
      <c r="A5285" s="78">
        <v>46253</v>
      </c>
      <c r="B5285" s="68">
        <v>32</v>
      </c>
      <c r="C5285" s="205" t="s">
        <v>740</v>
      </c>
      <c r="D5285" s="30">
        <v>2</v>
      </c>
      <c r="E5285" s="30">
        <v>10</v>
      </c>
      <c r="F5285" s="30">
        <f t="shared" si="177"/>
        <v>20</v>
      </c>
      <c r="G5285" s="30" t="s">
        <v>9</v>
      </c>
      <c r="J5285" s="30" t="s">
        <v>392</v>
      </c>
    </row>
    <row r="5286" spans="1:10" x14ac:dyDescent="0.25">
      <c r="A5286" s="78">
        <v>46253</v>
      </c>
      <c r="B5286" s="68">
        <v>32</v>
      </c>
      <c r="C5286" s="205" t="s">
        <v>1142</v>
      </c>
      <c r="D5286" s="30">
        <v>2</v>
      </c>
      <c r="E5286" s="30">
        <v>5</v>
      </c>
      <c r="F5286" s="30">
        <f t="shared" si="177"/>
        <v>10</v>
      </c>
      <c r="G5286" s="30" t="s">
        <v>9</v>
      </c>
      <c r="J5286" s="30" t="s">
        <v>392</v>
      </c>
    </row>
    <row r="5287" spans="1:10" x14ac:dyDescent="0.25">
      <c r="A5287" s="78">
        <v>46253</v>
      </c>
      <c r="B5287" s="68">
        <v>33</v>
      </c>
      <c r="C5287" s="205" t="s">
        <v>1198</v>
      </c>
      <c r="D5287" s="30">
        <v>1</v>
      </c>
      <c r="E5287" s="30">
        <v>10</v>
      </c>
      <c r="F5287" s="30">
        <f t="shared" si="177"/>
        <v>10</v>
      </c>
      <c r="G5287" s="30" t="s">
        <v>9</v>
      </c>
      <c r="J5287" s="30" t="s">
        <v>392</v>
      </c>
    </row>
    <row r="5288" spans="1:10" x14ac:dyDescent="0.25">
      <c r="A5288" s="78">
        <v>46253</v>
      </c>
      <c r="B5288" s="68">
        <v>34</v>
      </c>
      <c r="C5288" s="205" t="s">
        <v>720</v>
      </c>
      <c r="D5288" s="30">
        <v>0.3</v>
      </c>
      <c r="E5288" s="30">
        <v>135</v>
      </c>
      <c r="F5288" s="30">
        <f t="shared" si="177"/>
        <v>40.5</v>
      </c>
      <c r="G5288" s="30" t="s">
        <v>9</v>
      </c>
      <c r="J5288" s="30" t="s">
        <v>392</v>
      </c>
    </row>
    <row r="5289" spans="1:10" ht="30" x14ac:dyDescent="0.25">
      <c r="A5289" s="78">
        <v>46253</v>
      </c>
      <c r="B5289" s="68">
        <v>34</v>
      </c>
      <c r="C5289" s="205" t="s">
        <v>1144</v>
      </c>
      <c r="D5289" s="30">
        <v>1</v>
      </c>
      <c r="E5289" s="30">
        <v>5</v>
      </c>
      <c r="F5289" s="30">
        <f t="shared" si="177"/>
        <v>5</v>
      </c>
      <c r="G5289" s="30" t="s">
        <v>9</v>
      </c>
      <c r="J5289" s="30" t="s">
        <v>392</v>
      </c>
    </row>
    <row r="5290" spans="1:10" x14ac:dyDescent="0.25">
      <c r="A5290" s="78">
        <v>46253</v>
      </c>
      <c r="B5290" s="68">
        <v>34</v>
      </c>
      <c r="C5290" s="205" t="s">
        <v>1158</v>
      </c>
      <c r="D5290" s="30">
        <v>1</v>
      </c>
      <c r="E5290" s="30">
        <v>30</v>
      </c>
      <c r="F5290" s="30">
        <f t="shared" si="177"/>
        <v>30</v>
      </c>
      <c r="G5290" s="30" t="s">
        <v>9</v>
      </c>
      <c r="J5290" s="30" t="s">
        <v>392</v>
      </c>
    </row>
    <row r="5291" spans="1:10" x14ac:dyDescent="0.25">
      <c r="A5291" s="78">
        <v>46253</v>
      </c>
      <c r="B5291" s="68">
        <v>34</v>
      </c>
      <c r="C5291" s="19" t="s">
        <v>1299</v>
      </c>
      <c r="D5291" s="30">
        <v>5</v>
      </c>
      <c r="E5291" s="30">
        <v>10</v>
      </c>
      <c r="F5291" s="30">
        <f t="shared" si="177"/>
        <v>50</v>
      </c>
      <c r="G5291" s="30" t="s">
        <v>9</v>
      </c>
      <c r="J5291" s="30" t="s">
        <v>392</v>
      </c>
    </row>
    <row r="5292" spans="1:10" x14ac:dyDescent="0.25">
      <c r="A5292" s="78">
        <v>46253</v>
      </c>
      <c r="B5292" s="68">
        <v>34</v>
      </c>
      <c r="C5292" s="205" t="s">
        <v>1142</v>
      </c>
      <c r="D5292" s="30">
        <v>1</v>
      </c>
      <c r="E5292" s="30">
        <v>5</v>
      </c>
      <c r="F5292" s="30">
        <f t="shared" si="177"/>
        <v>5</v>
      </c>
      <c r="G5292" s="30" t="s">
        <v>9</v>
      </c>
      <c r="J5292" s="30" t="s">
        <v>392</v>
      </c>
    </row>
    <row r="5293" spans="1:10" x14ac:dyDescent="0.25">
      <c r="A5293" s="78">
        <v>46253</v>
      </c>
      <c r="B5293" s="68">
        <v>35</v>
      </c>
      <c r="C5293" s="205" t="s">
        <v>720</v>
      </c>
      <c r="D5293" s="30">
        <v>0.15</v>
      </c>
      <c r="E5293" s="30">
        <v>135</v>
      </c>
      <c r="F5293" s="30">
        <f t="shared" si="177"/>
        <v>20.25</v>
      </c>
      <c r="G5293" s="30" t="s">
        <v>10</v>
      </c>
      <c r="J5293" s="30" t="s">
        <v>392</v>
      </c>
    </row>
    <row r="5294" spans="1:10" x14ac:dyDescent="0.25">
      <c r="A5294" s="78">
        <v>46253</v>
      </c>
      <c r="B5294" s="68">
        <v>35</v>
      </c>
      <c r="C5294" s="205" t="s">
        <v>503</v>
      </c>
      <c r="D5294" s="30">
        <v>1</v>
      </c>
      <c r="E5294" s="30">
        <v>10</v>
      </c>
      <c r="F5294" s="30">
        <f t="shared" si="177"/>
        <v>10</v>
      </c>
      <c r="G5294" s="30" t="s">
        <v>10</v>
      </c>
      <c r="J5294" s="30" t="s">
        <v>392</v>
      </c>
    </row>
    <row r="5295" spans="1:10" x14ac:dyDescent="0.25">
      <c r="A5295" s="78">
        <v>46253</v>
      </c>
      <c r="B5295" s="68">
        <v>35</v>
      </c>
      <c r="C5295" s="205" t="s">
        <v>649</v>
      </c>
      <c r="D5295" s="30">
        <v>2</v>
      </c>
      <c r="E5295" s="30">
        <v>5</v>
      </c>
      <c r="F5295" s="30">
        <f t="shared" si="177"/>
        <v>10</v>
      </c>
      <c r="G5295" s="30" t="s">
        <v>10</v>
      </c>
      <c r="J5295" s="30" t="s">
        <v>392</v>
      </c>
    </row>
    <row r="5296" spans="1:10" x14ac:dyDescent="0.25">
      <c r="A5296" s="78">
        <v>46253</v>
      </c>
      <c r="B5296" s="68">
        <v>36</v>
      </c>
      <c r="C5296" s="205" t="s">
        <v>1059</v>
      </c>
      <c r="D5296" s="30">
        <v>1</v>
      </c>
      <c r="E5296" s="30">
        <v>10</v>
      </c>
      <c r="F5296" s="30">
        <f t="shared" si="177"/>
        <v>10</v>
      </c>
      <c r="G5296" s="30" t="s">
        <v>9</v>
      </c>
      <c r="J5296" s="30" t="s">
        <v>392</v>
      </c>
    </row>
    <row r="5297" spans="1:12" x14ac:dyDescent="0.25">
      <c r="A5297" s="78">
        <v>46253</v>
      </c>
      <c r="B5297" s="68">
        <v>36</v>
      </c>
      <c r="C5297" s="204" t="s">
        <v>970</v>
      </c>
      <c r="D5297" s="30">
        <v>1</v>
      </c>
      <c r="E5297" s="30">
        <v>10</v>
      </c>
      <c r="F5297" s="30">
        <f t="shared" si="177"/>
        <v>10</v>
      </c>
      <c r="G5297" s="30" t="s">
        <v>9</v>
      </c>
      <c r="J5297" s="30" t="s">
        <v>392</v>
      </c>
    </row>
    <row r="5298" spans="1:12" x14ac:dyDescent="0.25">
      <c r="A5298" s="78">
        <v>46253</v>
      </c>
      <c r="B5298" s="68">
        <v>36</v>
      </c>
      <c r="C5298" s="33" t="s">
        <v>1319</v>
      </c>
      <c r="D5298" s="30">
        <v>1</v>
      </c>
      <c r="E5298" s="30">
        <v>10</v>
      </c>
      <c r="F5298" s="30">
        <f t="shared" si="177"/>
        <v>10</v>
      </c>
      <c r="G5298" s="30" t="s">
        <v>9</v>
      </c>
      <c r="J5298" s="30" t="s">
        <v>392</v>
      </c>
    </row>
    <row r="5299" spans="1:12" s="199" customFormat="1" ht="31.5" x14ac:dyDescent="0.25">
      <c r="A5299" s="196">
        <v>46253</v>
      </c>
      <c r="B5299" s="197" t="s">
        <v>1248</v>
      </c>
      <c r="C5299" s="198">
        <f>MAX(B5245:B5298)</f>
        <v>36</v>
      </c>
      <c r="D5299" s="197" t="s">
        <v>1249</v>
      </c>
      <c r="E5299" s="199">
        <f>SUMIF(G5245:G5298,"UPI",F5245:F5298)</f>
        <v>195.25</v>
      </c>
      <c r="H5299" s="200" t="s">
        <v>1251</v>
      </c>
      <c r="I5299" s="200">
        <f>SUMIF(G5245:G5298, "&lt;&gt;UPI",F5245:F5298)</f>
        <v>695.5</v>
      </c>
    </row>
    <row r="5300" spans="1:12" s="5" customFormat="1" ht="15.75" x14ac:dyDescent="0.25">
      <c r="A5300" s="201">
        <v>46253</v>
      </c>
      <c r="B5300" s="2"/>
      <c r="C5300" s="14"/>
      <c r="H5300" s="2" t="s">
        <v>1250</v>
      </c>
      <c r="I5300" s="2">
        <f>SUMIF(G5220:G5298, "&lt;&gt;UPI",F5220:F5298)</f>
        <v>1108.5</v>
      </c>
    </row>
    <row r="5301" spans="1:12" s="202" customFormat="1" ht="18.75" x14ac:dyDescent="0.3">
      <c r="A5301" s="146">
        <v>46253</v>
      </c>
      <c r="B5301" s="147" t="s">
        <v>987</v>
      </c>
      <c r="C5301" s="148">
        <f>MAX(B5220:B5298)</f>
        <v>36</v>
      </c>
      <c r="D5301" s="147" t="s">
        <v>988</v>
      </c>
      <c r="E5301" s="202">
        <f>SUMIF(G5220:G5299,"UPI",F5220:F5299)</f>
        <v>295.25</v>
      </c>
      <c r="F5301" s="230" t="s">
        <v>437</v>
      </c>
      <c r="G5301" s="230"/>
      <c r="H5301" s="230"/>
      <c r="I5301" s="230">
        <f>SUM(F5220:F5298)</f>
        <v>1403.75</v>
      </c>
      <c r="J5301" s="230"/>
      <c r="K5301" s="230"/>
      <c r="L5301" s="230"/>
    </row>
    <row r="5302" spans="1:12" x14ac:dyDescent="0.25">
      <c r="A5302" s="78">
        <v>46254</v>
      </c>
      <c r="B5302" s="68">
        <v>1</v>
      </c>
      <c r="C5302" s="205" t="s">
        <v>1234</v>
      </c>
      <c r="D5302" s="30">
        <v>0.34399999999999997</v>
      </c>
      <c r="E5302" s="30">
        <v>60</v>
      </c>
      <c r="F5302" s="30">
        <f>E5302*D5302</f>
        <v>20.639999999999997</v>
      </c>
      <c r="G5302" s="30" t="s">
        <v>10</v>
      </c>
      <c r="J5302" s="30" t="s">
        <v>391</v>
      </c>
    </row>
    <row r="5303" spans="1:12" x14ac:dyDescent="0.25">
      <c r="A5303" s="78">
        <v>46254</v>
      </c>
      <c r="B5303" s="68">
        <v>1</v>
      </c>
      <c r="C5303" s="205" t="s">
        <v>1137</v>
      </c>
      <c r="D5303" s="30">
        <v>1</v>
      </c>
      <c r="E5303" s="30">
        <v>40</v>
      </c>
      <c r="F5303" s="30">
        <f t="shared" ref="F5303:F5332" si="178">E5303*D5303</f>
        <v>40</v>
      </c>
      <c r="G5303" s="30" t="s">
        <v>10</v>
      </c>
      <c r="J5303" s="30" t="s">
        <v>391</v>
      </c>
    </row>
    <row r="5304" spans="1:12" x14ac:dyDescent="0.25">
      <c r="A5304" s="78">
        <v>46254</v>
      </c>
      <c r="B5304" s="68">
        <v>1</v>
      </c>
      <c r="C5304" s="209" t="s">
        <v>1299</v>
      </c>
      <c r="D5304" s="30">
        <v>4</v>
      </c>
      <c r="E5304" s="30">
        <v>10</v>
      </c>
      <c r="F5304" s="30">
        <f t="shared" si="178"/>
        <v>40</v>
      </c>
      <c r="G5304" s="30" t="s">
        <v>10</v>
      </c>
      <c r="J5304" s="30" t="s">
        <v>391</v>
      </c>
    </row>
    <row r="5305" spans="1:12" x14ac:dyDescent="0.25">
      <c r="A5305" s="78">
        <v>46254</v>
      </c>
      <c r="B5305" s="68">
        <v>2</v>
      </c>
      <c r="C5305" s="205" t="s">
        <v>964</v>
      </c>
      <c r="D5305" s="30">
        <v>1</v>
      </c>
      <c r="E5305" s="30">
        <v>10</v>
      </c>
      <c r="F5305" s="30">
        <f t="shared" si="178"/>
        <v>10</v>
      </c>
      <c r="G5305" s="30" t="s">
        <v>9</v>
      </c>
      <c r="J5305" s="30" t="s">
        <v>391</v>
      </c>
    </row>
    <row r="5306" spans="1:12" x14ac:dyDescent="0.25">
      <c r="A5306" s="78">
        <v>46254</v>
      </c>
      <c r="B5306" s="68">
        <v>2</v>
      </c>
      <c r="C5306" s="205" t="s">
        <v>1320</v>
      </c>
      <c r="D5306" s="30">
        <v>1</v>
      </c>
      <c r="E5306" s="30">
        <v>10</v>
      </c>
      <c r="F5306" s="30">
        <f t="shared" si="178"/>
        <v>10</v>
      </c>
      <c r="G5306" s="30" t="s">
        <v>9</v>
      </c>
      <c r="J5306" s="30" t="s">
        <v>391</v>
      </c>
    </row>
    <row r="5307" spans="1:12" x14ac:dyDescent="0.25">
      <c r="A5307" s="78">
        <v>46254</v>
      </c>
      <c r="B5307" s="68">
        <v>3</v>
      </c>
      <c r="C5307" s="205" t="s">
        <v>1243</v>
      </c>
      <c r="D5307" s="30">
        <v>3</v>
      </c>
      <c r="E5307" s="30">
        <v>10</v>
      </c>
      <c r="F5307" s="30">
        <f t="shared" si="178"/>
        <v>30</v>
      </c>
      <c r="G5307" s="30" t="s">
        <v>16</v>
      </c>
      <c r="I5307" s="68" t="s">
        <v>1200</v>
      </c>
      <c r="J5307" s="30" t="s">
        <v>391</v>
      </c>
    </row>
    <row r="5308" spans="1:12" x14ac:dyDescent="0.25">
      <c r="A5308" s="78">
        <v>46254</v>
      </c>
      <c r="B5308" s="68">
        <v>4</v>
      </c>
      <c r="C5308" s="205" t="s">
        <v>960</v>
      </c>
      <c r="D5308" s="30">
        <v>2</v>
      </c>
      <c r="E5308" s="30">
        <v>5</v>
      </c>
      <c r="F5308" s="30">
        <f t="shared" si="178"/>
        <v>10</v>
      </c>
      <c r="G5308" s="30" t="s">
        <v>16</v>
      </c>
      <c r="I5308" s="68" t="s">
        <v>1202</v>
      </c>
      <c r="J5308" s="30" t="s">
        <v>391</v>
      </c>
    </row>
    <row r="5309" spans="1:12" x14ac:dyDescent="0.25">
      <c r="A5309" s="78">
        <v>46254</v>
      </c>
      <c r="B5309" s="68">
        <v>5</v>
      </c>
      <c r="C5309" s="205" t="s">
        <v>1233</v>
      </c>
      <c r="D5309" s="30">
        <v>1</v>
      </c>
      <c r="E5309" s="30">
        <v>45</v>
      </c>
      <c r="F5309" s="30">
        <f t="shared" si="178"/>
        <v>45</v>
      </c>
      <c r="G5309" s="30" t="s">
        <v>10</v>
      </c>
      <c r="J5309" s="30" t="s">
        <v>391</v>
      </c>
    </row>
    <row r="5310" spans="1:12" x14ac:dyDescent="0.25">
      <c r="A5310" s="78">
        <v>46254</v>
      </c>
      <c r="B5310" s="68">
        <v>6</v>
      </c>
      <c r="C5310" s="205" t="s">
        <v>1262</v>
      </c>
      <c r="D5310" s="30">
        <v>2</v>
      </c>
      <c r="E5310" s="30">
        <v>5</v>
      </c>
      <c r="F5310" s="30">
        <f t="shared" si="178"/>
        <v>10</v>
      </c>
      <c r="G5310" s="30" t="s">
        <v>9</v>
      </c>
      <c r="J5310" s="30" t="s">
        <v>391</v>
      </c>
    </row>
    <row r="5311" spans="1:12" x14ac:dyDescent="0.25">
      <c r="A5311" s="78">
        <v>46254</v>
      </c>
      <c r="B5311" s="68">
        <v>7</v>
      </c>
      <c r="C5311" s="205" t="s">
        <v>877</v>
      </c>
      <c r="D5311" s="30">
        <v>1</v>
      </c>
      <c r="E5311" s="30">
        <v>10</v>
      </c>
      <c r="F5311" s="30">
        <f t="shared" si="178"/>
        <v>10</v>
      </c>
      <c r="G5311" s="30" t="s">
        <v>9</v>
      </c>
      <c r="J5311" s="30" t="s">
        <v>391</v>
      </c>
    </row>
    <row r="5312" spans="1:12" x14ac:dyDescent="0.25">
      <c r="A5312" s="78">
        <v>46254</v>
      </c>
      <c r="B5312" s="68">
        <v>8</v>
      </c>
      <c r="C5312" s="205" t="s">
        <v>912</v>
      </c>
      <c r="D5312" s="30">
        <v>1</v>
      </c>
      <c r="E5312" s="30">
        <v>10</v>
      </c>
      <c r="F5312" s="30">
        <f t="shared" si="178"/>
        <v>10</v>
      </c>
      <c r="G5312" s="30" t="s">
        <v>9</v>
      </c>
      <c r="J5312" s="30" t="s">
        <v>391</v>
      </c>
    </row>
    <row r="5313" spans="1:10" x14ac:dyDescent="0.25">
      <c r="A5313" s="78">
        <v>46254</v>
      </c>
      <c r="B5313" s="68">
        <v>9</v>
      </c>
      <c r="C5313" s="205" t="s">
        <v>1141</v>
      </c>
      <c r="D5313" s="30">
        <v>1</v>
      </c>
      <c r="E5313" s="30">
        <v>10</v>
      </c>
      <c r="F5313" s="30">
        <f t="shared" si="178"/>
        <v>10</v>
      </c>
      <c r="G5313" s="30" t="s">
        <v>9</v>
      </c>
      <c r="J5313" s="30" t="s">
        <v>391</v>
      </c>
    </row>
    <row r="5314" spans="1:10" x14ac:dyDescent="0.25">
      <c r="A5314" s="78">
        <v>46254</v>
      </c>
      <c r="B5314" s="68">
        <v>10</v>
      </c>
      <c r="C5314" s="205" t="s">
        <v>891</v>
      </c>
      <c r="D5314" s="30">
        <v>5</v>
      </c>
      <c r="E5314" s="30">
        <v>1</v>
      </c>
      <c r="F5314" s="30">
        <f t="shared" si="178"/>
        <v>5</v>
      </c>
      <c r="G5314" s="30" t="s">
        <v>9</v>
      </c>
      <c r="J5314" s="30" t="s">
        <v>391</v>
      </c>
    </row>
    <row r="5315" spans="1:10" ht="30" x14ac:dyDescent="0.25">
      <c r="A5315" s="78">
        <v>46254</v>
      </c>
      <c r="B5315" s="68">
        <v>11</v>
      </c>
      <c r="C5315" s="204" t="s">
        <v>1232</v>
      </c>
      <c r="D5315" s="30">
        <v>2</v>
      </c>
      <c r="E5315" s="30">
        <v>45</v>
      </c>
      <c r="F5315" s="30">
        <f t="shared" si="178"/>
        <v>90</v>
      </c>
      <c r="G5315" s="30" t="s">
        <v>9</v>
      </c>
      <c r="I5315" s="68" t="s">
        <v>1021</v>
      </c>
      <c r="J5315" s="30" t="s">
        <v>391</v>
      </c>
    </row>
    <row r="5316" spans="1:10" x14ac:dyDescent="0.25">
      <c r="A5316" s="78">
        <v>46254</v>
      </c>
      <c r="B5316" s="68">
        <v>12</v>
      </c>
      <c r="C5316" s="205" t="s">
        <v>750</v>
      </c>
      <c r="D5316" s="30">
        <v>1</v>
      </c>
      <c r="E5316" s="30">
        <v>50</v>
      </c>
      <c r="F5316" s="30">
        <f t="shared" si="178"/>
        <v>50</v>
      </c>
      <c r="G5316" s="30" t="s">
        <v>10</v>
      </c>
      <c r="J5316" s="30" t="s">
        <v>391</v>
      </c>
    </row>
    <row r="5317" spans="1:10" x14ac:dyDescent="0.25">
      <c r="A5317" s="78">
        <v>46254</v>
      </c>
      <c r="B5317" s="68">
        <v>12</v>
      </c>
      <c r="C5317" s="205" t="s">
        <v>971</v>
      </c>
      <c r="D5317" s="30">
        <v>1</v>
      </c>
      <c r="E5317" s="30">
        <v>10</v>
      </c>
      <c r="F5317" s="30">
        <f t="shared" si="178"/>
        <v>10</v>
      </c>
      <c r="G5317" s="30" t="s">
        <v>10</v>
      </c>
      <c r="J5317" s="30" t="s">
        <v>391</v>
      </c>
    </row>
    <row r="5318" spans="1:10" x14ac:dyDescent="0.25">
      <c r="A5318" s="78">
        <v>46254</v>
      </c>
      <c r="B5318" s="68">
        <v>13</v>
      </c>
      <c r="C5318" s="205" t="s">
        <v>1280</v>
      </c>
      <c r="D5318" s="30">
        <v>1</v>
      </c>
      <c r="E5318" s="30">
        <v>10</v>
      </c>
      <c r="F5318" s="30">
        <f t="shared" si="178"/>
        <v>10</v>
      </c>
      <c r="G5318" s="30" t="s">
        <v>9</v>
      </c>
      <c r="J5318" s="30" t="s">
        <v>391</v>
      </c>
    </row>
    <row r="5319" spans="1:10" x14ac:dyDescent="0.25">
      <c r="A5319" s="78">
        <v>46254</v>
      </c>
      <c r="B5319" s="68">
        <v>14</v>
      </c>
      <c r="C5319" s="209" t="s">
        <v>1299</v>
      </c>
      <c r="D5319" s="30">
        <v>4</v>
      </c>
      <c r="E5319" s="30">
        <v>10</v>
      </c>
      <c r="F5319" s="30">
        <f t="shared" si="178"/>
        <v>40</v>
      </c>
      <c r="G5319" s="30" t="s">
        <v>9</v>
      </c>
      <c r="J5319" s="30" t="s">
        <v>391</v>
      </c>
    </row>
    <row r="5320" spans="1:10" x14ac:dyDescent="0.25">
      <c r="A5320" s="78">
        <v>46254</v>
      </c>
      <c r="B5320" s="68">
        <v>14</v>
      </c>
      <c r="C5320" s="205" t="s">
        <v>1231</v>
      </c>
      <c r="D5320" s="30">
        <v>1</v>
      </c>
      <c r="E5320" s="30">
        <v>25</v>
      </c>
      <c r="F5320" s="30">
        <f t="shared" si="178"/>
        <v>25</v>
      </c>
      <c r="G5320" s="30" t="s">
        <v>9</v>
      </c>
      <c r="J5320" s="30" t="s">
        <v>391</v>
      </c>
    </row>
    <row r="5321" spans="1:10" x14ac:dyDescent="0.25">
      <c r="A5321" s="78">
        <v>46254</v>
      </c>
      <c r="B5321" s="68">
        <v>14</v>
      </c>
      <c r="C5321" s="205" t="s">
        <v>1164</v>
      </c>
      <c r="D5321" s="30">
        <v>1</v>
      </c>
      <c r="E5321" s="30">
        <v>30</v>
      </c>
      <c r="F5321" s="30">
        <f t="shared" si="178"/>
        <v>30</v>
      </c>
      <c r="G5321" s="30" t="s">
        <v>9</v>
      </c>
      <c r="J5321" s="30" t="s">
        <v>391</v>
      </c>
    </row>
    <row r="5322" spans="1:10" x14ac:dyDescent="0.25">
      <c r="A5322" s="78">
        <v>46254</v>
      </c>
      <c r="B5322" s="68">
        <v>15</v>
      </c>
      <c r="C5322" s="205" t="s">
        <v>948</v>
      </c>
      <c r="D5322" s="30">
        <v>1</v>
      </c>
      <c r="E5322" s="30">
        <v>205</v>
      </c>
      <c r="F5322" s="30">
        <f t="shared" si="178"/>
        <v>205</v>
      </c>
      <c r="G5322" s="30" t="s">
        <v>9</v>
      </c>
      <c r="J5322" s="30" t="s">
        <v>391</v>
      </c>
    </row>
    <row r="5323" spans="1:10" x14ac:dyDescent="0.25">
      <c r="A5323" s="78">
        <v>46254</v>
      </c>
      <c r="B5323" s="68">
        <v>15</v>
      </c>
      <c r="C5323" s="205" t="s">
        <v>1321</v>
      </c>
      <c r="D5323" s="30">
        <v>1</v>
      </c>
      <c r="E5323" s="30">
        <v>5</v>
      </c>
      <c r="F5323" s="30">
        <f t="shared" si="178"/>
        <v>5</v>
      </c>
      <c r="G5323" s="30" t="s">
        <v>9</v>
      </c>
      <c r="J5323" s="30" t="s">
        <v>391</v>
      </c>
    </row>
    <row r="5324" spans="1:10" x14ac:dyDescent="0.25">
      <c r="A5324" s="78">
        <v>46254</v>
      </c>
      <c r="B5324" s="68">
        <v>15</v>
      </c>
      <c r="C5324" s="205" t="s">
        <v>1026</v>
      </c>
      <c r="D5324" s="30">
        <v>0.2</v>
      </c>
      <c r="E5324" s="30">
        <v>200</v>
      </c>
      <c r="F5324" s="30">
        <f t="shared" si="178"/>
        <v>40</v>
      </c>
      <c r="G5324" s="30" t="s">
        <v>9</v>
      </c>
      <c r="J5324" s="30" t="s">
        <v>391</v>
      </c>
    </row>
    <row r="5325" spans="1:10" x14ac:dyDescent="0.25">
      <c r="A5325" s="78">
        <v>46254</v>
      </c>
      <c r="B5325" s="68">
        <v>16</v>
      </c>
      <c r="C5325" s="205" t="s">
        <v>1078</v>
      </c>
      <c r="D5325" s="30">
        <v>1</v>
      </c>
      <c r="E5325" s="30">
        <v>20</v>
      </c>
      <c r="F5325" s="30">
        <f t="shared" si="178"/>
        <v>20</v>
      </c>
      <c r="G5325" s="30" t="s">
        <v>9</v>
      </c>
      <c r="J5325" s="30" t="s">
        <v>391</v>
      </c>
    </row>
    <row r="5326" spans="1:10" ht="30" x14ac:dyDescent="0.25">
      <c r="A5326" s="78">
        <v>46254</v>
      </c>
      <c r="B5326" s="68">
        <v>17</v>
      </c>
      <c r="C5326" s="205" t="s">
        <v>818</v>
      </c>
      <c r="D5326" s="30">
        <v>5</v>
      </c>
      <c r="E5326" s="30">
        <v>1</v>
      </c>
      <c r="F5326" s="30">
        <f t="shared" si="178"/>
        <v>5</v>
      </c>
      <c r="G5326" s="30" t="s">
        <v>9</v>
      </c>
      <c r="J5326" s="30" t="s">
        <v>391</v>
      </c>
    </row>
    <row r="5327" spans="1:10" x14ac:dyDescent="0.25">
      <c r="A5327" s="78">
        <v>46254</v>
      </c>
      <c r="B5327" s="68">
        <v>18</v>
      </c>
      <c r="C5327" s="205" t="s">
        <v>754</v>
      </c>
      <c r="D5327" s="30">
        <v>1</v>
      </c>
      <c r="E5327" s="30">
        <v>10</v>
      </c>
      <c r="F5327" s="30">
        <f t="shared" si="178"/>
        <v>10</v>
      </c>
      <c r="G5327" s="30" t="s">
        <v>9</v>
      </c>
      <c r="J5327" s="30" t="s">
        <v>391</v>
      </c>
    </row>
    <row r="5328" spans="1:10" x14ac:dyDescent="0.25">
      <c r="A5328" s="78">
        <v>46254</v>
      </c>
      <c r="B5328" s="68">
        <v>19</v>
      </c>
      <c r="C5328" s="205" t="s">
        <v>1254</v>
      </c>
      <c r="D5328" s="30">
        <v>1</v>
      </c>
      <c r="E5328" s="30">
        <v>10</v>
      </c>
      <c r="F5328" s="30">
        <f t="shared" si="178"/>
        <v>10</v>
      </c>
      <c r="G5328" s="30" t="s">
        <v>9</v>
      </c>
      <c r="J5328" s="30" t="s">
        <v>391</v>
      </c>
    </row>
    <row r="5329" spans="1:10" x14ac:dyDescent="0.25">
      <c r="A5329" s="78">
        <v>46254</v>
      </c>
      <c r="B5329" s="68">
        <v>20</v>
      </c>
      <c r="C5329" s="205" t="s">
        <v>1260</v>
      </c>
      <c r="D5329" s="30">
        <v>2</v>
      </c>
      <c r="E5329" s="30">
        <v>5</v>
      </c>
      <c r="F5329" s="30">
        <f t="shared" si="178"/>
        <v>10</v>
      </c>
      <c r="G5329" s="30" t="s">
        <v>9</v>
      </c>
      <c r="J5329" s="30" t="s">
        <v>391</v>
      </c>
    </row>
    <row r="5330" spans="1:10" x14ac:dyDescent="0.25">
      <c r="A5330" s="78">
        <v>46254</v>
      </c>
      <c r="B5330" s="68">
        <v>20</v>
      </c>
      <c r="C5330" s="205" t="s">
        <v>877</v>
      </c>
      <c r="D5330" s="30">
        <v>1</v>
      </c>
      <c r="E5330" s="30">
        <v>10</v>
      </c>
      <c r="F5330" s="30">
        <f t="shared" si="178"/>
        <v>10</v>
      </c>
      <c r="G5330" s="30" t="s">
        <v>16</v>
      </c>
      <c r="I5330" s="68" t="s">
        <v>1203</v>
      </c>
      <c r="J5330" s="30" t="s">
        <v>391</v>
      </c>
    </row>
    <row r="5331" spans="1:10" x14ac:dyDescent="0.25">
      <c r="A5331" s="78">
        <v>46254</v>
      </c>
      <c r="B5331" s="68">
        <v>21</v>
      </c>
      <c r="C5331" s="205" t="s">
        <v>1312</v>
      </c>
      <c r="D5331" s="30">
        <v>1</v>
      </c>
      <c r="E5331" s="30">
        <v>20</v>
      </c>
      <c r="F5331" s="30">
        <f t="shared" si="178"/>
        <v>20</v>
      </c>
      <c r="G5331" s="30" t="s">
        <v>9</v>
      </c>
      <c r="J5331" s="30" t="s">
        <v>391</v>
      </c>
    </row>
    <row r="5332" spans="1:10" x14ac:dyDescent="0.25">
      <c r="A5332" s="78">
        <v>46254</v>
      </c>
      <c r="B5332" s="68">
        <v>22</v>
      </c>
      <c r="C5332" s="205" t="s">
        <v>1312</v>
      </c>
      <c r="D5332" s="30">
        <v>1</v>
      </c>
      <c r="E5332" s="30">
        <v>20</v>
      </c>
      <c r="F5332" s="30">
        <f t="shared" si="178"/>
        <v>20</v>
      </c>
      <c r="G5332" s="30" t="s">
        <v>10</v>
      </c>
      <c r="J5332" s="30" t="s">
        <v>391</v>
      </c>
    </row>
    <row r="5333" spans="1:10" s="199" customFormat="1" ht="31.5" x14ac:dyDescent="0.25">
      <c r="A5333" s="196">
        <v>46254</v>
      </c>
      <c r="B5333" s="197" t="s">
        <v>1245</v>
      </c>
      <c r="C5333" s="198">
        <f>MAX(B5302:B5332)</f>
        <v>22</v>
      </c>
      <c r="D5333" s="197" t="s">
        <v>1246</v>
      </c>
      <c r="E5333" s="199">
        <f ca="1">SUMIF(G5302:G5650,"UPI",F5302:F5332)</f>
        <v>1741.04</v>
      </c>
      <c r="H5333" s="200" t="s">
        <v>1247</v>
      </c>
      <c r="I5333" s="200">
        <f>SUMIF(G5302:G5332, "&lt;&gt;UPI",F5302:F5332)</f>
        <v>635</v>
      </c>
    </row>
    <row r="5334" spans="1:10" x14ac:dyDescent="0.25">
      <c r="A5334" s="78">
        <v>46254</v>
      </c>
      <c r="B5334" s="211">
        <v>3</v>
      </c>
      <c r="C5334" s="205" t="s">
        <v>1252</v>
      </c>
      <c r="D5334" s="30">
        <v>2</v>
      </c>
      <c r="E5334" s="30">
        <v>5</v>
      </c>
      <c r="F5334" s="30">
        <f t="shared" ref="F5334:F5348" si="179">E5334*D5334</f>
        <v>10</v>
      </c>
      <c r="G5334" s="30" t="s">
        <v>9</v>
      </c>
      <c r="J5334" s="30" t="s">
        <v>392</v>
      </c>
    </row>
    <row r="5335" spans="1:10" x14ac:dyDescent="0.25">
      <c r="A5335" s="78">
        <v>46254</v>
      </c>
      <c r="B5335" s="68">
        <v>23</v>
      </c>
      <c r="C5335" s="205" t="s">
        <v>1234</v>
      </c>
      <c r="D5335" s="30">
        <v>0.25</v>
      </c>
      <c r="E5335" s="30">
        <v>60</v>
      </c>
      <c r="F5335" s="30">
        <f t="shared" si="179"/>
        <v>15</v>
      </c>
      <c r="G5335" s="30" t="s">
        <v>9</v>
      </c>
      <c r="J5335" s="30" t="s">
        <v>392</v>
      </c>
    </row>
    <row r="5336" spans="1:10" x14ac:dyDescent="0.25">
      <c r="A5336" s="78">
        <v>46254</v>
      </c>
      <c r="B5336" s="68">
        <v>24</v>
      </c>
      <c r="C5336" s="205" t="s">
        <v>1322</v>
      </c>
      <c r="D5336" s="30">
        <v>2</v>
      </c>
      <c r="E5336" s="30">
        <v>5</v>
      </c>
      <c r="F5336" s="30">
        <f t="shared" si="179"/>
        <v>10</v>
      </c>
      <c r="G5336" s="30" t="s">
        <v>9</v>
      </c>
      <c r="J5336" s="30" t="s">
        <v>392</v>
      </c>
    </row>
    <row r="5337" spans="1:10" x14ac:dyDescent="0.25">
      <c r="A5337" s="78">
        <v>46254</v>
      </c>
      <c r="B5337" s="68">
        <v>24</v>
      </c>
      <c r="C5337" s="205" t="s">
        <v>1078</v>
      </c>
      <c r="D5337" s="30">
        <v>1</v>
      </c>
      <c r="E5337" s="30">
        <v>20</v>
      </c>
      <c r="F5337" s="30">
        <f t="shared" si="179"/>
        <v>20</v>
      </c>
      <c r="G5337" s="30" t="s">
        <v>9</v>
      </c>
      <c r="J5337" s="30" t="s">
        <v>392</v>
      </c>
    </row>
    <row r="5338" spans="1:10" x14ac:dyDescent="0.25">
      <c r="A5338" s="78">
        <v>46254</v>
      </c>
      <c r="B5338" s="68">
        <v>24</v>
      </c>
      <c r="C5338" s="205" t="s">
        <v>1323</v>
      </c>
      <c r="D5338" s="30">
        <v>2</v>
      </c>
      <c r="E5338" s="30">
        <v>10</v>
      </c>
      <c r="F5338" s="30">
        <f t="shared" si="179"/>
        <v>20</v>
      </c>
      <c r="G5338" s="30" t="s">
        <v>9</v>
      </c>
      <c r="J5338" s="30" t="s">
        <v>392</v>
      </c>
    </row>
    <row r="5339" spans="1:10" x14ac:dyDescent="0.25">
      <c r="A5339" s="78">
        <v>46254</v>
      </c>
      <c r="B5339" s="68">
        <v>25</v>
      </c>
      <c r="C5339" s="205" t="s">
        <v>578</v>
      </c>
      <c r="D5339" s="30">
        <v>1</v>
      </c>
      <c r="E5339" s="30">
        <v>5</v>
      </c>
      <c r="F5339" s="30">
        <f t="shared" si="179"/>
        <v>5</v>
      </c>
      <c r="G5339" s="30" t="s">
        <v>9</v>
      </c>
      <c r="J5339" s="30" t="s">
        <v>392</v>
      </c>
    </row>
    <row r="5340" spans="1:10" x14ac:dyDescent="0.25">
      <c r="A5340" s="78">
        <v>46254</v>
      </c>
      <c r="B5340" s="68">
        <v>25</v>
      </c>
      <c r="C5340" s="205" t="s">
        <v>1252</v>
      </c>
      <c r="D5340" s="30">
        <v>1</v>
      </c>
      <c r="E5340" s="30">
        <v>5</v>
      </c>
      <c r="F5340" s="30">
        <f t="shared" si="179"/>
        <v>5</v>
      </c>
      <c r="G5340" s="30" t="s">
        <v>9</v>
      </c>
      <c r="J5340" s="30" t="s">
        <v>392</v>
      </c>
    </row>
    <row r="5341" spans="1:10" x14ac:dyDescent="0.25">
      <c r="A5341" s="78">
        <v>46254</v>
      </c>
      <c r="B5341" s="68">
        <v>26</v>
      </c>
      <c r="C5341" s="205" t="s">
        <v>1252</v>
      </c>
      <c r="D5341" s="30">
        <v>2</v>
      </c>
      <c r="E5341" s="30">
        <v>5</v>
      </c>
      <c r="F5341" s="30">
        <f t="shared" si="179"/>
        <v>10</v>
      </c>
      <c r="G5341" s="30" t="s">
        <v>9</v>
      </c>
      <c r="J5341" s="30" t="s">
        <v>392</v>
      </c>
    </row>
    <row r="5342" spans="1:10" x14ac:dyDescent="0.25">
      <c r="A5342" s="78">
        <v>46254</v>
      </c>
      <c r="B5342" s="68">
        <v>26</v>
      </c>
      <c r="C5342" s="205" t="s">
        <v>1258</v>
      </c>
      <c r="D5342" s="30">
        <v>2</v>
      </c>
      <c r="E5342" s="30">
        <v>10</v>
      </c>
      <c r="F5342" s="30">
        <f t="shared" si="179"/>
        <v>20</v>
      </c>
      <c r="G5342" s="30" t="s">
        <v>9</v>
      </c>
      <c r="J5342" s="30" t="s">
        <v>392</v>
      </c>
    </row>
    <row r="5343" spans="1:10" x14ac:dyDescent="0.25">
      <c r="A5343" s="78">
        <v>46254</v>
      </c>
      <c r="B5343" s="68">
        <v>27</v>
      </c>
      <c r="C5343" s="205" t="s">
        <v>740</v>
      </c>
      <c r="D5343" s="30">
        <v>1</v>
      </c>
      <c r="E5343" s="30">
        <v>10</v>
      </c>
      <c r="F5343" s="30">
        <f t="shared" si="179"/>
        <v>10</v>
      </c>
      <c r="G5343" s="30" t="s">
        <v>9</v>
      </c>
      <c r="J5343" s="30" t="s">
        <v>392</v>
      </c>
    </row>
    <row r="5344" spans="1:10" x14ac:dyDescent="0.25">
      <c r="A5344" s="78">
        <v>46254</v>
      </c>
      <c r="B5344" s="68">
        <v>28</v>
      </c>
      <c r="C5344" s="205" t="s">
        <v>1052</v>
      </c>
      <c r="D5344" s="30">
        <v>1</v>
      </c>
      <c r="E5344" s="30">
        <v>10</v>
      </c>
      <c r="F5344" s="30">
        <f t="shared" si="179"/>
        <v>10</v>
      </c>
      <c r="G5344" s="30" t="s">
        <v>9</v>
      </c>
      <c r="J5344" s="30" t="s">
        <v>392</v>
      </c>
    </row>
    <row r="5345" spans="1:10" x14ac:dyDescent="0.25">
      <c r="A5345" s="78">
        <v>46254</v>
      </c>
      <c r="B5345" s="68">
        <v>29</v>
      </c>
      <c r="C5345" s="205" t="s">
        <v>1142</v>
      </c>
      <c r="D5345" s="30">
        <v>2</v>
      </c>
      <c r="E5345" s="30">
        <v>5</v>
      </c>
      <c r="F5345" s="30">
        <f t="shared" si="179"/>
        <v>10</v>
      </c>
      <c r="G5345" s="30" t="s">
        <v>9</v>
      </c>
      <c r="J5345" s="30" t="s">
        <v>392</v>
      </c>
    </row>
    <row r="5346" spans="1:10" x14ac:dyDescent="0.25">
      <c r="A5346" s="78">
        <v>46254</v>
      </c>
      <c r="B5346" s="68">
        <v>30</v>
      </c>
      <c r="C5346" s="205" t="s">
        <v>1261</v>
      </c>
      <c r="D5346" s="30">
        <v>2</v>
      </c>
      <c r="E5346" s="30">
        <v>10</v>
      </c>
      <c r="F5346" s="30">
        <f t="shared" si="179"/>
        <v>20</v>
      </c>
      <c r="G5346" s="30" t="s">
        <v>9</v>
      </c>
      <c r="J5346" s="30" t="s">
        <v>392</v>
      </c>
    </row>
    <row r="5347" spans="1:10" x14ac:dyDescent="0.25">
      <c r="A5347" s="78">
        <v>46254</v>
      </c>
      <c r="B5347" s="68">
        <v>31</v>
      </c>
      <c r="C5347" s="204" t="s">
        <v>970</v>
      </c>
      <c r="D5347" s="30">
        <v>2</v>
      </c>
      <c r="E5347" s="30">
        <v>10</v>
      </c>
      <c r="F5347" s="30">
        <f t="shared" si="179"/>
        <v>20</v>
      </c>
      <c r="G5347" s="30" t="s">
        <v>9</v>
      </c>
      <c r="J5347" s="30" t="s">
        <v>392</v>
      </c>
    </row>
    <row r="5348" spans="1:10" x14ac:dyDescent="0.25">
      <c r="A5348" s="78">
        <v>46254</v>
      </c>
      <c r="B5348" s="68">
        <v>31</v>
      </c>
      <c r="C5348" s="205" t="s">
        <v>1089</v>
      </c>
      <c r="D5348" s="30">
        <v>1</v>
      </c>
      <c r="E5348" s="30">
        <v>70</v>
      </c>
      <c r="F5348" s="30">
        <f t="shared" si="179"/>
        <v>70</v>
      </c>
      <c r="G5348" s="30" t="s">
        <v>9</v>
      </c>
      <c r="J5348" s="30" t="s">
        <v>392</v>
      </c>
    </row>
    <row r="5349" spans="1:10" x14ac:dyDescent="0.25">
      <c r="A5349" s="78">
        <v>46254</v>
      </c>
      <c r="B5349" s="68">
        <v>32</v>
      </c>
      <c r="C5349" s="209" t="s">
        <v>1299</v>
      </c>
      <c r="D5349" s="30">
        <v>30</v>
      </c>
      <c r="E5349" s="30">
        <v>8.5</v>
      </c>
      <c r="F5349" s="30">
        <v>255</v>
      </c>
      <c r="G5349" s="30" t="s">
        <v>10</v>
      </c>
      <c r="J5349" s="30" t="s">
        <v>392</v>
      </c>
    </row>
    <row r="5350" spans="1:10" x14ac:dyDescent="0.25">
      <c r="A5350" s="78">
        <v>46254</v>
      </c>
      <c r="B5350" s="68">
        <v>33</v>
      </c>
      <c r="C5350" s="205" t="s">
        <v>66</v>
      </c>
      <c r="D5350" s="30">
        <v>2</v>
      </c>
      <c r="E5350" s="30">
        <v>10</v>
      </c>
      <c r="F5350" s="30">
        <f>E5350*D5350</f>
        <v>20</v>
      </c>
      <c r="G5350" s="30" t="s">
        <v>9</v>
      </c>
      <c r="J5350" s="30" t="s">
        <v>392</v>
      </c>
    </row>
    <row r="5351" spans="1:10" ht="30" x14ac:dyDescent="0.25">
      <c r="A5351" s="78">
        <v>46254</v>
      </c>
      <c r="B5351" s="68">
        <v>34</v>
      </c>
      <c r="C5351" s="205" t="s">
        <v>599</v>
      </c>
      <c r="D5351" s="30">
        <v>1</v>
      </c>
      <c r="E5351" s="30">
        <v>190</v>
      </c>
      <c r="F5351" s="30">
        <f t="shared" ref="F5351:F5400" si="180">E5351*D5351</f>
        <v>190</v>
      </c>
      <c r="G5351" s="30" t="s">
        <v>9</v>
      </c>
      <c r="J5351" s="30" t="s">
        <v>392</v>
      </c>
    </row>
    <row r="5352" spans="1:10" x14ac:dyDescent="0.25">
      <c r="A5352" s="78">
        <v>46254</v>
      </c>
      <c r="B5352" s="68">
        <v>34</v>
      </c>
      <c r="C5352" s="205" t="s">
        <v>137</v>
      </c>
      <c r="D5352" s="30">
        <v>1</v>
      </c>
      <c r="E5352" s="30">
        <v>30</v>
      </c>
      <c r="F5352" s="30">
        <f t="shared" si="180"/>
        <v>30</v>
      </c>
      <c r="G5352" s="30" t="s">
        <v>9</v>
      </c>
      <c r="J5352" s="30" t="s">
        <v>392</v>
      </c>
    </row>
    <row r="5353" spans="1:10" x14ac:dyDescent="0.25">
      <c r="A5353" s="78">
        <v>46254</v>
      </c>
      <c r="B5353" s="68">
        <v>34</v>
      </c>
      <c r="C5353" s="205" t="s">
        <v>917</v>
      </c>
      <c r="D5353" s="30">
        <v>1</v>
      </c>
      <c r="E5353" s="30">
        <v>70</v>
      </c>
      <c r="F5353" s="30">
        <f t="shared" si="180"/>
        <v>70</v>
      </c>
      <c r="G5353" s="30" t="s">
        <v>9</v>
      </c>
      <c r="J5353" s="30" t="s">
        <v>392</v>
      </c>
    </row>
    <row r="5354" spans="1:10" x14ac:dyDescent="0.25">
      <c r="A5354" s="78">
        <v>46254</v>
      </c>
      <c r="B5354" s="68">
        <v>34</v>
      </c>
      <c r="C5354" s="205" t="s">
        <v>750</v>
      </c>
      <c r="D5354" s="30">
        <v>1</v>
      </c>
      <c r="E5354" s="30">
        <v>50</v>
      </c>
      <c r="F5354" s="30">
        <f t="shared" si="180"/>
        <v>50</v>
      </c>
      <c r="G5354" s="30" t="s">
        <v>9</v>
      </c>
      <c r="J5354" s="30" t="s">
        <v>392</v>
      </c>
    </row>
    <row r="5355" spans="1:10" x14ac:dyDescent="0.25">
      <c r="A5355" s="78">
        <v>46254</v>
      </c>
      <c r="B5355" s="68">
        <v>34</v>
      </c>
      <c r="C5355" s="205" t="s">
        <v>699</v>
      </c>
      <c r="D5355" s="30">
        <v>1</v>
      </c>
      <c r="E5355" s="30">
        <v>15</v>
      </c>
      <c r="F5355" s="30">
        <f t="shared" si="180"/>
        <v>15</v>
      </c>
      <c r="G5355" s="30" t="s">
        <v>9</v>
      </c>
      <c r="J5355" s="30" t="s">
        <v>392</v>
      </c>
    </row>
    <row r="5356" spans="1:10" x14ac:dyDescent="0.25">
      <c r="A5356" s="78">
        <v>46254</v>
      </c>
      <c r="B5356" s="68">
        <v>34</v>
      </c>
      <c r="C5356" s="205" t="s">
        <v>1090</v>
      </c>
      <c r="D5356" s="30">
        <v>5</v>
      </c>
      <c r="E5356" s="30">
        <v>10</v>
      </c>
      <c r="F5356" s="30">
        <f t="shared" si="180"/>
        <v>50</v>
      </c>
      <c r="G5356" s="30" t="s">
        <v>9</v>
      </c>
      <c r="J5356" s="30" t="s">
        <v>392</v>
      </c>
    </row>
    <row r="5357" spans="1:10" x14ac:dyDescent="0.25">
      <c r="A5357" s="78">
        <v>46254</v>
      </c>
      <c r="B5357" s="68">
        <v>34</v>
      </c>
      <c r="C5357" s="205" t="s">
        <v>499</v>
      </c>
      <c r="D5357" s="30">
        <v>1</v>
      </c>
      <c r="E5357" s="30">
        <v>20</v>
      </c>
      <c r="F5357" s="30">
        <f t="shared" si="180"/>
        <v>20</v>
      </c>
      <c r="G5357" s="30" t="s">
        <v>9</v>
      </c>
      <c r="J5357" s="30" t="s">
        <v>392</v>
      </c>
    </row>
    <row r="5358" spans="1:10" x14ac:dyDescent="0.25">
      <c r="A5358" s="78">
        <v>46254</v>
      </c>
      <c r="B5358" s="68">
        <v>35</v>
      </c>
      <c r="C5358" s="205" t="s">
        <v>892</v>
      </c>
      <c r="D5358" s="30">
        <v>1</v>
      </c>
      <c r="E5358" s="30">
        <v>10</v>
      </c>
      <c r="F5358" s="30">
        <f t="shared" si="180"/>
        <v>10</v>
      </c>
      <c r="G5358" s="30" t="s">
        <v>9</v>
      </c>
      <c r="J5358" s="30" t="s">
        <v>392</v>
      </c>
    </row>
    <row r="5359" spans="1:10" x14ac:dyDescent="0.25">
      <c r="A5359" s="78">
        <v>46254</v>
      </c>
      <c r="B5359" s="68">
        <v>35</v>
      </c>
      <c r="C5359" s="205" t="s">
        <v>347</v>
      </c>
      <c r="D5359" s="30">
        <v>1</v>
      </c>
      <c r="E5359" s="30">
        <v>10</v>
      </c>
      <c r="F5359" s="30">
        <f t="shared" si="180"/>
        <v>10</v>
      </c>
      <c r="G5359" s="30" t="s">
        <v>9</v>
      </c>
      <c r="J5359" s="30" t="s">
        <v>392</v>
      </c>
    </row>
    <row r="5360" spans="1:10" x14ac:dyDescent="0.25">
      <c r="A5360" s="78">
        <v>46254</v>
      </c>
      <c r="B5360" s="68">
        <v>36</v>
      </c>
      <c r="C5360" s="205" t="s">
        <v>1171</v>
      </c>
      <c r="D5360" s="30">
        <v>1</v>
      </c>
      <c r="E5360" s="30">
        <v>59</v>
      </c>
      <c r="F5360" s="30">
        <f t="shared" si="180"/>
        <v>59</v>
      </c>
      <c r="G5360" s="30" t="s">
        <v>9</v>
      </c>
      <c r="J5360" s="30" t="s">
        <v>392</v>
      </c>
    </row>
    <row r="5361" spans="1:10" x14ac:dyDescent="0.25">
      <c r="A5361" s="78">
        <v>46254</v>
      </c>
      <c r="B5361" s="68">
        <v>36</v>
      </c>
      <c r="C5361" s="205" t="s">
        <v>1133</v>
      </c>
      <c r="D5361" s="30">
        <v>1</v>
      </c>
      <c r="E5361" s="30">
        <v>20</v>
      </c>
      <c r="F5361" s="30">
        <f t="shared" si="180"/>
        <v>20</v>
      </c>
      <c r="G5361" s="30" t="s">
        <v>9</v>
      </c>
      <c r="J5361" s="30" t="s">
        <v>392</v>
      </c>
    </row>
    <row r="5362" spans="1:10" x14ac:dyDescent="0.25">
      <c r="A5362" s="78">
        <v>46254</v>
      </c>
      <c r="B5362" s="68">
        <v>36</v>
      </c>
      <c r="C5362" s="205" t="s">
        <v>1089</v>
      </c>
      <c r="D5362" s="30">
        <v>0.28599999999999998</v>
      </c>
      <c r="E5362" s="30">
        <v>70</v>
      </c>
      <c r="F5362" s="30">
        <f t="shared" si="180"/>
        <v>20.02</v>
      </c>
      <c r="G5362" s="30" t="s">
        <v>9</v>
      </c>
      <c r="J5362" s="30" t="s">
        <v>392</v>
      </c>
    </row>
    <row r="5363" spans="1:10" ht="30" x14ac:dyDescent="0.25">
      <c r="A5363" s="78">
        <v>46254</v>
      </c>
      <c r="B5363" s="68">
        <v>36</v>
      </c>
      <c r="C5363" s="204" t="s">
        <v>361</v>
      </c>
      <c r="D5363" s="30">
        <v>1</v>
      </c>
      <c r="E5363" s="30">
        <v>10</v>
      </c>
      <c r="F5363" s="30">
        <f t="shared" si="180"/>
        <v>10</v>
      </c>
      <c r="G5363" s="30" t="s">
        <v>9</v>
      </c>
      <c r="J5363" s="30" t="s">
        <v>392</v>
      </c>
    </row>
    <row r="5364" spans="1:10" x14ac:dyDescent="0.25">
      <c r="A5364" s="78">
        <v>46254</v>
      </c>
      <c r="B5364" s="68">
        <v>36</v>
      </c>
      <c r="C5364" s="33" t="s">
        <v>1324</v>
      </c>
      <c r="D5364" s="30">
        <v>1</v>
      </c>
      <c r="E5364" s="30">
        <v>5</v>
      </c>
      <c r="F5364" s="30">
        <f t="shared" si="180"/>
        <v>5</v>
      </c>
      <c r="G5364" s="30" t="s">
        <v>9</v>
      </c>
      <c r="J5364" s="30" t="s">
        <v>392</v>
      </c>
    </row>
    <row r="5365" spans="1:10" x14ac:dyDescent="0.25">
      <c r="A5365" s="78">
        <v>46254</v>
      </c>
      <c r="B5365" s="68">
        <v>37</v>
      </c>
      <c r="C5365" s="19" t="s">
        <v>1299</v>
      </c>
      <c r="D5365" s="30">
        <v>8</v>
      </c>
      <c r="E5365" s="30">
        <v>9.5</v>
      </c>
      <c r="F5365" s="30">
        <f t="shared" si="180"/>
        <v>76</v>
      </c>
      <c r="G5365" s="30" t="s">
        <v>9</v>
      </c>
      <c r="J5365" s="30" t="s">
        <v>392</v>
      </c>
    </row>
    <row r="5366" spans="1:10" x14ac:dyDescent="0.25">
      <c r="A5366" s="78">
        <v>46254</v>
      </c>
      <c r="B5366" s="68">
        <v>37</v>
      </c>
      <c r="C5366" s="205" t="s">
        <v>1229</v>
      </c>
      <c r="D5366" s="30">
        <v>1</v>
      </c>
      <c r="E5366" s="30">
        <v>40</v>
      </c>
      <c r="F5366" s="30">
        <f t="shared" si="180"/>
        <v>40</v>
      </c>
      <c r="G5366" s="30" t="s">
        <v>9</v>
      </c>
      <c r="J5366" s="30" t="s">
        <v>392</v>
      </c>
    </row>
    <row r="5367" spans="1:10" x14ac:dyDescent="0.25">
      <c r="A5367" s="78">
        <v>46254</v>
      </c>
      <c r="B5367" s="68">
        <v>37</v>
      </c>
      <c r="C5367" s="204" t="s">
        <v>1141</v>
      </c>
      <c r="D5367" s="30">
        <v>1</v>
      </c>
      <c r="E5367" s="30">
        <v>10</v>
      </c>
      <c r="F5367" s="30">
        <f t="shared" si="180"/>
        <v>10</v>
      </c>
      <c r="G5367" s="30" t="s">
        <v>9</v>
      </c>
      <c r="J5367" s="30" t="s">
        <v>392</v>
      </c>
    </row>
    <row r="5368" spans="1:10" x14ac:dyDescent="0.25">
      <c r="A5368" s="78">
        <v>46254</v>
      </c>
      <c r="B5368" s="68">
        <v>38</v>
      </c>
      <c r="C5368" s="205" t="s">
        <v>1198</v>
      </c>
      <c r="D5368" s="30">
        <v>1</v>
      </c>
      <c r="E5368" s="30">
        <v>10</v>
      </c>
      <c r="F5368" s="30">
        <f t="shared" si="180"/>
        <v>10</v>
      </c>
      <c r="G5368" s="30" t="s">
        <v>9</v>
      </c>
      <c r="J5368" s="30" t="s">
        <v>392</v>
      </c>
    </row>
    <row r="5369" spans="1:10" x14ac:dyDescent="0.25">
      <c r="A5369" s="78">
        <v>46254</v>
      </c>
      <c r="B5369" s="68">
        <v>38</v>
      </c>
      <c r="C5369" s="205" t="s">
        <v>848</v>
      </c>
      <c r="D5369" s="30">
        <v>2</v>
      </c>
      <c r="E5369" s="30">
        <v>5</v>
      </c>
      <c r="F5369" s="30">
        <f t="shared" si="180"/>
        <v>10</v>
      </c>
      <c r="G5369" s="30" t="s">
        <v>9</v>
      </c>
      <c r="J5369" s="30" t="s">
        <v>392</v>
      </c>
    </row>
    <row r="5370" spans="1:10" x14ac:dyDescent="0.25">
      <c r="A5370" s="78">
        <v>46254</v>
      </c>
      <c r="B5370" s="68">
        <v>39</v>
      </c>
      <c r="C5370" s="205" t="s">
        <v>1089</v>
      </c>
      <c r="D5370" s="30">
        <v>0.28599999999999998</v>
      </c>
      <c r="E5370" s="30">
        <v>70</v>
      </c>
      <c r="F5370" s="30">
        <f t="shared" si="180"/>
        <v>20.02</v>
      </c>
      <c r="G5370" s="30" t="s">
        <v>9</v>
      </c>
      <c r="J5370" s="30" t="s">
        <v>392</v>
      </c>
    </row>
    <row r="5371" spans="1:10" x14ac:dyDescent="0.25">
      <c r="A5371" s="78">
        <v>46254</v>
      </c>
      <c r="B5371" s="68">
        <v>39</v>
      </c>
      <c r="C5371" s="205" t="s">
        <v>1133</v>
      </c>
      <c r="D5371" s="30">
        <v>1</v>
      </c>
      <c r="E5371" s="30">
        <v>20</v>
      </c>
      <c r="F5371" s="30">
        <f t="shared" si="180"/>
        <v>20</v>
      </c>
      <c r="G5371" s="30" t="s">
        <v>9</v>
      </c>
      <c r="J5371" s="30" t="s">
        <v>392</v>
      </c>
    </row>
    <row r="5372" spans="1:10" x14ac:dyDescent="0.25">
      <c r="A5372" s="78">
        <v>46254</v>
      </c>
      <c r="B5372" s="68">
        <v>39</v>
      </c>
      <c r="C5372" s="205" t="s">
        <v>1159</v>
      </c>
      <c r="D5372" s="30">
        <v>0.34</v>
      </c>
      <c r="E5372" s="30">
        <v>60</v>
      </c>
      <c r="F5372" s="30">
        <f t="shared" si="180"/>
        <v>20.400000000000002</v>
      </c>
      <c r="G5372" s="30" t="s">
        <v>9</v>
      </c>
      <c r="J5372" s="30" t="s">
        <v>392</v>
      </c>
    </row>
    <row r="5373" spans="1:10" x14ac:dyDescent="0.25">
      <c r="A5373" s="78">
        <v>46254</v>
      </c>
      <c r="B5373" s="68">
        <v>40</v>
      </c>
      <c r="C5373" s="19" t="s">
        <v>1299</v>
      </c>
      <c r="D5373" s="30">
        <v>8</v>
      </c>
      <c r="E5373" s="30">
        <v>9.5</v>
      </c>
      <c r="F5373" s="30">
        <f t="shared" si="180"/>
        <v>76</v>
      </c>
      <c r="G5373" s="30" t="s">
        <v>9</v>
      </c>
      <c r="J5373" s="30" t="s">
        <v>392</v>
      </c>
    </row>
    <row r="5374" spans="1:10" x14ac:dyDescent="0.25">
      <c r="A5374" s="78">
        <v>46254</v>
      </c>
      <c r="B5374" s="68">
        <v>41</v>
      </c>
      <c r="C5374" s="205" t="s">
        <v>877</v>
      </c>
      <c r="D5374" s="30">
        <v>2</v>
      </c>
      <c r="E5374" s="30">
        <v>10</v>
      </c>
      <c r="F5374" s="30">
        <f t="shared" si="180"/>
        <v>20</v>
      </c>
      <c r="G5374" s="30" t="s">
        <v>9</v>
      </c>
      <c r="J5374" s="30" t="s">
        <v>392</v>
      </c>
    </row>
    <row r="5375" spans="1:10" x14ac:dyDescent="0.25">
      <c r="A5375" s="78">
        <v>46254</v>
      </c>
      <c r="B5375" s="68">
        <v>42</v>
      </c>
      <c r="C5375" s="205" t="s">
        <v>1089</v>
      </c>
      <c r="D5375" s="30">
        <v>0.5</v>
      </c>
      <c r="E5375" s="30">
        <v>70</v>
      </c>
      <c r="F5375" s="30">
        <f t="shared" si="180"/>
        <v>35</v>
      </c>
      <c r="G5375" s="30" t="s">
        <v>10</v>
      </c>
      <c r="J5375" s="30" t="s">
        <v>392</v>
      </c>
    </row>
    <row r="5376" spans="1:10" x14ac:dyDescent="0.25">
      <c r="A5376" s="78">
        <v>46254</v>
      </c>
      <c r="B5376" s="68">
        <v>42</v>
      </c>
      <c r="C5376" s="205" t="s">
        <v>623</v>
      </c>
      <c r="D5376" s="30">
        <v>10</v>
      </c>
      <c r="E5376" s="30">
        <v>4</v>
      </c>
      <c r="F5376" s="30">
        <f t="shared" si="180"/>
        <v>40</v>
      </c>
      <c r="G5376" s="30" t="s">
        <v>10</v>
      </c>
      <c r="J5376" s="30" t="s">
        <v>392</v>
      </c>
    </row>
    <row r="5377" spans="1:10" x14ac:dyDescent="0.25">
      <c r="A5377" s="78">
        <v>46254</v>
      </c>
      <c r="B5377" s="68">
        <v>42</v>
      </c>
      <c r="C5377" s="205" t="s">
        <v>1106</v>
      </c>
      <c r="D5377" s="30">
        <v>2</v>
      </c>
      <c r="E5377" s="30">
        <v>20</v>
      </c>
      <c r="F5377" s="30">
        <f t="shared" si="180"/>
        <v>40</v>
      </c>
      <c r="G5377" s="30" t="s">
        <v>10</v>
      </c>
      <c r="J5377" s="30" t="s">
        <v>392</v>
      </c>
    </row>
    <row r="5378" spans="1:10" x14ac:dyDescent="0.25">
      <c r="A5378" s="78">
        <v>46254</v>
      </c>
      <c r="B5378" s="68">
        <v>43</v>
      </c>
      <c r="C5378" s="205" t="s">
        <v>1078</v>
      </c>
      <c r="D5378" s="30">
        <v>1</v>
      </c>
      <c r="E5378" s="30">
        <v>20</v>
      </c>
      <c r="F5378" s="30">
        <f t="shared" si="180"/>
        <v>20</v>
      </c>
      <c r="G5378" s="30" t="s">
        <v>9</v>
      </c>
      <c r="J5378" s="30" t="s">
        <v>392</v>
      </c>
    </row>
    <row r="5379" spans="1:10" x14ac:dyDescent="0.25">
      <c r="A5379" s="78">
        <v>46254</v>
      </c>
      <c r="B5379" s="68">
        <v>44</v>
      </c>
      <c r="C5379" s="19" t="s">
        <v>1299</v>
      </c>
      <c r="D5379" s="30">
        <v>4</v>
      </c>
      <c r="E5379" s="30">
        <v>10</v>
      </c>
      <c r="F5379" s="30">
        <f t="shared" si="180"/>
        <v>40</v>
      </c>
      <c r="G5379" s="30" t="s">
        <v>9</v>
      </c>
      <c r="J5379" s="30" t="s">
        <v>392</v>
      </c>
    </row>
    <row r="5380" spans="1:10" x14ac:dyDescent="0.25">
      <c r="A5380" s="78">
        <v>46254</v>
      </c>
      <c r="B5380" s="68">
        <v>44</v>
      </c>
      <c r="C5380" s="205" t="s">
        <v>539</v>
      </c>
      <c r="D5380" s="30">
        <v>1</v>
      </c>
      <c r="E5380" s="30">
        <v>20</v>
      </c>
      <c r="F5380" s="30">
        <f t="shared" si="180"/>
        <v>20</v>
      </c>
      <c r="G5380" s="30" t="s">
        <v>9</v>
      </c>
      <c r="J5380" s="30" t="s">
        <v>392</v>
      </c>
    </row>
    <row r="5381" spans="1:10" x14ac:dyDescent="0.25">
      <c r="A5381" s="78">
        <v>46254</v>
      </c>
      <c r="B5381" s="68">
        <v>22</v>
      </c>
      <c r="C5381" s="205" t="s">
        <v>1078</v>
      </c>
      <c r="D5381" s="30">
        <v>1</v>
      </c>
      <c r="E5381" s="30">
        <v>20</v>
      </c>
      <c r="F5381" s="30">
        <f t="shared" si="180"/>
        <v>20</v>
      </c>
      <c r="G5381" s="30" t="s">
        <v>16</v>
      </c>
      <c r="I5381" s="68" t="s">
        <v>1203</v>
      </c>
      <c r="J5381" s="30" t="s">
        <v>392</v>
      </c>
    </row>
    <row r="5382" spans="1:10" x14ac:dyDescent="0.25">
      <c r="A5382" s="78">
        <v>46254</v>
      </c>
      <c r="B5382" s="68">
        <v>22</v>
      </c>
      <c r="C5382" s="205" t="s">
        <v>1325</v>
      </c>
      <c r="D5382" s="30">
        <v>0.01</v>
      </c>
      <c r="E5382" s="30">
        <v>480</v>
      </c>
      <c r="F5382" s="30">
        <f t="shared" si="180"/>
        <v>4.8</v>
      </c>
      <c r="G5382" s="30" t="s">
        <v>16</v>
      </c>
      <c r="I5382" s="68" t="s">
        <v>1203</v>
      </c>
      <c r="J5382" s="30" t="s">
        <v>392</v>
      </c>
    </row>
    <row r="5383" spans="1:10" x14ac:dyDescent="0.25">
      <c r="A5383" s="78">
        <v>46254</v>
      </c>
      <c r="B5383" s="68">
        <v>22</v>
      </c>
      <c r="C5383" s="205" t="s">
        <v>503</v>
      </c>
      <c r="D5383" s="30">
        <v>1</v>
      </c>
      <c r="E5383" s="30">
        <v>10</v>
      </c>
      <c r="F5383" s="30">
        <f t="shared" si="180"/>
        <v>10</v>
      </c>
      <c r="G5383" s="30" t="s">
        <v>16</v>
      </c>
      <c r="I5383" s="68" t="s">
        <v>1203</v>
      </c>
      <c r="J5383" s="30" t="s">
        <v>392</v>
      </c>
    </row>
    <row r="5384" spans="1:10" x14ac:dyDescent="0.25">
      <c r="A5384" s="78">
        <v>46254</v>
      </c>
      <c r="B5384" s="68">
        <v>45</v>
      </c>
      <c r="C5384" s="205" t="s">
        <v>1228</v>
      </c>
      <c r="D5384" s="30">
        <v>1</v>
      </c>
      <c r="E5384" s="30">
        <v>20</v>
      </c>
      <c r="F5384" s="30">
        <f t="shared" si="180"/>
        <v>20</v>
      </c>
      <c r="G5384" s="30" t="s">
        <v>9</v>
      </c>
      <c r="J5384" s="30" t="s">
        <v>392</v>
      </c>
    </row>
    <row r="5385" spans="1:10" x14ac:dyDescent="0.25">
      <c r="A5385" s="78">
        <v>46254</v>
      </c>
      <c r="B5385" s="68">
        <v>3</v>
      </c>
      <c r="C5385" s="205" t="s">
        <v>1234</v>
      </c>
      <c r="D5385" s="30">
        <v>0.5</v>
      </c>
      <c r="E5385" s="30">
        <v>60</v>
      </c>
      <c r="F5385" s="30">
        <f t="shared" si="180"/>
        <v>30</v>
      </c>
      <c r="G5385" s="30" t="s">
        <v>16</v>
      </c>
      <c r="I5385" s="68" t="s">
        <v>1200</v>
      </c>
      <c r="J5385" s="30" t="s">
        <v>392</v>
      </c>
    </row>
    <row r="5386" spans="1:10" x14ac:dyDescent="0.25">
      <c r="A5386" s="78">
        <v>46254</v>
      </c>
      <c r="B5386" s="68">
        <v>3</v>
      </c>
      <c r="C5386" s="205" t="s">
        <v>1090</v>
      </c>
      <c r="D5386" s="30">
        <v>6</v>
      </c>
      <c r="E5386" s="30">
        <v>9.5</v>
      </c>
      <c r="F5386" s="30">
        <f t="shared" si="180"/>
        <v>57</v>
      </c>
      <c r="G5386" s="30" t="s">
        <v>16</v>
      </c>
      <c r="I5386" s="68" t="s">
        <v>1200</v>
      </c>
      <c r="J5386" s="30" t="s">
        <v>392</v>
      </c>
    </row>
    <row r="5387" spans="1:10" x14ac:dyDescent="0.25">
      <c r="A5387" s="78">
        <v>46254</v>
      </c>
      <c r="B5387" s="68">
        <v>46</v>
      </c>
      <c r="C5387" s="19" t="s">
        <v>1299</v>
      </c>
      <c r="D5387" s="30">
        <v>4</v>
      </c>
      <c r="E5387" s="30">
        <v>10</v>
      </c>
      <c r="F5387" s="30">
        <f t="shared" si="180"/>
        <v>40</v>
      </c>
      <c r="G5387" s="30" t="s">
        <v>9</v>
      </c>
      <c r="J5387" s="30" t="s">
        <v>392</v>
      </c>
    </row>
    <row r="5388" spans="1:10" ht="30" x14ac:dyDescent="0.25">
      <c r="A5388" s="78">
        <v>46254</v>
      </c>
      <c r="B5388" s="68">
        <v>47</v>
      </c>
      <c r="C5388" s="205" t="s">
        <v>840</v>
      </c>
      <c r="D5388" s="30">
        <v>1</v>
      </c>
      <c r="E5388" s="30">
        <v>50</v>
      </c>
      <c r="F5388" s="30">
        <f t="shared" si="180"/>
        <v>50</v>
      </c>
      <c r="G5388" s="30" t="s">
        <v>9</v>
      </c>
      <c r="J5388" s="30" t="s">
        <v>392</v>
      </c>
    </row>
    <row r="5389" spans="1:10" x14ac:dyDescent="0.25">
      <c r="A5389" s="78">
        <v>46254</v>
      </c>
      <c r="B5389" s="68">
        <v>47</v>
      </c>
      <c r="C5389" s="205" t="s">
        <v>702</v>
      </c>
      <c r="D5389" s="30">
        <v>1</v>
      </c>
      <c r="E5389" s="30">
        <v>10</v>
      </c>
      <c r="F5389" s="30">
        <f t="shared" si="180"/>
        <v>10</v>
      </c>
      <c r="G5389" s="30" t="s">
        <v>9</v>
      </c>
      <c r="J5389" s="30" t="s">
        <v>392</v>
      </c>
    </row>
    <row r="5390" spans="1:10" ht="30" x14ac:dyDescent="0.25">
      <c r="A5390" s="78">
        <v>46254</v>
      </c>
      <c r="B5390" s="68">
        <v>3</v>
      </c>
      <c r="C5390" s="204" t="s">
        <v>1232</v>
      </c>
      <c r="D5390" s="30">
        <v>1</v>
      </c>
      <c r="E5390" s="30">
        <v>40</v>
      </c>
      <c r="F5390" s="30">
        <f t="shared" si="180"/>
        <v>40</v>
      </c>
      <c r="G5390" s="30" t="s">
        <v>16</v>
      </c>
      <c r="I5390" s="68" t="s">
        <v>1200</v>
      </c>
      <c r="J5390" s="30" t="s">
        <v>392</v>
      </c>
    </row>
    <row r="5391" spans="1:10" x14ac:dyDescent="0.25">
      <c r="A5391" s="78">
        <v>46254</v>
      </c>
      <c r="B5391" s="68">
        <v>48</v>
      </c>
      <c r="C5391" s="205" t="s">
        <v>1090</v>
      </c>
      <c r="D5391" s="30">
        <v>2</v>
      </c>
      <c r="E5391" s="30">
        <v>10</v>
      </c>
      <c r="F5391" s="30">
        <f t="shared" si="180"/>
        <v>20</v>
      </c>
      <c r="G5391" s="30" t="s">
        <v>10</v>
      </c>
      <c r="J5391" s="30" t="s">
        <v>392</v>
      </c>
    </row>
    <row r="5392" spans="1:10" x14ac:dyDescent="0.25">
      <c r="A5392" s="78">
        <v>46254</v>
      </c>
      <c r="B5392" s="68">
        <v>49</v>
      </c>
      <c r="C5392" s="205" t="s">
        <v>1138</v>
      </c>
      <c r="D5392" s="30">
        <v>2</v>
      </c>
      <c r="E5392" s="30">
        <v>5</v>
      </c>
      <c r="F5392" s="30">
        <f t="shared" si="180"/>
        <v>10</v>
      </c>
      <c r="G5392" s="30" t="s">
        <v>9</v>
      </c>
      <c r="J5392" s="30" t="s">
        <v>392</v>
      </c>
    </row>
    <row r="5393" spans="1:12" x14ac:dyDescent="0.25">
      <c r="A5393" s="78">
        <v>46254</v>
      </c>
      <c r="B5393" s="68">
        <v>49</v>
      </c>
      <c r="C5393" s="205" t="s">
        <v>1231</v>
      </c>
      <c r="D5393" s="30">
        <v>0.4</v>
      </c>
      <c r="E5393" s="30">
        <v>25</v>
      </c>
      <c r="F5393" s="30">
        <f t="shared" si="180"/>
        <v>10</v>
      </c>
      <c r="G5393" s="30" t="s">
        <v>9</v>
      </c>
      <c r="J5393" s="30" t="s">
        <v>392</v>
      </c>
    </row>
    <row r="5394" spans="1:12" x14ac:dyDescent="0.25">
      <c r="A5394" s="78">
        <v>46254</v>
      </c>
      <c r="B5394" s="68">
        <v>49</v>
      </c>
      <c r="C5394" s="205" t="s">
        <v>1165</v>
      </c>
      <c r="D5394" s="30">
        <v>2</v>
      </c>
      <c r="E5394" s="30">
        <v>1</v>
      </c>
      <c r="F5394" s="30">
        <f t="shared" si="180"/>
        <v>2</v>
      </c>
      <c r="G5394" s="30" t="s">
        <v>9</v>
      </c>
      <c r="J5394" s="30" t="s">
        <v>392</v>
      </c>
    </row>
    <row r="5395" spans="1:12" x14ac:dyDescent="0.25">
      <c r="A5395" s="78">
        <v>46254</v>
      </c>
      <c r="B5395" s="68">
        <v>49</v>
      </c>
      <c r="C5395" s="205" t="s">
        <v>1105</v>
      </c>
      <c r="D5395" s="30">
        <v>1</v>
      </c>
      <c r="E5395" s="30">
        <v>20</v>
      </c>
      <c r="F5395" s="30">
        <f t="shared" si="180"/>
        <v>20</v>
      </c>
      <c r="G5395" s="30" t="s">
        <v>9</v>
      </c>
      <c r="J5395" s="30" t="s">
        <v>392</v>
      </c>
    </row>
    <row r="5396" spans="1:12" x14ac:dyDescent="0.25">
      <c r="A5396" s="78">
        <v>46254</v>
      </c>
      <c r="B5396" s="68">
        <v>49</v>
      </c>
      <c r="C5396" s="205" t="s">
        <v>953</v>
      </c>
      <c r="D5396" s="30">
        <v>1</v>
      </c>
      <c r="E5396" s="30">
        <v>10</v>
      </c>
      <c r="F5396" s="30">
        <f t="shared" si="180"/>
        <v>10</v>
      </c>
      <c r="G5396" s="30" t="s">
        <v>9</v>
      </c>
      <c r="J5396" s="30" t="s">
        <v>392</v>
      </c>
    </row>
    <row r="5397" spans="1:12" x14ac:dyDescent="0.25">
      <c r="A5397" s="78">
        <v>46254</v>
      </c>
      <c r="B5397" s="68">
        <v>50</v>
      </c>
      <c r="C5397" s="205" t="s">
        <v>757</v>
      </c>
      <c r="D5397" s="30">
        <v>0.36</v>
      </c>
      <c r="E5397" s="30">
        <v>140</v>
      </c>
      <c r="F5397" s="30">
        <f t="shared" si="180"/>
        <v>50.4</v>
      </c>
      <c r="G5397" s="30" t="s">
        <v>9</v>
      </c>
      <c r="J5397" s="30" t="s">
        <v>392</v>
      </c>
    </row>
    <row r="5398" spans="1:12" x14ac:dyDescent="0.25">
      <c r="A5398" s="78">
        <v>46254</v>
      </c>
      <c r="B5398" s="68">
        <v>50</v>
      </c>
      <c r="C5398" s="205" t="s">
        <v>956</v>
      </c>
      <c r="D5398" s="30">
        <v>1</v>
      </c>
      <c r="E5398" s="30">
        <v>10</v>
      </c>
      <c r="F5398" s="30">
        <f t="shared" si="180"/>
        <v>10</v>
      </c>
      <c r="G5398" s="30" t="s">
        <v>9</v>
      </c>
      <c r="J5398" s="30" t="s">
        <v>392</v>
      </c>
    </row>
    <row r="5399" spans="1:12" x14ac:dyDescent="0.25">
      <c r="A5399" s="78">
        <v>46254</v>
      </c>
      <c r="B5399" s="68">
        <v>50</v>
      </c>
      <c r="C5399" s="205" t="s">
        <v>958</v>
      </c>
      <c r="D5399" s="30">
        <v>1</v>
      </c>
      <c r="E5399" s="30">
        <v>10</v>
      </c>
      <c r="F5399" s="30">
        <f t="shared" si="180"/>
        <v>10</v>
      </c>
      <c r="G5399" s="30" t="s">
        <v>9</v>
      </c>
      <c r="J5399" s="30" t="s">
        <v>392</v>
      </c>
    </row>
    <row r="5400" spans="1:12" x14ac:dyDescent="0.25">
      <c r="A5400" s="78">
        <v>46254</v>
      </c>
      <c r="B5400" s="68">
        <v>50</v>
      </c>
      <c r="C5400" s="205" t="s">
        <v>1055</v>
      </c>
      <c r="D5400" s="30">
        <v>5</v>
      </c>
      <c r="E5400" s="30">
        <v>2</v>
      </c>
      <c r="F5400" s="30">
        <f t="shared" si="180"/>
        <v>10</v>
      </c>
      <c r="G5400" s="30" t="s">
        <v>9</v>
      </c>
      <c r="J5400" s="30" t="s">
        <v>392</v>
      </c>
    </row>
    <row r="5401" spans="1:12" x14ac:dyDescent="0.25">
      <c r="A5401" s="78">
        <v>46254</v>
      </c>
      <c r="B5401" s="68">
        <v>51</v>
      </c>
      <c r="C5401" s="19" t="s">
        <v>1299</v>
      </c>
      <c r="D5401" s="30">
        <v>30</v>
      </c>
      <c r="E5401" s="30">
        <v>8.5</v>
      </c>
      <c r="F5401" s="30">
        <v>255</v>
      </c>
      <c r="G5401" s="30" t="s">
        <v>10</v>
      </c>
      <c r="J5401" s="30" t="s">
        <v>392</v>
      </c>
    </row>
    <row r="5402" spans="1:12" x14ac:dyDescent="0.25">
      <c r="A5402" s="78">
        <v>46254</v>
      </c>
    </row>
    <row r="5403" spans="1:12" s="199" customFormat="1" ht="31.5" x14ac:dyDescent="0.25">
      <c r="A5403" s="196">
        <v>46254</v>
      </c>
      <c r="B5403" s="197" t="s">
        <v>1248</v>
      </c>
      <c r="C5403" s="198">
        <f>MAX(B5334:B5378)</f>
        <v>43</v>
      </c>
      <c r="D5403" s="197" t="s">
        <v>1249</v>
      </c>
      <c r="E5403" s="199">
        <f>SUMIF(G5334:G5378,"UPI",F5334:F5378)</f>
        <v>370</v>
      </c>
      <c r="H5403" s="200" t="s">
        <v>1251</v>
      </c>
      <c r="I5403" s="200">
        <f>SUMIF(G5334:G5403, "&lt;&gt;UPI",F5334:F5403)</f>
        <v>1630.64</v>
      </c>
    </row>
    <row r="5404" spans="1:12" s="5" customFormat="1" ht="15.75" x14ac:dyDescent="0.25">
      <c r="A5404" s="201">
        <v>46254</v>
      </c>
      <c r="B5404" s="2"/>
      <c r="C5404" s="14"/>
      <c r="H5404" s="2" t="s">
        <v>1250</v>
      </c>
      <c r="I5404" s="2">
        <f>SUMIF(G5302:G5403, "&lt;&gt;UPI",F5302:F5403)</f>
        <v>2265.64</v>
      </c>
    </row>
    <row r="5405" spans="1:12" s="202" customFormat="1" ht="18.75" x14ac:dyDescent="0.3">
      <c r="A5405" s="146">
        <v>46254</v>
      </c>
      <c r="B5405" s="147" t="s">
        <v>987</v>
      </c>
      <c r="C5405" s="148">
        <f>MAX(B5302:B5378)</f>
        <v>43</v>
      </c>
      <c r="D5405" s="147" t="s">
        <v>988</v>
      </c>
      <c r="E5405" s="202">
        <f>SUMIF(G5302:G5403,"UPI",F5302:F5403)</f>
        <v>870.64</v>
      </c>
      <c r="F5405" s="230" t="s">
        <v>437</v>
      </c>
      <c r="G5405" s="230"/>
      <c r="H5405" s="230"/>
      <c r="I5405" s="230">
        <f>SUM(F5302:F5403)</f>
        <v>3136.28</v>
      </c>
      <c r="J5405" s="230"/>
      <c r="K5405" s="230"/>
      <c r="L5405" s="230"/>
    </row>
    <row r="5406" spans="1:12" x14ac:dyDescent="0.25">
      <c r="A5406" s="78">
        <v>46255</v>
      </c>
      <c r="B5406" s="68">
        <v>1</v>
      </c>
      <c r="C5406" s="205" t="s">
        <v>728</v>
      </c>
      <c r="D5406" s="30">
        <v>5.8000000000000003E-2</v>
      </c>
      <c r="E5406" s="30">
        <v>170</v>
      </c>
      <c r="F5406" s="30">
        <f>E5406*D5406</f>
        <v>9.8600000000000012</v>
      </c>
      <c r="G5406" s="30" t="s">
        <v>9</v>
      </c>
      <c r="J5406" s="30" t="s">
        <v>391</v>
      </c>
    </row>
    <row r="5407" spans="1:12" x14ac:dyDescent="0.25">
      <c r="A5407" s="78">
        <v>46255</v>
      </c>
      <c r="B5407" s="68">
        <v>2</v>
      </c>
      <c r="C5407" s="205" t="s">
        <v>1288</v>
      </c>
      <c r="D5407" s="30">
        <v>2</v>
      </c>
      <c r="E5407" s="30">
        <v>5</v>
      </c>
      <c r="F5407" s="30">
        <f t="shared" ref="F5407:F5456" si="181">E5407*D5407</f>
        <v>10</v>
      </c>
      <c r="G5407" s="30" t="s">
        <v>9</v>
      </c>
      <c r="J5407" s="30" t="s">
        <v>391</v>
      </c>
    </row>
    <row r="5408" spans="1:12" x14ac:dyDescent="0.25">
      <c r="A5408" s="78">
        <v>46255</v>
      </c>
      <c r="B5408" s="68">
        <v>2</v>
      </c>
      <c r="C5408" s="204" t="s">
        <v>970</v>
      </c>
      <c r="D5408" s="30">
        <v>2</v>
      </c>
      <c r="E5408" s="30">
        <v>10</v>
      </c>
      <c r="F5408" s="30">
        <f t="shared" si="181"/>
        <v>20</v>
      </c>
      <c r="G5408" s="30" t="s">
        <v>9</v>
      </c>
      <c r="J5408" s="30" t="s">
        <v>391</v>
      </c>
    </row>
    <row r="5409" spans="1:10" x14ac:dyDescent="0.25">
      <c r="A5409" s="78">
        <v>46255</v>
      </c>
      <c r="B5409" s="68">
        <v>2</v>
      </c>
      <c r="C5409" s="205" t="s">
        <v>1141</v>
      </c>
      <c r="D5409" s="30">
        <v>1</v>
      </c>
      <c r="E5409" s="30">
        <v>10</v>
      </c>
      <c r="F5409" s="30">
        <f t="shared" si="181"/>
        <v>10</v>
      </c>
      <c r="G5409" s="30" t="s">
        <v>9</v>
      </c>
      <c r="J5409" s="30" t="s">
        <v>391</v>
      </c>
    </row>
    <row r="5410" spans="1:10" ht="30" x14ac:dyDescent="0.25">
      <c r="A5410" s="78">
        <v>46255</v>
      </c>
      <c r="B5410" s="68">
        <v>2</v>
      </c>
      <c r="C5410" s="205" t="s">
        <v>897</v>
      </c>
      <c r="D5410" s="30">
        <v>10</v>
      </c>
      <c r="E5410" s="30">
        <v>1</v>
      </c>
      <c r="F5410" s="30">
        <f t="shared" si="181"/>
        <v>10</v>
      </c>
      <c r="G5410" s="30" t="s">
        <v>9</v>
      </c>
      <c r="J5410" s="30" t="s">
        <v>391</v>
      </c>
    </row>
    <row r="5411" spans="1:10" x14ac:dyDescent="0.25">
      <c r="A5411" s="78">
        <v>46255</v>
      </c>
      <c r="B5411" s="68">
        <v>3</v>
      </c>
      <c r="C5411" s="205" t="s">
        <v>1089</v>
      </c>
      <c r="D5411" s="30">
        <v>0.5</v>
      </c>
      <c r="E5411" s="30">
        <v>70</v>
      </c>
      <c r="F5411" s="30">
        <f t="shared" si="181"/>
        <v>35</v>
      </c>
      <c r="G5411" s="30" t="s">
        <v>9</v>
      </c>
      <c r="J5411" s="30" t="s">
        <v>391</v>
      </c>
    </row>
    <row r="5412" spans="1:10" x14ac:dyDescent="0.25">
      <c r="A5412" s="78">
        <v>46255</v>
      </c>
      <c r="B5412" s="68">
        <v>4</v>
      </c>
      <c r="C5412" s="204" t="s">
        <v>814</v>
      </c>
      <c r="D5412" s="30">
        <v>0.33</v>
      </c>
      <c r="E5412" s="30">
        <v>60</v>
      </c>
      <c r="F5412" s="30">
        <f t="shared" si="181"/>
        <v>19.8</v>
      </c>
      <c r="G5412" s="30" t="s">
        <v>16</v>
      </c>
      <c r="I5412" s="68" t="s">
        <v>1332</v>
      </c>
      <c r="J5412" s="30" t="s">
        <v>391</v>
      </c>
    </row>
    <row r="5413" spans="1:10" x14ac:dyDescent="0.25">
      <c r="A5413" s="78">
        <v>46255</v>
      </c>
      <c r="B5413" s="68">
        <v>5</v>
      </c>
      <c r="C5413" s="205" t="s">
        <v>956</v>
      </c>
      <c r="D5413" s="30">
        <v>1</v>
      </c>
      <c r="E5413" s="30">
        <v>10</v>
      </c>
      <c r="F5413" s="30">
        <f t="shared" si="181"/>
        <v>10</v>
      </c>
      <c r="G5413" s="30" t="s">
        <v>9</v>
      </c>
      <c r="J5413" s="30" t="s">
        <v>391</v>
      </c>
    </row>
    <row r="5414" spans="1:10" x14ac:dyDescent="0.25">
      <c r="A5414" s="78">
        <v>46255</v>
      </c>
      <c r="B5414" s="68">
        <v>6</v>
      </c>
      <c r="C5414" s="205" t="s">
        <v>1090</v>
      </c>
      <c r="D5414" s="30">
        <v>2</v>
      </c>
      <c r="E5414" s="30">
        <v>10</v>
      </c>
      <c r="F5414" s="30">
        <f t="shared" si="181"/>
        <v>20</v>
      </c>
      <c r="G5414" s="30" t="s">
        <v>9</v>
      </c>
      <c r="J5414" s="30" t="s">
        <v>391</v>
      </c>
    </row>
    <row r="5415" spans="1:10" x14ac:dyDescent="0.25">
      <c r="A5415" s="78">
        <v>46255</v>
      </c>
      <c r="B5415" s="68">
        <v>7</v>
      </c>
      <c r="C5415" s="205" t="s">
        <v>1234</v>
      </c>
      <c r="D5415" s="30">
        <v>0.25</v>
      </c>
      <c r="E5415" s="30">
        <v>60</v>
      </c>
      <c r="F5415" s="30">
        <f t="shared" si="181"/>
        <v>15</v>
      </c>
      <c r="G5415" s="30" t="s">
        <v>9</v>
      </c>
      <c r="J5415" s="30" t="s">
        <v>391</v>
      </c>
    </row>
    <row r="5416" spans="1:10" x14ac:dyDescent="0.25">
      <c r="A5416" s="78">
        <v>46255</v>
      </c>
      <c r="B5416" s="68">
        <v>8</v>
      </c>
      <c r="C5416" s="205" t="s">
        <v>1261</v>
      </c>
      <c r="D5416" s="30">
        <v>1</v>
      </c>
      <c r="E5416" s="30">
        <v>10</v>
      </c>
      <c r="F5416" s="30">
        <f t="shared" si="181"/>
        <v>10</v>
      </c>
      <c r="G5416" s="30" t="s">
        <v>9</v>
      </c>
      <c r="J5416" s="30" t="s">
        <v>391</v>
      </c>
    </row>
    <row r="5417" spans="1:10" x14ac:dyDescent="0.25">
      <c r="A5417" s="78">
        <v>46255</v>
      </c>
      <c r="B5417" s="68">
        <v>8</v>
      </c>
      <c r="C5417" s="205" t="s">
        <v>1067</v>
      </c>
      <c r="D5417" s="30">
        <v>1</v>
      </c>
      <c r="E5417" s="30">
        <v>10</v>
      </c>
      <c r="F5417" s="30">
        <f t="shared" si="181"/>
        <v>10</v>
      </c>
      <c r="G5417" s="30" t="s">
        <v>9</v>
      </c>
      <c r="J5417" s="30" t="s">
        <v>391</v>
      </c>
    </row>
    <row r="5418" spans="1:10" x14ac:dyDescent="0.25">
      <c r="A5418" s="78">
        <v>46255</v>
      </c>
      <c r="B5418" s="68">
        <v>9</v>
      </c>
      <c r="C5418" s="205" t="s">
        <v>1141</v>
      </c>
      <c r="D5418" s="30">
        <v>1</v>
      </c>
      <c r="E5418" s="30">
        <v>10</v>
      </c>
      <c r="F5418" s="30">
        <f t="shared" si="181"/>
        <v>10</v>
      </c>
      <c r="G5418" s="30" t="s">
        <v>9</v>
      </c>
      <c r="J5418" s="30" t="s">
        <v>391</v>
      </c>
    </row>
    <row r="5419" spans="1:10" x14ac:dyDescent="0.25">
      <c r="A5419" s="78">
        <v>46255</v>
      </c>
      <c r="B5419" s="68">
        <v>9</v>
      </c>
      <c r="C5419" s="205" t="s">
        <v>1263</v>
      </c>
      <c r="D5419" s="30">
        <v>5</v>
      </c>
      <c r="E5419" s="30">
        <v>2</v>
      </c>
      <c r="F5419" s="30">
        <f t="shared" si="181"/>
        <v>10</v>
      </c>
      <c r="G5419" s="30" t="s">
        <v>9</v>
      </c>
      <c r="J5419" s="30" t="s">
        <v>391</v>
      </c>
    </row>
    <row r="5420" spans="1:10" x14ac:dyDescent="0.25">
      <c r="A5420" s="78">
        <v>46255</v>
      </c>
      <c r="B5420" s="68">
        <v>9</v>
      </c>
      <c r="C5420" s="205" t="s">
        <v>1289</v>
      </c>
      <c r="D5420" s="30">
        <v>1</v>
      </c>
      <c r="E5420" s="30">
        <v>10</v>
      </c>
      <c r="F5420" s="30">
        <f t="shared" si="181"/>
        <v>10</v>
      </c>
      <c r="G5420" s="30" t="s">
        <v>9</v>
      </c>
      <c r="J5420" s="30" t="s">
        <v>391</v>
      </c>
    </row>
    <row r="5421" spans="1:10" ht="30" x14ac:dyDescent="0.25">
      <c r="A5421" s="78">
        <v>46255</v>
      </c>
      <c r="B5421" s="68">
        <v>10</v>
      </c>
      <c r="C5421" s="205" t="s">
        <v>1064</v>
      </c>
      <c r="D5421" s="30">
        <v>1</v>
      </c>
      <c r="E5421" s="30">
        <v>45</v>
      </c>
      <c r="F5421" s="30">
        <f t="shared" si="181"/>
        <v>45</v>
      </c>
      <c r="G5421" s="30" t="s">
        <v>9</v>
      </c>
      <c r="J5421" s="30" t="s">
        <v>391</v>
      </c>
    </row>
    <row r="5422" spans="1:10" x14ac:dyDescent="0.25">
      <c r="A5422" s="78">
        <v>46255</v>
      </c>
      <c r="B5422" s="68">
        <v>10</v>
      </c>
      <c r="C5422" s="205" t="s">
        <v>1255</v>
      </c>
      <c r="D5422" s="30">
        <v>1</v>
      </c>
      <c r="E5422" s="30">
        <v>5</v>
      </c>
      <c r="F5422" s="30">
        <f t="shared" si="181"/>
        <v>5</v>
      </c>
      <c r="G5422" s="30" t="s">
        <v>9</v>
      </c>
      <c r="J5422" s="30" t="s">
        <v>391</v>
      </c>
    </row>
    <row r="5423" spans="1:10" x14ac:dyDescent="0.25">
      <c r="A5423" s="78">
        <v>46255</v>
      </c>
      <c r="B5423" s="68">
        <v>11</v>
      </c>
      <c r="C5423" s="205" t="s">
        <v>1229</v>
      </c>
      <c r="D5423" s="30">
        <v>1</v>
      </c>
      <c r="E5423" s="30">
        <v>40</v>
      </c>
      <c r="F5423" s="30">
        <f t="shared" si="181"/>
        <v>40</v>
      </c>
      <c r="G5423" s="30" t="s">
        <v>9</v>
      </c>
      <c r="J5423" s="30" t="s">
        <v>391</v>
      </c>
    </row>
    <row r="5424" spans="1:10" x14ac:dyDescent="0.25">
      <c r="A5424" s="78">
        <v>46255</v>
      </c>
      <c r="B5424" s="68">
        <v>11</v>
      </c>
      <c r="C5424" s="205" t="s">
        <v>1047</v>
      </c>
      <c r="D5424" s="30">
        <v>1</v>
      </c>
      <c r="E5424" s="30">
        <v>60</v>
      </c>
      <c r="F5424" s="30">
        <f t="shared" si="181"/>
        <v>60</v>
      </c>
      <c r="G5424" s="30" t="s">
        <v>9</v>
      </c>
      <c r="J5424" s="30" t="s">
        <v>391</v>
      </c>
    </row>
    <row r="5425" spans="1:10" x14ac:dyDescent="0.25">
      <c r="A5425" s="78">
        <v>46255</v>
      </c>
      <c r="B5425" s="68">
        <v>12</v>
      </c>
      <c r="C5425" s="205" t="s">
        <v>1136</v>
      </c>
      <c r="D5425" s="30">
        <v>1</v>
      </c>
      <c r="E5425" s="30">
        <v>10</v>
      </c>
      <c r="F5425" s="30">
        <f t="shared" si="181"/>
        <v>10</v>
      </c>
      <c r="G5425" s="30" t="s">
        <v>9</v>
      </c>
      <c r="J5425" s="30" t="s">
        <v>391</v>
      </c>
    </row>
    <row r="5426" spans="1:10" x14ac:dyDescent="0.25">
      <c r="A5426" s="78">
        <v>46255</v>
      </c>
      <c r="B5426" s="68">
        <v>13</v>
      </c>
      <c r="C5426" s="205" t="s">
        <v>1090</v>
      </c>
      <c r="D5426" s="30">
        <v>5</v>
      </c>
      <c r="E5426" s="30">
        <v>10</v>
      </c>
      <c r="F5426" s="30">
        <f t="shared" si="181"/>
        <v>50</v>
      </c>
      <c r="G5426" s="30" t="s">
        <v>9</v>
      </c>
      <c r="J5426" s="30" t="s">
        <v>391</v>
      </c>
    </row>
    <row r="5427" spans="1:10" x14ac:dyDescent="0.25">
      <c r="A5427" s="78">
        <v>46255</v>
      </c>
      <c r="B5427" s="68">
        <v>13</v>
      </c>
      <c r="C5427" s="204" t="s">
        <v>970</v>
      </c>
      <c r="D5427" s="30">
        <v>5</v>
      </c>
      <c r="E5427" s="30">
        <v>10</v>
      </c>
      <c r="F5427" s="30">
        <f t="shared" si="181"/>
        <v>50</v>
      </c>
      <c r="G5427" s="30" t="s">
        <v>9</v>
      </c>
      <c r="J5427" s="30" t="s">
        <v>391</v>
      </c>
    </row>
    <row r="5428" spans="1:10" x14ac:dyDescent="0.25">
      <c r="A5428" s="78">
        <v>46255</v>
      </c>
      <c r="B5428" s="68">
        <v>14</v>
      </c>
      <c r="C5428" s="19" t="s">
        <v>1299</v>
      </c>
      <c r="D5428" s="30">
        <v>2</v>
      </c>
      <c r="E5428" s="30">
        <v>10</v>
      </c>
      <c r="F5428" s="30">
        <f t="shared" si="181"/>
        <v>20</v>
      </c>
      <c r="G5428" s="30" t="s">
        <v>9</v>
      </c>
      <c r="J5428" s="30" t="s">
        <v>391</v>
      </c>
    </row>
    <row r="5429" spans="1:10" x14ac:dyDescent="0.25">
      <c r="A5429" s="78">
        <v>46255</v>
      </c>
      <c r="B5429" s="68">
        <v>15</v>
      </c>
      <c r="C5429" s="205" t="s">
        <v>1052</v>
      </c>
      <c r="D5429" s="30">
        <v>2</v>
      </c>
      <c r="E5429" s="30">
        <v>10</v>
      </c>
      <c r="F5429" s="30">
        <f t="shared" si="181"/>
        <v>20</v>
      </c>
      <c r="G5429" s="30" t="s">
        <v>9</v>
      </c>
      <c r="J5429" s="30" t="s">
        <v>391</v>
      </c>
    </row>
    <row r="5430" spans="1:10" ht="30" x14ac:dyDescent="0.25">
      <c r="A5430" s="78">
        <v>46255</v>
      </c>
      <c r="B5430" s="68">
        <v>16</v>
      </c>
      <c r="C5430" s="205" t="s">
        <v>599</v>
      </c>
      <c r="D5430" s="30">
        <v>1</v>
      </c>
      <c r="E5430" s="30">
        <v>185</v>
      </c>
      <c r="F5430" s="30">
        <f t="shared" si="181"/>
        <v>185</v>
      </c>
      <c r="G5430" s="30" t="s">
        <v>10</v>
      </c>
      <c r="J5430" s="30" t="s">
        <v>391</v>
      </c>
    </row>
    <row r="5431" spans="1:10" x14ac:dyDescent="0.25">
      <c r="A5431" s="78">
        <v>46255</v>
      </c>
      <c r="B5431" s="68">
        <v>16</v>
      </c>
      <c r="C5431" s="205" t="s">
        <v>159</v>
      </c>
      <c r="D5431" s="30">
        <v>0.5</v>
      </c>
      <c r="E5431" s="30">
        <v>160</v>
      </c>
      <c r="F5431" s="30">
        <f t="shared" si="181"/>
        <v>80</v>
      </c>
      <c r="G5431" s="30" t="s">
        <v>10</v>
      </c>
      <c r="J5431" s="30" t="s">
        <v>391</v>
      </c>
    </row>
    <row r="5432" spans="1:10" x14ac:dyDescent="0.25">
      <c r="A5432" s="78">
        <v>46255</v>
      </c>
      <c r="B5432" s="68">
        <v>17</v>
      </c>
      <c r="C5432" s="205" t="s">
        <v>820</v>
      </c>
      <c r="D5432" s="30">
        <v>1</v>
      </c>
      <c r="E5432" s="30">
        <v>52</v>
      </c>
      <c r="F5432" s="30">
        <f t="shared" si="181"/>
        <v>52</v>
      </c>
      <c r="G5432" s="30" t="s">
        <v>16</v>
      </c>
      <c r="I5432" s="68" t="s">
        <v>1202</v>
      </c>
      <c r="J5432" s="30" t="s">
        <v>391</v>
      </c>
    </row>
    <row r="5433" spans="1:10" x14ac:dyDescent="0.25">
      <c r="A5433" s="78">
        <v>46255</v>
      </c>
      <c r="B5433" s="68">
        <v>18</v>
      </c>
      <c r="C5433" s="205" t="s">
        <v>1234</v>
      </c>
      <c r="D5433" s="30">
        <v>1</v>
      </c>
      <c r="E5433" s="30">
        <v>60</v>
      </c>
      <c r="F5433" s="30">
        <f t="shared" si="181"/>
        <v>60</v>
      </c>
      <c r="G5433" s="30" t="s">
        <v>9</v>
      </c>
      <c r="J5433" s="30" t="s">
        <v>391</v>
      </c>
    </row>
    <row r="5434" spans="1:10" x14ac:dyDescent="0.25">
      <c r="A5434" s="78">
        <v>46255</v>
      </c>
      <c r="B5434" s="68">
        <v>18</v>
      </c>
      <c r="C5434" s="205" t="s">
        <v>1263</v>
      </c>
      <c r="D5434" s="30">
        <v>3</v>
      </c>
      <c r="E5434" s="30">
        <v>2</v>
      </c>
      <c r="F5434" s="30">
        <f t="shared" si="181"/>
        <v>6</v>
      </c>
      <c r="G5434" s="30" t="s">
        <v>9</v>
      </c>
      <c r="J5434" s="30" t="s">
        <v>391</v>
      </c>
    </row>
    <row r="5435" spans="1:10" x14ac:dyDescent="0.25">
      <c r="A5435" s="78">
        <v>46255</v>
      </c>
      <c r="B5435" s="68">
        <v>18</v>
      </c>
      <c r="C5435" s="205" t="s">
        <v>524</v>
      </c>
      <c r="D5435" s="30">
        <v>4</v>
      </c>
      <c r="E5435" s="30">
        <v>1</v>
      </c>
      <c r="F5435" s="30">
        <f t="shared" si="181"/>
        <v>4</v>
      </c>
      <c r="G5435" s="30" t="s">
        <v>9</v>
      </c>
      <c r="J5435" s="30" t="s">
        <v>391</v>
      </c>
    </row>
    <row r="5436" spans="1:10" x14ac:dyDescent="0.25">
      <c r="A5436" s="78">
        <v>46255</v>
      </c>
      <c r="B5436" s="68">
        <v>19</v>
      </c>
      <c r="C5436" s="205" t="s">
        <v>503</v>
      </c>
      <c r="D5436" s="30">
        <v>1</v>
      </c>
      <c r="E5436" s="30">
        <v>10</v>
      </c>
      <c r="F5436" s="30">
        <f t="shared" si="181"/>
        <v>10</v>
      </c>
      <c r="G5436" s="30" t="s">
        <v>9</v>
      </c>
      <c r="J5436" s="30" t="s">
        <v>391</v>
      </c>
    </row>
    <row r="5437" spans="1:10" x14ac:dyDescent="0.25">
      <c r="A5437" s="78">
        <v>46255</v>
      </c>
      <c r="B5437" s="68">
        <v>19</v>
      </c>
      <c r="C5437" s="205" t="s">
        <v>375</v>
      </c>
      <c r="D5437" s="30">
        <v>2</v>
      </c>
      <c r="E5437" s="30">
        <v>1</v>
      </c>
      <c r="F5437" s="30">
        <f t="shared" si="181"/>
        <v>2</v>
      </c>
      <c r="G5437" s="30" t="s">
        <v>9</v>
      </c>
      <c r="J5437" s="30" t="s">
        <v>391</v>
      </c>
    </row>
    <row r="5438" spans="1:10" ht="30" x14ac:dyDescent="0.25">
      <c r="A5438" s="78">
        <v>46255</v>
      </c>
      <c r="B5438" s="68">
        <v>20</v>
      </c>
      <c r="C5438" s="205" t="s">
        <v>1333</v>
      </c>
      <c r="D5438" s="30">
        <v>1</v>
      </c>
      <c r="E5438" s="30">
        <v>120</v>
      </c>
      <c r="F5438" s="30">
        <f t="shared" si="181"/>
        <v>120</v>
      </c>
      <c r="G5438" s="30" t="s">
        <v>9</v>
      </c>
      <c r="J5438" s="30" t="s">
        <v>391</v>
      </c>
    </row>
    <row r="5439" spans="1:10" x14ac:dyDescent="0.25">
      <c r="A5439" s="78">
        <v>46255</v>
      </c>
      <c r="B5439" s="68">
        <v>20</v>
      </c>
      <c r="C5439" s="205" t="s">
        <v>110</v>
      </c>
      <c r="D5439" s="30">
        <v>2</v>
      </c>
      <c r="E5439" s="30">
        <v>5</v>
      </c>
      <c r="F5439" s="30">
        <f t="shared" si="181"/>
        <v>10</v>
      </c>
      <c r="G5439" s="30" t="s">
        <v>9</v>
      </c>
      <c r="J5439" s="30" t="s">
        <v>391</v>
      </c>
    </row>
    <row r="5440" spans="1:10" x14ac:dyDescent="0.25">
      <c r="A5440" s="78">
        <v>46255</v>
      </c>
      <c r="B5440" s="68">
        <v>21</v>
      </c>
      <c r="C5440" s="205" t="s">
        <v>1260</v>
      </c>
      <c r="D5440" s="30">
        <v>2</v>
      </c>
      <c r="E5440" s="30">
        <v>5</v>
      </c>
      <c r="F5440" s="30">
        <f t="shared" si="181"/>
        <v>10</v>
      </c>
      <c r="G5440" s="30" t="s">
        <v>9</v>
      </c>
      <c r="J5440" s="30" t="s">
        <v>391</v>
      </c>
    </row>
    <row r="5441" spans="1:10" x14ac:dyDescent="0.25">
      <c r="A5441" s="78">
        <v>46255</v>
      </c>
      <c r="B5441" s="68">
        <v>21</v>
      </c>
      <c r="C5441" s="205" t="s">
        <v>533</v>
      </c>
      <c r="D5441" s="30">
        <v>1</v>
      </c>
      <c r="E5441" s="30">
        <v>10</v>
      </c>
      <c r="F5441" s="30">
        <f t="shared" si="181"/>
        <v>10</v>
      </c>
      <c r="G5441" s="30" t="s">
        <v>9</v>
      </c>
      <c r="J5441" s="30" t="s">
        <v>391</v>
      </c>
    </row>
    <row r="5442" spans="1:10" x14ac:dyDescent="0.25">
      <c r="A5442" s="78">
        <v>46255</v>
      </c>
      <c r="B5442" s="68">
        <v>22</v>
      </c>
      <c r="C5442" s="205" t="s">
        <v>753</v>
      </c>
      <c r="D5442" s="30">
        <v>1</v>
      </c>
      <c r="E5442" s="30">
        <v>10</v>
      </c>
      <c r="F5442" s="30">
        <f t="shared" si="181"/>
        <v>10</v>
      </c>
      <c r="G5442" s="30" t="s">
        <v>9</v>
      </c>
      <c r="J5442" s="30" t="s">
        <v>391</v>
      </c>
    </row>
    <row r="5443" spans="1:10" x14ac:dyDescent="0.25">
      <c r="A5443" s="78">
        <v>46255</v>
      </c>
      <c r="B5443" s="68">
        <v>23</v>
      </c>
      <c r="C5443" s="205" t="s">
        <v>1067</v>
      </c>
      <c r="D5443" s="30">
        <v>1</v>
      </c>
      <c r="E5443" s="30">
        <v>10</v>
      </c>
      <c r="F5443" s="30">
        <f t="shared" si="181"/>
        <v>10</v>
      </c>
      <c r="G5443" s="30" t="s">
        <v>16</v>
      </c>
      <c r="I5443" s="68" t="s">
        <v>1203</v>
      </c>
      <c r="J5443" s="30" t="s">
        <v>391</v>
      </c>
    </row>
    <row r="5444" spans="1:10" x14ac:dyDescent="0.25">
      <c r="A5444" s="78">
        <v>46255</v>
      </c>
      <c r="B5444" s="68">
        <v>24</v>
      </c>
      <c r="C5444" s="205" t="s">
        <v>1175</v>
      </c>
      <c r="D5444" s="30">
        <v>1</v>
      </c>
      <c r="E5444" s="30">
        <v>25</v>
      </c>
      <c r="F5444" s="30">
        <f t="shared" si="181"/>
        <v>25</v>
      </c>
      <c r="G5444" s="30" t="s">
        <v>10</v>
      </c>
      <c r="J5444" s="30" t="s">
        <v>391</v>
      </c>
    </row>
    <row r="5445" spans="1:10" x14ac:dyDescent="0.25">
      <c r="A5445" s="78">
        <v>46255</v>
      </c>
      <c r="B5445" s="68">
        <v>24</v>
      </c>
      <c r="C5445" s="205" t="s">
        <v>1280</v>
      </c>
      <c r="D5445" s="30">
        <v>1</v>
      </c>
      <c r="E5445" s="30">
        <v>10</v>
      </c>
      <c r="F5445" s="30">
        <f t="shared" si="181"/>
        <v>10</v>
      </c>
      <c r="G5445" s="30" t="s">
        <v>9</v>
      </c>
      <c r="J5445" s="30" t="s">
        <v>391</v>
      </c>
    </row>
    <row r="5446" spans="1:10" x14ac:dyDescent="0.25">
      <c r="A5446" s="78">
        <v>46255</v>
      </c>
      <c r="B5446" s="68">
        <v>24</v>
      </c>
      <c r="C5446" s="205" t="s">
        <v>783</v>
      </c>
      <c r="D5446" s="30">
        <v>1</v>
      </c>
      <c r="E5446" s="30">
        <v>10</v>
      </c>
      <c r="F5446" s="30">
        <f t="shared" si="181"/>
        <v>10</v>
      </c>
      <c r="G5446" s="30" t="s">
        <v>9</v>
      </c>
      <c r="J5446" s="30" t="s">
        <v>391</v>
      </c>
    </row>
    <row r="5447" spans="1:10" x14ac:dyDescent="0.25">
      <c r="A5447" s="78">
        <v>46255</v>
      </c>
      <c r="B5447" s="68">
        <v>25</v>
      </c>
      <c r="C5447" s="205" t="s">
        <v>1263</v>
      </c>
      <c r="D5447" s="30">
        <v>5</v>
      </c>
      <c r="E5447" s="30">
        <v>2</v>
      </c>
      <c r="F5447" s="30">
        <f t="shared" si="181"/>
        <v>10</v>
      </c>
      <c r="G5447" s="30" t="s">
        <v>9</v>
      </c>
      <c r="J5447" s="30" t="s">
        <v>391</v>
      </c>
    </row>
    <row r="5448" spans="1:10" x14ac:dyDescent="0.25">
      <c r="A5448" s="78">
        <v>46255</v>
      </c>
      <c r="B5448" s="68">
        <v>25</v>
      </c>
      <c r="C5448" s="205" t="s">
        <v>1316</v>
      </c>
      <c r="D5448" s="30">
        <v>1</v>
      </c>
      <c r="E5448" s="30">
        <v>10</v>
      </c>
      <c r="F5448" s="30">
        <f t="shared" si="181"/>
        <v>10</v>
      </c>
      <c r="G5448" s="30" t="s">
        <v>9</v>
      </c>
      <c r="J5448" s="30" t="s">
        <v>391</v>
      </c>
    </row>
    <row r="5449" spans="1:10" x14ac:dyDescent="0.25">
      <c r="A5449" s="78">
        <v>46255</v>
      </c>
      <c r="B5449" s="68">
        <v>26</v>
      </c>
      <c r="C5449" s="205" t="s">
        <v>753</v>
      </c>
      <c r="D5449" s="30">
        <v>1</v>
      </c>
      <c r="E5449" s="30">
        <v>10</v>
      </c>
      <c r="F5449" s="30">
        <f t="shared" si="181"/>
        <v>10</v>
      </c>
      <c r="G5449" s="30" t="s">
        <v>9</v>
      </c>
      <c r="J5449" s="30" t="s">
        <v>391</v>
      </c>
    </row>
    <row r="5450" spans="1:10" x14ac:dyDescent="0.25">
      <c r="A5450" s="78">
        <v>46255</v>
      </c>
      <c r="B5450" s="68">
        <v>27</v>
      </c>
      <c r="C5450" s="205" t="s">
        <v>1198</v>
      </c>
      <c r="D5450" s="30">
        <v>1</v>
      </c>
      <c r="E5450" s="30">
        <v>10</v>
      </c>
      <c r="F5450" s="30">
        <f t="shared" si="181"/>
        <v>10</v>
      </c>
      <c r="G5450" s="30" t="s">
        <v>9</v>
      </c>
      <c r="J5450" s="30" t="s">
        <v>391</v>
      </c>
    </row>
    <row r="5451" spans="1:10" x14ac:dyDescent="0.25">
      <c r="A5451" s="78">
        <v>46255</v>
      </c>
      <c r="B5451" s="68">
        <v>28</v>
      </c>
      <c r="C5451" s="205" t="s">
        <v>25</v>
      </c>
      <c r="D5451" s="30">
        <v>2</v>
      </c>
      <c r="E5451" s="30">
        <v>10</v>
      </c>
      <c r="F5451" s="30">
        <f t="shared" si="181"/>
        <v>20</v>
      </c>
      <c r="G5451" s="30" t="s">
        <v>9</v>
      </c>
      <c r="J5451" s="30" t="s">
        <v>391</v>
      </c>
    </row>
    <row r="5452" spans="1:10" x14ac:dyDescent="0.25">
      <c r="A5452" s="78">
        <v>46255</v>
      </c>
      <c r="B5452" s="68">
        <v>29</v>
      </c>
      <c r="C5452" s="205" t="s">
        <v>1312</v>
      </c>
      <c r="D5452" s="30">
        <v>1</v>
      </c>
      <c r="E5452" s="30">
        <v>20</v>
      </c>
      <c r="F5452" s="30">
        <f t="shared" si="181"/>
        <v>20</v>
      </c>
      <c r="G5452" s="30" t="s">
        <v>9</v>
      </c>
      <c r="J5452" s="30" t="s">
        <v>391</v>
      </c>
    </row>
    <row r="5453" spans="1:10" ht="30" x14ac:dyDescent="0.25">
      <c r="A5453" s="78">
        <v>46255</v>
      </c>
      <c r="B5453" s="68">
        <v>29</v>
      </c>
      <c r="C5453" s="205" t="s">
        <v>1256</v>
      </c>
      <c r="D5453" s="30">
        <v>2</v>
      </c>
      <c r="E5453" s="30">
        <v>10</v>
      </c>
      <c r="F5453" s="30">
        <f t="shared" si="181"/>
        <v>20</v>
      </c>
      <c r="G5453" s="30" t="s">
        <v>9</v>
      </c>
      <c r="J5453" s="30" t="s">
        <v>391</v>
      </c>
    </row>
    <row r="5454" spans="1:10" x14ac:dyDescent="0.25">
      <c r="A5454" s="78">
        <v>46255</v>
      </c>
      <c r="B5454" s="68">
        <v>29</v>
      </c>
      <c r="C5454" s="205" t="s">
        <v>1255</v>
      </c>
      <c r="D5454" s="30">
        <v>1</v>
      </c>
      <c r="E5454" s="30">
        <v>10</v>
      </c>
      <c r="F5454" s="30">
        <f t="shared" si="181"/>
        <v>10</v>
      </c>
      <c r="G5454" s="30" t="s">
        <v>9</v>
      </c>
      <c r="J5454" s="30" t="s">
        <v>391</v>
      </c>
    </row>
    <row r="5455" spans="1:10" x14ac:dyDescent="0.25">
      <c r="A5455" s="78">
        <v>46255</v>
      </c>
      <c r="B5455" s="68">
        <v>30</v>
      </c>
      <c r="F5455" s="30">
        <f t="shared" si="181"/>
        <v>0</v>
      </c>
      <c r="G5455" s="30" t="s">
        <v>9</v>
      </c>
      <c r="J5455" s="30" t="s">
        <v>391</v>
      </c>
    </row>
    <row r="5456" spans="1:10" x14ac:dyDescent="0.25">
      <c r="A5456" s="78">
        <v>46255</v>
      </c>
      <c r="B5456" s="68">
        <v>30</v>
      </c>
      <c r="F5456" s="30">
        <f t="shared" si="181"/>
        <v>0</v>
      </c>
      <c r="G5456" s="30" t="s">
        <v>9</v>
      </c>
      <c r="J5456" s="30" t="s">
        <v>391</v>
      </c>
    </row>
    <row r="5457" spans="1:10" s="199" customFormat="1" ht="31.5" x14ac:dyDescent="0.25">
      <c r="A5457" s="196">
        <v>46255</v>
      </c>
      <c r="B5457" s="197" t="s">
        <v>1245</v>
      </c>
      <c r="C5457" s="198">
        <f>MAX(B5406:B5456)</f>
        <v>30</v>
      </c>
      <c r="D5457" s="197" t="s">
        <v>1246</v>
      </c>
      <c r="E5457" s="199">
        <f>SUMIF(G5406:G5456,"UPI",F5406:F5456)</f>
        <v>290</v>
      </c>
      <c r="H5457" s="200" t="s">
        <v>1247</v>
      </c>
      <c r="I5457" s="200">
        <f>SUMIF(G5406:G5456, "&lt;&gt;UPI",F5406:F5456)</f>
        <v>943.66</v>
      </c>
    </row>
    <row r="5458" spans="1:10" x14ac:dyDescent="0.25">
      <c r="A5458" s="78">
        <v>46255</v>
      </c>
      <c r="B5458" s="68">
        <v>30</v>
      </c>
      <c r="C5458" s="205" t="s">
        <v>1334</v>
      </c>
      <c r="D5458" s="30">
        <v>2</v>
      </c>
      <c r="E5458" s="30">
        <v>5</v>
      </c>
      <c r="F5458" s="30">
        <f>E5458*D5458</f>
        <v>10</v>
      </c>
      <c r="G5458" s="30" t="s">
        <v>9</v>
      </c>
      <c r="I5458" s="68" t="s">
        <v>1200</v>
      </c>
      <c r="J5458" s="30" t="s">
        <v>392</v>
      </c>
    </row>
    <row r="5459" spans="1:10" x14ac:dyDescent="0.25">
      <c r="A5459" s="78">
        <v>46255</v>
      </c>
      <c r="B5459" s="68">
        <v>30</v>
      </c>
      <c r="C5459" s="205" t="s">
        <v>590</v>
      </c>
      <c r="D5459" s="30">
        <v>0.5</v>
      </c>
      <c r="E5459" s="30">
        <v>44</v>
      </c>
      <c r="F5459" s="30">
        <f t="shared" ref="F5459:F5500" si="182">E5459*D5459</f>
        <v>22</v>
      </c>
      <c r="G5459" s="30" t="s">
        <v>16</v>
      </c>
      <c r="I5459" s="68" t="s">
        <v>1200</v>
      </c>
      <c r="J5459" s="30" t="s">
        <v>392</v>
      </c>
    </row>
    <row r="5460" spans="1:10" x14ac:dyDescent="0.25">
      <c r="A5460" s="78">
        <v>46255</v>
      </c>
      <c r="B5460" s="68">
        <v>31</v>
      </c>
      <c r="C5460" s="205" t="s">
        <v>1335</v>
      </c>
      <c r="D5460" s="30">
        <v>2</v>
      </c>
      <c r="E5460" s="30">
        <v>5</v>
      </c>
      <c r="F5460" s="30">
        <f t="shared" si="182"/>
        <v>10</v>
      </c>
      <c r="G5460" s="30" t="s">
        <v>9</v>
      </c>
      <c r="J5460" s="30" t="s">
        <v>392</v>
      </c>
    </row>
    <row r="5461" spans="1:10" x14ac:dyDescent="0.25">
      <c r="A5461" s="78">
        <v>46255</v>
      </c>
      <c r="B5461" s="68">
        <v>31</v>
      </c>
      <c r="C5461" s="205" t="s">
        <v>1141</v>
      </c>
      <c r="D5461" s="30">
        <v>1</v>
      </c>
      <c r="E5461" s="30">
        <v>10</v>
      </c>
      <c r="F5461" s="30">
        <f t="shared" si="182"/>
        <v>10</v>
      </c>
      <c r="G5461" s="30" t="s">
        <v>9</v>
      </c>
      <c r="J5461" s="30" t="s">
        <v>392</v>
      </c>
    </row>
    <row r="5462" spans="1:10" x14ac:dyDescent="0.25">
      <c r="A5462" s="78">
        <v>46255</v>
      </c>
      <c r="B5462" s="68">
        <v>32</v>
      </c>
      <c r="C5462" s="205" t="s">
        <v>348</v>
      </c>
      <c r="D5462" s="30">
        <v>5</v>
      </c>
      <c r="E5462" s="30">
        <v>1</v>
      </c>
      <c r="F5462" s="30">
        <f t="shared" si="182"/>
        <v>5</v>
      </c>
      <c r="G5462" s="30" t="s">
        <v>9</v>
      </c>
      <c r="J5462" s="30" t="s">
        <v>392</v>
      </c>
    </row>
    <row r="5463" spans="1:10" x14ac:dyDescent="0.25">
      <c r="A5463" s="78">
        <v>46255</v>
      </c>
      <c r="B5463" s="68">
        <v>33</v>
      </c>
      <c r="C5463" s="205" t="s">
        <v>1059</v>
      </c>
      <c r="D5463" s="30">
        <v>1</v>
      </c>
      <c r="E5463" s="30">
        <v>10</v>
      </c>
      <c r="F5463" s="30">
        <f t="shared" si="182"/>
        <v>10</v>
      </c>
      <c r="G5463" s="30" t="s">
        <v>9</v>
      </c>
      <c r="J5463" s="30" t="s">
        <v>392</v>
      </c>
    </row>
    <row r="5464" spans="1:10" x14ac:dyDescent="0.25">
      <c r="A5464" s="78">
        <v>46255</v>
      </c>
      <c r="B5464" s="68">
        <v>33</v>
      </c>
      <c r="C5464" s="205" t="s">
        <v>95</v>
      </c>
      <c r="D5464" s="30">
        <v>1</v>
      </c>
      <c r="E5464" s="30">
        <v>10</v>
      </c>
      <c r="F5464" s="30">
        <f t="shared" si="182"/>
        <v>10</v>
      </c>
      <c r="G5464" s="30" t="s">
        <v>9</v>
      </c>
      <c r="J5464" s="30" t="s">
        <v>392</v>
      </c>
    </row>
    <row r="5465" spans="1:10" x14ac:dyDescent="0.25">
      <c r="A5465" s="78">
        <v>46255</v>
      </c>
      <c r="B5465" s="68">
        <v>34</v>
      </c>
      <c r="C5465" s="205" t="s">
        <v>702</v>
      </c>
      <c r="D5465" s="30">
        <v>2</v>
      </c>
      <c r="E5465" s="30">
        <v>10</v>
      </c>
      <c r="F5465" s="30">
        <f t="shared" si="182"/>
        <v>20</v>
      </c>
      <c r="G5465" s="30" t="s">
        <v>9</v>
      </c>
      <c r="J5465" s="30" t="s">
        <v>392</v>
      </c>
    </row>
    <row r="5466" spans="1:10" x14ac:dyDescent="0.25">
      <c r="A5466" s="78">
        <v>46255</v>
      </c>
      <c r="B5466" s="68">
        <v>34</v>
      </c>
      <c r="C5466" s="19" t="s">
        <v>1299</v>
      </c>
      <c r="D5466" s="30">
        <v>2</v>
      </c>
      <c r="E5466" s="30">
        <v>10</v>
      </c>
      <c r="F5466" s="30">
        <f t="shared" si="182"/>
        <v>20</v>
      </c>
      <c r="G5466" s="30" t="s">
        <v>9</v>
      </c>
      <c r="J5466" s="30" t="s">
        <v>392</v>
      </c>
    </row>
    <row r="5467" spans="1:10" x14ac:dyDescent="0.25">
      <c r="A5467" s="78">
        <v>46255</v>
      </c>
      <c r="B5467" s="68">
        <v>34</v>
      </c>
      <c r="C5467" s="205" t="s">
        <v>1142</v>
      </c>
      <c r="D5467" s="30">
        <v>1</v>
      </c>
      <c r="E5467" s="30">
        <v>5</v>
      </c>
      <c r="F5467" s="30">
        <f t="shared" si="182"/>
        <v>5</v>
      </c>
      <c r="G5467" s="30" t="s">
        <v>9</v>
      </c>
      <c r="J5467" s="30" t="s">
        <v>392</v>
      </c>
    </row>
    <row r="5468" spans="1:10" x14ac:dyDescent="0.25">
      <c r="A5468" s="78">
        <v>46255</v>
      </c>
      <c r="B5468" s="68">
        <v>34</v>
      </c>
      <c r="C5468" s="205" t="s">
        <v>1263</v>
      </c>
      <c r="D5468" s="30">
        <v>3</v>
      </c>
      <c r="E5468" s="30">
        <v>2</v>
      </c>
      <c r="F5468" s="30">
        <f t="shared" si="182"/>
        <v>6</v>
      </c>
      <c r="G5468" s="30" t="s">
        <v>9</v>
      </c>
      <c r="I5468" s="68" t="s">
        <v>1336</v>
      </c>
      <c r="J5468" s="30" t="s">
        <v>392</v>
      </c>
    </row>
    <row r="5469" spans="1:10" x14ac:dyDescent="0.25">
      <c r="A5469" s="78">
        <v>46255</v>
      </c>
      <c r="B5469" s="68">
        <v>35</v>
      </c>
      <c r="C5469" s="205" t="s">
        <v>753</v>
      </c>
      <c r="D5469" s="30">
        <v>1</v>
      </c>
      <c r="E5469" s="30">
        <v>10</v>
      </c>
      <c r="F5469" s="30">
        <f t="shared" si="182"/>
        <v>10</v>
      </c>
      <c r="G5469" s="30" t="s">
        <v>9</v>
      </c>
      <c r="J5469" s="30" t="s">
        <v>392</v>
      </c>
    </row>
    <row r="5470" spans="1:10" x14ac:dyDescent="0.25">
      <c r="A5470" s="78">
        <v>46255</v>
      </c>
      <c r="B5470" s="68">
        <v>35</v>
      </c>
      <c r="C5470" s="205" t="s">
        <v>953</v>
      </c>
      <c r="D5470" s="30">
        <v>1</v>
      </c>
      <c r="E5470" s="30">
        <v>10</v>
      </c>
      <c r="F5470" s="30">
        <f t="shared" si="182"/>
        <v>10</v>
      </c>
      <c r="G5470" s="30" t="s">
        <v>9</v>
      </c>
      <c r="J5470" s="30" t="s">
        <v>392</v>
      </c>
    </row>
    <row r="5471" spans="1:10" x14ac:dyDescent="0.25">
      <c r="A5471" s="78">
        <v>46255</v>
      </c>
      <c r="B5471" s="68">
        <v>36</v>
      </c>
      <c r="C5471" s="205" t="s">
        <v>1289</v>
      </c>
      <c r="D5471" s="30">
        <v>2</v>
      </c>
      <c r="E5471" s="30">
        <v>5</v>
      </c>
      <c r="F5471" s="30">
        <f t="shared" si="182"/>
        <v>10</v>
      </c>
      <c r="G5471" s="30" t="s">
        <v>9</v>
      </c>
      <c r="J5471" s="30" t="s">
        <v>392</v>
      </c>
    </row>
    <row r="5472" spans="1:10" x14ac:dyDescent="0.25">
      <c r="A5472" s="78">
        <v>46255</v>
      </c>
      <c r="B5472" s="68">
        <v>37</v>
      </c>
      <c r="C5472" s="204" t="s">
        <v>814</v>
      </c>
      <c r="D5472" s="30">
        <v>0.5</v>
      </c>
      <c r="E5472" s="30">
        <v>60</v>
      </c>
      <c r="F5472" s="30">
        <f t="shared" si="182"/>
        <v>30</v>
      </c>
      <c r="G5472" s="30" t="s">
        <v>9</v>
      </c>
      <c r="J5472" s="30" t="s">
        <v>392</v>
      </c>
    </row>
    <row r="5473" spans="1:10" x14ac:dyDescent="0.25">
      <c r="A5473" s="78">
        <v>46255</v>
      </c>
      <c r="B5473" s="68">
        <v>37</v>
      </c>
      <c r="C5473" s="205" t="s">
        <v>1133</v>
      </c>
      <c r="D5473" s="30">
        <v>1</v>
      </c>
      <c r="E5473" s="30">
        <v>20</v>
      </c>
      <c r="F5473" s="30">
        <f t="shared" si="182"/>
        <v>20</v>
      </c>
      <c r="G5473" s="30" t="s">
        <v>9</v>
      </c>
      <c r="J5473" s="30" t="s">
        <v>392</v>
      </c>
    </row>
    <row r="5474" spans="1:10" x14ac:dyDescent="0.25">
      <c r="A5474" s="78">
        <v>46255</v>
      </c>
      <c r="B5474" s="68">
        <v>38</v>
      </c>
      <c r="C5474" s="205" t="s">
        <v>1337</v>
      </c>
      <c r="D5474" s="30">
        <v>1</v>
      </c>
      <c r="E5474" s="30">
        <v>20</v>
      </c>
      <c r="F5474" s="30">
        <f t="shared" si="182"/>
        <v>20</v>
      </c>
      <c r="G5474" s="30" t="s">
        <v>9</v>
      </c>
      <c r="J5474" s="30" t="s">
        <v>392</v>
      </c>
    </row>
    <row r="5475" spans="1:10" x14ac:dyDescent="0.25">
      <c r="A5475" s="78">
        <v>46255</v>
      </c>
      <c r="B5475" s="68">
        <v>38</v>
      </c>
      <c r="C5475" s="205" t="s">
        <v>1279</v>
      </c>
      <c r="D5475" s="30">
        <v>1</v>
      </c>
      <c r="E5475" s="30">
        <v>20</v>
      </c>
      <c r="F5475" s="30">
        <f t="shared" si="182"/>
        <v>20</v>
      </c>
      <c r="G5475" s="30" t="s">
        <v>9</v>
      </c>
      <c r="J5475" s="30" t="s">
        <v>392</v>
      </c>
    </row>
    <row r="5476" spans="1:10" x14ac:dyDescent="0.25">
      <c r="A5476" s="78">
        <v>46255</v>
      </c>
      <c r="B5476" s="68">
        <v>38</v>
      </c>
      <c r="C5476" s="205" t="s">
        <v>1289</v>
      </c>
      <c r="D5476" s="30">
        <v>2</v>
      </c>
      <c r="E5476" s="30">
        <v>5</v>
      </c>
      <c r="F5476" s="30">
        <f t="shared" si="182"/>
        <v>10</v>
      </c>
      <c r="G5476" s="30" t="s">
        <v>9</v>
      </c>
      <c r="J5476" s="30" t="s">
        <v>392</v>
      </c>
    </row>
    <row r="5477" spans="1:10" x14ac:dyDescent="0.25">
      <c r="A5477" s="78">
        <v>46255</v>
      </c>
      <c r="B5477" s="68">
        <v>36</v>
      </c>
      <c r="C5477" s="205" t="s">
        <v>848</v>
      </c>
      <c r="D5477" s="30">
        <v>1</v>
      </c>
      <c r="E5477" s="30">
        <v>5</v>
      </c>
      <c r="F5477" s="30">
        <f t="shared" si="182"/>
        <v>5</v>
      </c>
      <c r="G5477" s="30" t="s">
        <v>9</v>
      </c>
      <c r="J5477" s="30" t="s">
        <v>392</v>
      </c>
    </row>
    <row r="5478" spans="1:10" x14ac:dyDescent="0.25">
      <c r="A5478" s="78">
        <v>46255</v>
      </c>
      <c r="B5478" s="68">
        <v>37</v>
      </c>
      <c r="C5478" s="205" t="s">
        <v>1090</v>
      </c>
      <c r="D5478" s="30">
        <v>2</v>
      </c>
      <c r="E5478" s="30">
        <v>10</v>
      </c>
      <c r="F5478" s="30">
        <f t="shared" si="182"/>
        <v>20</v>
      </c>
      <c r="G5478" s="30" t="s">
        <v>10</v>
      </c>
      <c r="J5478" s="30" t="s">
        <v>392</v>
      </c>
    </row>
    <row r="5479" spans="1:10" x14ac:dyDescent="0.25">
      <c r="A5479" s="78">
        <v>46255</v>
      </c>
      <c r="B5479" s="68">
        <v>37</v>
      </c>
      <c r="C5479" s="205" t="s">
        <v>1109</v>
      </c>
      <c r="D5479" s="30">
        <v>3</v>
      </c>
      <c r="E5479" s="30">
        <v>20</v>
      </c>
      <c r="F5479" s="30">
        <f t="shared" si="182"/>
        <v>60</v>
      </c>
      <c r="G5479" s="30" t="s">
        <v>10</v>
      </c>
      <c r="J5479" s="30" t="s">
        <v>392</v>
      </c>
    </row>
    <row r="5480" spans="1:10" x14ac:dyDescent="0.25">
      <c r="A5480" s="78">
        <v>46255</v>
      </c>
      <c r="B5480" s="68">
        <v>37</v>
      </c>
      <c r="C5480" s="205" t="s">
        <v>1108</v>
      </c>
      <c r="D5480" s="30">
        <v>1</v>
      </c>
      <c r="E5480" s="30">
        <v>20</v>
      </c>
      <c r="F5480" s="30">
        <f t="shared" si="182"/>
        <v>20</v>
      </c>
      <c r="G5480" s="30" t="s">
        <v>10</v>
      </c>
      <c r="J5480" s="30" t="s">
        <v>392</v>
      </c>
    </row>
    <row r="5481" spans="1:10" x14ac:dyDescent="0.25">
      <c r="A5481" s="78">
        <v>46255</v>
      </c>
      <c r="B5481" s="68">
        <v>37</v>
      </c>
      <c r="C5481" s="205" t="s">
        <v>576</v>
      </c>
      <c r="D5481" s="30">
        <v>6</v>
      </c>
      <c r="E5481" s="30">
        <v>5</v>
      </c>
      <c r="F5481" s="30">
        <f t="shared" si="182"/>
        <v>30</v>
      </c>
      <c r="G5481" s="30" t="s">
        <v>10</v>
      </c>
      <c r="J5481" s="30" t="s">
        <v>392</v>
      </c>
    </row>
    <row r="5482" spans="1:10" x14ac:dyDescent="0.25">
      <c r="A5482" s="78">
        <v>46255</v>
      </c>
      <c r="B5482" s="68">
        <v>38</v>
      </c>
      <c r="C5482" s="205" t="s">
        <v>1252</v>
      </c>
      <c r="D5482" s="30">
        <v>1</v>
      </c>
      <c r="E5482" s="30">
        <v>5</v>
      </c>
      <c r="F5482" s="30">
        <f t="shared" si="182"/>
        <v>5</v>
      </c>
      <c r="G5482" s="30" t="s">
        <v>9</v>
      </c>
      <c r="J5482" s="30" t="s">
        <v>392</v>
      </c>
    </row>
    <row r="5483" spans="1:10" x14ac:dyDescent="0.25">
      <c r="A5483" s="78">
        <v>46255</v>
      </c>
      <c r="B5483" s="68">
        <v>38</v>
      </c>
      <c r="C5483" s="205" t="s">
        <v>1263</v>
      </c>
      <c r="D5483" s="30">
        <v>2</v>
      </c>
      <c r="E5483" s="30">
        <v>2</v>
      </c>
      <c r="F5483" s="30">
        <f t="shared" si="182"/>
        <v>4</v>
      </c>
      <c r="G5483" s="30" t="s">
        <v>9</v>
      </c>
      <c r="J5483" s="30" t="s">
        <v>392</v>
      </c>
    </row>
    <row r="5484" spans="1:10" x14ac:dyDescent="0.25">
      <c r="A5484" s="78">
        <v>46255</v>
      </c>
      <c r="B5484" s="211">
        <v>39</v>
      </c>
      <c r="C5484" s="205" t="s">
        <v>1007</v>
      </c>
      <c r="D5484" s="30">
        <v>4</v>
      </c>
      <c r="E5484" s="30">
        <v>35</v>
      </c>
      <c r="F5484" s="30">
        <f t="shared" si="182"/>
        <v>140</v>
      </c>
      <c r="G5484" s="30" t="s">
        <v>10</v>
      </c>
      <c r="J5484" s="30" t="s">
        <v>392</v>
      </c>
    </row>
    <row r="5485" spans="1:10" x14ac:dyDescent="0.25">
      <c r="A5485" s="78">
        <v>46255</v>
      </c>
      <c r="B5485" s="211">
        <v>39</v>
      </c>
      <c r="C5485" s="204" t="s">
        <v>1059</v>
      </c>
      <c r="D5485" s="30">
        <v>1</v>
      </c>
      <c r="E5485" s="30">
        <v>10</v>
      </c>
      <c r="F5485" s="30">
        <f t="shared" si="182"/>
        <v>10</v>
      </c>
      <c r="G5485" s="30" t="s">
        <v>10</v>
      </c>
      <c r="J5485" s="30" t="s">
        <v>392</v>
      </c>
    </row>
    <row r="5486" spans="1:10" x14ac:dyDescent="0.25">
      <c r="A5486" s="78">
        <v>46255</v>
      </c>
      <c r="B5486" s="211">
        <v>39</v>
      </c>
      <c r="C5486" s="205" t="s">
        <v>699</v>
      </c>
      <c r="D5486" s="30">
        <v>2</v>
      </c>
      <c r="E5486" s="30">
        <v>15</v>
      </c>
      <c r="F5486" s="30">
        <f t="shared" si="182"/>
        <v>30</v>
      </c>
      <c r="G5486" s="30" t="s">
        <v>10</v>
      </c>
      <c r="J5486" s="30" t="s">
        <v>392</v>
      </c>
    </row>
    <row r="5487" spans="1:10" x14ac:dyDescent="0.25">
      <c r="A5487" s="78">
        <v>46255</v>
      </c>
      <c r="B5487" s="211">
        <v>40</v>
      </c>
      <c r="C5487" s="205" t="s">
        <v>877</v>
      </c>
      <c r="D5487" s="30">
        <v>1</v>
      </c>
      <c r="E5487" s="30">
        <v>10</v>
      </c>
      <c r="F5487" s="30">
        <f t="shared" si="182"/>
        <v>10</v>
      </c>
      <c r="G5487" s="30" t="s">
        <v>9</v>
      </c>
      <c r="J5487" s="30" t="s">
        <v>392</v>
      </c>
    </row>
    <row r="5488" spans="1:10" x14ac:dyDescent="0.25">
      <c r="A5488" s="78">
        <v>46255</v>
      </c>
      <c r="B5488" s="211">
        <v>40</v>
      </c>
      <c r="C5488" s="205" t="s">
        <v>1138</v>
      </c>
      <c r="D5488" s="30">
        <v>1</v>
      </c>
      <c r="E5488" s="30">
        <v>5</v>
      </c>
      <c r="F5488" s="30">
        <f t="shared" si="182"/>
        <v>5</v>
      </c>
      <c r="G5488" s="30" t="s">
        <v>9</v>
      </c>
      <c r="J5488" s="30" t="s">
        <v>392</v>
      </c>
    </row>
    <row r="5489" spans="1:10" x14ac:dyDescent="0.25">
      <c r="A5489" s="78">
        <v>46255</v>
      </c>
      <c r="B5489" s="211">
        <v>40</v>
      </c>
      <c r="C5489" s="205" t="s">
        <v>1140</v>
      </c>
      <c r="D5489" s="30">
        <v>1</v>
      </c>
      <c r="E5489" s="30">
        <v>5</v>
      </c>
      <c r="F5489" s="30">
        <f t="shared" si="182"/>
        <v>5</v>
      </c>
      <c r="G5489" s="30" t="s">
        <v>9</v>
      </c>
      <c r="J5489" s="30" t="s">
        <v>392</v>
      </c>
    </row>
    <row r="5490" spans="1:10" x14ac:dyDescent="0.25">
      <c r="A5490" s="78">
        <v>46255</v>
      </c>
      <c r="B5490" s="211">
        <v>40</v>
      </c>
      <c r="C5490" s="205" t="s">
        <v>15</v>
      </c>
      <c r="D5490" s="30">
        <v>2</v>
      </c>
      <c r="E5490" s="30">
        <v>10</v>
      </c>
      <c r="F5490" s="30">
        <f t="shared" si="182"/>
        <v>20</v>
      </c>
      <c r="G5490" s="30" t="s">
        <v>9</v>
      </c>
      <c r="J5490" s="30" t="s">
        <v>392</v>
      </c>
    </row>
    <row r="5491" spans="1:10" x14ac:dyDescent="0.25">
      <c r="A5491" s="78">
        <v>46255</v>
      </c>
      <c r="B5491" s="211">
        <v>40</v>
      </c>
      <c r="C5491" s="205" t="s">
        <v>1140</v>
      </c>
      <c r="D5491" s="30">
        <v>2</v>
      </c>
      <c r="E5491" s="30">
        <v>5</v>
      </c>
      <c r="F5491" s="30">
        <f t="shared" si="182"/>
        <v>10</v>
      </c>
      <c r="G5491" s="30" t="s">
        <v>9</v>
      </c>
      <c r="J5491" s="30" t="s">
        <v>392</v>
      </c>
    </row>
    <row r="5492" spans="1:10" x14ac:dyDescent="0.25">
      <c r="A5492" s="78">
        <v>46255</v>
      </c>
      <c r="B5492" s="211">
        <v>41</v>
      </c>
      <c r="C5492" s="205" t="s">
        <v>1261</v>
      </c>
      <c r="D5492" s="30">
        <v>2</v>
      </c>
      <c r="E5492" s="30">
        <v>10</v>
      </c>
      <c r="F5492" s="30">
        <f t="shared" si="182"/>
        <v>20</v>
      </c>
      <c r="G5492" s="30" t="s">
        <v>9</v>
      </c>
      <c r="J5492" s="30" t="s">
        <v>392</v>
      </c>
    </row>
    <row r="5493" spans="1:10" x14ac:dyDescent="0.25">
      <c r="A5493" s="78">
        <v>46255</v>
      </c>
      <c r="B5493" s="211">
        <v>42</v>
      </c>
      <c r="C5493" s="205" t="s">
        <v>1182</v>
      </c>
      <c r="D5493" s="30">
        <v>2</v>
      </c>
      <c r="E5493" s="30">
        <v>15</v>
      </c>
      <c r="F5493" s="30">
        <f t="shared" si="182"/>
        <v>30</v>
      </c>
      <c r="G5493" s="30" t="s">
        <v>9</v>
      </c>
      <c r="J5493" s="30" t="s">
        <v>392</v>
      </c>
    </row>
    <row r="5494" spans="1:10" x14ac:dyDescent="0.25">
      <c r="A5494" s="78">
        <v>46255</v>
      </c>
      <c r="B5494" s="211">
        <v>42</v>
      </c>
      <c r="C5494" s="205" t="s">
        <v>1168</v>
      </c>
      <c r="D5494" s="30">
        <v>3</v>
      </c>
      <c r="E5494" s="30">
        <v>10</v>
      </c>
      <c r="F5494" s="30">
        <f t="shared" si="182"/>
        <v>30</v>
      </c>
      <c r="G5494" s="30" t="s">
        <v>9</v>
      </c>
      <c r="J5494" s="30" t="s">
        <v>392</v>
      </c>
    </row>
    <row r="5495" spans="1:10" x14ac:dyDescent="0.25">
      <c r="A5495" s="78">
        <v>46255</v>
      </c>
      <c r="B5495" s="211">
        <v>43</v>
      </c>
      <c r="C5495" s="205" t="s">
        <v>620</v>
      </c>
      <c r="D5495" s="30">
        <v>2</v>
      </c>
      <c r="E5495" s="30">
        <v>10</v>
      </c>
      <c r="F5495" s="30">
        <f t="shared" si="182"/>
        <v>20</v>
      </c>
      <c r="G5495" s="30" t="s">
        <v>9</v>
      </c>
      <c r="J5495" s="30" t="s">
        <v>392</v>
      </c>
    </row>
    <row r="5496" spans="1:10" x14ac:dyDescent="0.25">
      <c r="A5496" s="78">
        <v>46255</v>
      </c>
      <c r="B5496" s="211">
        <v>43</v>
      </c>
      <c r="C5496" s="205" t="s">
        <v>769</v>
      </c>
      <c r="D5496" s="30">
        <v>1</v>
      </c>
      <c r="E5496" s="30">
        <v>20</v>
      </c>
      <c r="F5496" s="30">
        <f t="shared" si="182"/>
        <v>20</v>
      </c>
      <c r="G5496" s="30" t="s">
        <v>9</v>
      </c>
      <c r="J5496" s="30" t="s">
        <v>392</v>
      </c>
    </row>
    <row r="5497" spans="1:10" x14ac:dyDescent="0.25">
      <c r="A5497" s="78">
        <v>46255</v>
      </c>
      <c r="B5497" s="211">
        <v>43</v>
      </c>
      <c r="C5497" s="205" t="s">
        <v>957</v>
      </c>
      <c r="D5497" s="30">
        <v>1</v>
      </c>
      <c r="E5497" s="30">
        <v>10</v>
      </c>
      <c r="F5497" s="30">
        <f t="shared" si="182"/>
        <v>10</v>
      </c>
      <c r="G5497" s="30" t="s">
        <v>9</v>
      </c>
      <c r="J5497" s="30" t="s">
        <v>392</v>
      </c>
    </row>
    <row r="5498" spans="1:10" x14ac:dyDescent="0.25">
      <c r="A5498" s="78">
        <v>46255</v>
      </c>
      <c r="B5498" s="211">
        <v>43</v>
      </c>
      <c r="C5498" s="205" t="s">
        <v>1089</v>
      </c>
      <c r="D5498" s="30">
        <v>0.14299999999999999</v>
      </c>
      <c r="E5498" s="30">
        <v>70</v>
      </c>
      <c r="F5498" s="30">
        <f t="shared" si="182"/>
        <v>10.01</v>
      </c>
      <c r="G5498" s="30" t="s">
        <v>9</v>
      </c>
      <c r="J5498" s="30" t="s">
        <v>392</v>
      </c>
    </row>
    <row r="5499" spans="1:10" x14ac:dyDescent="0.25">
      <c r="A5499" s="78">
        <v>46255</v>
      </c>
      <c r="B5499" s="211">
        <v>44</v>
      </c>
      <c r="C5499" s="19" t="s">
        <v>1331</v>
      </c>
      <c r="D5499" s="30">
        <v>26</v>
      </c>
      <c r="E5499" s="30">
        <v>49.25</v>
      </c>
      <c r="F5499" s="30">
        <f t="shared" si="182"/>
        <v>1280.5</v>
      </c>
      <c r="G5499" s="30" t="s">
        <v>9</v>
      </c>
      <c r="J5499" s="30" t="s">
        <v>392</v>
      </c>
    </row>
    <row r="5500" spans="1:10" ht="30" x14ac:dyDescent="0.25">
      <c r="A5500" s="78">
        <v>46255</v>
      </c>
      <c r="B5500" s="211">
        <v>45</v>
      </c>
      <c r="C5500" s="205" t="s">
        <v>833</v>
      </c>
      <c r="D5500" s="30">
        <v>1</v>
      </c>
      <c r="E5500" s="30">
        <v>80</v>
      </c>
      <c r="F5500" s="30">
        <f t="shared" si="182"/>
        <v>80</v>
      </c>
      <c r="G5500" s="30" t="s">
        <v>9</v>
      </c>
      <c r="J5500" s="30" t="s">
        <v>392</v>
      </c>
    </row>
    <row r="5501" spans="1:10" x14ac:dyDescent="0.25">
      <c r="A5501" s="78">
        <v>46255</v>
      </c>
      <c r="B5501" s="211">
        <v>45</v>
      </c>
      <c r="C5501" s="205" t="s">
        <v>1272</v>
      </c>
      <c r="D5501" s="30">
        <v>2</v>
      </c>
      <c r="E5501" s="30">
        <v>10</v>
      </c>
      <c r="F5501" s="30">
        <f t="shared" ref="F5501:F5512" si="183">E5501*D5501</f>
        <v>20</v>
      </c>
      <c r="G5501" s="30" t="s">
        <v>9</v>
      </c>
      <c r="J5501" s="30" t="s">
        <v>392</v>
      </c>
    </row>
    <row r="5502" spans="1:10" x14ac:dyDescent="0.25">
      <c r="A5502" s="78">
        <v>46255</v>
      </c>
      <c r="B5502" s="211">
        <v>23</v>
      </c>
      <c r="C5502" s="205" t="s">
        <v>1279</v>
      </c>
      <c r="D5502" s="30">
        <v>1</v>
      </c>
      <c r="E5502" s="30">
        <v>20</v>
      </c>
      <c r="F5502" s="30">
        <f t="shared" si="183"/>
        <v>20</v>
      </c>
      <c r="G5502" s="30" t="s">
        <v>9</v>
      </c>
      <c r="J5502" s="30" t="s">
        <v>392</v>
      </c>
    </row>
    <row r="5503" spans="1:10" x14ac:dyDescent="0.25">
      <c r="A5503" s="78">
        <v>46255</v>
      </c>
      <c r="B5503" s="211">
        <v>46</v>
      </c>
      <c r="C5503" s="205" t="s">
        <v>1089</v>
      </c>
      <c r="D5503" s="30">
        <v>0.28599999999999998</v>
      </c>
      <c r="E5503" s="30">
        <v>70</v>
      </c>
      <c r="F5503" s="30">
        <f t="shared" si="183"/>
        <v>20.02</v>
      </c>
      <c r="G5503" s="30" t="s">
        <v>9</v>
      </c>
      <c r="J5503" s="30" t="s">
        <v>392</v>
      </c>
    </row>
    <row r="5504" spans="1:10" ht="30" x14ac:dyDescent="0.25">
      <c r="A5504" s="78">
        <v>46255</v>
      </c>
      <c r="B5504" s="211">
        <v>47</v>
      </c>
      <c r="C5504" s="205" t="s">
        <v>599</v>
      </c>
      <c r="D5504" s="30">
        <v>1</v>
      </c>
      <c r="E5504" s="30">
        <v>188</v>
      </c>
      <c r="F5504" s="30">
        <f t="shared" si="183"/>
        <v>188</v>
      </c>
      <c r="G5504" s="30" t="s">
        <v>16</v>
      </c>
      <c r="I5504" s="68" t="s">
        <v>1341</v>
      </c>
      <c r="J5504" s="30" t="s">
        <v>392</v>
      </c>
    </row>
    <row r="5505" spans="1:12" x14ac:dyDescent="0.25">
      <c r="A5505" s="78">
        <v>46255</v>
      </c>
      <c r="B5505" s="211">
        <v>47</v>
      </c>
      <c r="C5505" s="205" t="s">
        <v>1090</v>
      </c>
      <c r="D5505" s="30">
        <v>4</v>
      </c>
      <c r="E5505" s="30">
        <v>9.5</v>
      </c>
      <c r="F5505" s="30">
        <f t="shared" si="183"/>
        <v>38</v>
      </c>
      <c r="G5505" s="30" t="s">
        <v>16</v>
      </c>
      <c r="I5505" s="68" t="s">
        <v>1341</v>
      </c>
      <c r="J5505" s="30" t="s">
        <v>392</v>
      </c>
    </row>
    <row r="5506" spans="1:12" x14ac:dyDescent="0.25">
      <c r="A5506" s="78">
        <v>46255</v>
      </c>
      <c r="B5506" s="211">
        <v>47</v>
      </c>
      <c r="C5506" s="205" t="s">
        <v>1171</v>
      </c>
      <c r="D5506" s="30">
        <v>1</v>
      </c>
      <c r="E5506" s="30">
        <v>60</v>
      </c>
      <c r="F5506" s="30">
        <f t="shared" si="183"/>
        <v>60</v>
      </c>
      <c r="G5506" s="30" t="s">
        <v>16</v>
      </c>
      <c r="I5506" s="68" t="s">
        <v>1341</v>
      </c>
      <c r="J5506" s="30" t="s">
        <v>392</v>
      </c>
    </row>
    <row r="5507" spans="1:12" x14ac:dyDescent="0.25">
      <c r="A5507" s="78">
        <v>46255</v>
      </c>
      <c r="B5507" s="211">
        <v>47</v>
      </c>
      <c r="C5507" s="205" t="s">
        <v>855</v>
      </c>
      <c r="D5507" s="30">
        <v>3</v>
      </c>
      <c r="E5507" s="30">
        <v>10</v>
      </c>
      <c r="F5507" s="30">
        <f t="shared" si="183"/>
        <v>30</v>
      </c>
      <c r="G5507" s="30" t="s">
        <v>16</v>
      </c>
      <c r="I5507" s="68" t="s">
        <v>1341</v>
      </c>
      <c r="J5507" s="30" t="s">
        <v>392</v>
      </c>
    </row>
    <row r="5508" spans="1:12" x14ac:dyDescent="0.25">
      <c r="A5508" s="78">
        <v>46255</v>
      </c>
      <c r="B5508" s="211">
        <v>47</v>
      </c>
      <c r="C5508" s="205" t="s">
        <v>964</v>
      </c>
      <c r="D5508" s="30">
        <v>4</v>
      </c>
      <c r="E5508" s="30">
        <v>10</v>
      </c>
      <c r="F5508" s="30">
        <f t="shared" si="183"/>
        <v>40</v>
      </c>
      <c r="G5508" s="30" t="s">
        <v>16</v>
      </c>
      <c r="I5508" s="68" t="s">
        <v>1341</v>
      </c>
      <c r="J5508" s="30" t="s">
        <v>392</v>
      </c>
    </row>
    <row r="5509" spans="1:12" x14ac:dyDescent="0.25">
      <c r="A5509" s="78">
        <v>46255</v>
      </c>
      <c r="B5509" s="211">
        <v>47</v>
      </c>
      <c r="C5509" s="204" t="s">
        <v>1063</v>
      </c>
      <c r="D5509" s="30">
        <v>1</v>
      </c>
      <c r="E5509" s="30">
        <v>10</v>
      </c>
      <c r="F5509" s="30">
        <f t="shared" si="183"/>
        <v>10</v>
      </c>
      <c r="G5509" s="30" t="s">
        <v>16</v>
      </c>
      <c r="I5509" s="68" t="s">
        <v>1341</v>
      </c>
      <c r="J5509" s="30" t="s">
        <v>392</v>
      </c>
    </row>
    <row r="5510" spans="1:12" x14ac:dyDescent="0.25">
      <c r="A5510" s="78">
        <v>46255</v>
      </c>
      <c r="B5510" s="211">
        <v>47</v>
      </c>
      <c r="C5510" s="205" t="s">
        <v>940</v>
      </c>
      <c r="D5510" s="30">
        <v>1</v>
      </c>
      <c r="E5510" s="30">
        <v>40</v>
      </c>
      <c r="F5510" s="30">
        <f t="shared" si="183"/>
        <v>40</v>
      </c>
      <c r="G5510" s="30" t="s">
        <v>16</v>
      </c>
      <c r="I5510" s="68" t="s">
        <v>1341</v>
      </c>
      <c r="J5510" s="30" t="s">
        <v>392</v>
      </c>
    </row>
    <row r="5511" spans="1:12" x14ac:dyDescent="0.25">
      <c r="A5511" s="78">
        <v>46255</v>
      </c>
      <c r="B5511" s="211">
        <v>47</v>
      </c>
      <c r="C5511" s="205" t="s">
        <v>1234</v>
      </c>
      <c r="D5511" s="30">
        <v>1</v>
      </c>
      <c r="E5511" s="30">
        <v>68</v>
      </c>
      <c r="F5511" s="30">
        <f t="shared" si="183"/>
        <v>68</v>
      </c>
      <c r="G5511" s="30" t="s">
        <v>16</v>
      </c>
      <c r="I5511" s="68" t="s">
        <v>1341</v>
      </c>
      <c r="J5511" s="30" t="s">
        <v>392</v>
      </c>
    </row>
    <row r="5512" spans="1:12" ht="30" x14ac:dyDescent="0.25">
      <c r="A5512" s="78">
        <v>46255</v>
      </c>
      <c r="B5512" s="211">
        <v>48</v>
      </c>
      <c r="C5512" s="205" t="s">
        <v>1286</v>
      </c>
      <c r="D5512" s="30">
        <v>1</v>
      </c>
      <c r="E5512" s="30">
        <v>10</v>
      </c>
      <c r="F5512" s="30">
        <f t="shared" si="183"/>
        <v>10</v>
      </c>
      <c r="G5512" s="30" t="s">
        <v>9</v>
      </c>
      <c r="J5512" s="30" t="s">
        <v>392</v>
      </c>
    </row>
    <row r="5513" spans="1:12" x14ac:dyDescent="0.25">
      <c r="A5513" s="78">
        <v>46255</v>
      </c>
      <c r="B5513" s="211"/>
      <c r="J5513" s="30" t="s">
        <v>392</v>
      </c>
    </row>
    <row r="5514" spans="1:12" s="199" customFormat="1" ht="31.5" x14ac:dyDescent="0.25">
      <c r="A5514" s="196">
        <v>46255</v>
      </c>
      <c r="B5514" s="197" t="s">
        <v>1248</v>
      </c>
      <c r="C5514" s="198">
        <f>MAX(B5458:B5513)</f>
        <v>48</v>
      </c>
      <c r="D5514" s="197" t="s">
        <v>1249</v>
      </c>
      <c r="E5514" s="199">
        <f>SUMIF(G5458:G5514,"UPI",F5458:F5514)</f>
        <v>310</v>
      </c>
      <c r="H5514" s="200" t="s">
        <v>1251</v>
      </c>
      <c r="I5514" s="200">
        <f>SUMIF(G5458:G5514, "&lt;&gt;UPI",F5458:F5514)</f>
        <v>2366.5299999999997</v>
      </c>
    </row>
    <row r="5515" spans="1:12" s="5" customFormat="1" ht="15.75" x14ac:dyDescent="0.25">
      <c r="A5515" s="201">
        <v>46255</v>
      </c>
      <c r="B5515" s="2"/>
      <c r="C5515" s="14"/>
      <c r="H5515" s="2" t="s">
        <v>1250</v>
      </c>
      <c r="I5515" s="2">
        <f>SUMIF(G5406:G5514, "&lt;&gt;UPI",F5406:F5514)</f>
        <v>3310.19</v>
      </c>
    </row>
    <row r="5516" spans="1:12" s="202" customFormat="1" ht="18.75" x14ac:dyDescent="0.3">
      <c r="A5516" s="146">
        <v>46255</v>
      </c>
      <c r="B5516" s="147" t="s">
        <v>987</v>
      </c>
      <c r="C5516" s="148">
        <f>MAX(B5406:B5515)</f>
        <v>48</v>
      </c>
      <c r="D5516" s="147" t="s">
        <v>988</v>
      </c>
      <c r="E5516" s="202">
        <f>SUMIF(G5406:G5514,"UPI",F5406:F5514)</f>
        <v>600</v>
      </c>
      <c r="F5516" s="230" t="s">
        <v>437</v>
      </c>
      <c r="G5516" s="230"/>
      <c r="H5516" s="230"/>
      <c r="I5516" s="230">
        <f>SUM(F5406:F5514)</f>
        <v>3910.19</v>
      </c>
      <c r="J5516" s="230"/>
      <c r="K5516" s="230"/>
      <c r="L5516" s="230"/>
    </row>
    <row r="5517" spans="1:12" x14ac:dyDescent="0.25">
      <c r="A5517" s="78">
        <v>46256</v>
      </c>
      <c r="B5517" s="68">
        <v>1</v>
      </c>
      <c r="C5517" s="205" t="s">
        <v>1026</v>
      </c>
      <c r="D5517" s="30">
        <v>0.1</v>
      </c>
      <c r="E5517" s="30">
        <v>200</v>
      </c>
      <c r="F5517" s="30">
        <f>E5517*D5517</f>
        <v>20</v>
      </c>
      <c r="G5517" s="30" t="s">
        <v>9</v>
      </c>
      <c r="J5517" s="30" t="s">
        <v>391</v>
      </c>
    </row>
    <row r="5518" spans="1:12" x14ac:dyDescent="0.25">
      <c r="A5518" s="78">
        <v>46256</v>
      </c>
      <c r="B5518" s="68">
        <v>2</v>
      </c>
      <c r="C5518" s="205" t="s">
        <v>727</v>
      </c>
      <c r="D5518" s="30">
        <v>0.25</v>
      </c>
      <c r="E5518" s="30">
        <v>95</v>
      </c>
      <c r="F5518" s="30">
        <f t="shared" ref="F5518:F5570" si="184">E5518*D5518</f>
        <v>23.75</v>
      </c>
      <c r="G5518" s="30" t="s">
        <v>9</v>
      </c>
      <c r="J5518" s="30" t="s">
        <v>391</v>
      </c>
    </row>
    <row r="5519" spans="1:12" x14ac:dyDescent="0.25">
      <c r="A5519" s="78">
        <v>46256</v>
      </c>
      <c r="B5519" s="68">
        <v>2</v>
      </c>
      <c r="C5519" s="209" t="s">
        <v>1339</v>
      </c>
      <c r="D5519" s="30">
        <v>1</v>
      </c>
      <c r="E5519" s="30">
        <v>10</v>
      </c>
      <c r="F5519" s="30">
        <f t="shared" si="184"/>
        <v>10</v>
      </c>
      <c r="G5519" s="30" t="s">
        <v>9</v>
      </c>
      <c r="J5519" s="30" t="s">
        <v>391</v>
      </c>
    </row>
    <row r="5520" spans="1:12" x14ac:dyDescent="0.25">
      <c r="A5520" s="78">
        <v>46256</v>
      </c>
      <c r="B5520" s="68">
        <v>2</v>
      </c>
      <c r="C5520" s="205" t="s">
        <v>1255</v>
      </c>
      <c r="D5520" s="30">
        <v>1</v>
      </c>
      <c r="E5520" s="30">
        <v>10</v>
      </c>
      <c r="F5520" s="30">
        <f t="shared" si="184"/>
        <v>10</v>
      </c>
      <c r="G5520" s="30" t="s">
        <v>9</v>
      </c>
      <c r="J5520" s="30" t="s">
        <v>391</v>
      </c>
    </row>
    <row r="5521" spans="1:10" x14ac:dyDescent="0.25">
      <c r="A5521" s="78">
        <v>46256</v>
      </c>
      <c r="B5521" s="68">
        <v>3</v>
      </c>
      <c r="C5521" s="205" t="s">
        <v>1127</v>
      </c>
      <c r="D5521" s="30">
        <v>1</v>
      </c>
      <c r="E5521" s="30">
        <v>10</v>
      </c>
      <c r="F5521" s="30">
        <f t="shared" si="184"/>
        <v>10</v>
      </c>
      <c r="G5521" s="30" t="s">
        <v>9</v>
      </c>
      <c r="J5521" s="30" t="s">
        <v>391</v>
      </c>
    </row>
    <row r="5522" spans="1:10" x14ac:dyDescent="0.25">
      <c r="A5522" s="78">
        <v>46256</v>
      </c>
      <c r="B5522" s="68">
        <v>3</v>
      </c>
      <c r="C5522" s="209" t="s">
        <v>1342</v>
      </c>
      <c r="D5522" s="30">
        <v>1</v>
      </c>
      <c r="E5522" s="30">
        <v>10</v>
      </c>
      <c r="F5522" s="30">
        <f t="shared" si="184"/>
        <v>10</v>
      </c>
      <c r="G5522" s="30" t="s">
        <v>9</v>
      </c>
      <c r="J5522" s="30" t="s">
        <v>391</v>
      </c>
    </row>
    <row r="5523" spans="1:10" x14ac:dyDescent="0.25">
      <c r="A5523" s="78">
        <v>46256</v>
      </c>
      <c r="B5523" s="68">
        <v>4</v>
      </c>
      <c r="C5523" s="209" t="s">
        <v>1327</v>
      </c>
      <c r="D5523" s="30">
        <v>0.5</v>
      </c>
      <c r="E5523" s="30">
        <v>70</v>
      </c>
      <c r="F5523" s="30">
        <f t="shared" si="184"/>
        <v>35</v>
      </c>
      <c r="G5523" s="30" t="s">
        <v>9</v>
      </c>
    </row>
    <row r="5524" spans="1:10" x14ac:dyDescent="0.25">
      <c r="A5524" s="78">
        <v>46256</v>
      </c>
      <c r="B5524" s="68">
        <v>5</v>
      </c>
      <c r="C5524" s="205" t="s">
        <v>1350</v>
      </c>
      <c r="D5524" s="30">
        <v>1</v>
      </c>
      <c r="E5524" s="30">
        <v>65</v>
      </c>
      <c r="F5524" s="30">
        <f t="shared" si="184"/>
        <v>65</v>
      </c>
      <c r="G5524" s="30" t="s">
        <v>9</v>
      </c>
      <c r="J5524" s="30" t="s">
        <v>391</v>
      </c>
    </row>
    <row r="5525" spans="1:10" x14ac:dyDescent="0.25">
      <c r="A5525" s="78">
        <v>46256</v>
      </c>
      <c r="B5525" s="68">
        <v>5</v>
      </c>
      <c r="C5525" s="205" t="s">
        <v>1067</v>
      </c>
      <c r="D5525" s="30">
        <v>1</v>
      </c>
      <c r="E5525" s="30">
        <v>10</v>
      </c>
      <c r="F5525" s="30">
        <f t="shared" si="184"/>
        <v>10</v>
      </c>
      <c r="G5525" s="30" t="s">
        <v>9</v>
      </c>
      <c r="I5525" s="68" t="s">
        <v>1203</v>
      </c>
      <c r="J5525" s="30" t="s">
        <v>391</v>
      </c>
    </row>
    <row r="5526" spans="1:10" x14ac:dyDescent="0.25">
      <c r="A5526" s="78">
        <v>46256</v>
      </c>
      <c r="B5526" s="68">
        <v>5</v>
      </c>
      <c r="C5526" s="205" t="s">
        <v>520</v>
      </c>
      <c r="D5526" s="30">
        <v>1</v>
      </c>
      <c r="E5526" s="30">
        <v>10</v>
      </c>
      <c r="F5526" s="30">
        <f t="shared" si="184"/>
        <v>10</v>
      </c>
      <c r="G5526" s="30" t="s">
        <v>9</v>
      </c>
      <c r="J5526" s="30" t="s">
        <v>391</v>
      </c>
    </row>
    <row r="5527" spans="1:10" x14ac:dyDescent="0.25">
      <c r="A5527" s="78">
        <v>46256</v>
      </c>
      <c r="B5527" s="68">
        <v>5</v>
      </c>
      <c r="C5527" s="205" t="s">
        <v>375</v>
      </c>
      <c r="D5527" s="30">
        <v>5</v>
      </c>
      <c r="E5527" s="30">
        <v>1</v>
      </c>
      <c r="F5527" s="30">
        <f t="shared" si="184"/>
        <v>5</v>
      </c>
      <c r="G5527" s="30" t="s">
        <v>9</v>
      </c>
      <c r="J5527" s="30" t="s">
        <v>391</v>
      </c>
    </row>
    <row r="5528" spans="1:10" x14ac:dyDescent="0.25">
      <c r="A5528" s="78">
        <v>46256</v>
      </c>
      <c r="B5528" s="68">
        <v>6</v>
      </c>
      <c r="C5528" s="205" t="s">
        <v>1158</v>
      </c>
      <c r="D5528" s="30">
        <v>1</v>
      </c>
      <c r="E5528" s="30">
        <v>30</v>
      </c>
      <c r="F5528" s="30">
        <f t="shared" si="184"/>
        <v>30</v>
      </c>
      <c r="G5528" s="30" t="s">
        <v>9</v>
      </c>
      <c r="J5528" s="30" t="s">
        <v>391</v>
      </c>
    </row>
    <row r="5529" spans="1:10" x14ac:dyDescent="0.25">
      <c r="A5529" s="78">
        <v>46256</v>
      </c>
      <c r="B5529" s="68">
        <v>6</v>
      </c>
      <c r="C5529" s="205" t="s">
        <v>95</v>
      </c>
      <c r="D5529" s="30">
        <v>1</v>
      </c>
      <c r="E5529" s="30">
        <v>10</v>
      </c>
      <c r="F5529" s="30">
        <f t="shared" si="184"/>
        <v>10</v>
      </c>
      <c r="G5529" s="30" t="s">
        <v>9</v>
      </c>
      <c r="J5529" s="30" t="s">
        <v>391</v>
      </c>
    </row>
    <row r="5530" spans="1:10" x14ac:dyDescent="0.25">
      <c r="A5530" s="78">
        <v>46256</v>
      </c>
      <c r="B5530" s="68">
        <v>6</v>
      </c>
      <c r="C5530" s="205" t="s">
        <v>655</v>
      </c>
      <c r="D5530" s="30">
        <v>1</v>
      </c>
      <c r="E5530" s="30">
        <v>15</v>
      </c>
      <c r="F5530" s="30">
        <f t="shared" si="184"/>
        <v>15</v>
      </c>
      <c r="G5530" s="30" t="s">
        <v>9</v>
      </c>
      <c r="J5530" s="30" t="s">
        <v>391</v>
      </c>
    </row>
    <row r="5531" spans="1:10" x14ac:dyDescent="0.25">
      <c r="A5531" s="78">
        <v>46256</v>
      </c>
      <c r="B5531" s="68">
        <v>7</v>
      </c>
      <c r="C5531" s="205" t="s">
        <v>1229</v>
      </c>
      <c r="D5531" s="30">
        <v>1</v>
      </c>
      <c r="E5531" s="30">
        <v>40</v>
      </c>
      <c r="F5531" s="30">
        <f t="shared" si="184"/>
        <v>40</v>
      </c>
      <c r="G5531" s="30" t="s">
        <v>10</v>
      </c>
      <c r="J5531" s="30" t="s">
        <v>391</v>
      </c>
    </row>
    <row r="5532" spans="1:10" x14ac:dyDescent="0.25">
      <c r="A5532" s="78">
        <v>46256</v>
      </c>
      <c r="B5532" s="68">
        <v>7</v>
      </c>
      <c r="C5532" s="205" t="s">
        <v>753</v>
      </c>
      <c r="D5532" s="30">
        <v>1</v>
      </c>
      <c r="E5532" s="30">
        <v>10</v>
      </c>
      <c r="F5532" s="30">
        <f t="shared" si="184"/>
        <v>10</v>
      </c>
      <c r="G5532" s="30" t="s">
        <v>10</v>
      </c>
      <c r="J5532" s="30" t="s">
        <v>391</v>
      </c>
    </row>
    <row r="5533" spans="1:10" x14ac:dyDescent="0.25">
      <c r="A5533" s="78">
        <v>46256</v>
      </c>
      <c r="B5533" s="68">
        <v>7</v>
      </c>
      <c r="C5533" s="205" t="s">
        <v>1142</v>
      </c>
      <c r="D5533" s="30">
        <v>1</v>
      </c>
      <c r="E5533" s="30">
        <v>5</v>
      </c>
      <c r="F5533" s="30">
        <f t="shared" si="184"/>
        <v>5</v>
      </c>
      <c r="G5533" s="30" t="s">
        <v>10</v>
      </c>
      <c r="J5533" s="30" t="s">
        <v>391</v>
      </c>
    </row>
    <row r="5534" spans="1:10" x14ac:dyDescent="0.25">
      <c r="A5534" s="78">
        <v>46256</v>
      </c>
      <c r="B5534" s="68">
        <v>8</v>
      </c>
      <c r="C5534" s="205" t="s">
        <v>939</v>
      </c>
      <c r="D5534" s="30">
        <v>1</v>
      </c>
      <c r="E5534" s="30">
        <v>30</v>
      </c>
      <c r="F5534" s="30">
        <f t="shared" si="184"/>
        <v>30</v>
      </c>
      <c r="G5534" s="30" t="s">
        <v>9</v>
      </c>
      <c r="J5534" s="30" t="s">
        <v>391</v>
      </c>
    </row>
    <row r="5535" spans="1:10" x14ac:dyDescent="0.25">
      <c r="A5535" s="78">
        <v>46256</v>
      </c>
      <c r="B5535" s="68">
        <v>9</v>
      </c>
      <c r="C5535" s="205" t="s">
        <v>117</v>
      </c>
      <c r="D5535" s="30">
        <v>1</v>
      </c>
      <c r="E5535" s="30">
        <v>10</v>
      </c>
      <c r="F5535" s="30">
        <f t="shared" si="184"/>
        <v>10</v>
      </c>
      <c r="G5535" s="30" t="s">
        <v>16</v>
      </c>
      <c r="I5535" s="68" t="s">
        <v>1202</v>
      </c>
      <c r="J5535" s="30" t="s">
        <v>391</v>
      </c>
    </row>
    <row r="5536" spans="1:10" x14ac:dyDescent="0.25">
      <c r="A5536" s="78">
        <v>46256</v>
      </c>
      <c r="B5536" s="68">
        <v>9</v>
      </c>
      <c r="C5536" s="205" t="s">
        <v>960</v>
      </c>
      <c r="D5536" s="30">
        <v>2</v>
      </c>
      <c r="E5536" s="30">
        <v>5</v>
      </c>
      <c r="F5536" s="30">
        <f t="shared" si="184"/>
        <v>10</v>
      </c>
      <c r="G5536" s="30" t="s">
        <v>16</v>
      </c>
      <c r="I5536" s="68" t="s">
        <v>1202</v>
      </c>
      <c r="J5536" s="30" t="s">
        <v>391</v>
      </c>
    </row>
    <row r="5537" spans="1:10" x14ac:dyDescent="0.25">
      <c r="A5537" s="78">
        <v>46256</v>
      </c>
      <c r="B5537" s="68">
        <v>10</v>
      </c>
      <c r="C5537" s="205" t="s">
        <v>1289</v>
      </c>
      <c r="D5537" s="30">
        <v>2</v>
      </c>
      <c r="E5537" s="30">
        <v>5</v>
      </c>
      <c r="F5537" s="30">
        <f t="shared" si="184"/>
        <v>10</v>
      </c>
      <c r="G5537" s="30" t="s">
        <v>9</v>
      </c>
      <c r="J5537" s="30" t="s">
        <v>391</v>
      </c>
    </row>
    <row r="5538" spans="1:10" x14ac:dyDescent="0.25">
      <c r="A5538" s="78">
        <v>46256</v>
      </c>
      <c r="B5538" s="68">
        <v>10</v>
      </c>
      <c r="C5538" s="205" t="s">
        <v>1259</v>
      </c>
      <c r="D5538" s="30">
        <v>1</v>
      </c>
      <c r="E5538" s="30">
        <v>10</v>
      </c>
      <c r="F5538" s="30">
        <f t="shared" si="184"/>
        <v>10</v>
      </c>
      <c r="G5538" s="30" t="s">
        <v>9</v>
      </c>
      <c r="J5538" s="30" t="s">
        <v>391</v>
      </c>
    </row>
    <row r="5539" spans="1:10" x14ac:dyDescent="0.25">
      <c r="A5539" s="78">
        <v>46256</v>
      </c>
      <c r="B5539" s="68">
        <v>11</v>
      </c>
      <c r="C5539" s="205" t="s">
        <v>533</v>
      </c>
      <c r="D5539" s="30">
        <v>1</v>
      </c>
      <c r="E5539" s="30">
        <v>10</v>
      </c>
      <c r="F5539" s="30">
        <f t="shared" si="184"/>
        <v>10</v>
      </c>
      <c r="G5539" s="30" t="s">
        <v>9</v>
      </c>
      <c r="J5539" s="30" t="s">
        <v>391</v>
      </c>
    </row>
    <row r="5540" spans="1:10" x14ac:dyDescent="0.25">
      <c r="A5540" s="78">
        <v>46256</v>
      </c>
      <c r="B5540" s="68">
        <v>11</v>
      </c>
      <c r="C5540" s="205" t="s">
        <v>1142</v>
      </c>
      <c r="D5540" s="30">
        <v>1</v>
      </c>
      <c r="E5540" s="30">
        <v>5</v>
      </c>
      <c r="F5540" s="30">
        <f t="shared" si="184"/>
        <v>5</v>
      </c>
      <c r="G5540" s="30" t="s">
        <v>9</v>
      </c>
      <c r="J5540" s="30" t="s">
        <v>391</v>
      </c>
    </row>
    <row r="5541" spans="1:10" x14ac:dyDescent="0.25">
      <c r="A5541" s="78">
        <v>46256</v>
      </c>
      <c r="B5541" s="68">
        <v>12</v>
      </c>
      <c r="C5541" s="205" t="s">
        <v>1142</v>
      </c>
      <c r="D5541" s="30">
        <v>2</v>
      </c>
      <c r="E5541" s="30">
        <v>5</v>
      </c>
      <c r="F5541" s="30">
        <f t="shared" si="184"/>
        <v>10</v>
      </c>
      <c r="G5541" s="30" t="s">
        <v>9</v>
      </c>
      <c r="J5541" s="30" t="s">
        <v>391</v>
      </c>
    </row>
    <row r="5542" spans="1:10" x14ac:dyDescent="0.25">
      <c r="A5542" s="78">
        <v>46256</v>
      </c>
      <c r="B5542" s="68">
        <v>12</v>
      </c>
      <c r="C5542" s="205" t="s">
        <v>623</v>
      </c>
      <c r="D5542" s="30">
        <v>1</v>
      </c>
      <c r="E5542" s="30">
        <v>4</v>
      </c>
      <c r="F5542" s="30">
        <f t="shared" si="184"/>
        <v>4</v>
      </c>
      <c r="G5542" s="30" t="s">
        <v>9</v>
      </c>
      <c r="J5542" s="30" t="s">
        <v>391</v>
      </c>
    </row>
    <row r="5543" spans="1:10" x14ac:dyDescent="0.25">
      <c r="A5543" s="78">
        <v>46256</v>
      </c>
      <c r="B5543" s="68">
        <v>12</v>
      </c>
      <c r="C5543" s="205" t="s">
        <v>1351</v>
      </c>
      <c r="D5543" s="30">
        <v>1</v>
      </c>
      <c r="E5543" s="30">
        <v>5</v>
      </c>
      <c r="F5543" s="30">
        <f t="shared" si="184"/>
        <v>5</v>
      </c>
      <c r="G5543" s="30" t="s">
        <v>9</v>
      </c>
      <c r="J5543" s="30" t="s">
        <v>391</v>
      </c>
    </row>
    <row r="5544" spans="1:10" x14ac:dyDescent="0.25">
      <c r="A5544" s="78">
        <v>46256</v>
      </c>
      <c r="B5544" s="68">
        <v>13</v>
      </c>
      <c r="C5544" s="205" t="s">
        <v>1052</v>
      </c>
      <c r="D5544" s="30">
        <v>1</v>
      </c>
      <c r="E5544" s="30">
        <v>10</v>
      </c>
      <c r="F5544" s="30">
        <f t="shared" si="184"/>
        <v>10</v>
      </c>
      <c r="G5544" s="30" t="s">
        <v>9</v>
      </c>
      <c r="J5544" s="30" t="s">
        <v>391</v>
      </c>
    </row>
    <row r="5545" spans="1:10" x14ac:dyDescent="0.25">
      <c r="A5545" s="78">
        <v>46256</v>
      </c>
      <c r="B5545" s="68">
        <v>13</v>
      </c>
      <c r="C5545" s="205" t="s">
        <v>1255</v>
      </c>
      <c r="D5545" s="30">
        <v>1</v>
      </c>
      <c r="E5545" s="30">
        <v>10</v>
      </c>
      <c r="F5545" s="30">
        <f t="shared" si="184"/>
        <v>10</v>
      </c>
      <c r="G5545" s="30" t="s">
        <v>9</v>
      </c>
      <c r="J5545" s="30" t="s">
        <v>391</v>
      </c>
    </row>
    <row r="5546" spans="1:10" x14ac:dyDescent="0.25">
      <c r="A5546" s="78">
        <v>46256</v>
      </c>
      <c r="B5546" s="68">
        <v>13</v>
      </c>
      <c r="C5546" s="205" t="s">
        <v>1182</v>
      </c>
      <c r="D5546" s="30">
        <v>1</v>
      </c>
      <c r="E5546" s="30">
        <v>15</v>
      </c>
      <c r="F5546" s="30">
        <f t="shared" si="184"/>
        <v>15</v>
      </c>
      <c r="G5546" s="30" t="s">
        <v>9</v>
      </c>
      <c r="J5546" s="30" t="s">
        <v>391</v>
      </c>
    </row>
    <row r="5547" spans="1:10" x14ac:dyDescent="0.25">
      <c r="A5547" s="78">
        <v>46256</v>
      </c>
      <c r="B5547" s="68">
        <v>14</v>
      </c>
      <c r="C5547" s="205" t="s">
        <v>1288</v>
      </c>
      <c r="D5547" s="30">
        <v>2</v>
      </c>
      <c r="E5547" s="30">
        <v>5</v>
      </c>
      <c r="F5547" s="30">
        <f t="shared" si="184"/>
        <v>10</v>
      </c>
      <c r="G5547" s="30" t="s">
        <v>9</v>
      </c>
      <c r="J5547" s="30" t="s">
        <v>391</v>
      </c>
    </row>
    <row r="5548" spans="1:10" x14ac:dyDescent="0.25">
      <c r="A5548" s="78">
        <v>46256</v>
      </c>
      <c r="B5548" s="68">
        <v>15</v>
      </c>
      <c r="C5548" s="205" t="s">
        <v>1350</v>
      </c>
      <c r="D5548" s="30">
        <v>1</v>
      </c>
      <c r="E5548" s="30">
        <v>65</v>
      </c>
      <c r="F5548" s="30">
        <f t="shared" si="184"/>
        <v>65</v>
      </c>
      <c r="G5548" s="30" t="s">
        <v>9</v>
      </c>
      <c r="J5548" s="30" t="s">
        <v>391</v>
      </c>
    </row>
    <row r="5549" spans="1:10" x14ac:dyDescent="0.25">
      <c r="A5549" s="78">
        <v>46256</v>
      </c>
      <c r="B5549" s="68">
        <v>15</v>
      </c>
      <c r="C5549" s="205" t="s">
        <v>678</v>
      </c>
      <c r="D5549" s="30">
        <v>1</v>
      </c>
      <c r="E5549" s="30">
        <v>10</v>
      </c>
      <c r="F5549" s="30">
        <f t="shared" si="184"/>
        <v>10</v>
      </c>
      <c r="G5549" s="30" t="s">
        <v>9</v>
      </c>
      <c r="J5549" s="30" t="s">
        <v>391</v>
      </c>
    </row>
    <row r="5550" spans="1:10" x14ac:dyDescent="0.25">
      <c r="A5550" s="78">
        <v>46256</v>
      </c>
      <c r="B5550" s="68">
        <v>16</v>
      </c>
      <c r="C5550" s="19" t="s">
        <v>1299</v>
      </c>
      <c r="D5550" s="30">
        <v>4</v>
      </c>
      <c r="E5550" s="30">
        <v>10</v>
      </c>
      <c r="F5550" s="30">
        <f t="shared" si="184"/>
        <v>40</v>
      </c>
      <c r="G5550" s="30" t="s">
        <v>9</v>
      </c>
      <c r="J5550" s="30" t="s">
        <v>391</v>
      </c>
    </row>
    <row r="5551" spans="1:10" x14ac:dyDescent="0.25">
      <c r="A5551" s="78">
        <v>46256</v>
      </c>
      <c r="B5551" s="68">
        <v>17</v>
      </c>
      <c r="C5551" s="19" t="s">
        <v>1299</v>
      </c>
      <c r="D5551" s="30">
        <v>30</v>
      </c>
      <c r="E5551" s="30">
        <v>8.5</v>
      </c>
      <c r="F5551" s="30">
        <f t="shared" si="184"/>
        <v>255</v>
      </c>
      <c r="G5551" s="30" t="s">
        <v>16</v>
      </c>
      <c r="I5551" s="68" t="s">
        <v>663</v>
      </c>
      <c r="J5551" s="30" t="s">
        <v>391</v>
      </c>
    </row>
    <row r="5552" spans="1:10" ht="30" x14ac:dyDescent="0.25">
      <c r="A5552" s="78">
        <v>46256</v>
      </c>
      <c r="B5552" s="68">
        <v>17</v>
      </c>
      <c r="C5552" s="205" t="s">
        <v>1172</v>
      </c>
      <c r="D5552" s="30">
        <v>1</v>
      </c>
      <c r="E5552" s="30">
        <v>205</v>
      </c>
      <c r="F5552" s="30">
        <f t="shared" si="184"/>
        <v>205</v>
      </c>
      <c r="G5552" s="30" t="s">
        <v>16</v>
      </c>
      <c r="I5552" s="68" t="s">
        <v>663</v>
      </c>
      <c r="J5552" s="30" t="s">
        <v>391</v>
      </c>
    </row>
    <row r="5553" spans="1:10" x14ac:dyDescent="0.25">
      <c r="A5553" s="78">
        <v>46256</v>
      </c>
      <c r="B5553" s="68">
        <v>17</v>
      </c>
      <c r="C5553" s="205" t="s">
        <v>523</v>
      </c>
      <c r="D5553" s="30">
        <v>0.2</v>
      </c>
      <c r="E5553" s="30">
        <v>280</v>
      </c>
      <c r="F5553" s="30">
        <f t="shared" si="184"/>
        <v>56</v>
      </c>
      <c r="G5553" s="30" t="s">
        <v>16</v>
      </c>
      <c r="I5553" s="68" t="s">
        <v>663</v>
      </c>
      <c r="J5553" s="30" t="s">
        <v>391</v>
      </c>
    </row>
    <row r="5554" spans="1:10" x14ac:dyDescent="0.25">
      <c r="A5554" s="78">
        <v>46256</v>
      </c>
      <c r="B5554" s="68">
        <v>18</v>
      </c>
      <c r="C5554" s="205" t="s">
        <v>891</v>
      </c>
      <c r="D5554" s="30">
        <v>5</v>
      </c>
      <c r="E5554" s="30">
        <v>1</v>
      </c>
      <c r="F5554" s="30">
        <f t="shared" si="184"/>
        <v>5</v>
      </c>
      <c r="G5554" s="30" t="s">
        <v>9</v>
      </c>
      <c r="J5554" s="30" t="s">
        <v>391</v>
      </c>
    </row>
    <row r="5555" spans="1:10" x14ac:dyDescent="0.25">
      <c r="A5555" s="78">
        <v>46256</v>
      </c>
      <c r="B5555" s="68">
        <v>19</v>
      </c>
      <c r="C5555" s="205" t="s">
        <v>1090</v>
      </c>
      <c r="D5555" s="30">
        <v>2</v>
      </c>
      <c r="E5555" s="30">
        <v>10</v>
      </c>
      <c r="F5555" s="30">
        <f t="shared" si="184"/>
        <v>20</v>
      </c>
      <c r="G5555" s="30" t="s">
        <v>10</v>
      </c>
      <c r="J5555" s="30" t="s">
        <v>391</v>
      </c>
    </row>
    <row r="5556" spans="1:10" x14ac:dyDescent="0.25">
      <c r="A5556" s="78">
        <v>46256</v>
      </c>
      <c r="B5556" s="68">
        <v>20</v>
      </c>
      <c r="C5556" s="205" t="s">
        <v>723</v>
      </c>
      <c r="D5556" s="30">
        <v>6.5000000000000002E-2</v>
      </c>
      <c r="E5556" s="30">
        <v>300</v>
      </c>
      <c r="F5556" s="30">
        <f t="shared" si="184"/>
        <v>19.5</v>
      </c>
      <c r="G5556" s="30" t="s">
        <v>9</v>
      </c>
      <c r="J5556" s="30" t="s">
        <v>391</v>
      </c>
    </row>
    <row r="5557" spans="1:10" x14ac:dyDescent="0.25">
      <c r="A5557" s="78">
        <v>46256</v>
      </c>
      <c r="B5557" s="68">
        <v>21</v>
      </c>
      <c r="C5557" s="205" t="s">
        <v>1283</v>
      </c>
      <c r="D5557" s="30">
        <v>1</v>
      </c>
      <c r="E5557" s="30">
        <v>40</v>
      </c>
      <c r="F5557" s="30">
        <f t="shared" si="184"/>
        <v>40</v>
      </c>
      <c r="G5557" s="30" t="s">
        <v>9</v>
      </c>
      <c r="I5557" s="68" t="s">
        <v>1317</v>
      </c>
      <c r="J5557" s="30" t="s">
        <v>391</v>
      </c>
    </row>
    <row r="5558" spans="1:10" x14ac:dyDescent="0.25">
      <c r="A5558" s="78">
        <v>46256</v>
      </c>
      <c r="B5558" s="68">
        <v>22</v>
      </c>
      <c r="C5558" s="205" t="s">
        <v>1352</v>
      </c>
      <c r="D5558" s="30">
        <v>1</v>
      </c>
      <c r="E5558" s="30">
        <v>45</v>
      </c>
      <c r="F5558" s="30">
        <f t="shared" si="184"/>
        <v>45</v>
      </c>
      <c r="G5558" s="30" t="s">
        <v>9</v>
      </c>
      <c r="J5558" s="30" t="s">
        <v>391</v>
      </c>
    </row>
    <row r="5559" spans="1:10" x14ac:dyDescent="0.25">
      <c r="A5559" s="78">
        <v>46256</v>
      </c>
      <c r="B5559" s="68">
        <v>23</v>
      </c>
      <c r="C5559" s="205" t="s">
        <v>1263</v>
      </c>
      <c r="D5559" s="30">
        <v>5</v>
      </c>
      <c r="E5559" s="30">
        <v>2</v>
      </c>
      <c r="F5559" s="30">
        <f t="shared" si="184"/>
        <v>10</v>
      </c>
      <c r="G5559" s="30" t="s">
        <v>9</v>
      </c>
      <c r="J5559" s="30" t="s">
        <v>391</v>
      </c>
    </row>
    <row r="5560" spans="1:10" x14ac:dyDescent="0.25">
      <c r="A5560" s="78">
        <v>46256</v>
      </c>
      <c r="B5560" s="68">
        <v>24</v>
      </c>
      <c r="C5560" s="205" t="s">
        <v>1263</v>
      </c>
      <c r="D5560" s="30">
        <v>3</v>
      </c>
      <c r="E5560" s="30">
        <v>2</v>
      </c>
      <c r="F5560" s="30">
        <f t="shared" si="184"/>
        <v>6</v>
      </c>
      <c r="G5560" s="30" t="s">
        <v>9</v>
      </c>
      <c r="J5560" s="30" t="s">
        <v>391</v>
      </c>
    </row>
    <row r="5561" spans="1:10" x14ac:dyDescent="0.25">
      <c r="A5561" s="78">
        <v>46256</v>
      </c>
      <c r="B5561" s="68">
        <v>24</v>
      </c>
      <c r="C5561" s="205" t="s">
        <v>1316</v>
      </c>
      <c r="D5561" s="30">
        <v>1</v>
      </c>
      <c r="E5561" s="30">
        <v>10</v>
      </c>
      <c r="F5561" s="30">
        <f t="shared" si="184"/>
        <v>10</v>
      </c>
      <c r="G5561" s="30" t="s">
        <v>9</v>
      </c>
      <c r="J5561" s="30" t="s">
        <v>391</v>
      </c>
    </row>
    <row r="5562" spans="1:10" x14ac:dyDescent="0.25">
      <c r="A5562" s="78">
        <v>46256</v>
      </c>
      <c r="B5562" s="68">
        <v>24</v>
      </c>
      <c r="C5562" s="205" t="s">
        <v>962</v>
      </c>
      <c r="D5562" s="30">
        <v>2</v>
      </c>
      <c r="E5562" s="30">
        <v>5</v>
      </c>
      <c r="F5562" s="30">
        <f t="shared" si="184"/>
        <v>10</v>
      </c>
      <c r="G5562" s="30" t="s">
        <v>9</v>
      </c>
      <c r="J5562" s="30" t="s">
        <v>391</v>
      </c>
    </row>
    <row r="5563" spans="1:10" x14ac:dyDescent="0.25">
      <c r="A5563" s="78">
        <v>46256</v>
      </c>
      <c r="B5563" s="68">
        <v>25</v>
      </c>
      <c r="C5563" s="205" t="s">
        <v>1234</v>
      </c>
      <c r="D5563" s="30">
        <v>0.16</v>
      </c>
      <c r="E5563" s="30">
        <v>60</v>
      </c>
      <c r="F5563" s="30">
        <f t="shared" si="184"/>
        <v>9.6</v>
      </c>
      <c r="G5563" s="30" t="s">
        <v>9</v>
      </c>
      <c r="J5563" s="30" t="s">
        <v>391</v>
      </c>
    </row>
    <row r="5564" spans="1:10" x14ac:dyDescent="0.25">
      <c r="A5564" s="78">
        <v>46256</v>
      </c>
      <c r="B5564" s="68">
        <v>25</v>
      </c>
      <c r="C5564" s="205" t="s">
        <v>1127</v>
      </c>
      <c r="D5564" s="30">
        <v>1</v>
      </c>
      <c r="E5564" s="30">
        <v>10</v>
      </c>
      <c r="F5564" s="30">
        <f t="shared" si="184"/>
        <v>10</v>
      </c>
      <c r="G5564" s="30" t="s">
        <v>9</v>
      </c>
      <c r="J5564" s="30" t="s">
        <v>391</v>
      </c>
    </row>
    <row r="5565" spans="1:10" x14ac:dyDescent="0.25">
      <c r="A5565" s="78">
        <v>46256</v>
      </c>
      <c r="B5565" s="68">
        <v>25</v>
      </c>
      <c r="C5565" s="204" t="s">
        <v>970</v>
      </c>
      <c r="D5565" s="30">
        <v>1</v>
      </c>
      <c r="E5565" s="30">
        <v>10</v>
      </c>
      <c r="F5565" s="30">
        <f t="shared" si="184"/>
        <v>10</v>
      </c>
      <c r="G5565" s="30" t="s">
        <v>9</v>
      </c>
      <c r="J5565" s="30" t="s">
        <v>391</v>
      </c>
    </row>
    <row r="5566" spans="1:10" x14ac:dyDescent="0.25">
      <c r="A5566" s="78">
        <v>46256</v>
      </c>
      <c r="B5566" s="68">
        <v>25</v>
      </c>
      <c r="C5566" s="204" t="s">
        <v>379</v>
      </c>
      <c r="D5566" s="30">
        <v>1</v>
      </c>
      <c r="E5566" s="30">
        <v>10</v>
      </c>
      <c r="F5566" s="30">
        <f t="shared" si="184"/>
        <v>10</v>
      </c>
      <c r="G5566" s="30" t="s">
        <v>9</v>
      </c>
      <c r="J5566" s="30" t="s">
        <v>391</v>
      </c>
    </row>
    <row r="5567" spans="1:10" x14ac:dyDescent="0.25">
      <c r="A5567" s="78">
        <v>46256</v>
      </c>
      <c r="B5567" s="68">
        <v>25</v>
      </c>
      <c r="C5567" s="205" t="s">
        <v>1137</v>
      </c>
      <c r="D5567" s="30">
        <v>1</v>
      </c>
      <c r="E5567" s="30">
        <v>40</v>
      </c>
      <c r="F5567" s="30">
        <f t="shared" si="184"/>
        <v>40</v>
      </c>
      <c r="G5567" s="30" t="s">
        <v>9</v>
      </c>
      <c r="J5567" s="30" t="s">
        <v>391</v>
      </c>
    </row>
    <row r="5568" spans="1:10" x14ac:dyDescent="0.25">
      <c r="A5568" s="78">
        <v>46256</v>
      </c>
      <c r="B5568" s="68">
        <v>25</v>
      </c>
      <c r="C5568" s="205" t="s">
        <v>1062</v>
      </c>
      <c r="D5568" s="30">
        <v>1</v>
      </c>
      <c r="E5568" s="30">
        <v>10</v>
      </c>
      <c r="F5568" s="30">
        <f t="shared" si="184"/>
        <v>10</v>
      </c>
      <c r="G5568" s="30" t="s">
        <v>9</v>
      </c>
      <c r="J5568" s="30" t="s">
        <v>391</v>
      </c>
    </row>
    <row r="5569" spans="1:10" x14ac:dyDescent="0.25">
      <c r="A5569" s="78">
        <v>46256</v>
      </c>
      <c r="B5569" s="68">
        <v>26</v>
      </c>
      <c r="C5569" s="205" t="s">
        <v>1353</v>
      </c>
      <c r="D5569" s="30">
        <v>1</v>
      </c>
      <c r="E5569" s="30">
        <v>20</v>
      </c>
      <c r="F5569" s="30">
        <f t="shared" si="184"/>
        <v>20</v>
      </c>
      <c r="G5569" s="30" t="s">
        <v>9</v>
      </c>
      <c r="J5569" s="30" t="s">
        <v>391</v>
      </c>
    </row>
    <row r="5570" spans="1:10" x14ac:dyDescent="0.25">
      <c r="A5570" s="78">
        <v>46256</v>
      </c>
      <c r="B5570" s="68">
        <v>26</v>
      </c>
      <c r="C5570" s="19" t="s">
        <v>1330</v>
      </c>
      <c r="D5570" s="30">
        <v>1</v>
      </c>
      <c r="E5570" s="30">
        <v>30</v>
      </c>
      <c r="F5570" s="30">
        <f t="shared" si="184"/>
        <v>30</v>
      </c>
      <c r="G5570" s="30" t="s">
        <v>9</v>
      </c>
      <c r="J5570" s="30" t="s">
        <v>391</v>
      </c>
    </row>
    <row r="5571" spans="1:10" s="199" customFormat="1" ht="31.5" x14ac:dyDescent="0.25">
      <c r="A5571" s="196">
        <v>46256</v>
      </c>
      <c r="B5571" s="197" t="s">
        <v>1245</v>
      </c>
      <c r="C5571" s="198">
        <f>MAX(B5517:B5570)</f>
        <v>26</v>
      </c>
      <c r="D5571" s="197" t="s">
        <v>1246</v>
      </c>
      <c r="E5571" s="199">
        <f>SUMIF(G5517:G5570,"UPI",F5517:F5570)</f>
        <v>75</v>
      </c>
      <c r="H5571" s="200" t="s">
        <v>1247</v>
      </c>
      <c r="I5571" s="200">
        <f>SUMIF(G5517:G5570, "&lt;&gt;UPI",F5517:F5570)</f>
        <v>1328.85</v>
      </c>
    </row>
    <row r="5572" spans="1:10" x14ac:dyDescent="0.25">
      <c r="A5572" s="78">
        <v>46256</v>
      </c>
      <c r="B5572" s="68">
        <v>17</v>
      </c>
      <c r="C5572" s="205" t="s">
        <v>1272</v>
      </c>
      <c r="D5572" s="30">
        <v>1</v>
      </c>
      <c r="E5572" s="30">
        <v>10</v>
      </c>
      <c r="F5572" s="30">
        <f>E5572*D5572</f>
        <v>10</v>
      </c>
      <c r="G5572" s="30" t="s">
        <v>9</v>
      </c>
      <c r="J5572" s="30" t="s">
        <v>392</v>
      </c>
    </row>
    <row r="5573" spans="1:10" x14ac:dyDescent="0.25">
      <c r="A5573" s="78">
        <v>46256</v>
      </c>
      <c r="B5573" s="68">
        <v>27</v>
      </c>
      <c r="C5573" s="205" t="s">
        <v>1255</v>
      </c>
      <c r="D5573" s="30">
        <v>2</v>
      </c>
      <c r="E5573" s="30">
        <v>10</v>
      </c>
      <c r="F5573" s="30">
        <f t="shared" ref="F5573:F5609" si="185">E5573*D5573</f>
        <v>20</v>
      </c>
      <c r="G5573" s="30" t="s">
        <v>9</v>
      </c>
      <c r="J5573" s="30" t="s">
        <v>392</v>
      </c>
    </row>
    <row r="5574" spans="1:10" ht="30" x14ac:dyDescent="0.25">
      <c r="A5574" s="78">
        <v>46256</v>
      </c>
      <c r="B5574" s="68">
        <v>27</v>
      </c>
      <c r="C5574" s="205" t="s">
        <v>1256</v>
      </c>
      <c r="D5574" s="30">
        <v>1</v>
      </c>
      <c r="E5574" s="30">
        <v>10</v>
      </c>
      <c r="F5574" s="30">
        <f t="shared" si="185"/>
        <v>10</v>
      </c>
      <c r="G5574" s="30" t="s">
        <v>9</v>
      </c>
      <c r="J5574" s="30" t="s">
        <v>392</v>
      </c>
    </row>
    <row r="5575" spans="1:10" x14ac:dyDescent="0.25">
      <c r="A5575" s="78">
        <v>46256</v>
      </c>
      <c r="B5575" s="68">
        <v>28</v>
      </c>
      <c r="C5575" s="205" t="s">
        <v>964</v>
      </c>
      <c r="D5575" s="30">
        <v>1</v>
      </c>
      <c r="E5575" s="30">
        <v>10</v>
      </c>
      <c r="F5575" s="30">
        <f t="shared" si="185"/>
        <v>10</v>
      </c>
      <c r="G5575" s="30" t="s">
        <v>9</v>
      </c>
      <c r="J5575" s="30" t="s">
        <v>392</v>
      </c>
    </row>
    <row r="5576" spans="1:10" x14ac:dyDescent="0.25">
      <c r="A5576" s="78">
        <v>46256</v>
      </c>
      <c r="B5576" s="68">
        <v>5</v>
      </c>
      <c r="C5576" s="205" t="s">
        <v>877</v>
      </c>
      <c r="D5576" s="30">
        <v>1</v>
      </c>
      <c r="E5576" s="30">
        <v>10</v>
      </c>
      <c r="F5576" s="30">
        <f t="shared" si="185"/>
        <v>10</v>
      </c>
      <c r="G5576" s="30" t="s">
        <v>16</v>
      </c>
      <c r="I5576" s="68" t="s">
        <v>1203</v>
      </c>
      <c r="J5576" s="30" t="s">
        <v>392</v>
      </c>
    </row>
    <row r="5577" spans="1:10" x14ac:dyDescent="0.25">
      <c r="A5577" s="78">
        <v>46256</v>
      </c>
      <c r="B5577" s="68">
        <v>28</v>
      </c>
      <c r="C5577" s="205" t="s">
        <v>1260</v>
      </c>
      <c r="D5577" s="30">
        <v>2</v>
      </c>
      <c r="E5577" s="30">
        <v>5</v>
      </c>
      <c r="F5577" s="30">
        <f t="shared" si="185"/>
        <v>10</v>
      </c>
      <c r="G5577" s="30" t="s">
        <v>9</v>
      </c>
      <c r="J5577" s="30" t="s">
        <v>392</v>
      </c>
    </row>
    <row r="5578" spans="1:10" x14ac:dyDescent="0.25">
      <c r="A5578" s="78">
        <v>46256</v>
      </c>
      <c r="B5578" s="68">
        <v>30</v>
      </c>
      <c r="C5578" s="205" t="s">
        <v>842</v>
      </c>
      <c r="D5578" s="30">
        <v>1</v>
      </c>
      <c r="E5578" s="30">
        <v>60</v>
      </c>
      <c r="F5578" s="30">
        <f t="shared" si="185"/>
        <v>60</v>
      </c>
      <c r="G5578" s="30" t="s">
        <v>9</v>
      </c>
      <c r="J5578" s="30" t="s">
        <v>392</v>
      </c>
    </row>
    <row r="5579" spans="1:10" x14ac:dyDescent="0.25">
      <c r="A5579" s="78">
        <v>46256</v>
      </c>
      <c r="B5579" s="68">
        <v>31</v>
      </c>
      <c r="C5579" s="205" t="s">
        <v>524</v>
      </c>
      <c r="D5579" s="30">
        <v>10</v>
      </c>
      <c r="E5579" s="30">
        <v>1</v>
      </c>
      <c r="F5579" s="30">
        <f t="shared" si="185"/>
        <v>10</v>
      </c>
      <c r="G5579" s="30" t="s">
        <v>10</v>
      </c>
      <c r="J5579" s="30" t="s">
        <v>392</v>
      </c>
    </row>
    <row r="5580" spans="1:10" x14ac:dyDescent="0.25">
      <c r="A5580" s="78">
        <v>46256</v>
      </c>
      <c r="B5580" s="68">
        <v>32</v>
      </c>
      <c r="C5580" s="205" t="s">
        <v>1162</v>
      </c>
      <c r="D5580" s="30">
        <v>1</v>
      </c>
      <c r="E5580" s="30">
        <v>5</v>
      </c>
      <c r="F5580" s="30">
        <f t="shared" si="185"/>
        <v>5</v>
      </c>
      <c r="G5580" s="30" t="s">
        <v>9</v>
      </c>
      <c r="J5580" s="30" t="s">
        <v>392</v>
      </c>
    </row>
    <row r="5581" spans="1:10" x14ac:dyDescent="0.25">
      <c r="A5581" s="78">
        <v>46256</v>
      </c>
      <c r="B5581" s="68">
        <v>33</v>
      </c>
      <c r="C5581" s="205" t="s">
        <v>348</v>
      </c>
      <c r="D5581" s="30">
        <v>5</v>
      </c>
      <c r="E5581" s="30">
        <v>1</v>
      </c>
      <c r="F5581" s="30">
        <f t="shared" si="185"/>
        <v>5</v>
      </c>
      <c r="G5581" s="30" t="s">
        <v>9</v>
      </c>
      <c r="J5581" s="30" t="s">
        <v>392</v>
      </c>
    </row>
    <row r="5582" spans="1:10" x14ac:dyDescent="0.25">
      <c r="A5582" s="78">
        <v>46256</v>
      </c>
      <c r="B5582" s="68">
        <v>33</v>
      </c>
      <c r="C5582" s="205" t="s">
        <v>1067</v>
      </c>
      <c r="D5582" s="30">
        <v>1</v>
      </c>
      <c r="E5582" s="30">
        <v>10</v>
      </c>
      <c r="F5582" s="30">
        <f t="shared" si="185"/>
        <v>10</v>
      </c>
      <c r="G5582" s="30" t="s">
        <v>9</v>
      </c>
      <c r="J5582" s="30" t="s">
        <v>392</v>
      </c>
    </row>
    <row r="5583" spans="1:10" x14ac:dyDescent="0.25">
      <c r="A5583" s="78">
        <v>46256</v>
      </c>
      <c r="B5583" s="68">
        <v>34</v>
      </c>
      <c r="C5583" s="205" t="s">
        <v>967</v>
      </c>
      <c r="D5583" s="30">
        <v>1</v>
      </c>
      <c r="E5583" s="30">
        <v>120</v>
      </c>
      <c r="F5583" s="30">
        <f t="shared" si="185"/>
        <v>120</v>
      </c>
      <c r="G5583" s="30" t="s">
        <v>9</v>
      </c>
      <c r="J5583" s="30" t="s">
        <v>392</v>
      </c>
    </row>
    <row r="5584" spans="1:10" x14ac:dyDescent="0.25">
      <c r="A5584" s="78">
        <v>46256</v>
      </c>
      <c r="B5584" s="68">
        <v>34</v>
      </c>
      <c r="C5584" s="19" t="s">
        <v>1345</v>
      </c>
      <c r="D5584" s="30">
        <v>1</v>
      </c>
      <c r="E5584" s="30">
        <v>30</v>
      </c>
      <c r="F5584" s="30">
        <f t="shared" si="185"/>
        <v>30</v>
      </c>
      <c r="G5584" s="30" t="s">
        <v>9</v>
      </c>
      <c r="J5584" s="30" t="s">
        <v>392</v>
      </c>
    </row>
    <row r="5585" spans="1:10" x14ac:dyDescent="0.25">
      <c r="A5585" s="78">
        <v>46256</v>
      </c>
      <c r="B5585" s="68">
        <v>34</v>
      </c>
      <c r="C5585" s="205" t="s">
        <v>1162</v>
      </c>
      <c r="D5585" s="30">
        <v>2</v>
      </c>
      <c r="E5585" s="30">
        <v>5</v>
      </c>
      <c r="F5585" s="30">
        <f t="shared" si="185"/>
        <v>10</v>
      </c>
      <c r="G5585" s="30" t="s">
        <v>9</v>
      </c>
      <c r="J5585" s="30" t="s">
        <v>392</v>
      </c>
    </row>
    <row r="5586" spans="1:10" x14ac:dyDescent="0.25">
      <c r="A5586" s="78">
        <v>46256</v>
      </c>
      <c r="B5586" s="68">
        <v>35</v>
      </c>
      <c r="C5586" s="205" t="s">
        <v>1090</v>
      </c>
      <c r="D5586" s="30">
        <v>5</v>
      </c>
      <c r="E5586" s="30">
        <v>10</v>
      </c>
      <c r="F5586" s="30">
        <f t="shared" si="185"/>
        <v>50</v>
      </c>
      <c r="G5586" s="30" t="s">
        <v>9</v>
      </c>
      <c r="J5586" s="30" t="s">
        <v>392</v>
      </c>
    </row>
    <row r="5587" spans="1:10" x14ac:dyDescent="0.25">
      <c r="A5587" s="78">
        <v>46256</v>
      </c>
      <c r="B5587" s="68">
        <v>35</v>
      </c>
      <c r="C5587" s="205" t="s">
        <v>1130</v>
      </c>
      <c r="D5587" s="30">
        <v>1</v>
      </c>
      <c r="E5587" s="30">
        <v>105</v>
      </c>
      <c r="F5587" s="30">
        <f t="shared" si="185"/>
        <v>105</v>
      </c>
      <c r="G5587" s="30" t="s">
        <v>9</v>
      </c>
      <c r="J5587" s="30" t="s">
        <v>392</v>
      </c>
    </row>
    <row r="5588" spans="1:10" x14ac:dyDescent="0.25">
      <c r="A5588" s="78">
        <v>46256</v>
      </c>
      <c r="B5588" s="68">
        <v>35</v>
      </c>
      <c r="C5588" s="19" t="s">
        <v>1345</v>
      </c>
      <c r="D5588" s="30">
        <v>1</v>
      </c>
      <c r="E5588" s="30">
        <v>30</v>
      </c>
      <c r="F5588" s="30">
        <f t="shared" si="185"/>
        <v>30</v>
      </c>
      <c r="G5588" s="30" t="s">
        <v>9</v>
      </c>
      <c r="J5588" s="30" t="s">
        <v>392</v>
      </c>
    </row>
    <row r="5589" spans="1:10" x14ac:dyDescent="0.25">
      <c r="A5589" s="78">
        <v>46256</v>
      </c>
      <c r="B5589" s="68">
        <v>36</v>
      </c>
      <c r="C5589" s="204" t="s">
        <v>379</v>
      </c>
      <c r="D5589" s="30">
        <v>1</v>
      </c>
      <c r="E5589" s="30">
        <v>10</v>
      </c>
      <c r="F5589" s="30">
        <f t="shared" si="185"/>
        <v>10</v>
      </c>
      <c r="G5589" s="30" t="s">
        <v>9</v>
      </c>
      <c r="J5589" s="30" t="s">
        <v>392</v>
      </c>
    </row>
    <row r="5590" spans="1:10" x14ac:dyDescent="0.25">
      <c r="A5590" s="78">
        <v>46256</v>
      </c>
      <c r="B5590" s="68">
        <v>36</v>
      </c>
      <c r="C5590" s="205" t="s">
        <v>877</v>
      </c>
      <c r="D5590" s="30">
        <v>1</v>
      </c>
      <c r="E5590" s="30">
        <v>10</v>
      </c>
      <c r="F5590" s="30">
        <f t="shared" si="185"/>
        <v>10</v>
      </c>
      <c r="G5590" s="30" t="s">
        <v>9</v>
      </c>
      <c r="J5590" s="30" t="s">
        <v>392</v>
      </c>
    </row>
    <row r="5591" spans="1:10" x14ac:dyDescent="0.25">
      <c r="A5591" s="78">
        <v>46256</v>
      </c>
      <c r="B5591" s="68">
        <v>39</v>
      </c>
      <c r="C5591" s="205" t="s">
        <v>877</v>
      </c>
      <c r="D5591" s="30">
        <v>1</v>
      </c>
      <c r="E5591" s="30">
        <v>10</v>
      </c>
      <c r="F5591" s="30">
        <f t="shared" si="185"/>
        <v>10</v>
      </c>
      <c r="G5591" s="30" t="s">
        <v>10</v>
      </c>
      <c r="J5591" s="30" t="s">
        <v>392</v>
      </c>
    </row>
    <row r="5592" spans="1:10" x14ac:dyDescent="0.25">
      <c r="A5592" s="78">
        <v>46256</v>
      </c>
      <c r="B5592" s="68">
        <v>39</v>
      </c>
      <c r="C5592" s="205" t="s">
        <v>1058</v>
      </c>
      <c r="D5592" s="30">
        <v>1</v>
      </c>
      <c r="E5592" s="30">
        <v>5</v>
      </c>
      <c r="F5592" s="30">
        <f t="shared" si="185"/>
        <v>5</v>
      </c>
      <c r="G5592" s="30" t="s">
        <v>10</v>
      </c>
      <c r="J5592" s="30" t="s">
        <v>392</v>
      </c>
    </row>
    <row r="5593" spans="1:10" x14ac:dyDescent="0.25">
      <c r="A5593" s="78">
        <v>46256</v>
      </c>
      <c r="B5593" s="68">
        <v>39</v>
      </c>
      <c r="C5593" s="205" t="s">
        <v>960</v>
      </c>
      <c r="D5593" s="30">
        <v>2</v>
      </c>
      <c r="E5593" s="30">
        <v>5</v>
      </c>
      <c r="F5593" s="30">
        <f t="shared" si="185"/>
        <v>10</v>
      </c>
      <c r="G5593" s="30" t="s">
        <v>10</v>
      </c>
      <c r="J5593" s="30" t="s">
        <v>392</v>
      </c>
    </row>
    <row r="5594" spans="1:10" x14ac:dyDescent="0.25">
      <c r="A5594" s="78">
        <v>46256</v>
      </c>
      <c r="B5594" s="68">
        <v>39</v>
      </c>
      <c r="C5594" s="205" t="s">
        <v>1260</v>
      </c>
      <c r="D5594" s="30">
        <v>1</v>
      </c>
      <c r="E5594" s="30">
        <v>5</v>
      </c>
      <c r="F5594" s="30">
        <f t="shared" si="185"/>
        <v>5</v>
      </c>
      <c r="G5594" s="30" t="s">
        <v>10</v>
      </c>
      <c r="J5594" s="30" t="s">
        <v>392</v>
      </c>
    </row>
    <row r="5595" spans="1:10" x14ac:dyDescent="0.25">
      <c r="A5595" s="78">
        <v>46256</v>
      </c>
      <c r="B5595" s="68">
        <v>39</v>
      </c>
      <c r="C5595" s="33" t="s">
        <v>1313</v>
      </c>
      <c r="D5595" s="30">
        <v>1</v>
      </c>
      <c r="E5595" s="30">
        <v>20</v>
      </c>
      <c r="F5595" s="30">
        <f t="shared" si="185"/>
        <v>20</v>
      </c>
      <c r="G5595" s="30" t="s">
        <v>10</v>
      </c>
      <c r="J5595" s="30" t="s">
        <v>392</v>
      </c>
    </row>
    <row r="5596" spans="1:10" x14ac:dyDescent="0.25">
      <c r="A5596" s="78">
        <v>46256</v>
      </c>
      <c r="B5596" s="68">
        <v>39</v>
      </c>
      <c r="C5596" s="19" t="s">
        <v>1299</v>
      </c>
      <c r="D5596" s="30">
        <v>3</v>
      </c>
      <c r="E5596" s="30">
        <v>10</v>
      </c>
      <c r="F5596" s="30">
        <f t="shared" si="185"/>
        <v>30</v>
      </c>
      <c r="G5596" s="30" t="s">
        <v>10</v>
      </c>
      <c r="J5596" s="30" t="s">
        <v>392</v>
      </c>
    </row>
    <row r="5597" spans="1:10" x14ac:dyDescent="0.25">
      <c r="A5597" s="78">
        <v>46256</v>
      </c>
      <c r="B5597" s="68">
        <v>40</v>
      </c>
      <c r="C5597" s="205" t="s">
        <v>1067</v>
      </c>
      <c r="D5597" s="30">
        <v>1</v>
      </c>
      <c r="E5597" s="30">
        <v>10</v>
      </c>
      <c r="F5597" s="30">
        <f t="shared" si="185"/>
        <v>10</v>
      </c>
      <c r="G5597" s="30" t="s">
        <v>9</v>
      </c>
      <c r="J5597" s="30" t="s">
        <v>392</v>
      </c>
    </row>
    <row r="5598" spans="1:10" x14ac:dyDescent="0.25">
      <c r="A5598" s="78">
        <v>46256</v>
      </c>
      <c r="B5598" s="68">
        <v>40</v>
      </c>
      <c r="C5598" s="205" t="s">
        <v>1255</v>
      </c>
      <c r="D5598" s="30">
        <v>1</v>
      </c>
      <c r="E5598" s="30">
        <v>10</v>
      </c>
      <c r="F5598" s="30">
        <f t="shared" si="185"/>
        <v>10</v>
      </c>
      <c r="G5598" s="30" t="s">
        <v>9</v>
      </c>
      <c r="J5598" s="30" t="s">
        <v>392</v>
      </c>
    </row>
    <row r="5599" spans="1:10" x14ac:dyDescent="0.25">
      <c r="A5599" s="78">
        <v>46256</v>
      </c>
      <c r="B5599" s="68">
        <v>41</v>
      </c>
      <c r="C5599" s="205" t="s">
        <v>1253</v>
      </c>
      <c r="D5599" s="30">
        <v>3</v>
      </c>
      <c r="E5599" s="30">
        <v>5</v>
      </c>
      <c r="F5599" s="30">
        <f t="shared" si="185"/>
        <v>15</v>
      </c>
      <c r="G5599" s="30" t="s">
        <v>9</v>
      </c>
      <c r="J5599" s="30" t="s">
        <v>392</v>
      </c>
    </row>
    <row r="5600" spans="1:10" x14ac:dyDescent="0.25">
      <c r="A5600" s="78">
        <v>46256</v>
      </c>
      <c r="B5600" s="68">
        <v>42</v>
      </c>
      <c r="C5600" s="19" t="s">
        <v>1299</v>
      </c>
      <c r="D5600" s="30">
        <v>5</v>
      </c>
      <c r="E5600" s="30">
        <v>10</v>
      </c>
      <c r="F5600" s="30">
        <f t="shared" si="185"/>
        <v>50</v>
      </c>
      <c r="G5600" s="30" t="s">
        <v>9</v>
      </c>
      <c r="J5600" s="30" t="s">
        <v>392</v>
      </c>
    </row>
    <row r="5601" spans="1:12" x14ac:dyDescent="0.25">
      <c r="A5601" s="78">
        <v>46256</v>
      </c>
      <c r="B5601" s="68">
        <v>43</v>
      </c>
      <c r="C5601" s="205" t="s">
        <v>1291</v>
      </c>
      <c r="D5601" s="30">
        <v>3</v>
      </c>
      <c r="E5601" s="30">
        <v>65</v>
      </c>
      <c r="F5601" s="30">
        <f t="shared" si="185"/>
        <v>195</v>
      </c>
      <c r="G5601" s="30" t="s">
        <v>9</v>
      </c>
      <c r="J5601" s="30" t="s">
        <v>392</v>
      </c>
    </row>
    <row r="5602" spans="1:12" x14ac:dyDescent="0.25">
      <c r="A5602" s="78">
        <v>46256</v>
      </c>
      <c r="B5602" s="68">
        <v>43</v>
      </c>
      <c r="C5602" s="19" t="s">
        <v>1299</v>
      </c>
      <c r="D5602" s="30">
        <v>2</v>
      </c>
      <c r="E5602" s="30">
        <v>10</v>
      </c>
      <c r="F5602" s="30">
        <f t="shared" si="185"/>
        <v>20</v>
      </c>
      <c r="G5602" s="30" t="s">
        <v>9</v>
      </c>
      <c r="J5602" s="30" t="s">
        <v>392</v>
      </c>
    </row>
    <row r="5603" spans="1:12" x14ac:dyDescent="0.25">
      <c r="A5603" s="78">
        <v>46256</v>
      </c>
      <c r="B5603" s="68">
        <v>44</v>
      </c>
      <c r="C5603" s="205" t="s">
        <v>1058</v>
      </c>
      <c r="D5603" s="30">
        <v>2</v>
      </c>
      <c r="E5603" s="30">
        <v>5</v>
      </c>
      <c r="F5603" s="30">
        <f t="shared" si="185"/>
        <v>10</v>
      </c>
      <c r="G5603" s="30" t="s">
        <v>9</v>
      </c>
      <c r="J5603" s="30" t="s">
        <v>392</v>
      </c>
    </row>
    <row r="5604" spans="1:12" x14ac:dyDescent="0.25">
      <c r="A5604" s="78">
        <v>46256</v>
      </c>
      <c r="B5604" s="68">
        <v>44</v>
      </c>
      <c r="C5604" s="205" t="s">
        <v>1279</v>
      </c>
      <c r="D5604" s="30">
        <v>1</v>
      </c>
      <c r="E5604" s="30">
        <v>20</v>
      </c>
      <c r="F5604" s="30">
        <f t="shared" si="185"/>
        <v>20</v>
      </c>
      <c r="G5604" s="30" t="s">
        <v>9</v>
      </c>
      <c r="J5604" s="30" t="s">
        <v>392</v>
      </c>
    </row>
    <row r="5605" spans="1:12" x14ac:dyDescent="0.25">
      <c r="A5605" s="78">
        <v>46256</v>
      </c>
      <c r="B5605" s="68">
        <v>44</v>
      </c>
      <c r="C5605" s="205" t="s">
        <v>1252</v>
      </c>
      <c r="D5605" s="30">
        <v>1</v>
      </c>
      <c r="E5605" s="30">
        <v>5</v>
      </c>
      <c r="F5605" s="30">
        <f t="shared" si="185"/>
        <v>5</v>
      </c>
      <c r="G5605" s="30" t="s">
        <v>9</v>
      </c>
      <c r="J5605" s="30" t="s">
        <v>392</v>
      </c>
    </row>
    <row r="5606" spans="1:12" x14ac:dyDescent="0.25">
      <c r="A5606" s="78">
        <v>46256</v>
      </c>
      <c r="B5606" s="68">
        <v>44</v>
      </c>
      <c r="C5606" s="205" t="s">
        <v>1288</v>
      </c>
      <c r="D5606" s="30">
        <v>1</v>
      </c>
      <c r="E5606" s="30">
        <v>5</v>
      </c>
      <c r="F5606" s="30">
        <f t="shared" si="185"/>
        <v>5</v>
      </c>
      <c r="G5606" s="30" t="s">
        <v>9</v>
      </c>
      <c r="J5606" s="30" t="s">
        <v>392</v>
      </c>
    </row>
    <row r="5607" spans="1:12" x14ac:dyDescent="0.25">
      <c r="A5607" s="78">
        <v>46256</v>
      </c>
      <c r="B5607" s="68">
        <v>45</v>
      </c>
      <c r="C5607" s="205" t="s">
        <v>764</v>
      </c>
      <c r="D5607" s="30">
        <v>1</v>
      </c>
      <c r="E5607" s="30">
        <v>5</v>
      </c>
      <c r="F5607" s="30">
        <f t="shared" si="185"/>
        <v>5</v>
      </c>
      <c r="G5607" s="30" t="s">
        <v>9</v>
      </c>
      <c r="J5607" s="30" t="s">
        <v>392</v>
      </c>
    </row>
    <row r="5608" spans="1:12" x14ac:dyDescent="0.25">
      <c r="A5608" s="78">
        <v>46256</v>
      </c>
      <c r="B5608" s="68">
        <v>45</v>
      </c>
      <c r="C5608" s="205" t="s">
        <v>578</v>
      </c>
      <c r="D5608" s="30">
        <v>1</v>
      </c>
      <c r="E5608" s="30">
        <v>5</v>
      </c>
      <c r="F5608" s="30">
        <f t="shared" si="185"/>
        <v>5</v>
      </c>
      <c r="G5608" s="30" t="s">
        <v>9</v>
      </c>
      <c r="J5608" s="30" t="s">
        <v>392</v>
      </c>
    </row>
    <row r="5609" spans="1:12" x14ac:dyDescent="0.25">
      <c r="A5609" s="78">
        <v>46256</v>
      </c>
      <c r="B5609" s="68">
        <v>30</v>
      </c>
      <c r="D5609" s="30">
        <v>8</v>
      </c>
      <c r="E5609" s="30">
        <v>9.5</v>
      </c>
      <c r="F5609" s="30">
        <f t="shared" si="185"/>
        <v>76</v>
      </c>
      <c r="G5609" s="30" t="s">
        <v>9</v>
      </c>
      <c r="J5609" s="30" t="s">
        <v>392</v>
      </c>
    </row>
    <row r="5610" spans="1:12" s="199" customFormat="1" ht="31.5" x14ac:dyDescent="0.25">
      <c r="A5610" s="196">
        <v>46256</v>
      </c>
      <c r="B5610" s="197" t="s">
        <v>1248</v>
      </c>
      <c r="C5610" s="198">
        <f>MAX(B5572:B5609)</f>
        <v>45</v>
      </c>
      <c r="D5610" s="197" t="s">
        <v>1249</v>
      </c>
      <c r="E5610" s="199">
        <f>SUMIF(G5572:G5610,"UPI",F5572:F5610)</f>
        <v>90</v>
      </c>
      <c r="H5610" s="200" t="s">
        <v>1251</v>
      </c>
      <c r="I5610" s="200">
        <f>SUMIF(G5572:G5610, "&lt;&gt;UPI",F5572:F5610)</f>
        <v>941</v>
      </c>
    </row>
    <row r="5611" spans="1:12" s="5" customFormat="1" ht="15.75" x14ac:dyDescent="0.25">
      <c r="A5611" s="201">
        <v>46256</v>
      </c>
      <c r="B5611" s="2"/>
      <c r="C5611" s="14"/>
      <c r="H5611" s="2" t="s">
        <v>1250</v>
      </c>
      <c r="I5611" s="2">
        <f>SUMIF(G5517:G5610, "&lt;&gt;UPI",F5517:F5610)</f>
        <v>2269.85</v>
      </c>
    </row>
    <row r="5612" spans="1:12" s="202" customFormat="1" ht="18.75" x14ac:dyDescent="0.3">
      <c r="A5612" s="146">
        <v>46256</v>
      </c>
      <c r="B5612" s="147" t="s">
        <v>987</v>
      </c>
      <c r="C5612" s="148">
        <f>MAX(B5517:B5611)</f>
        <v>45</v>
      </c>
      <c r="D5612" s="147" t="s">
        <v>988</v>
      </c>
      <c r="E5612" s="202">
        <f>SUMIF(G5517:G5610,"UPI",F5517:F5610)</f>
        <v>165</v>
      </c>
      <c r="F5612" s="230" t="s">
        <v>437</v>
      </c>
      <c r="G5612" s="230"/>
      <c r="H5612" s="230"/>
      <c r="I5612" s="230">
        <f>SUM(F5517:F5610)</f>
        <v>2434.85</v>
      </c>
      <c r="J5612" s="230"/>
      <c r="K5612" s="230"/>
      <c r="L5612" s="230"/>
    </row>
    <row r="5613" spans="1:12" x14ac:dyDescent="0.25">
      <c r="A5613" s="78">
        <v>46257</v>
      </c>
      <c r="B5613" s="68">
        <v>1</v>
      </c>
      <c r="C5613" s="19" t="s">
        <v>1299</v>
      </c>
      <c r="D5613" s="30">
        <v>4</v>
      </c>
      <c r="E5613" s="30">
        <v>10</v>
      </c>
      <c r="F5613" s="30">
        <f>E5613*D5613</f>
        <v>40</v>
      </c>
      <c r="G5613" s="30" t="s">
        <v>10</v>
      </c>
      <c r="J5613" s="30" t="s">
        <v>391</v>
      </c>
    </row>
    <row r="5614" spans="1:12" x14ac:dyDescent="0.25">
      <c r="A5614" s="78">
        <v>46257</v>
      </c>
      <c r="B5614" s="68">
        <v>2</v>
      </c>
      <c r="C5614" s="205" t="s">
        <v>969</v>
      </c>
      <c r="D5614" s="30">
        <v>0.125</v>
      </c>
      <c r="E5614" s="30">
        <v>160</v>
      </c>
      <c r="F5614" s="30">
        <f t="shared" ref="F5614:F5650" si="186">E5614*D5614</f>
        <v>20</v>
      </c>
      <c r="G5614" s="30" t="s">
        <v>9</v>
      </c>
      <c r="J5614" s="30" t="s">
        <v>391</v>
      </c>
    </row>
    <row r="5615" spans="1:12" x14ac:dyDescent="0.25">
      <c r="A5615" s="78">
        <v>46257</v>
      </c>
      <c r="B5615" s="68">
        <v>2</v>
      </c>
      <c r="C5615" s="205" t="s">
        <v>1130</v>
      </c>
      <c r="D5615" s="30">
        <v>1</v>
      </c>
      <c r="E5615" s="30">
        <v>105</v>
      </c>
      <c r="F5615" s="30">
        <f t="shared" si="186"/>
        <v>105</v>
      </c>
      <c r="G5615" s="30" t="s">
        <v>9</v>
      </c>
      <c r="J5615" s="30" t="s">
        <v>391</v>
      </c>
    </row>
    <row r="5616" spans="1:12" x14ac:dyDescent="0.25">
      <c r="A5616" s="78">
        <v>46257</v>
      </c>
      <c r="B5616" s="68">
        <v>3</v>
      </c>
      <c r="C5616" s="19" t="s">
        <v>1326</v>
      </c>
      <c r="D5616" s="30">
        <v>4</v>
      </c>
      <c r="E5616" s="30">
        <v>10</v>
      </c>
      <c r="F5616" s="30">
        <f t="shared" si="186"/>
        <v>40</v>
      </c>
      <c r="G5616" s="30" t="s">
        <v>9</v>
      </c>
      <c r="J5616" s="30" t="s">
        <v>391</v>
      </c>
    </row>
    <row r="5617" spans="1:10" x14ac:dyDescent="0.25">
      <c r="A5617" s="78">
        <v>46257</v>
      </c>
      <c r="B5617" s="68">
        <v>3</v>
      </c>
      <c r="C5617" s="205" t="s">
        <v>964</v>
      </c>
      <c r="D5617" s="30">
        <v>2</v>
      </c>
      <c r="E5617" s="30">
        <v>10</v>
      </c>
      <c r="F5617" s="30">
        <f t="shared" si="186"/>
        <v>20</v>
      </c>
      <c r="G5617" s="30" t="s">
        <v>9</v>
      </c>
      <c r="J5617" s="30" t="s">
        <v>391</v>
      </c>
    </row>
    <row r="5618" spans="1:10" x14ac:dyDescent="0.25">
      <c r="A5618" s="78">
        <v>46257</v>
      </c>
      <c r="B5618" s="68">
        <v>4</v>
      </c>
      <c r="C5618" s="205" t="s">
        <v>1062</v>
      </c>
      <c r="D5618" s="30">
        <v>1</v>
      </c>
      <c r="E5618" s="30">
        <v>10</v>
      </c>
      <c r="F5618" s="30">
        <f t="shared" si="186"/>
        <v>10</v>
      </c>
      <c r="G5618" s="30" t="s">
        <v>9</v>
      </c>
      <c r="J5618" s="30" t="s">
        <v>391</v>
      </c>
    </row>
    <row r="5619" spans="1:10" x14ac:dyDescent="0.25">
      <c r="A5619" s="78">
        <v>46257</v>
      </c>
      <c r="B5619" s="68">
        <v>5</v>
      </c>
      <c r="C5619" s="33" t="s">
        <v>1352</v>
      </c>
      <c r="D5619" s="30">
        <v>1</v>
      </c>
      <c r="E5619" s="30">
        <v>45</v>
      </c>
      <c r="F5619" s="30">
        <f t="shared" si="186"/>
        <v>45</v>
      </c>
      <c r="G5619" s="30" t="s">
        <v>9</v>
      </c>
      <c r="J5619" s="30" t="s">
        <v>391</v>
      </c>
    </row>
    <row r="5620" spans="1:10" x14ac:dyDescent="0.25">
      <c r="A5620" s="78">
        <v>46257</v>
      </c>
      <c r="B5620" s="68">
        <v>5</v>
      </c>
      <c r="C5620" s="205" t="s">
        <v>1154</v>
      </c>
      <c r="D5620" s="30">
        <v>0.2</v>
      </c>
      <c r="E5620" s="30">
        <v>45</v>
      </c>
      <c r="F5620" s="30">
        <f t="shared" si="186"/>
        <v>9</v>
      </c>
      <c r="G5620" s="30" t="s">
        <v>9</v>
      </c>
      <c r="J5620" s="30" t="s">
        <v>391</v>
      </c>
    </row>
    <row r="5621" spans="1:10" x14ac:dyDescent="0.25">
      <c r="A5621" s="78">
        <v>46257</v>
      </c>
      <c r="B5621" s="68">
        <v>6</v>
      </c>
      <c r="C5621" s="205" t="s">
        <v>1234</v>
      </c>
      <c r="D5621" s="30">
        <v>0.34</v>
      </c>
      <c r="E5621" s="30">
        <v>60</v>
      </c>
      <c r="F5621" s="30">
        <f t="shared" si="186"/>
        <v>20.400000000000002</v>
      </c>
      <c r="G5621" s="30" t="s">
        <v>10</v>
      </c>
      <c r="J5621" s="30" t="s">
        <v>391</v>
      </c>
    </row>
    <row r="5622" spans="1:10" x14ac:dyDescent="0.25">
      <c r="A5622" s="78">
        <v>46257</v>
      </c>
      <c r="B5622" s="68">
        <v>6</v>
      </c>
      <c r="C5622" s="205" t="s">
        <v>1124</v>
      </c>
      <c r="D5622" s="30">
        <v>2</v>
      </c>
      <c r="E5622" s="30">
        <v>10</v>
      </c>
      <c r="F5622" s="30">
        <f t="shared" si="186"/>
        <v>20</v>
      </c>
      <c r="G5622" s="30" t="s">
        <v>10</v>
      </c>
      <c r="J5622" s="30" t="s">
        <v>391</v>
      </c>
    </row>
    <row r="5623" spans="1:10" x14ac:dyDescent="0.25">
      <c r="A5623" s="78">
        <v>46257</v>
      </c>
      <c r="B5623" s="68">
        <v>7</v>
      </c>
      <c r="C5623" s="205" t="s">
        <v>1233</v>
      </c>
      <c r="D5623" s="30">
        <v>0.1</v>
      </c>
      <c r="E5623" s="30">
        <v>45</v>
      </c>
      <c r="F5623" s="30">
        <f t="shared" si="186"/>
        <v>4.5</v>
      </c>
      <c r="G5623" s="30" t="s">
        <v>9</v>
      </c>
      <c r="J5623" s="30" t="s">
        <v>391</v>
      </c>
    </row>
    <row r="5624" spans="1:10" ht="30" x14ac:dyDescent="0.25">
      <c r="A5624" s="78">
        <v>46257</v>
      </c>
      <c r="B5624" s="68">
        <v>7</v>
      </c>
      <c r="C5624" s="205" t="s">
        <v>760</v>
      </c>
      <c r="D5624" s="30">
        <v>5</v>
      </c>
      <c r="E5624" s="30">
        <v>1</v>
      </c>
      <c r="F5624" s="30">
        <f t="shared" si="186"/>
        <v>5</v>
      </c>
      <c r="G5624" s="30" t="s">
        <v>9</v>
      </c>
      <c r="J5624" s="30" t="s">
        <v>391</v>
      </c>
    </row>
    <row r="5625" spans="1:10" x14ac:dyDescent="0.25">
      <c r="A5625" s="78">
        <v>46257</v>
      </c>
      <c r="B5625" s="68">
        <v>8</v>
      </c>
      <c r="C5625" s="205" t="s">
        <v>25</v>
      </c>
      <c r="D5625" s="30">
        <v>1</v>
      </c>
      <c r="E5625" s="30">
        <v>10</v>
      </c>
      <c r="F5625" s="30">
        <f t="shared" si="186"/>
        <v>10</v>
      </c>
      <c r="G5625" s="30" t="s">
        <v>9</v>
      </c>
      <c r="J5625" s="30" t="s">
        <v>391</v>
      </c>
    </row>
    <row r="5626" spans="1:10" x14ac:dyDescent="0.25">
      <c r="A5626" s="78">
        <v>46257</v>
      </c>
      <c r="B5626" s="68">
        <v>9</v>
      </c>
      <c r="C5626" s="205" t="s">
        <v>720</v>
      </c>
      <c r="D5626" s="30">
        <v>0.25</v>
      </c>
      <c r="E5626" s="30">
        <v>135</v>
      </c>
      <c r="F5626" s="30">
        <f t="shared" si="186"/>
        <v>33.75</v>
      </c>
      <c r="G5626" s="30" t="s">
        <v>9</v>
      </c>
      <c r="J5626" s="30" t="s">
        <v>391</v>
      </c>
    </row>
    <row r="5627" spans="1:10" x14ac:dyDescent="0.25">
      <c r="A5627" s="78">
        <v>46257</v>
      </c>
      <c r="B5627" s="68">
        <v>9</v>
      </c>
      <c r="C5627" s="205" t="s">
        <v>891</v>
      </c>
      <c r="D5627" s="30">
        <v>6</v>
      </c>
      <c r="E5627" s="30">
        <v>1</v>
      </c>
      <c r="F5627" s="30">
        <f t="shared" si="186"/>
        <v>6</v>
      </c>
      <c r="G5627" s="30" t="s">
        <v>9</v>
      </c>
      <c r="J5627" s="30" t="s">
        <v>391</v>
      </c>
    </row>
    <row r="5628" spans="1:10" x14ac:dyDescent="0.25">
      <c r="A5628" s="78">
        <v>46257</v>
      </c>
      <c r="B5628" s="68">
        <v>10</v>
      </c>
      <c r="C5628" s="205" t="s">
        <v>694</v>
      </c>
      <c r="D5628" s="30">
        <v>25</v>
      </c>
      <c r="E5628" s="30">
        <v>1</v>
      </c>
      <c r="F5628" s="30">
        <f t="shared" si="186"/>
        <v>25</v>
      </c>
      <c r="G5628" s="30" t="s">
        <v>10</v>
      </c>
      <c r="J5628" s="30" t="s">
        <v>391</v>
      </c>
    </row>
    <row r="5629" spans="1:10" x14ac:dyDescent="0.25">
      <c r="A5629" s="78">
        <v>46257</v>
      </c>
      <c r="B5629" s="68">
        <v>8</v>
      </c>
      <c r="C5629" s="205" t="s">
        <v>25</v>
      </c>
      <c r="D5629" s="30">
        <v>1</v>
      </c>
      <c r="E5629" s="30">
        <v>10</v>
      </c>
      <c r="F5629" s="30">
        <f t="shared" si="186"/>
        <v>10</v>
      </c>
      <c r="G5629" s="30" t="s">
        <v>9</v>
      </c>
      <c r="J5629" s="30" t="s">
        <v>391</v>
      </c>
    </row>
    <row r="5630" spans="1:10" x14ac:dyDescent="0.25">
      <c r="A5630" s="78">
        <v>46257</v>
      </c>
      <c r="B5630" s="68">
        <v>11</v>
      </c>
      <c r="C5630" s="19" t="s">
        <v>1299</v>
      </c>
      <c r="D5630" s="30">
        <v>5</v>
      </c>
      <c r="E5630" s="30">
        <v>10</v>
      </c>
      <c r="F5630" s="30">
        <f t="shared" si="186"/>
        <v>50</v>
      </c>
      <c r="G5630" s="30" t="s">
        <v>9</v>
      </c>
      <c r="J5630" s="30" t="s">
        <v>391</v>
      </c>
    </row>
    <row r="5631" spans="1:10" x14ac:dyDescent="0.25">
      <c r="A5631" s="78">
        <v>46257</v>
      </c>
      <c r="B5631" s="68">
        <v>12</v>
      </c>
      <c r="C5631" s="205" t="s">
        <v>866</v>
      </c>
      <c r="D5631" s="30">
        <v>1</v>
      </c>
      <c r="E5631" s="30">
        <v>160</v>
      </c>
      <c r="F5631" s="30">
        <f t="shared" si="186"/>
        <v>160</v>
      </c>
      <c r="G5631" s="30" t="s">
        <v>16</v>
      </c>
      <c r="I5631" s="68" t="s">
        <v>1354</v>
      </c>
      <c r="J5631" s="30" t="s">
        <v>391</v>
      </c>
    </row>
    <row r="5632" spans="1:10" x14ac:dyDescent="0.25">
      <c r="A5632" s="78">
        <v>46257</v>
      </c>
      <c r="B5632" s="68">
        <v>12</v>
      </c>
      <c r="C5632" s="33" t="s">
        <v>1355</v>
      </c>
      <c r="D5632" s="30">
        <v>1</v>
      </c>
      <c r="E5632" s="30">
        <v>50</v>
      </c>
      <c r="F5632" s="30">
        <f t="shared" si="186"/>
        <v>50</v>
      </c>
      <c r="G5632" s="30" t="s">
        <v>16</v>
      </c>
      <c r="I5632" s="68" t="s">
        <v>1354</v>
      </c>
      <c r="J5632" s="30" t="s">
        <v>391</v>
      </c>
    </row>
    <row r="5633" spans="1:10" x14ac:dyDescent="0.25">
      <c r="A5633" s="78">
        <v>46257</v>
      </c>
      <c r="B5633" s="68">
        <v>13</v>
      </c>
      <c r="C5633" s="19" t="s">
        <v>1345</v>
      </c>
      <c r="D5633" s="30">
        <v>1</v>
      </c>
      <c r="E5633" s="30">
        <v>30</v>
      </c>
      <c r="F5633" s="30">
        <f t="shared" si="186"/>
        <v>30</v>
      </c>
      <c r="G5633" s="30" t="s">
        <v>9</v>
      </c>
      <c r="J5633" s="30" t="s">
        <v>391</v>
      </c>
    </row>
    <row r="5634" spans="1:10" x14ac:dyDescent="0.25">
      <c r="A5634" s="78">
        <v>46257</v>
      </c>
      <c r="B5634" s="68">
        <v>13</v>
      </c>
      <c r="C5634" s="205" t="s">
        <v>1279</v>
      </c>
      <c r="D5634" s="30">
        <v>1</v>
      </c>
      <c r="E5634" s="30">
        <v>20</v>
      </c>
      <c r="F5634" s="30">
        <f t="shared" si="186"/>
        <v>20</v>
      </c>
      <c r="G5634" s="30" t="s">
        <v>9</v>
      </c>
      <c r="J5634" s="30" t="s">
        <v>391</v>
      </c>
    </row>
    <row r="5635" spans="1:10" x14ac:dyDescent="0.25">
      <c r="A5635" s="78">
        <v>46257</v>
      </c>
      <c r="B5635" s="68">
        <v>13</v>
      </c>
      <c r="C5635" s="205" t="s">
        <v>956</v>
      </c>
      <c r="D5635" s="30">
        <v>1</v>
      </c>
      <c r="E5635" s="30">
        <v>10</v>
      </c>
      <c r="F5635" s="30">
        <f t="shared" si="186"/>
        <v>10</v>
      </c>
      <c r="G5635" s="30" t="s">
        <v>9</v>
      </c>
      <c r="J5635" s="30" t="s">
        <v>391</v>
      </c>
    </row>
    <row r="5636" spans="1:10" x14ac:dyDescent="0.25">
      <c r="A5636" s="78">
        <v>46257</v>
      </c>
      <c r="B5636" s="68">
        <v>13</v>
      </c>
      <c r="C5636" s="205" t="s">
        <v>1124</v>
      </c>
      <c r="D5636" s="30">
        <v>2</v>
      </c>
      <c r="E5636" s="30">
        <v>10</v>
      </c>
      <c r="F5636" s="30">
        <f t="shared" si="186"/>
        <v>20</v>
      </c>
      <c r="G5636" s="30" t="s">
        <v>9</v>
      </c>
      <c r="J5636" s="30" t="s">
        <v>391</v>
      </c>
    </row>
    <row r="5637" spans="1:10" x14ac:dyDescent="0.25">
      <c r="A5637" s="78">
        <v>46257</v>
      </c>
      <c r="B5637" s="68">
        <v>13</v>
      </c>
      <c r="C5637" s="205" t="s">
        <v>649</v>
      </c>
      <c r="D5637" s="30">
        <v>2</v>
      </c>
      <c r="E5637" s="30">
        <v>5</v>
      </c>
      <c r="F5637" s="30">
        <f t="shared" si="186"/>
        <v>10</v>
      </c>
      <c r="G5637" s="30" t="s">
        <v>9</v>
      </c>
      <c r="J5637" s="30" t="s">
        <v>391</v>
      </c>
    </row>
    <row r="5638" spans="1:10" x14ac:dyDescent="0.25">
      <c r="A5638" s="78">
        <v>46257</v>
      </c>
      <c r="B5638" s="68">
        <v>13</v>
      </c>
      <c r="C5638" s="205" t="s">
        <v>1255</v>
      </c>
      <c r="D5638" s="30">
        <v>1</v>
      </c>
      <c r="E5638" s="30">
        <v>10</v>
      </c>
      <c r="F5638" s="30">
        <f t="shared" si="186"/>
        <v>10</v>
      </c>
      <c r="G5638" s="30" t="s">
        <v>9</v>
      </c>
      <c r="J5638" s="30" t="s">
        <v>391</v>
      </c>
    </row>
    <row r="5639" spans="1:10" x14ac:dyDescent="0.25">
      <c r="A5639" s="78">
        <v>46257</v>
      </c>
      <c r="B5639" s="68">
        <v>13</v>
      </c>
      <c r="C5639" s="205" t="s">
        <v>578</v>
      </c>
      <c r="D5639" s="30">
        <v>2</v>
      </c>
      <c r="E5639" s="30">
        <v>5</v>
      </c>
      <c r="F5639" s="30">
        <f t="shared" si="186"/>
        <v>10</v>
      </c>
      <c r="G5639" s="30" t="s">
        <v>9</v>
      </c>
      <c r="J5639" s="30" t="s">
        <v>391</v>
      </c>
    </row>
    <row r="5640" spans="1:10" ht="30" x14ac:dyDescent="0.25">
      <c r="A5640" s="78">
        <v>46257</v>
      </c>
      <c r="B5640" s="68">
        <v>13</v>
      </c>
      <c r="C5640" s="205" t="s">
        <v>818</v>
      </c>
      <c r="D5640" s="30">
        <v>10</v>
      </c>
      <c r="E5640" s="30">
        <v>1</v>
      </c>
      <c r="F5640" s="30">
        <f t="shared" si="186"/>
        <v>10</v>
      </c>
      <c r="G5640" s="30" t="s">
        <v>9</v>
      </c>
      <c r="J5640" s="30" t="s">
        <v>391</v>
      </c>
    </row>
    <row r="5641" spans="1:10" x14ac:dyDescent="0.25">
      <c r="A5641" s="78">
        <v>46257</v>
      </c>
      <c r="B5641" s="68">
        <v>12</v>
      </c>
      <c r="C5641" s="205" t="s">
        <v>1229</v>
      </c>
      <c r="D5641" s="30">
        <v>1</v>
      </c>
      <c r="E5641" s="30">
        <v>40</v>
      </c>
      <c r="F5641" s="30">
        <f t="shared" si="186"/>
        <v>40</v>
      </c>
      <c r="G5641" s="30" t="s">
        <v>9</v>
      </c>
      <c r="J5641" s="30" t="s">
        <v>391</v>
      </c>
    </row>
    <row r="5642" spans="1:10" x14ac:dyDescent="0.25">
      <c r="A5642" s="78">
        <v>46257</v>
      </c>
      <c r="B5642" s="68">
        <v>13</v>
      </c>
      <c r="C5642" s="19" t="s">
        <v>1299</v>
      </c>
      <c r="D5642" s="30">
        <v>4</v>
      </c>
      <c r="E5642" s="30">
        <v>10</v>
      </c>
      <c r="F5642" s="30">
        <f t="shared" si="186"/>
        <v>40</v>
      </c>
      <c r="G5642" s="30" t="s">
        <v>9</v>
      </c>
      <c r="J5642" s="30" t="s">
        <v>391</v>
      </c>
    </row>
    <row r="5643" spans="1:10" x14ac:dyDescent="0.25">
      <c r="A5643" s="78">
        <v>46257</v>
      </c>
      <c r="B5643" s="68">
        <v>14</v>
      </c>
      <c r="C5643" s="205" t="s">
        <v>503</v>
      </c>
      <c r="D5643" s="30">
        <v>1</v>
      </c>
      <c r="E5643" s="30">
        <v>10</v>
      </c>
      <c r="F5643" s="30">
        <f t="shared" si="186"/>
        <v>10</v>
      </c>
      <c r="G5643" s="30" t="s">
        <v>9</v>
      </c>
      <c r="J5643" s="30" t="s">
        <v>391</v>
      </c>
    </row>
    <row r="5644" spans="1:10" x14ac:dyDescent="0.25">
      <c r="A5644" s="78">
        <v>46257</v>
      </c>
      <c r="B5644" s="68">
        <v>15</v>
      </c>
      <c r="C5644" s="19" t="s">
        <v>1346</v>
      </c>
      <c r="D5644" s="30">
        <v>1</v>
      </c>
      <c r="E5644" s="30">
        <v>10</v>
      </c>
      <c r="F5644" s="30">
        <f t="shared" si="186"/>
        <v>10</v>
      </c>
      <c r="G5644" s="30" t="s">
        <v>16</v>
      </c>
      <c r="I5644" s="68" t="s">
        <v>1203</v>
      </c>
      <c r="J5644" s="30" t="s">
        <v>391</v>
      </c>
    </row>
    <row r="5645" spans="1:10" x14ac:dyDescent="0.25">
      <c r="A5645" s="78">
        <v>46257</v>
      </c>
      <c r="B5645" s="68">
        <v>15</v>
      </c>
      <c r="C5645" s="205" t="s">
        <v>753</v>
      </c>
      <c r="D5645" s="30">
        <v>1</v>
      </c>
      <c r="E5645" s="30">
        <v>10</v>
      </c>
      <c r="F5645" s="30">
        <f t="shared" si="186"/>
        <v>10</v>
      </c>
      <c r="G5645" s="30" t="s">
        <v>16</v>
      </c>
      <c r="I5645" s="68" t="s">
        <v>1203</v>
      </c>
      <c r="J5645" s="30" t="s">
        <v>391</v>
      </c>
    </row>
    <row r="5646" spans="1:10" x14ac:dyDescent="0.25">
      <c r="A5646" s="78">
        <v>46257</v>
      </c>
      <c r="B5646" s="68">
        <v>16</v>
      </c>
      <c r="C5646" s="205" t="s">
        <v>1255</v>
      </c>
      <c r="D5646" s="30">
        <v>1</v>
      </c>
      <c r="E5646" s="30">
        <v>10</v>
      </c>
      <c r="F5646" s="30">
        <f t="shared" si="186"/>
        <v>10</v>
      </c>
      <c r="G5646" s="30" t="s">
        <v>9</v>
      </c>
      <c r="J5646" s="30" t="s">
        <v>391</v>
      </c>
    </row>
    <row r="5647" spans="1:10" x14ac:dyDescent="0.25">
      <c r="A5647" s="78">
        <v>46257</v>
      </c>
      <c r="B5647" s="68">
        <v>17</v>
      </c>
      <c r="C5647" s="205" t="s">
        <v>1229</v>
      </c>
      <c r="D5647" s="30">
        <v>1</v>
      </c>
      <c r="E5647" s="30">
        <v>40</v>
      </c>
      <c r="F5647" s="30">
        <f t="shared" si="186"/>
        <v>40</v>
      </c>
      <c r="G5647" s="30" t="s">
        <v>9</v>
      </c>
      <c r="J5647" s="30" t="s">
        <v>391</v>
      </c>
    </row>
    <row r="5648" spans="1:10" x14ac:dyDescent="0.25">
      <c r="A5648" s="78">
        <v>46257</v>
      </c>
      <c r="B5648" s="68">
        <v>18</v>
      </c>
      <c r="C5648" s="205" t="s">
        <v>1231</v>
      </c>
      <c r="D5648" s="30">
        <v>0.8</v>
      </c>
      <c r="E5648" s="30">
        <v>25</v>
      </c>
      <c r="F5648" s="30">
        <f t="shared" si="186"/>
        <v>20</v>
      </c>
      <c r="G5648" s="30" t="s">
        <v>9</v>
      </c>
      <c r="J5648" s="30" t="s">
        <v>391</v>
      </c>
    </row>
    <row r="5649" spans="1:12" x14ac:dyDescent="0.25">
      <c r="A5649" s="78">
        <v>46257</v>
      </c>
      <c r="B5649" s="68">
        <v>18</v>
      </c>
      <c r="C5649" s="205" t="s">
        <v>1263</v>
      </c>
      <c r="D5649" s="30">
        <v>4</v>
      </c>
      <c r="E5649" s="30">
        <v>2</v>
      </c>
      <c r="F5649" s="30">
        <f t="shared" si="186"/>
        <v>8</v>
      </c>
      <c r="G5649" s="30" t="s">
        <v>9</v>
      </c>
      <c r="J5649" s="30" t="s">
        <v>391</v>
      </c>
    </row>
    <row r="5650" spans="1:12" x14ac:dyDescent="0.25">
      <c r="A5650" s="78">
        <v>46257</v>
      </c>
      <c r="B5650" s="68">
        <v>19</v>
      </c>
      <c r="C5650" s="205" t="s">
        <v>536</v>
      </c>
      <c r="D5650" s="30">
        <v>1</v>
      </c>
      <c r="E5650" s="30">
        <v>1</v>
      </c>
      <c r="F5650" s="30">
        <f t="shared" si="186"/>
        <v>1</v>
      </c>
      <c r="G5650" s="30" t="s">
        <v>16</v>
      </c>
      <c r="J5650" s="30" t="s">
        <v>391</v>
      </c>
    </row>
    <row r="5651" spans="1:12" s="199" customFormat="1" ht="31.5" x14ac:dyDescent="0.25">
      <c r="A5651" s="196">
        <v>46257</v>
      </c>
      <c r="B5651" s="197" t="s">
        <v>1245</v>
      </c>
      <c r="C5651" s="198">
        <f>MAX(B5613:B5650)</f>
        <v>19</v>
      </c>
      <c r="D5651" s="197" t="s">
        <v>1246</v>
      </c>
      <c r="E5651" s="199">
        <f>SUMIF(G5613:G5650,"UPI",F5613:F5650)</f>
        <v>105.4</v>
      </c>
      <c r="H5651" s="200" t="s">
        <v>1247</v>
      </c>
      <c r="I5651" s="200">
        <f>SUMIF(G5613:G5650, "&lt;&gt;UPI",F5613:F5650)</f>
        <v>887.25</v>
      </c>
    </row>
    <row r="5652" spans="1:12" s="5" customFormat="1" ht="15.75" x14ac:dyDescent="0.25">
      <c r="A5652" s="201">
        <v>46257</v>
      </c>
      <c r="B5652" s="2"/>
      <c r="C5652" s="14"/>
      <c r="H5652" s="2" t="s">
        <v>1250</v>
      </c>
      <c r="I5652" s="2">
        <f>SUMIF(G5613:G5651, "&lt;&gt;UPI",F5613:F5651)</f>
        <v>887.25</v>
      </c>
    </row>
    <row r="5653" spans="1:12" s="202" customFormat="1" ht="18.75" x14ac:dyDescent="0.3">
      <c r="A5653" s="146">
        <v>46257</v>
      </c>
      <c r="B5653" s="147" t="s">
        <v>987</v>
      </c>
      <c r="C5653" s="148">
        <f>MAX(B5613:B5652)</f>
        <v>19</v>
      </c>
      <c r="D5653" s="147" t="s">
        <v>988</v>
      </c>
      <c r="E5653" s="202">
        <f>SUMIF(G5613:G5651,"UPI",F5613:F5651)</f>
        <v>105.4</v>
      </c>
      <c r="F5653" s="230" t="s">
        <v>437</v>
      </c>
      <c r="G5653" s="230"/>
      <c r="H5653" s="230"/>
      <c r="I5653" s="230">
        <f>SUM(F5613:F5651)</f>
        <v>992.65</v>
      </c>
      <c r="J5653" s="230"/>
      <c r="K5653" s="230"/>
      <c r="L5653" s="230"/>
    </row>
    <row r="5654" spans="1:12" x14ac:dyDescent="0.25">
      <c r="A5654" s="78">
        <v>46258</v>
      </c>
      <c r="B5654" s="68">
        <v>1</v>
      </c>
      <c r="C5654" s="205" t="s">
        <v>1127</v>
      </c>
      <c r="D5654" s="30">
        <v>3</v>
      </c>
      <c r="E5654" s="30">
        <v>10</v>
      </c>
      <c r="F5654" s="30">
        <f>E5654*D5654</f>
        <v>30</v>
      </c>
      <c r="G5654" s="30" t="s">
        <v>9</v>
      </c>
      <c r="I5654" s="68" t="s">
        <v>1021</v>
      </c>
      <c r="J5654" s="30" t="s">
        <v>391</v>
      </c>
    </row>
    <row r="5655" spans="1:12" x14ac:dyDescent="0.25">
      <c r="A5655" s="78">
        <v>46258</v>
      </c>
      <c r="B5655" s="68">
        <v>2</v>
      </c>
      <c r="C5655" s="205" t="s">
        <v>1229</v>
      </c>
      <c r="D5655" s="30">
        <v>1</v>
      </c>
      <c r="E5655" s="30">
        <v>40</v>
      </c>
      <c r="F5655" s="30">
        <f t="shared" ref="F5655:F5709" si="187">E5655*D5655</f>
        <v>40</v>
      </c>
      <c r="G5655" s="30" t="s">
        <v>9</v>
      </c>
      <c r="J5655" s="30" t="s">
        <v>391</v>
      </c>
    </row>
    <row r="5656" spans="1:12" x14ac:dyDescent="0.25">
      <c r="A5656" s="78">
        <v>46258</v>
      </c>
      <c r="B5656" s="68">
        <v>2</v>
      </c>
      <c r="C5656" s="205" t="s">
        <v>1163</v>
      </c>
      <c r="D5656" s="30">
        <v>5</v>
      </c>
      <c r="E5656" s="30">
        <v>10</v>
      </c>
      <c r="F5656" s="30">
        <f t="shared" si="187"/>
        <v>50</v>
      </c>
      <c r="G5656" s="30" t="s">
        <v>9</v>
      </c>
      <c r="J5656" s="30" t="s">
        <v>391</v>
      </c>
    </row>
    <row r="5657" spans="1:12" x14ac:dyDescent="0.25">
      <c r="A5657" s="78">
        <v>46258</v>
      </c>
      <c r="B5657" s="68">
        <v>3</v>
      </c>
      <c r="C5657" s="205" t="s">
        <v>1279</v>
      </c>
      <c r="D5657" s="30">
        <v>1</v>
      </c>
      <c r="E5657" s="30">
        <v>20</v>
      </c>
      <c r="F5657" s="30">
        <f t="shared" si="187"/>
        <v>20</v>
      </c>
      <c r="G5657" s="30" t="s">
        <v>10</v>
      </c>
      <c r="J5657" s="30" t="s">
        <v>391</v>
      </c>
    </row>
    <row r="5658" spans="1:12" x14ac:dyDescent="0.25">
      <c r="A5658" s="78">
        <v>46258</v>
      </c>
      <c r="B5658" s="68">
        <v>4</v>
      </c>
      <c r="C5658" s="33" t="s">
        <v>1316</v>
      </c>
      <c r="D5658" s="30">
        <v>2</v>
      </c>
      <c r="E5658" s="30">
        <v>10</v>
      </c>
      <c r="F5658" s="30">
        <f t="shared" si="187"/>
        <v>20</v>
      </c>
      <c r="G5658" s="30" t="s">
        <v>9</v>
      </c>
      <c r="J5658" s="30" t="s">
        <v>391</v>
      </c>
    </row>
    <row r="5659" spans="1:12" x14ac:dyDescent="0.25">
      <c r="A5659" s="78">
        <v>46258</v>
      </c>
      <c r="B5659" s="68">
        <v>4</v>
      </c>
      <c r="C5659" s="205" t="s">
        <v>1273</v>
      </c>
      <c r="D5659" s="30">
        <v>1</v>
      </c>
      <c r="E5659" s="30">
        <v>5</v>
      </c>
      <c r="F5659" s="30">
        <f t="shared" si="187"/>
        <v>5</v>
      </c>
      <c r="G5659" s="30" t="s">
        <v>9</v>
      </c>
      <c r="J5659" s="30" t="s">
        <v>391</v>
      </c>
    </row>
    <row r="5660" spans="1:12" x14ac:dyDescent="0.25">
      <c r="A5660" s="78">
        <v>46258</v>
      </c>
      <c r="B5660" s="68">
        <v>4</v>
      </c>
      <c r="C5660" s="205" t="s">
        <v>1138</v>
      </c>
      <c r="D5660" s="30">
        <v>1</v>
      </c>
      <c r="E5660" s="30">
        <v>5</v>
      </c>
      <c r="F5660" s="30">
        <f t="shared" si="187"/>
        <v>5</v>
      </c>
      <c r="G5660" s="30" t="s">
        <v>9</v>
      </c>
      <c r="J5660" s="30" t="s">
        <v>391</v>
      </c>
    </row>
    <row r="5661" spans="1:12" x14ac:dyDescent="0.25">
      <c r="A5661" s="78">
        <v>46258</v>
      </c>
      <c r="B5661" s="68">
        <v>3</v>
      </c>
      <c r="C5661" s="205" t="s">
        <v>1272</v>
      </c>
      <c r="D5661" s="30">
        <v>1</v>
      </c>
      <c r="E5661" s="30">
        <v>10</v>
      </c>
      <c r="F5661" s="30">
        <f t="shared" si="187"/>
        <v>10</v>
      </c>
      <c r="G5661" s="30" t="s">
        <v>10</v>
      </c>
      <c r="J5661" s="30" t="s">
        <v>391</v>
      </c>
    </row>
    <row r="5662" spans="1:12" x14ac:dyDescent="0.25">
      <c r="A5662" s="78">
        <v>46258</v>
      </c>
      <c r="B5662" s="68">
        <v>6</v>
      </c>
      <c r="C5662" s="205" t="s">
        <v>533</v>
      </c>
      <c r="D5662" s="30">
        <v>1</v>
      </c>
      <c r="E5662" s="30">
        <v>10</v>
      </c>
      <c r="F5662" s="30">
        <f t="shared" si="187"/>
        <v>10</v>
      </c>
      <c r="G5662" s="30" t="s">
        <v>9</v>
      </c>
      <c r="J5662" s="30" t="s">
        <v>391</v>
      </c>
    </row>
    <row r="5663" spans="1:12" x14ac:dyDescent="0.25">
      <c r="A5663" s="78">
        <v>46258</v>
      </c>
      <c r="B5663" s="68">
        <v>6</v>
      </c>
      <c r="C5663" s="205" t="s">
        <v>1067</v>
      </c>
      <c r="D5663" s="30">
        <v>1</v>
      </c>
      <c r="E5663" s="30">
        <v>10</v>
      </c>
      <c r="F5663" s="30">
        <f t="shared" si="187"/>
        <v>10</v>
      </c>
      <c r="G5663" s="30" t="s">
        <v>9</v>
      </c>
      <c r="J5663" s="30" t="s">
        <v>391</v>
      </c>
    </row>
    <row r="5664" spans="1:12" x14ac:dyDescent="0.25">
      <c r="A5664" s="78">
        <v>46258</v>
      </c>
      <c r="B5664" s="68">
        <v>7</v>
      </c>
      <c r="C5664" s="205" t="s">
        <v>1288</v>
      </c>
      <c r="D5664" s="30">
        <v>2</v>
      </c>
      <c r="E5664" s="30">
        <v>5</v>
      </c>
      <c r="F5664" s="30">
        <f t="shared" si="187"/>
        <v>10</v>
      </c>
      <c r="G5664" s="30" t="s">
        <v>9</v>
      </c>
      <c r="J5664" s="30" t="s">
        <v>391</v>
      </c>
    </row>
    <row r="5665" spans="1:10" x14ac:dyDescent="0.25">
      <c r="A5665" s="78">
        <v>46258</v>
      </c>
      <c r="B5665" s="68">
        <v>7</v>
      </c>
      <c r="C5665" s="205" t="s">
        <v>877</v>
      </c>
      <c r="D5665" s="30">
        <v>1</v>
      </c>
      <c r="E5665" s="30">
        <v>10</v>
      </c>
      <c r="F5665" s="30">
        <f t="shared" si="187"/>
        <v>10</v>
      </c>
      <c r="G5665" s="30" t="s">
        <v>9</v>
      </c>
      <c r="J5665" s="30" t="s">
        <v>391</v>
      </c>
    </row>
    <row r="5666" spans="1:10" x14ac:dyDescent="0.25">
      <c r="A5666" s="78">
        <v>46258</v>
      </c>
      <c r="B5666" s="68">
        <v>3</v>
      </c>
      <c r="C5666" s="205" t="s">
        <v>1175</v>
      </c>
      <c r="D5666" s="30">
        <v>1</v>
      </c>
      <c r="E5666" s="30">
        <v>25</v>
      </c>
      <c r="F5666" s="30">
        <f t="shared" si="187"/>
        <v>25</v>
      </c>
      <c r="G5666" s="30" t="s">
        <v>10</v>
      </c>
      <c r="J5666" s="30" t="s">
        <v>391</v>
      </c>
    </row>
    <row r="5667" spans="1:10" x14ac:dyDescent="0.25">
      <c r="A5667" s="78">
        <v>46258</v>
      </c>
      <c r="B5667" s="68">
        <v>8</v>
      </c>
      <c r="C5667" s="205" t="s">
        <v>1288</v>
      </c>
      <c r="D5667" s="30">
        <v>2</v>
      </c>
      <c r="E5667" s="30">
        <v>5</v>
      </c>
      <c r="F5667" s="30">
        <f t="shared" si="187"/>
        <v>10</v>
      </c>
      <c r="G5667" s="30" t="s">
        <v>9</v>
      </c>
      <c r="J5667" s="30" t="s">
        <v>391</v>
      </c>
    </row>
    <row r="5668" spans="1:10" x14ac:dyDescent="0.25">
      <c r="A5668" s="78">
        <v>46258</v>
      </c>
      <c r="B5668" s="68">
        <v>9</v>
      </c>
      <c r="C5668" s="19" t="s">
        <v>1339</v>
      </c>
      <c r="D5668" s="30">
        <v>1</v>
      </c>
      <c r="E5668" s="30">
        <v>10</v>
      </c>
      <c r="F5668" s="30">
        <f t="shared" si="187"/>
        <v>10</v>
      </c>
      <c r="G5668" s="30" t="s">
        <v>9</v>
      </c>
      <c r="J5668" s="30" t="s">
        <v>391</v>
      </c>
    </row>
    <row r="5669" spans="1:10" x14ac:dyDescent="0.25">
      <c r="A5669" s="78">
        <v>46258</v>
      </c>
      <c r="B5669" s="68">
        <v>10</v>
      </c>
      <c r="C5669" s="205" t="s">
        <v>1272</v>
      </c>
      <c r="D5669" s="30">
        <v>3</v>
      </c>
      <c r="E5669" s="30">
        <v>10</v>
      </c>
      <c r="F5669" s="30">
        <f t="shared" si="187"/>
        <v>30</v>
      </c>
      <c r="G5669" s="30" t="s">
        <v>9</v>
      </c>
      <c r="J5669" s="30" t="s">
        <v>391</v>
      </c>
    </row>
    <row r="5670" spans="1:10" x14ac:dyDescent="0.25">
      <c r="A5670" s="78">
        <v>46258</v>
      </c>
      <c r="B5670" s="68">
        <v>10</v>
      </c>
      <c r="C5670" s="33" t="s">
        <v>1356</v>
      </c>
      <c r="D5670" s="30">
        <v>1</v>
      </c>
      <c r="E5670" s="30">
        <v>20</v>
      </c>
      <c r="F5670" s="30">
        <f t="shared" si="187"/>
        <v>20</v>
      </c>
      <c r="G5670" s="30" t="s">
        <v>9</v>
      </c>
      <c r="J5670" s="30" t="s">
        <v>391</v>
      </c>
    </row>
    <row r="5671" spans="1:10" x14ac:dyDescent="0.25">
      <c r="A5671" s="78">
        <v>46258</v>
      </c>
      <c r="B5671" s="68">
        <v>11</v>
      </c>
      <c r="C5671" s="205" t="s">
        <v>1142</v>
      </c>
      <c r="D5671" s="30">
        <v>1</v>
      </c>
      <c r="E5671" s="30">
        <v>5</v>
      </c>
      <c r="F5671" s="30">
        <f t="shared" si="187"/>
        <v>5</v>
      </c>
      <c r="G5671" s="30" t="s">
        <v>9</v>
      </c>
      <c r="J5671" s="30" t="s">
        <v>391</v>
      </c>
    </row>
    <row r="5672" spans="1:10" x14ac:dyDescent="0.25">
      <c r="A5672" s="78">
        <v>46258</v>
      </c>
      <c r="B5672" s="68">
        <v>12</v>
      </c>
      <c r="C5672" s="205" t="s">
        <v>1090</v>
      </c>
      <c r="D5672" s="30">
        <v>3</v>
      </c>
      <c r="E5672" s="30">
        <v>10</v>
      </c>
      <c r="F5672" s="30">
        <f t="shared" si="187"/>
        <v>30</v>
      </c>
      <c r="G5672" s="30" t="s">
        <v>16</v>
      </c>
      <c r="I5672" s="68" t="s">
        <v>1203</v>
      </c>
      <c r="J5672" s="30" t="s">
        <v>391</v>
      </c>
    </row>
    <row r="5673" spans="1:10" x14ac:dyDescent="0.25">
      <c r="A5673" s="78">
        <v>46258</v>
      </c>
      <c r="B5673" s="68">
        <v>12</v>
      </c>
      <c r="C5673" s="205" t="s">
        <v>915</v>
      </c>
      <c r="D5673" s="30">
        <v>1</v>
      </c>
      <c r="E5673" s="30">
        <v>10</v>
      </c>
      <c r="F5673" s="30">
        <f t="shared" si="187"/>
        <v>10</v>
      </c>
      <c r="G5673" s="30" t="s">
        <v>16</v>
      </c>
      <c r="I5673" s="68" t="s">
        <v>1203</v>
      </c>
      <c r="J5673" s="30" t="s">
        <v>391</v>
      </c>
    </row>
    <row r="5674" spans="1:10" x14ac:dyDescent="0.25">
      <c r="A5674" s="78">
        <v>46258</v>
      </c>
      <c r="B5674" s="68">
        <v>13</v>
      </c>
      <c r="C5674" s="205" t="s">
        <v>892</v>
      </c>
      <c r="D5674" s="30">
        <v>2</v>
      </c>
      <c r="E5674" s="30">
        <v>10</v>
      </c>
      <c r="F5674" s="30">
        <f t="shared" si="187"/>
        <v>20</v>
      </c>
      <c r="G5674" s="30" t="s">
        <v>9</v>
      </c>
      <c r="J5674" s="30" t="s">
        <v>391</v>
      </c>
    </row>
    <row r="5675" spans="1:10" x14ac:dyDescent="0.25">
      <c r="A5675" s="78">
        <v>46258</v>
      </c>
      <c r="B5675" s="68">
        <v>13</v>
      </c>
      <c r="C5675" s="205" t="s">
        <v>1273</v>
      </c>
      <c r="D5675" s="30">
        <v>1</v>
      </c>
      <c r="E5675" s="30">
        <v>5</v>
      </c>
      <c r="F5675" s="30">
        <f t="shared" si="187"/>
        <v>5</v>
      </c>
      <c r="G5675" s="30" t="s">
        <v>9</v>
      </c>
      <c r="J5675" s="30" t="s">
        <v>391</v>
      </c>
    </row>
    <row r="5676" spans="1:10" x14ac:dyDescent="0.25">
      <c r="A5676" s="78">
        <v>46258</v>
      </c>
      <c r="B5676" s="68">
        <v>13</v>
      </c>
      <c r="C5676" s="205" t="s">
        <v>669</v>
      </c>
      <c r="D5676" s="30">
        <v>1</v>
      </c>
      <c r="E5676" s="30">
        <v>5</v>
      </c>
      <c r="F5676" s="30">
        <f t="shared" si="187"/>
        <v>5</v>
      </c>
      <c r="G5676" s="30" t="s">
        <v>9</v>
      </c>
      <c r="J5676" s="30" t="s">
        <v>391</v>
      </c>
    </row>
    <row r="5677" spans="1:10" x14ac:dyDescent="0.25">
      <c r="A5677" s="78">
        <v>46258</v>
      </c>
      <c r="B5677" s="68">
        <v>13</v>
      </c>
      <c r="C5677" s="205" t="s">
        <v>1062</v>
      </c>
      <c r="D5677" s="30">
        <v>1</v>
      </c>
      <c r="E5677" s="30">
        <v>10</v>
      </c>
      <c r="F5677" s="30">
        <f t="shared" si="187"/>
        <v>10</v>
      </c>
      <c r="G5677" s="30" t="s">
        <v>9</v>
      </c>
      <c r="J5677" s="30" t="s">
        <v>391</v>
      </c>
    </row>
    <row r="5678" spans="1:10" x14ac:dyDescent="0.25">
      <c r="A5678" s="78">
        <v>46258</v>
      </c>
      <c r="B5678" s="68">
        <v>14</v>
      </c>
      <c r="C5678" s="205" t="s">
        <v>1124</v>
      </c>
      <c r="D5678" s="30">
        <v>1</v>
      </c>
      <c r="E5678" s="30">
        <v>10</v>
      </c>
      <c r="F5678" s="30">
        <f t="shared" si="187"/>
        <v>10</v>
      </c>
      <c r="G5678" s="30" t="s">
        <v>9</v>
      </c>
      <c r="J5678" s="30" t="s">
        <v>391</v>
      </c>
    </row>
    <row r="5679" spans="1:10" x14ac:dyDescent="0.25">
      <c r="A5679" s="78">
        <v>46258</v>
      </c>
      <c r="B5679" s="68">
        <v>15</v>
      </c>
      <c r="C5679" s="205" t="s">
        <v>1229</v>
      </c>
      <c r="D5679" s="30">
        <v>2</v>
      </c>
      <c r="E5679" s="30">
        <v>40</v>
      </c>
      <c r="F5679" s="30">
        <f t="shared" si="187"/>
        <v>80</v>
      </c>
      <c r="G5679" s="30" t="s">
        <v>10</v>
      </c>
      <c r="J5679" s="30" t="s">
        <v>391</v>
      </c>
    </row>
    <row r="5680" spans="1:10" x14ac:dyDescent="0.25">
      <c r="A5680" s="78">
        <v>46258</v>
      </c>
      <c r="B5680" s="68">
        <v>16</v>
      </c>
      <c r="C5680" s="205" t="s">
        <v>1255</v>
      </c>
      <c r="D5680" s="30">
        <v>1</v>
      </c>
      <c r="E5680" s="30">
        <v>10</v>
      </c>
      <c r="F5680" s="30">
        <f t="shared" si="187"/>
        <v>10</v>
      </c>
      <c r="G5680" s="30" t="s">
        <v>9</v>
      </c>
      <c r="J5680" s="30" t="s">
        <v>391</v>
      </c>
    </row>
    <row r="5681" spans="1:10" x14ac:dyDescent="0.25">
      <c r="A5681" s="78">
        <v>46258</v>
      </c>
      <c r="B5681" s="68">
        <v>16</v>
      </c>
      <c r="C5681" s="205" t="s">
        <v>1143</v>
      </c>
      <c r="D5681" s="30">
        <v>2</v>
      </c>
      <c r="E5681" s="30">
        <v>5</v>
      </c>
      <c r="F5681" s="30">
        <f t="shared" si="187"/>
        <v>10</v>
      </c>
      <c r="G5681" s="30" t="s">
        <v>9</v>
      </c>
      <c r="J5681" s="30" t="s">
        <v>391</v>
      </c>
    </row>
    <row r="5682" spans="1:10" x14ac:dyDescent="0.25">
      <c r="A5682" s="78">
        <v>46258</v>
      </c>
      <c r="B5682" s="68">
        <v>16</v>
      </c>
      <c r="C5682" s="205" t="s">
        <v>1165</v>
      </c>
      <c r="D5682" s="30">
        <v>2</v>
      </c>
      <c r="E5682" s="30">
        <v>1</v>
      </c>
      <c r="F5682" s="30">
        <f t="shared" si="187"/>
        <v>2</v>
      </c>
      <c r="G5682" s="30" t="s">
        <v>16</v>
      </c>
      <c r="J5682" s="30" t="s">
        <v>391</v>
      </c>
    </row>
    <row r="5683" spans="1:10" x14ac:dyDescent="0.25">
      <c r="A5683" s="78">
        <v>46258</v>
      </c>
      <c r="B5683" s="68">
        <v>17</v>
      </c>
      <c r="C5683" s="205" t="s">
        <v>95</v>
      </c>
      <c r="D5683" s="30">
        <v>1</v>
      </c>
      <c r="E5683" s="30">
        <v>10</v>
      </c>
      <c r="F5683" s="30">
        <f t="shared" si="187"/>
        <v>10</v>
      </c>
      <c r="G5683" s="30" t="s">
        <v>9</v>
      </c>
      <c r="J5683" s="30" t="s">
        <v>391</v>
      </c>
    </row>
    <row r="5684" spans="1:10" x14ac:dyDescent="0.25">
      <c r="A5684" s="78">
        <v>46258</v>
      </c>
      <c r="B5684" s="68">
        <v>17</v>
      </c>
      <c r="C5684" s="205" t="s">
        <v>655</v>
      </c>
      <c r="D5684" s="30">
        <v>1</v>
      </c>
      <c r="E5684" s="30">
        <v>15</v>
      </c>
      <c r="F5684" s="30">
        <f t="shared" si="187"/>
        <v>15</v>
      </c>
      <c r="G5684" s="30" t="s">
        <v>9</v>
      </c>
      <c r="J5684" s="30" t="s">
        <v>391</v>
      </c>
    </row>
    <row r="5685" spans="1:10" x14ac:dyDescent="0.25">
      <c r="A5685" s="78">
        <v>46258</v>
      </c>
      <c r="B5685" s="68">
        <v>17</v>
      </c>
      <c r="C5685" s="205" t="s">
        <v>503</v>
      </c>
      <c r="D5685" s="30">
        <v>1</v>
      </c>
      <c r="E5685" s="30">
        <v>10</v>
      </c>
      <c r="F5685" s="30">
        <f t="shared" si="187"/>
        <v>10</v>
      </c>
      <c r="G5685" s="30" t="s">
        <v>9</v>
      </c>
      <c r="J5685" s="30" t="s">
        <v>391</v>
      </c>
    </row>
    <row r="5686" spans="1:10" x14ac:dyDescent="0.25">
      <c r="A5686" s="78">
        <v>46258</v>
      </c>
      <c r="B5686" s="68">
        <v>17</v>
      </c>
      <c r="C5686" s="205" t="s">
        <v>1279</v>
      </c>
      <c r="D5686" s="30">
        <v>1</v>
      </c>
      <c r="E5686" s="30">
        <v>20</v>
      </c>
      <c r="F5686" s="30">
        <f t="shared" si="187"/>
        <v>20</v>
      </c>
      <c r="G5686" s="30" t="s">
        <v>9</v>
      </c>
      <c r="J5686" s="30" t="s">
        <v>391</v>
      </c>
    </row>
    <row r="5687" spans="1:10" x14ac:dyDescent="0.25">
      <c r="A5687" s="78">
        <v>46258</v>
      </c>
      <c r="B5687" s="68">
        <v>18</v>
      </c>
      <c r="C5687" s="205" t="s">
        <v>578</v>
      </c>
      <c r="D5687" s="30">
        <v>2</v>
      </c>
      <c r="E5687" s="30">
        <v>5</v>
      </c>
      <c r="F5687" s="30">
        <f t="shared" si="187"/>
        <v>10</v>
      </c>
      <c r="G5687" s="30" t="s">
        <v>9</v>
      </c>
      <c r="J5687" s="30" t="s">
        <v>391</v>
      </c>
    </row>
    <row r="5688" spans="1:10" ht="30" x14ac:dyDescent="0.25">
      <c r="A5688" s="78">
        <v>46258</v>
      </c>
      <c r="B5688" s="68">
        <v>18</v>
      </c>
      <c r="C5688" s="205" t="s">
        <v>1256</v>
      </c>
      <c r="D5688" s="30">
        <v>1</v>
      </c>
      <c r="E5688" s="30">
        <v>10</v>
      </c>
      <c r="F5688" s="30">
        <f t="shared" si="187"/>
        <v>10</v>
      </c>
      <c r="G5688" s="30" t="s">
        <v>9</v>
      </c>
      <c r="J5688" s="30" t="s">
        <v>391</v>
      </c>
    </row>
    <row r="5689" spans="1:10" x14ac:dyDescent="0.25">
      <c r="A5689" s="78">
        <v>46258</v>
      </c>
      <c r="B5689" s="68">
        <v>19</v>
      </c>
      <c r="C5689" s="205" t="s">
        <v>578</v>
      </c>
      <c r="D5689" s="30">
        <v>1</v>
      </c>
      <c r="E5689" s="30">
        <v>5</v>
      </c>
      <c r="F5689" s="30">
        <f t="shared" si="187"/>
        <v>5</v>
      </c>
      <c r="G5689" s="30" t="s">
        <v>9</v>
      </c>
      <c r="J5689" s="30" t="s">
        <v>391</v>
      </c>
    </row>
    <row r="5690" spans="1:10" x14ac:dyDescent="0.25">
      <c r="A5690" s="78">
        <v>46258</v>
      </c>
      <c r="B5690" s="68">
        <v>20</v>
      </c>
      <c r="C5690" s="205" t="s">
        <v>1268</v>
      </c>
      <c r="D5690" s="30">
        <v>1</v>
      </c>
      <c r="E5690" s="30">
        <v>20</v>
      </c>
      <c r="F5690" s="30">
        <f t="shared" si="187"/>
        <v>20</v>
      </c>
      <c r="G5690" s="30" t="s">
        <v>9</v>
      </c>
      <c r="J5690" s="30" t="s">
        <v>391</v>
      </c>
    </row>
    <row r="5691" spans="1:10" x14ac:dyDescent="0.25">
      <c r="A5691" s="78">
        <v>46258</v>
      </c>
      <c r="B5691" s="68">
        <v>20</v>
      </c>
      <c r="C5691" s="205" t="s">
        <v>1109</v>
      </c>
      <c r="D5691" s="30">
        <v>1</v>
      </c>
      <c r="E5691" s="30">
        <v>20</v>
      </c>
      <c r="F5691" s="30">
        <f t="shared" si="187"/>
        <v>20</v>
      </c>
      <c r="G5691" s="30" t="s">
        <v>9</v>
      </c>
      <c r="J5691" s="30" t="s">
        <v>391</v>
      </c>
    </row>
    <row r="5692" spans="1:10" x14ac:dyDescent="0.25">
      <c r="A5692" s="78">
        <v>46258</v>
      </c>
      <c r="B5692" s="68">
        <v>21</v>
      </c>
      <c r="C5692" s="205" t="s">
        <v>752</v>
      </c>
      <c r="D5692" s="30">
        <v>1</v>
      </c>
      <c r="E5692" s="30">
        <v>50</v>
      </c>
      <c r="F5692" s="30">
        <f t="shared" si="187"/>
        <v>50</v>
      </c>
      <c r="G5692" s="30" t="s">
        <v>9</v>
      </c>
      <c r="J5692" s="30" t="s">
        <v>391</v>
      </c>
    </row>
    <row r="5693" spans="1:10" x14ac:dyDescent="0.25">
      <c r="A5693" s="78">
        <v>46258</v>
      </c>
      <c r="B5693" s="68">
        <v>22</v>
      </c>
      <c r="C5693" s="205" t="s">
        <v>709</v>
      </c>
      <c r="D5693" s="30">
        <v>1</v>
      </c>
      <c r="E5693" s="30">
        <v>10</v>
      </c>
      <c r="F5693" s="30">
        <f t="shared" si="187"/>
        <v>10</v>
      </c>
      <c r="G5693" s="30" t="s">
        <v>9</v>
      </c>
      <c r="J5693" s="30" t="s">
        <v>391</v>
      </c>
    </row>
    <row r="5694" spans="1:10" x14ac:dyDescent="0.25">
      <c r="A5694" s="78">
        <v>46258</v>
      </c>
      <c r="B5694" s="68">
        <v>23</v>
      </c>
      <c r="C5694" s="19" t="s">
        <v>1326</v>
      </c>
      <c r="D5694" s="30">
        <v>30</v>
      </c>
      <c r="E5694" s="30">
        <v>8.5</v>
      </c>
      <c r="F5694" s="30">
        <v>250</v>
      </c>
      <c r="G5694" s="30" t="s">
        <v>9</v>
      </c>
      <c r="J5694" s="30" t="s">
        <v>391</v>
      </c>
    </row>
    <row r="5695" spans="1:10" x14ac:dyDescent="0.25">
      <c r="A5695" s="78">
        <v>46258</v>
      </c>
      <c r="B5695" s="68">
        <v>23</v>
      </c>
      <c r="C5695" s="33" t="s">
        <v>1302</v>
      </c>
      <c r="D5695" s="30">
        <v>1</v>
      </c>
      <c r="E5695" s="30">
        <v>20</v>
      </c>
      <c r="F5695" s="30">
        <f t="shared" si="187"/>
        <v>20</v>
      </c>
      <c r="G5695" s="30" t="s">
        <v>9</v>
      </c>
      <c r="J5695" s="30" t="s">
        <v>391</v>
      </c>
    </row>
    <row r="5696" spans="1:10" x14ac:dyDescent="0.25">
      <c r="A5696" s="78">
        <v>46258</v>
      </c>
      <c r="B5696" s="68">
        <v>23</v>
      </c>
      <c r="C5696" s="205" t="s">
        <v>1253</v>
      </c>
      <c r="D5696" s="30">
        <v>2</v>
      </c>
      <c r="E5696" s="30">
        <v>5</v>
      </c>
      <c r="F5696" s="30">
        <f t="shared" si="187"/>
        <v>10</v>
      </c>
      <c r="G5696" s="30" t="s">
        <v>9</v>
      </c>
      <c r="J5696" s="30" t="s">
        <v>391</v>
      </c>
    </row>
    <row r="5697" spans="1:10" x14ac:dyDescent="0.25">
      <c r="A5697" s="78">
        <v>46258</v>
      </c>
      <c r="B5697" s="68">
        <v>23</v>
      </c>
      <c r="C5697" s="205" t="s">
        <v>1252</v>
      </c>
      <c r="D5697" s="30">
        <v>2</v>
      </c>
      <c r="E5697" s="30">
        <v>5</v>
      </c>
      <c r="F5697" s="30">
        <f t="shared" si="187"/>
        <v>10</v>
      </c>
      <c r="G5697" s="30" t="s">
        <v>9</v>
      </c>
      <c r="J5697" s="30" t="s">
        <v>391</v>
      </c>
    </row>
    <row r="5698" spans="1:10" x14ac:dyDescent="0.25">
      <c r="A5698" s="78">
        <v>46258</v>
      </c>
      <c r="B5698" s="68">
        <v>23</v>
      </c>
      <c r="C5698" s="205" t="s">
        <v>1243</v>
      </c>
      <c r="D5698" s="30">
        <v>3</v>
      </c>
      <c r="E5698" s="30">
        <v>10</v>
      </c>
      <c r="F5698" s="30">
        <f t="shared" si="187"/>
        <v>30</v>
      </c>
      <c r="G5698" s="30" t="s">
        <v>9</v>
      </c>
      <c r="J5698" s="30" t="s">
        <v>391</v>
      </c>
    </row>
    <row r="5699" spans="1:10" x14ac:dyDescent="0.25">
      <c r="A5699" s="78">
        <v>46258</v>
      </c>
      <c r="B5699" s="68">
        <v>23</v>
      </c>
      <c r="C5699" s="205" t="s">
        <v>576</v>
      </c>
      <c r="D5699" s="30">
        <v>2</v>
      </c>
      <c r="E5699" s="30">
        <v>5</v>
      </c>
      <c r="F5699" s="30">
        <f t="shared" si="187"/>
        <v>10</v>
      </c>
      <c r="G5699" s="30" t="s">
        <v>9</v>
      </c>
      <c r="J5699" s="30" t="s">
        <v>391</v>
      </c>
    </row>
    <row r="5700" spans="1:10" x14ac:dyDescent="0.25">
      <c r="A5700" s="78">
        <v>46258</v>
      </c>
      <c r="B5700" s="68">
        <v>23</v>
      </c>
      <c r="C5700" s="205" t="s">
        <v>1255</v>
      </c>
      <c r="D5700" s="30">
        <v>1</v>
      </c>
      <c r="E5700" s="30">
        <v>10</v>
      </c>
      <c r="F5700" s="30">
        <f t="shared" si="187"/>
        <v>10</v>
      </c>
      <c r="G5700" s="30" t="s">
        <v>9</v>
      </c>
      <c r="J5700" s="30" t="s">
        <v>391</v>
      </c>
    </row>
    <row r="5701" spans="1:10" x14ac:dyDescent="0.25">
      <c r="A5701" s="78">
        <v>46258</v>
      </c>
      <c r="B5701" s="68">
        <v>24</v>
      </c>
      <c r="C5701" s="205" t="s">
        <v>702</v>
      </c>
      <c r="D5701" s="30">
        <v>1</v>
      </c>
      <c r="E5701" s="30">
        <v>10</v>
      </c>
      <c r="F5701" s="30">
        <f t="shared" si="187"/>
        <v>10</v>
      </c>
      <c r="G5701" s="30" t="s">
        <v>9</v>
      </c>
      <c r="J5701" s="30" t="s">
        <v>391</v>
      </c>
    </row>
    <row r="5702" spans="1:10" x14ac:dyDescent="0.25">
      <c r="A5702" s="78">
        <v>46258</v>
      </c>
      <c r="B5702" s="68">
        <v>25</v>
      </c>
      <c r="C5702" s="205" t="s">
        <v>536</v>
      </c>
      <c r="D5702" s="30">
        <v>2</v>
      </c>
      <c r="E5702" s="30">
        <v>1</v>
      </c>
      <c r="F5702" s="30">
        <f t="shared" si="187"/>
        <v>2</v>
      </c>
      <c r="G5702" s="30" t="s">
        <v>9</v>
      </c>
      <c r="J5702" s="30" t="s">
        <v>391</v>
      </c>
    </row>
    <row r="5703" spans="1:10" x14ac:dyDescent="0.25">
      <c r="A5703" s="78">
        <v>46258</v>
      </c>
      <c r="B5703" s="68">
        <v>25</v>
      </c>
      <c r="C5703" s="205" t="s">
        <v>960</v>
      </c>
      <c r="D5703" s="30">
        <v>1</v>
      </c>
      <c r="E5703" s="30">
        <v>5</v>
      </c>
      <c r="F5703" s="30">
        <f t="shared" si="187"/>
        <v>5</v>
      </c>
      <c r="G5703" s="30" t="s">
        <v>9</v>
      </c>
      <c r="J5703" s="30" t="s">
        <v>391</v>
      </c>
    </row>
    <row r="5704" spans="1:10" x14ac:dyDescent="0.25">
      <c r="A5704" s="78">
        <v>46258</v>
      </c>
      <c r="B5704" s="68">
        <v>25</v>
      </c>
      <c r="C5704" s="205" t="s">
        <v>375</v>
      </c>
      <c r="D5704" s="30">
        <v>3</v>
      </c>
      <c r="E5704" s="30">
        <v>1</v>
      </c>
      <c r="F5704" s="30">
        <f t="shared" si="187"/>
        <v>3</v>
      </c>
      <c r="G5704" s="30" t="s">
        <v>9</v>
      </c>
      <c r="J5704" s="30" t="s">
        <v>391</v>
      </c>
    </row>
    <row r="5705" spans="1:10" x14ac:dyDescent="0.25">
      <c r="A5705" s="78">
        <v>46258</v>
      </c>
      <c r="B5705" s="68">
        <v>26</v>
      </c>
      <c r="C5705" s="205" t="s">
        <v>892</v>
      </c>
      <c r="D5705" s="30">
        <v>1</v>
      </c>
      <c r="E5705" s="30">
        <v>10</v>
      </c>
      <c r="F5705" s="30">
        <f t="shared" si="187"/>
        <v>10</v>
      </c>
      <c r="G5705" s="30" t="s">
        <v>9</v>
      </c>
      <c r="J5705" s="30" t="s">
        <v>391</v>
      </c>
    </row>
    <row r="5706" spans="1:10" x14ac:dyDescent="0.25">
      <c r="A5706" s="78">
        <v>46258</v>
      </c>
      <c r="B5706" s="68">
        <v>27</v>
      </c>
      <c r="C5706" s="204" t="s">
        <v>970</v>
      </c>
      <c r="D5706" s="30">
        <v>2</v>
      </c>
      <c r="E5706" s="30">
        <v>10</v>
      </c>
      <c r="F5706" s="30">
        <f t="shared" si="187"/>
        <v>20</v>
      </c>
      <c r="G5706" s="30" t="s">
        <v>9</v>
      </c>
      <c r="J5706" s="30" t="s">
        <v>391</v>
      </c>
    </row>
    <row r="5707" spans="1:10" x14ac:dyDescent="0.25">
      <c r="A5707" s="78">
        <v>46258</v>
      </c>
      <c r="B5707" s="68">
        <v>28</v>
      </c>
      <c r="C5707" s="205" t="s">
        <v>1090</v>
      </c>
      <c r="D5707" s="30">
        <v>2</v>
      </c>
      <c r="E5707" s="30">
        <v>10</v>
      </c>
      <c r="F5707" s="30">
        <f t="shared" si="187"/>
        <v>20</v>
      </c>
      <c r="G5707" s="30" t="s">
        <v>9</v>
      </c>
      <c r="J5707" s="30" t="s">
        <v>391</v>
      </c>
    </row>
    <row r="5708" spans="1:10" x14ac:dyDescent="0.25">
      <c r="A5708" s="78">
        <v>46258</v>
      </c>
      <c r="B5708" s="68">
        <v>28</v>
      </c>
      <c r="C5708" s="33" t="s">
        <v>1351</v>
      </c>
      <c r="D5708" s="30">
        <v>2</v>
      </c>
      <c r="E5708" s="30">
        <v>5</v>
      </c>
      <c r="F5708" s="30">
        <f t="shared" si="187"/>
        <v>10</v>
      </c>
      <c r="G5708" s="30" t="s">
        <v>9</v>
      </c>
      <c r="J5708" s="30" t="s">
        <v>391</v>
      </c>
    </row>
    <row r="5709" spans="1:10" x14ac:dyDescent="0.25">
      <c r="A5709" s="78">
        <v>46258</v>
      </c>
      <c r="B5709" s="68">
        <v>23</v>
      </c>
      <c r="C5709" s="33" t="s">
        <v>1351</v>
      </c>
      <c r="D5709" s="30">
        <v>2</v>
      </c>
      <c r="E5709" s="30">
        <v>5</v>
      </c>
      <c r="F5709" s="30">
        <f t="shared" si="187"/>
        <v>10</v>
      </c>
      <c r="G5709" s="30" t="s">
        <v>9</v>
      </c>
      <c r="J5709" s="30" t="s">
        <v>391</v>
      </c>
    </row>
    <row r="5710" spans="1:10" s="199" customFormat="1" ht="31.5" x14ac:dyDescent="0.25">
      <c r="A5710" s="196">
        <v>46258</v>
      </c>
      <c r="B5710" s="197" t="s">
        <v>1245</v>
      </c>
      <c r="C5710" s="198">
        <f>MAX(B5654:B5709)</f>
        <v>28</v>
      </c>
      <c r="D5710" s="197" t="s">
        <v>1246</v>
      </c>
      <c r="E5710" s="199">
        <f>SUMIF(G5654:G5709,"UPI",F5654:F5709)</f>
        <v>135</v>
      </c>
      <c r="H5710" s="200" t="s">
        <v>1247</v>
      </c>
      <c r="I5710" s="200">
        <f>SUMIF(G5654:G5709, "&lt;&gt;UPI",F5654:F5709)</f>
        <v>987</v>
      </c>
    </row>
    <row r="5711" spans="1:10" x14ac:dyDescent="0.25">
      <c r="A5711" s="78">
        <v>46197</v>
      </c>
      <c r="B5711" s="36">
        <v>29</v>
      </c>
      <c r="C5711" s="209" t="s">
        <v>1329</v>
      </c>
      <c r="D5711" s="36">
        <v>4</v>
      </c>
      <c r="E5711" s="30">
        <v>5</v>
      </c>
      <c r="F5711" s="30">
        <f>E5711*D5711</f>
        <v>20</v>
      </c>
      <c r="G5711" s="30" t="s">
        <v>9</v>
      </c>
      <c r="J5711" s="30" t="s">
        <v>392</v>
      </c>
    </row>
    <row r="5712" spans="1:10" x14ac:dyDescent="0.25">
      <c r="A5712" s="78">
        <v>46197</v>
      </c>
      <c r="B5712" s="36">
        <v>3</v>
      </c>
      <c r="C5712" s="205" t="s">
        <v>1090</v>
      </c>
      <c r="D5712" s="36">
        <v>3</v>
      </c>
      <c r="E5712" s="30">
        <v>10</v>
      </c>
      <c r="F5712" s="30">
        <f t="shared" ref="F5712:F5744" si="188">E5712*D5712</f>
        <v>30</v>
      </c>
      <c r="G5712" s="30" t="s">
        <v>9</v>
      </c>
      <c r="J5712" s="30" t="s">
        <v>392</v>
      </c>
    </row>
    <row r="5713" spans="1:10" x14ac:dyDescent="0.25">
      <c r="A5713" s="78">
        <v>46197</v>
      </c>
      <c r="B5713" s="36">
        <v>3</v>
      </c>
      <c r="C5713" s="205" t="s">
        <v>1058</v>
      </c>
      <c r="D5713" s="36">
        <v>3</v>
      </c>
      <c r="E5713" s="30">
        <v>5</v>
      </c>
      <c r="F5713" s="30">
        <f t="shared" si="188"/>
        <v>15</v>
      </c>
      <c r="G5713" s="30" t="s">
        <v>9</v>
      </c>
      <c r="J5713" s="30" t="s">
        <v>392</v>
      </c>
    </row>
    <row r="5714" spans="1:10" x14ac:dyDescent="0.25">
      <c r="A5714" s="78">
        <v>46197</v>
      </c>
      <c r="B5714" s="36">
        <v>30</v>
      </c>
      <c r="C5714" s="205" t="s">
        <v>1231</v>
      </c>
      <c r="D5714" s="36">
        <v>0.4</v>
      </c>
      <c r="E5714" s="30">
        <v>25</v>
      </c>
      <c r="F5714" s="30">
        <f t="shared" si="188"/>
        <v>10</v>
      </c>
      <c r="G5714" s="30" t="s">
        <v>9</v>
      </c>
      <c r="J5714" s="30" t="s">
        <v>392</v>
      </c>
    </row>
    <row r="5715" spans="1:10" x14ac:dyDescent="0.25">
      <c r="A5715" s="78">
        <v>46197</v>
      </c>
      <c r="B5715" s="36">
        <v>31</v>
      </c>
      <c r="C5715" s="205" t="s">
        <v>1252</v>
      </c>
      <c r="D5715" s="36">
        <v>2</v>
      </c>
      <c r="E5715" s="30">
        <v>5</v>
      </c>
      <c r="F5715" s="30">
        <f t="shared" si="188"/>
        <v>10</v>
      </c>
      <c r="G5715" s="30" t="s">
        <v>9</v>
      </c>
      <c r="J5715" s="30" t="s">
        <v>392</v>
      </c>
    </row>
    <row r="5716" spans="1:10" x14ac:dyDescent="0.25">
      <c r="A5716" s="78">
        <v>46197</v>
      </c>
      <c r="B5716" s="36">
        <v>32</v>
      </c>
      <c r="C5716" s="205" t="s">
        <v>1234</v>
      </c>
      <c r="D5716" s="36">
        <v>0.34</v>
      </c>
      <c r="E5716" s="30">
        <v>60</v>
      </c>
      <c r="F5716" s="30">
        <f t="shared" si="188"/>
        <v>20.400000000000002</v>
      </c>
      <c r="G5716" s="30" t="s">
        <v>9</v>
      </c>
      <c r="J5716" s="30" t="s">
        <v>392</v>
      </c>
    </row>
    <row r="5717" spans="1:10" x14ac:dyDescent="0.25">
      <c r="A5717" s="78">
        <v>46197</v>
      </c>
      <c r="B5717" s="36">
        <v>33</v>
      </c>
      <c r="C5717" s="205" t="s">
        <v>1231</v>
      </c>
      <c r="D5717" s="36">
        <v>1</v>
      </c>
      <c r="E5717" s="30">
        <v>25</v>
      </c>
      <c r="F5717" s="30">
        <f t="shared" si="188"/>
        <v>25</v>
      </c>
      <c r="G5717" s="30" t="s">
        <v>9</v>
      </c>
      <c r="J5717" s="30" t="s">
        <v>392</v>
      </c>
    </row>
    <row r="5718" spans="1:10" x14ac:dyDescent="0.25">
      <c r="A5718" s="78">
        <v>46197</v>
      </c>
      <c r="B5718" s="36">
        <v>33</v>
      </c>
      <c r="C5718" s="205" t="s">
        <v>1262</v>
      </c>
      <c r="D5718" s="36">
        <v>1</v>
      </c>
      <c r="E5718" s="30">
        <v>5</v>
      </c>
      <c r="F5718" s="30">
        <f t="shared" si="188"/>
        <v>5</v>
      </c>
      <c r="G5718" s="30" t="s">
        <v>9</v>
      </c>
      <c r="J5718" s="30" t="s">
        <v>392</v>
      </c>
    </row>
    <row r="5719" spans="1:10" x14ac:dyDescent="0.25">
      <c r="A5719" s="78">
        <v>46197</v>
      </c>
      <c r="B5719" s="36">
        <v>34</v>
      </c>
      <c r="C5719" s="205" t="s">
        <v>709</v>
      </c>
      <c r="D5719" s="36">
        <v>1</v>
      </c>
      <c r="E5719" s="30">
        <v>10</v>
      </c>
      <c r="F5719" s="30">
        <f t="shared" si="188"/>
        <v>10</v>
      </c>
      <c r="G5719" s="30" t="s">
        <v>9</v>
      </c>
      <c r="J5719" s="30" t="s">
        <v>392</v>
      </c>
    </row>
    <row r="5720" spans="1:10" x14ac:dyDescent="0.25">
      <c r="A5720" s="78">
        <v>46197</v>
      </c>
      <c r="B5720" s="36">
        <v>34</v>
      </c>
      <c r="C5720" s="205" t="s">
        <v>1126</v>
      </c>
      <c r="D5720" s="36">
        <v>1</v>
      </c>
      <c r="E5720" s="30">
        <v>10</v>
      </c>
      <c r="F5720" s="30">
        <f t="shared" si="188"/>
        <v>10</v>
      </c>
      <c r="G5720" s="30" t="s">
        <v>9</v>
      </c>
      <c r="J5720" s="30" t="s">
        <v>392</v>
      </c>
    </row>
    <row r="5721" spans="1:10" ht="30" x14ac:dyDescent="0.25">
      <c r="A5721" s="78">
        <v>46197</v>
      </c>
      <c r="B5721" s="36">
        <v>35</v>
      </c>
      <c r="C5721" s="205" t="s">
        <v>1188</v>
      </c>
      <c r="D5721" s="36">
        <v>1</v>
      </c>
      <c r="E5721" s="30">
        <v>15</v>
      </c>
      <c r="F5721" s="30">
        <f t="shared" si="188"/>
        <v>15</v>
      </c>
      <c r="G5721" s="30" t="s">
        <v>9</v>
      </c>
      <c r="I5721" s="68" t="s">
        <v>1357</v>
      </c>
      <c r="J5721" s="30" t="s">
        <v>392</v>
      </c>
    </row>
    <row r="5722" spans="1:10" x14ac:dyDescent="0.25">
      <c r="A5722" s="78">
        <v>46197</v>
      </c>
      <c r="B5722" s="36">
        <v>36</v>
      </c>
      <c r="C5722" s="19" t="s">
        <v>1327</v>
      </c>
      <c r="D5722" s="36">
        <v>0.14299999999999999</v>
      </c>
      <c r="E5722" s="30">
        <v>70</v>
      </c>
      <c r="F5722" s="30">
        <f t="shared" si="188"/>
        <v>10.01</v>
      </c>
      <c r="G5722" s="30" t="s">
        <v>9</v>
      </c>
      <c r="J5722" s="30" t="s">
        <v>392</v>
      </c>
    </row>
    <row r="5723" spans="1:10" x14ac:dyDescent="0.25">
      <c r="A5723" s="78">
        <v>46197</v>
      </c>
      <c r="B5723" s="36">
        <v>36</v>
      </c>
      <c r="C5723" s="19" t="s">
        <v>1343</v>
      </c>
      <c r="D5723" s="36">
        <v>1</v>
      </c>
      <c r="E5723" s="30">
        <v>10</v>
      </c>
      <c r="F5723" s="30">
        <f t="shared" si="188"/>
        <v>10</v>
      </c>
      <c r="G5723" s="30" t="s">
        <v>9</v>
      </c>
      <c r="J5723" s="30" t="s">
        <v>392</v>
      </c>
    </row>
    <row r="5724" spans="1:10" x14ac:dyDescent="0.25">
      <c r="A5724" s="78">
        <v>46197</v>
      </c>
      <c r="B5724" s="36">
        <v>23</v>
      </c>
      <c r="C5724" s="205" t="s">
        <v>1260</v>
      </c>
      <c r="D5724" s="36">
        <v>1</v>
      </c>
      <c r="E5724" s="30">
        <v>5</v>
      </c>
      <c r="F5724" s="30">
        <f t="shared" si="188"/>
        <v>5</v>
      </c>
      <c r="G5724" s="30" t="s">
        <v>9</v>
      </c>
      <c r="J5724" s="30" t="s">
        <v>392</v>
      </c>
    </row>
    <row r="5725" spans="1:10" x14ac:dyDescent="0.25">
      <c r="A5725" s="78">
        <v>46197</v>
      </c>
      <c r="B5725" s="36">
        <v>23</v>
      </c>
      <c r="C5725" s="205" t="s">
        <v>960</v>
      </c>
      <c r="D5725" s="36">
        <v>2</v>
      </c>
      <c r="E5725" s="30">
        <v>5</v>
      </c>
      <c r="F5725" s="30">
        <f t="shared" si="188"/>
        <v>10</v>
      </c>
      <c r="G5725" s="30" t="s">
        <v>9</v>
      </c>
      <c r="J5725" s="30" t="s">
        <v>392</v>
      </c>
    </row>
    <row r="5726" spans="1:10" x14ac:dyDescent="0.25">
      <c r="A5726" s="78">
        <v>46197</v>
      </c>
      <c r="B5726" s="36">
        <v>37</v>
      </c>
      <c r="C5726" s="205" t="s">
        <v>891</v>
      </c>
      <c r="D5726" s="36">
        <v>4</v>
      </c>
      <c r="E5726" s="30">
        <v>1</v>
      </c>
      <c r="F5726" s="30">
        <f t="shared" si="188"/>
        <v>4</v>
      </c>
      <c r="G5726" s="30" t="s">
        <v>9</v>
      </c>
      <c r="J5726" s="30" t="s">
        <v>392</v>
      </c>
    </row>
    <row r="5727" spans="1:10" x14ac:dyDescent="0.25">
      <c r="A5727" s="78">
        <v>46197</v>
      </c>
      <c r="B5727" s="36">
        <v>37</v>
      </c>
      <c r="C5727" s="205" t="s">
        <v>523</v>
      </c>
      <c r="D5727" s="36">
        <v>0.1</v>
      </c>
      <c r="E5727" s="30">
        <v>280</v>
      </c>
      <c r="F5727" s="30">
        <f t="shared" si="188"/>
        <v>28</v>
      </c>
      <c r="G5727" s="30" t="s">
        <v>9</v>
      </c>
      <c r="J5727" s="30" t="s">
        <v>392</v>
      </c>
    </row>
    <row r="5728" spans="1:10" x14ac:dyDescent="0.25">
      <c r="A5728" s="78">
        <v>46197</v>
      </c>
      <c r="B5728" s="36">
        <v>38</v>
      </c>
      <c r="C5728" s="205" t="s">
        <v>971</v>
      </c>
      <c r="D5728" s="36">
        <v>1</v>
      </c>
      <c r="E5728" s="30">
        <v>10</v>
      </c>
      <c r="F5728" s="30">
        <f t="shared" si="188"/>
        <v>10</v>
      </c>
      <c r="G5728" s="30" t="s">
        <v>10</v>
      </c>
      <c r="J5728" s="30" t="s">
        <v>392</v>
      </c>
    </row>
    <row r="5729" spans="1:10" x14ac:dyDescent="0.25">
      <c r="A5729" s="78">
        <v>46197</v>
      </c>
      <c r="B5729" s="36">
        <v>38</v>
      </c>
      <c r="C5729" s="205" t="s">
        <v>117</v>
      </c>
      <c r="D5729" s="36">
        <v>2</v>
      </c>
      <c r="E5729" s="30">
        <v>10</v>
      </c>
      <c r="F5729" s="30">
        <f t="shared" si="188"/>
        <v>20</v>
      </c>
      <c r="G5729" s="30" t="s">
        <v>10</v>
      </c>
      <c r="J5729" s="30" t="s">
        <v>392</v>
      </c>
    </row>
    <row r="5730" spans="1:10" x14ac:dyDescent="0.25">
      <c r="A5730" s="78">
        <v>46197</v>
      </c>
      <c r="B5730" s="36">
        <v>38</v>
      </c>
      <c r="C5730" s="205" t="s">
        <v>1156</v>
      </c>
      <c r="D5730" s="36">
        <v>0.1</v>
      </c>
      <c r="E5730" s="30">
        <v>200</v>
      </c>
      <c r="F5730" s="30">
        <f t="shared" si="188"/>
        <v>20</v>
      </c>
      <c r="G5730" s="30" t="s">
        <v>10</v>
      </c>
      <c r="J5730" s="30" t="s">
        <v>392</v>
      </c>
    </row>
    <row r="5731" spans="1:10" x14ac:dyDescent="0.25">
      <c r="A5731" s="78">
        <v>46197</v>
      </c>
      <c r="B5731" s="36">
        <v>23</v>
      </c>
      <c r="C5731" s="205" t="s">
        <v>960</v>
      </c>
      <c r="D5731" s="36">
        <v>1</v>
      </c>
      <c r="E5731" s="30">
        <v>5</v>
      </c>
      <c r="F5731" s="30">
        <f t="shared" si="188"/>
        <v>5</v>
      </c>
      <c r="G5731" s="30" t="s">
        <v>9</v>
      </c>
      <c r="J5731" s="30" t="s">
        <v>392</v>
      </c>
    </row>
    <row r="5732" spans="1:10" x14ac:dyDescent="0.25">
      <c r="A5732" s="78">
        <v>46197</v>
      </c>
      <c r="B5732" s="36">
        <v>39</v>
      </c>
      <c r="C5732" s="33" t="s">
        <v>1358</v>
      </c>
      <c r="D5732" s="36">
        <v>0.43</v>
      </c>
      <c r="E5732" s="30">
        <v>70</v>
      </c>
      <c r="F5732" s="30">
        <f t="shared" si="188"/>
        <v>30.099999999999998</v>
      </c>
      <c r="G5732" s="30" t="s">
        <v>9</v>
      </c>
      <c r="J5732" s="30" t="s">
        <v>392</v>
      </c>
    </row>
    <row r="5733" spans="1:10" x14ac:dyDescent="0.25">
      <c r="A5733" s="78">
        <v>46197</v>
      </c>
      <c r="B5733" s="36">
        <v>39</v>
      </c>
      <c r="C5733" s="205" t="s">
        <v>1234</v>
      </c>
      <c r="D5733" s="36">
        <v>0.16</v>
      </c>
      <c r="E5733" s="30">
        <v>60</v>
      </c>
      <c r="F5733" s="30">
        <f t="shared" si="188"/>
        <v>9.6</v>
      </c>
      <c r="G5733" s="30" t="s">
        <v>9</v>
      </c>
      <c r="J5733" s="30" t="s">
        <v>392</v>
      </c>
    </row>
    <row r="5734" spans="1:10" x14ac:dyDescent="0.25">
      <c r="A5734" s="78">
        <v>46197</v>
      </c>
      <c r="B5734" s="36">
        <v>40</v>
      </c>
      <c r="C5734" s="205" t="s">
        <v>971</v>
      </c>
      <c r="D5734" s="36">
        <v>1</v>
      </c>
      <c r="E5734" s="30">
        <v>10</v>
      </c>
      <c r="F5734" s="30">
        <f t="shared" si="188"/>
        <v>10</v>
      </c>
      <c r="G5734" s="30" t="s">
        <v>9</v>
      </c>
      <c r="J5734" s="30" t="s">
        <v>392</v>
      </c>
    </row>
    <row r="5735" spans="1:10" x14ac:dyDescent="0.25">
      <c r="A5735" s="78">
        <v>46197</v>
      </c>
      <c r="B5735" s="36">
        <v>40</v>
      </c>
      <c r="C5735" s="205" t="s">
        <v>1272</v>
      </c>
      <c r="D5735" s="36">
        <v>1</v>
      </c>
      <c r="E5735" s="30">
        <v>10</v>
      </c>
      <c r="F5735" s="30">
        <f t="shared" si="188"/>
        <v>10</v>
      </c>
      <c r="G5735" s="30" t="s">
        <v>9</v>
      </c>
      <c r="J5735" s="30" t="s">
        <v>392</v>
      </c>
    </row>
    <row r="5736" spans="1:10" x14ac:dyDescent="0.25">
      <c r="A5736" s="78">
        <v>46197</v>
      </c>
      <c r="B5736" s="36">
        <v>41</v>
      </c>
      <c r="C5736" s="205" t="s">
        <v>1359</v>
      </c>
      <c r="D5736" s="36">
        <v>1</v>
      </c>
      <c r="E5736" s="30">
        <v>5</v>
      </c>
      <c r="F5736" s="30">
        <f t="shared" si="188"/>
        <v>5</v>
      </c>
      <c r="G5736" s="30" t="s">
        <v>9</v>
      </c>
      <c r="J5736" s="30" t="s">
        <v>392</v>
      </c>
    </row>
    <row r="5737" spans="1:10" ht="30" x14ac:dyDescent="0.25">
      <c r="A5737" s="78">
        <v>46197</v>
      </c>
      <c r="B5737" s="36">
        <v>42</v>
      </c>
      <c r="C5737" s="205" t="s">
        <v>1122</v>
      </c>
      <c r="D5737" s="36">
        <v>1</v>
      </c>
      <c r="E5737" s="30">
        <v>90</v>
      </c>
      <c r="F5737" s="30">
        <f t="shared" si="188"/>
        <v>90</v>
      </c>
      <c r="G5737" s="30" t="s">
        <v>9</v>
      </c>
      <c r="J5737" s="30" t="s">
        <v>392</v>
      </c>
    </row>
    <row r="5738" spans="1:10" x14ac:dyDescent="0.25">
      <c r="A5738" s="78">
        <v>46197</v>
      </c>
      <c r="B5738" s="36">
        <v>42</v>
      </c>
      <c r="C5738" s="19" t="s">
        <v>1344</v>
      </c>
      <c r="D5738" s="36">
        <v>1</v>
      </c>
      <c r="E5738" s="30">
        <v>20</v>
      </c>
      <c r="F5738" s="30">
        <f t="shared" si="188"/>
        <v>20</v>
      </c>
      <c r="G5738" s="30" t="s">
        <v>9</v>
      </c>
      <c r="J5738" s="30" t="s">
        <v>392</v>
      </c>
    </row>
    <row r="5739" spans="1:10" x14ac:dyDescent="0.25">
      <c r="A5739" s="78">
        <v>46197</v>
      </c>
      <c r="B5739" s="36">
        <v>43</v>
      </c>
      <c r="C5739" s="205" t="s">
        <v>1165</v>
      </c>
      <c r="D5739" s="36">
        <v>10</v>
      </c>
      <c r="E5739" s="30">
        <v>1</v>
      </c>
      <c r="F5739" s="30">
        <f t="shared" si="188"/>
        <v>10</v>
      </c>
      <c r="G5739" s="30" t="s">
        <v>9</v>
      </c>
      <c r="J5739" s="30" t="s">
        <v>392</v>
      </c>
    </row>
    <row r="5740" spans="1:10" x14ac:dyDescent="0.25">
      <c r="A5740" s="78">
        <v>46197</v>
      </c>
      <c r="B5740" s="36">
        <v>44</v>
      </c>
      <c r="C5740" s="19" t="s">
        <v>1316</v>
      </c>
      <c r="D5740" s="36">
        <v>1</v>
      </c>
      <c r="E5740" s="30">
        <v>10</v>
      </c>
      <c r="F5740" s="30">
        <f t="shared" si="188"/>
        <v>10</v>
      </c>
      <c r="G5740" s="30" t="s">
        <v>9</v>
      </c>
      <c r="J5740" s="30" t="s">
        <v>392</v>
      </c>
    </row>
    <row r="5741" spans="1:10" x14ac:dyDescent="0.25">
      <c r="A5741" s="78">
        <v>46197</v>
      </c>
      <c r="B5741" s="36">
        <v>44</v>
      </c>
      <c r="C5741" s="205" t="s">
        <v>578</v>
      </c>
      <c r="D5741" s="36">
        <v>1</v>
      </c>
      <c r="E5741" s="30">
        <v>5</v>
      </c>
      <c r="F5741" s="30">
        <f t="shared" si="188"/>
        <v>5</v>
      </c>
      <c r="G5741" s="30" t="s">
        <v>9</v>
      </c>
      <c r="J5741" s="30" t="s">
        <v>392</v>
      </c>
    </row>
    <row r="5742" spans="1:10" x14ac:dyDescent="0.25">
      <c r="A5742" s="78">
        <v>46197</v>
      </c>
      <c r="B5742" s="36">
        <v>45</v>
      </c>
      <c r="C5742" s="204" t="s">
        <v>970</v>
      </c>
      <c r="D5742" s="36">
        <v>1</v>
      </c>
      <c r="E5742" s="30">
        <v>10</v>
      </c>
      <c r="F5742" s="30">
        <f t="shared" si="188"/>
        <v>10</v>
      </c>
      <c r="G5742" s="30" t="s">
        <v>9</v>
      </c>
      <c r="J5742" s="30" t="s">
        <v>392</v>
      </c>
    </row>
    <row r="5743" spans="1:10" x14ac:dyDescent="0.25">
      <c r="A5743" s="78">
        <v>46197</v>
      </c>
      <c r="B5743" s="36">
        <v>45</v>
      </c>
      <c r="C5743" s="205" t="s">
        <v>629</v>
      </c>
      <c r="D5743" s="36">
        <v>1</v>
      </c>
      <c r="E5743" s="30">
        <v>50</v>
      </c>
      <c r="F5743" s="30">
        <f t="shared" si="188"/>
        <v>50</v>
      </c>
      <c r="G5743" s="30" t="s">
        <v>16</v>
      </c>
      <c r="I5743" s="68" t="s">
        <v>1203</v>
      </c>
      <c r="J5743" s="30" t="s">
        <v>392</v>
      </c>
    </row>
    <row r="5744" spans="1:10" ht="30" x14ac:dyDescent="0.25">
      <c r="A5744" s="78">
        <v>46197</v>
      </c>
      <c r="B5744" s="36">
        <v>45</v>
      </c>
      <c r="C5744" s="33" t="s">
        <v>1360</v>
      </c>
      <c r="D5744" s="97">
        <v>1</v>
      </c>
      <c r="E5744" s="30">
        <v>120</v>
      </c>
      <c r="F5744" s="30">
        <f t="shared" si="188"/>
        <v>120</v>
      </c>
      <c r="G5744" s="30" t="s">
        <v>16</v>
      </c>
      <c r="I5744" s="68" t="s">
        <v>1203</v>
      </c>
      <c r="J5744" s="30" t="s">
        <v>392</v>
      </c>
    </row>
    <row r="5745" spans="1:12" s="199" customFormat="1" ht="31.5" x14ac:dyDescent="0.25">
      <c r="A5745" s="196">
        <v>46258</v>
      </c>
      <c r="B5745" s="197" t="s">
        <v>1248</v>
      </c>
      <c r="C5745" s="198">
        <f>MAX(B5711:B5744)</f>
        <v>45</v>
      </c>
      <c r="D5745" s="197" t="s">
        <v>1249</v>
      </c>
      <c r="E5745" s="199">
        <f>SUMIF(G5711:G5745,"UPI",F5711:F5745)</f>
        <v>50</v>
      </c>
      <c r="H5745" s="200" t="s">
        <v>1251</v>
      </c>
      <c r="I5745" s="200">
        <f>SUMIF(G5711:G5745, "&lt;&gt;UPI",F5711:F5745)</f>
        <v>622.11</v>
      </c>
    </row>
    <row r="5746" spans="1:12" s="5" customFormat="1" ht="15.75" x14ac:dyDescent="0.25">
      <c r="A5746" s="201">
        <v>46258</v>
      </c>
      <c r="B5746" s="2"/>
      <c r="C5746" s="14"/>
      <c r="H5746" s="2" t="s">
        <v>1250</v>
      </c>
      <c r="I5746" s="2">
        <f>SUMIF(G5654:G5745, "&lt;&gt;UPI",F5654:F5745)</f>
        <v>1609.11</v>
      </c>
    </row>
    <row r="5747" spans="1:12" s="202" customFormat="1" ht="18.75" x14ac:dyDescent="0.3">
      <c r="A5747" s="146">
        <v>46258</v>
      </c>
      <c r="B5747" s="147" t="s">
        <v>987</v>
      </c>
      <c r="C5747" s="148">
        <f>MAX(B5654:B5746)</f>
        <v>45</v>
      </c>
      <c r="D5747" s="147" t="s">
        <v>988</v>
      </c>
      <c r="E5747" s="202">
        <f>SUMIF(G5654:G5744,"UPI",F5654:F5744)</f>
        <v>185</v>
      </c>
      <c r="F5747" s="230" t="s">
        <v>437</v>
      </c>
      <c r="G5747" s="230"/>
      <c r="H5747" s="230"/>
      <c r="I5747" s="230">
        <f>SUM(F5654:F5746)</f>
        <v>1794.11</v>
      </c>
      <c r="J5747" s="230"/>
      <c r="K5747" s="230"/>
      <c r="L5747" s="230"/>
    </row>
    <row r="5748" spans="1:12" x14ac:dyDescent="0.25">
      <c r="A5748" s="78">
        <v>46259</v>
      </c>
      <c r="B5748" s="68">
        <v>1</v>
      </c>
      <c r="C5748" s="205" t="s">
        <v>1252</v>
      </c>
      <c r="D5748" s="30">
        <v>1</v>
      </c>
      <c r="E5748" s="30">
        <v>5</v>
      </c>
      <c r="F5748" s="30">
        <f>E5748*D5748</f>
        <v>5</v>
      </c>
      <c r="G5748" s="30" t="s">
        <v>16</v>
      </c>
      <c r="I5748" s="68" t="s">
        <v>1202</v>
      </c>
      <c r="J5748" s="30" t="s">
        <v>391</v>
      </c>
    </row>
    <row r="5749" spans="1:12" x14ac:dyDescent="0.25">
      <c r="A5749" s="78">
        <v>46259</v>
      </c>
      <c r="B5749" s="68">
        <v>2</v>
      </c>
      <c r="C5749" s="205" t="s">
        <v>117</v>
      </c>
      <c r="D5749" s="30">
        <v>1</v>
      </c>
      <c r="E5749" s="30">
        <v>10</v>
      </c>
      <c r="F5749" s="30">
        <f t="shared" ref="F5749:F5778" si="189">E5749*D5749</f>
        <v>10</v>
      </c>
      <c r="G5749" s="30" t="s">
        <v>9</v>
      </c>
      <c r="J5749" s="30" t="s">
        <v>391</v>
      </c>
    </row>
    <row r="5750" spans="1:12" ht="30" x14ac:dyDescent="0.25">
      <c r="A5750" s="78">
        <v>46259</v>
      </c>
      <c r="B5750" s="68">
        <v>3</v>
      </c>
      <c r="C5750" s="205" t="s">
        <v>1172</v>
      </c>
      <c r="D5750" s="30">
        <v>1</v>
      </c>
      <c r="E5750" s="30">
        <v>205</v>
      </c>
      <c r="F5750" s="30">
        <f t="shared" si="189"/>
        <v>205</v>
      </c>
      <c r="G5750" s="30" t="s">
        <v>9</v>
      </c>
      <c r="I5750" s="68" t="s">
        <v>1364</v>
      </c>
      <c r="J5750" s="30" t="s">
        <v>391</v>
      </c>
    </row>
    <row r="5751" spans="1:12" x14ac:dyDescent="0.25">
      <c r="A5751" s="78">
        <v>46259</v>
      </c>
      <c r="B5751" s="68">
        <v>4</v>
      </c>
      <c r="C5751" s="205" t="s">
        <v>1288</v>
      </c>
      <c r="D5751" s="30">
        <v>2</v>
      </c>
      <c r="E5751" s="30">
        <v>5</v>
      </c>
      <c r="F5751" s="30">
        <f t="shared" si="189"/>
        <v>10</v>
      </c>
      <c r="G5751" s="30" t="s">
        <v>9</v>
      </c>
      <c r="J5751" s="30" t="s">
        <v>391</v>
      </c>
    </row>
    <row r="5752" spans="1:12" x14ac:dyDescent="0.25">
      <c r="A5752" s="78">
        <v>46259</v>
      </c>
      <c r="B5752" s="68">
        <v>5</v>
      </c>
      <c r="C5752" s="205" t="s">
        <v>1078</v>
      </c>
      <c r="D5752" s="30">
        <v>1</v>
      </c>
      <c r="E5752" s="30">
        <v>20</v>
      </c>
      <c r="F5752" s="30">
        <f t="shared" si="189"/>
        <v>20</v>
      </c>
      <c r="G5752" s="30" t="s">
        <v>10</v>
      </c>
      <c r="J5752" s="30" t="s">
        <v>391</v>
      </c>
    </row>
    <row r="5753" spans="1:12" x14ac:dyDescent="0.25">
      <c r="A5753" s="78">
        <v>46259</v>
      </c>
      <c r="B5753" s="68">
        <v>6</v>
      </c>
      <c r="C5753" s="205" t="s">
        <v>723</v>
      </c>
      <c r="D5753" s="30">
        <v>0.1</v>
      </c>
      <c r="E5753" s="30">
        <v>300</v>
      </c>
      <c r="F5753" s="30">
        <f t="shared" si="189"/>
        <v>30</v>
      </c>
      <c r="G5753" s="30" t="s">
        <v>9</v>
      </c>
      <c r="J5753" s="30" t="s">
        <v>391</v>
      </c>
    </row>
    <row r="5754" spans="1:12" x14ac:dyDescent="0.25">
      <c r="A5754" s="78">
        <v>46259</v>
      </c>
      <c r="B5754" s="68">
        <v>7</v>
      </c>
      <c r="C5754" s="19" t="s">
        <v>1339</v>
      </c>
      <c r="D5754" s="30">
        <v>1</v>
      </c>
      <c r="E5754" s="30">
        <v>10</v>
      </c>
      <c r="F5754" s="30">
        <f t="shared" si="189"/>
        <v>10</v>
      </c>
      <c r="G5754" s="30" t="s">
        <v>9</v>
      </c>
      <c r="J5754" s="30" t="s">
        <v>391</v>
      </c>
    </row>
    <row r="5755" spans="1:12" x14ac:dyDescent="0.25">
      <c r="A5755" s="78">
        <v>46259</v>
      </c>
      <c r="B5755" s="68">
        <v>8</v>
      </c>
      <c r="C5755" s="205" t="s">
        <v>438</v>
      </c>
      <c r="D5755" s="30">
        <v>1</v>
      </c>
      <c r="E5755" s="30">
        <v>10</v>
      </c>
      <c r="F5755" s="30">
        <f t="shared" si="189"/>
        <v>10</v>
      </c>
      <c r="G5755" s="30" t="s">
        <v>10</v>
      </c>
      <c r="I5755" s="68" t="s">
        <v>1361</v>
      </c>
      <c r="J5755" s="30" t="s">
        <v>391</v>
      </c>
    </row>
    <row r="5756" spans="1:12" x14ac:dyDescent="0.25">
      <c r="A5756" s="78">
        <v>46259</v>
      </c>
      <c r="B5756" s="68">
        <v>9</v>
      </c>
      <c r="C5756" s="205" t="s">
        <v>646</v>
      </c>
      <c r="D5756" s="30">
        <v>5</v>
      </c>
      <c r="E5756" s="30">
        <v>4</v>
      </c>
      <c r="F5756" s="30">
        <f t="shared" si="189"/>
        <v>20</v>
      </c>
      <c r="G5756" s="30" t="s">
        <v>9</v>
      </c>
      <c r="J5756" s="30" t="s">
        <v>391</v>
      </c>
    </row>
    <row r="5757" spans="1:12" x14ac:dyDescent="0.25">
      <c r="A5757" s="78">
        <v>46259</v>
      </c>
      <c r="B5757" s="68">
        <v>10</v>
      </c>
      <c r="C5757" s="205" t="s">
        <v>877</v>
      </c>
      <c r="D5757" s="30">
        <v>1</v>
      </c>
      <c r="E5757" s="30">
        <v>10</v>
      </c>
      <c r="F5757" s="30">
        <f t="shared" si="189"/>
        <v>10</v>
      </c>
      <c r="G5757" s="30" t="s">
        <v>9</v>
      </c>
      <c r="J5757" s="30" t="s">
        <v>391</v>
      </c>
    </row>
    <row r="5758" spans="1:12" x14ac:dyDescent="0.25">
      <c r="A5758" s="78">
        <v>46259</v>
      </c>
      <c r="B5758" s="68">
        <v>11</v>
      </c>
      <c r="C5758" s="19" t="s">
        <v>1342</v>
      </c>
      <c r="D5758" s="30">
        <v>1</v>
      </c>
      <c r="E5758" s="30">
        <v>10</v>
      </c>
      <c r="F5758" s="30">
        <f t="shared" si="189"/>
        <v>10</v>
      </c>
      <c r="G5758" s="30" t="s">
        <v>16</v>
      </c>
      <c r="I5758" s="68" t="s">
        <v>1203</v>
      </c>
      <c r="J5758" s="30" t="s">
        <v>391</v>
      </c>
    </row>
    <row r="5759" spans="1:12" ht="30" x14ac:dyDescent="0.25">
      <c r="A5759" s="78">
        <v>46259</v>
      </c>
      <c r="B5759" s="68">
        <v>12</v>
      </c>
      <c r="C5759" s="205" t="s">
        <v>1173</v>
      </c>
      <c r="D5759" s="30">
        <v>1</v>
      </c>
      <c r="E5759" s="30">
        <v>158</v>
      </c>
      <c r="F5759" s="30">
        <f t="shared" si="189"/>
        <v>158</v>
      </c>
      <c r="G5759" s="30" t="s">
        <v>9</v>
      </c>
      <c r="J5759" s="30" t="s">
        <v>391</v>
      </c>
    </row>
    <row r="5760" spans="1:12" x14ac:dyDescent="0.25">
      <c r="A5760" s="78">
        <v>46259</v>
      </c>
      <c r="B5760" s="68">
        <v>13</v>
      </c>
      <c r="C5760" s="205" t="s">
        <v>549</v>
      </c>
      <c r="D5760" s="30">
        <v>2</v>
      </c>
      <c r="E5760" s="30">
        <v>25</v>
      </c>
      <c r="F5760" s="30">
        <f t="shared" si="189"/>
        <v>50</v>
      </c>
      <c r="G5760" s="30" t="s">
        <v>10</v>
      </c>
      <c r="J5760" s="30" t="s">
        <v>391</v>
      </c>
    </row>
    <row r="5761" spans="1:10" x14ac:dyDescent="0.25">
      <c r="A5761" s="78">
        <v>46259</v>
      </c>
      <c r="B5761" s="68">
        <v>14</v>
      </c>
      <c r="C5761" s="205" t="s">
        <v>702</v>
      </c>
      <c r="D5761" s="30">
        <v>1</v>
      </c>
      <c r="E5761" s="30">
        <v>10</v>
      </c>
      <c r="F5761" s="30">
        <f t="shared" si="189"/>
        <v>10</v>
      </c>
      <c r="G5761" s="30" t="s">
        <v>10</v>
      </c>
      <c r="J5761" s="30" t="s">
        <v>391</v>
      </c>
    </row>
    <row r="5762" spans="1:10" x14ac:dyDescent="0.25">
      <c r="A5762" s="78">
        <v>46259</v>
      </c>
      <c r="B5762" s="68">
        <v>14</v>
      </c>
      <c r="C5762" s="205" t="s">
        <v>785</v>
      </c>
      <c r="D5762" s="30">
        <v>10</v>
      </c>
      <c r="E5762" s="30">
        <v>1</v>
      </c>
      <c r="F5762" s="30">
        <f t="shared" si="189"/>
        <v>10</v>
      </c>
      <c r="G5762" s="30" t="s">
        <v>10</v>
      </c>
      <c r="J5762" s="30" t="s">
        <v>391</v>
      </c>
    </row>
    <row r="5763" spans="1:10" x14ac:dyDescent="0.25">
      <c r="A5763" s="78">
        <v>46259</v>
      </c>
      <c r="B5763" s="68">
        <v>15</v>
      </c>
      <c r="C5763" s="205" t="s">
        <v>1272</v>
      </c>
      <c r="D5763" s="30">
        <v>1</v>
      </c>
      <c r="E5763" s="30">
        <v>10</v>
      </c>
      <c r="F5763" s="30">
        <f t="shared" si="189"/>
        <v>10</v>
      </c>
      <c r="G5763" s="30" t="s">
        <v>9</v>
      </c>
      <c r="J5763" s="30" t="s">
        <v>391</v>
      </c>
    </row>
    <row r="5764" spans="1:10" x14ac:dyDescent="0.25">
      <c r="A5764" s="78">
        <v>46259</v>
      </c>
      <c r="B5764" s="68">
        <v>15</v>
      </c>
      <c r="C5764" s="205" t="s">
        <v>576</v>
      </c>
      <c r="D5764" s="30">
        <v>2</v>
      </c>
      <c r="E5764" s="30">
        <v>5</v>
      </c>
      <c r="F5764" s="30">
        <f t="shared" si="189"/>
        <v>10</v>
      </c>
      <c r="G5764" s="30" t="s">
        <v>9</v>
      </c>
      <c r="J5764" s="30" t="s">
        <v>391</v>
      </c>
    </row>
    <row r="5765" spans="1:10" x14ac:dyDescent="0.25">
      <c r="A5765" s="78">
        <v>46259</v>
      </c>
      <c r="B5765" s="68">
        <v>16</v>
      </c>
      <c r="C5765" s="205" t="s">
        <v>1279</v>
      </c>
      <c r="D5765" s="30">
        <v>1</v>
      </c>
      <c r="E5765" s="30">
        <v>20</v>
      </c>
      <c r="F5765" s="30">
        <f t="shared" si="189"/>
        <v>20</v>
      </c>
      <c r="G5765" s="30" t="s">
        <v>16</v>
      </c>
      <c r="I5765" s="68" t="s">
        <v>1203</v>
      </c>
      <c r="J5765" s="30" t="s">
        <v>391</v>
      </c>
    </row>
    <row r="5766" spans="1:10" x14ac:dyDescent="0.25">
      <c r="A5766" s="78">
        <v>46259</v>
      </c>
      <c r="B5766" s="68">
        <v>16</v>
      </c>
      <c r="C5766" s="205" t="s">
        <v>877</v>
      </c>
      <c r="D5766" s="30">
        <v>1</v>
      </c>
      <c r="E5766" s="30">
        <v>10</v>
      </c>
      <c r="F5766" s="30">
        <f t="shared" si="189"/>
        <v>10</v>
      </c>
      <c r="G5766" s="30" t="s">
        <v>16</v>
      </c>
      <c r="I5766" s="68" t="s">
        <v>1203</v>
      </c>
      <c r="J5766" s="30" t="s">
        <v>391</v>
      </c>
    </row>
    <row r="5767" spans="1:10" x14ac:dyDescent="0.25">
      <c r="A5767" s="78">
        <v>46259</v>
      </c>
      <c r="B5767" s="68">
        <v>17</v>
      </c>
      <c r="C5767" s="205" t="s">
        <v>1026</v>
      </c>
      <c r="D5767" s="30">
        <v>0.05</v>
      </c>
      <c r="E5767" s="30">
        <v>200</v>
      </c>
      <c r="F5767" s="30">
        <f t="shared" si="189"/>
        <v>10</v>
      </c>
      <c r="G5767" s="30" t="s">
        <v>9</v>
      </c>
      <c r="J5767" s="30" t="s">
        <v>391</v>
      </c>
    </row>
    <row r="5768" spans="1:10" x14ac:dyDescent="0.25">
      <c r="A5768" s="78">
        <v>46259</v>
      </c>
      <c r="B5768" s="68">
        <v>18</v>
      </c>
      <c r="C5768" s="205" t="s">
        <v>1252</v>
      </c>
      <c r="D5768" s="30">
        <v>2</v>
      </c>
      <c r="E5768" s="30">
        <v>5</v>
      </c>
      <c r="F5768" s="30">
        <f t="shared" si="189"/>
        <v>10</v>
      </c>
      <c r="G5768" s="30" t="s">
        <v>9</v>
      </c>
      <c r="J5768" s="30" t="s">
        <v>391</v>
      </c>
    </row>
    <row r="5769" spans="1:10" x14ac:dyDescent="0.25">
      <c r="A5769" s="78">
        <v>46259</v>
      </c>
      <c r="B5769" s="68">
        <v>18</v>
      </c>
      <c r="C5769" s="205" t="s">
        <v>348</v>
      </c>
      <c r="D5769" s="30">
        <v>5</v>
      </c>
      <c r="E5769" s="30">
        <v>1</v>
      </c>
      <c r="F5769" s="30">
        <f t="shared" si="189"/>
        <v>5</v>
      </c>
      <c r="G5769" s="30" t="s">
        <v>9</v>
      </c>
      <c r="J5769" s="30" t="s">
        <v>391</v>
      </c>
    </row>
    <row r="5770" spans="1:10" ht="30" x14ac:dyDescent="0.25">
      <c r="A5770" s="78">
        <v>46259</v>
      </c>
      <c r="B5770" s="68">
        <v>19</v>
      </c>
      <c r="C5770" s="19" t="s">
        <v>1338</v>
      </c>
      <c r="D5770" s="30">
        <v>4</v>
      </c>
      <c r="E5770" s="30">
        <v>5</v>
      </c>
      <c r="F5770" s="30">
        <f t="shared" si="189"/>
        <v>20</v>
      </c>
      <c r="G5770" s="30" t="s">
        <v>9</v>
      </c>
      <c r="J5770" s="30" t="s">
        <v>391</v>
      </c>
    </row>
    <row r="5771" spans="1:10" x14ac:dyDescent="0.25">
      <c r="A5771" s="78">
        <v>46259</v>
      </c>
      <c r="B5771" s="68">
        <v>20</v>
      </c>
      <c r="C5771" s="205" t="s">
        <v>1254</v>
      </c>
      <c r="D5771" s="30">
        <v>1</v>
      </c>
      <c r="E5771" s="30">
        <v>10</v>
      </c>
      <c r="F5771" s="30">
        <f t="shared" si="189"/>
        <v>10</v>
      </c>
      <c r="G5771" s="30" t="s">
        <v>9</v>
      </c>
      <c r="J5771" s="30" t="s">
        <v>391</v>
      </c>
    </row>
    <row r="5772" spans="1:10" x14ac:dyDescent="0.25">
      <c r="A5772" s="78">
        <v>46259</v>
      </c>
      <c r="B5772" s="68">
        <v>21</v>
      </c>
      <c r="C5772" s="205" t="s">
        <v>1234</v>
      </c>
      <c r="D5772" s="30">
        <v>1</v>
      </c>
      <c r="E5772" s="30">
        <v>70</v>
      </c>
      <c r="F5772" s="30">
        <f t="shared" si="189"/>
        <v>70</v>
      </c>
      <c r="G5772" s="30" t="s">
        <v>9</v>
      </c>
      <c r="I5772" s="68" t="s">
        <v>1362</v>
      </c>
      <c r="J5772" s="30" t="s">
        <v>391</v>
      </c>
    </row>
    <row r="5773" spans="1:10" x14ac:dyDescent="0.25">
      <c r="A5773" s="78">
        <v>46259</v>
      </c>
      <c r="B5773" s="68">
        <v>21</v>
      </c>
      <c r="C5773" s="19" t="s">
        <v>1343</v>
      </c>
      <c r="D5773" s="30">
        <v>1</v>
      </c>
      <c r="E5773" s="30">
        <v>10</v>
      </c>
      <c r="F5773" s="30">
        <f t="shared" si="189"/>
        <v>10</v>
      </c>
      <c r="G5773" s="30" t="s">
        <v>9</v>
      </c>
      <c r="J5773" s="30" t="s">
        <v>391</v>
      </c>
    </row>
    <row r="5774" spans="1:10" ht="30" x14ac:dyDescent="0.25">
      <c r="A5774" s="78">
        <v>46259</v>
      </c>
      <c r="B5774" s="68">
        <v>21</v>
      </c>
      <c r="C5774" s="205" t="s">
        <v>1066</v>
      </c>
      <c r="D5774" s="30">
        <v>1</v>
      </c>
      <c r="E5774" s="30">
        <v>40</v>
      </c>
      <c r="F5774" s="30">
        <f t="shared" si="189"/>
        <v>40</v>
      </c>
      <c r="G5774" s="30" t="s">
        <v>9</v>
      </c>
      <c r="J5774" s="30" t="s">
        <v>391</v>
      </c>
    </row>
    <row r="5775" spans="1:10" x14ac:dyDescent="0.25">
      <c r="A5775" s="78">
        <v>46259</v>
      </c>
      <c r="B5775" s="68">
        <v>21</v>
      </c>
      <c r="C5775" s="205" t="s">
        <v>888</v>
      </c>
      <c r="D5775" s="30">
        <v>1</v>
      </c>
      <c r="E5775" s="30">
        <v>35</v>
      </c>
      <c r="F5775" s="30">
        <f t="shared" si="189"/>
        <v>35</v>
      </c>
      <c r="G5775" s="30" t="s">
        <v>9</v>
      </c>
      <c r="J5775" s="30" t="s">
        <v>391</v>
      </c>
    </row>
    <row r="5776" spans="1:10" x14ac:dyDescent="0.25">
      <c r="A5776" s="78">
        <v>46259</v>
      </c>
      <c r="B5776" s="68">
        <v>21</v>
      </c>
      <c r="C5776" s="205" t="s">
        <v>863</v>
      </c>
      <c r="D5776" s="30">
        <v>1</v>
      </c>
      <c r="E5776" s="30">
        <v>40</v>
      </c>
      <c r="F5776" s="30">
        <f t="shared" si="189"/>
        <v>40</v>
      </c>
      <c r="G5776" s="30" t="s">
        <v>9</v>
      </c>
      <c r="J5776" s="30" t="s">
        <v>391</v>
      </c>
    </row>
    <row r="5777" spans="1:10" x14ac:dyDescent="0.25">
      <c r="A5777" s="78">
        <v>46259</v>
      </c>
      <c r="B5777" s="68">
        <v>22</v>
      </c>
      <c r="C5777" s="205" t="s">
        <v>1279</v>
      </c>
      <c r="D5777" s="30">
        <v>2</v>
      </c>
      <c r="E5777" s="30">
        <v>20</v>
      </c>
      <c r="F5777" s="30">
        <f t="shared" si="189"/>
        <v>40</v>
      </c>
      <c r="G5777" s="30" t="s">
        <v>16</v>
      </c>
      <c r="I5777" s="68" t="s">
        <v>1200</v>
      </c>
      <c r="J5777" s="30" t="s">
        <v>391</v>
      </c>
    </row>
    <row r="5778" spans="1:10" x14ac:dyDescent="0.25">
      <c r="A5778" s="78">
        <v>46259</v>
      </c>
      <c r="B5778" s="68">
        <v>22</v>
      </c>
      <c r="C5778" s="205" t="s">
        <v>1252</v>
      </c>
      <c r="D5778" s="30">
        <v>1</v>
      </c>
      <c r="E5778" s="30">
        <v>5</v>
      </c>
      <c r="F5778" s="30">
        <f t="shared" si="189"/>
        <v>5</v>
      </c>
      <c r="G5778" s="30" t="s">
        <v>16</v>
      </c>
      <c r="I5778" s="68" t="s">
        <v>1200</v>
      </c>
      <c r="J5778" s="30" t="s">
        <v>391</v>
      </c>
    </row>
    <row r="5779" spans="1:10" s="199" customFormat="1" ht="31.5" x14ac:dyDescent="0.25">
      <c r="A5779" s="196">
        <v>46259</v>
      </c>
      <c r="B5779" s="197" t="s">
        <v>1245</v>
      </c>
      <c r="C5779" s="198">
        <f>MAX(B5748:B5778)</f>
        <v>22</v>
      </c>
      <c r="D5779" s="197" t="s">
        <v>1246</v>
      </c>
      <c r="E5779" s="199">
        <f>SUMIF(G5748:G5778,"UPI",F5748:F5778)</f>
        <v>100</v>
      </c>
      <c r="H5779" s="200" t="s">
        <v>1247</v>
      </c>
      <c r="I5779" s="200">
        <f>SUMIF(G5748:G5778, "&lt;&gt;UPI",F5748:F5778)</f>
        <v>813</v>
      </c>
    </row>
    <row r="5780" spans="1:10" x14ac:dyDescent="0.25">
      <c r="A5780" s="78">
        <v>46259</v>
      </c>
      <c r="B5780" s="68">
        <v>23</v>
      </c>
      <c r="C5780" s="205" t="s">
        <v>536</v>
      </c>
      <c r="D5780" s="30">
        <v>1</v>
      </c>
      <c r="E5780" s="30">
        <v>2</v>
      </c>
      <c r="F5780" s="30">
        <f>E5780*D5780</f>
        <v>2</v>
      </c>
      <c r="G5780" s="30" t="s">
        <v>9</v>
      </c>
      <c r="J5780" s="30" t="s">
        <v>392</v>
      </c>
    </row>
    <row r="5781" spans="1:10" x14ac:dyDescent="0.25">
      <c r="A5781" s="78">
        <v>46259</v>
      </c>
      <c r="B5781" s="68">
        <v>24</v>
      </c>
      <c r="C5781" s="205" t="s">
        <v>915</v>
      </c>
      <c r="D5781" s="30">
        <v>1</v>
      </c>
      <c r="E5781" s="30">
        <v>10</v>
      </c>
      <c r="F5781" s="30">
        <f>E5781*D5781</f>
        <v>10</v>
      </c>
      <c r="G5781" s="30" t="s">
        <v>9</v>
      </c>
      <c r="J5781" s="30" t="s">
        <v>392</v>
      </c>
    </row>
    <row r="5782" spans="1:10" x14ac:dyDescent="0.25">
      <c r="A5782" s="78">
        <v>46259</v>
      </c>
      <c r="B5782" s="68">
        <v>25</v>
      </c>
      <c r="C5782" s="205" t="s">
        <v>769</v>
      </c>
      <c r="D5782" s="30">
        <v>1</v>
      </c>
      <c r="E5782" s="30">
        <v>20</v>
      </c>
      <c r="F5782" s="30">
        <f t="shared" ref="F5782:F5805" si="190">E5782*D5782</f>
        <v>20</v>
      </c>
      <c r="G5782" s="30" t="s">
        <v>9</v>
      </c>
      <c r="J5782" s="30" t="s">
        <v>392</v>
      </c>
    </row>
    <row r="5783" spans="1:10" x14ac:dyDescent="0.25">
      <c r="A5783" s="78">
        <v>46259</v>
      </c>
      <c r="B5783" s="68">
        <v>25</v>
      </c>
      <c r="C5783" s="205" t="s">
        <v>710</v>
      </c>
      <c r="D5783" s="30">
        <v>2</v>
      </c>
      <c r="E5783" s="30">
        <v>5</v>
      </c>
      <c r="F5783" s="30">
        <f t="shared" si="190"/>
        <v>10</v>
      </c>
      <c r="G5783" s="30" t="s">
        <v>9</v>
      </c>
      <c r="J5783" s="30" t="s">
        <v>392</v>
      </c>
    </row>
    <row r="5784" spans="1:10" x14ac:dyDescent="0.25">
      <c r="A5784" s="78">
        <v>46259</v>
      </c>
      <c r="B5784" s="68">
        <v>26</v>
      </c>
      <c r="C5784" s="205" t="s">
        <v>1181</v>
      </c>
      <c r="D5784" s="30">
        <v>0.09</v>
      </c>
      <c r="E5784" s="30">
        <v>110</v>
      </c>
      <c r="F5784" s="30">
        <f t="shared" si="190"/>
        <v>9.9</v>
      </c>
      <c r="G5784" s="30" t="s">
        <v>9</v>
      </c>
      <c r="J5784" s="30" t="s">
        <v>392</v>
      </c>
    </row>
    <row r="5785" spans="1:10" x14ac:dyDescent="0.25">
      <c r="A5785" s="78">
        <v>46259</v>
      </c>
      <c r="B5785" s="68">
        <v>27</v>
      </c>
      <c r="C5785" s="205" t="s">
        <v>957</v>
      </c>
      <c r="D5785" s="30">
        <v>1</v>
      </c>
      <c r="E5785" s="30">
        <v>10</v>
      </c>
      <c r="F5785" s="30">
        <f t="shared" si="190"/>
        <v>10</v>
      </c>
      <c r="G5785" s="30" t="s">
        <v>10</v>
      </c>
      <c r="J5785" s="30" t="s">
        <v>392</v>
      </c>
    </row>
    <row r="5786" spans="1:10" x14ac:dyDescent="0.25">
      <c r="A5786" s="78">
        <v>46259</v>
      </c>
      <c r="B5786" s="68">
        <v>27</v>
      </c>
      <c r="C5786" s="205" t="s">
        <v>916</v>
      </c>
      <c r="D5786" s="30">
        <v>1</v>
      </c>
      <c r="E5786" s="30">
        <v>10</v>
      </c>
      <c r="F5786" s="30">
        <f t="shared" si="190"/>
        <v>10</v>
      </c>
      <c r="G5786" s="30" t="s">
        <v>10</v>
      </c>
      <c r="J5786" s="30" t="s">
        <v>392</v>
      </c>
    </row>
    <row r="5787" spans="1:10" x14ac:dyDescent="0.25">
      <c r="A5787" s="78">
        <v>46259</v>
      </c>
      <c r="B5787" s="68">
        <v>26</v>
      </c>
      <c r="C5787" s="204" t="s">
        <v>814</v>
      </c>
      <c r="D5787" s="30">
        <v>0.34</v>
      </c>
      <c r="E5787" s="30">
        <v>60</v>
      </c>
      <c r="F5787" s="30">
        <f t="shared" si="190"/>
        <v>20.400000000000002</v>
      </c>
      <c r="G5787" s="30" t="s">
        <v>9</v>
      </c>
      <c r="J5787" s="30" t="s">
        <v>392</v>
      </c>
    </row>
    <row r="5788" spans="1:10" x14ac:dyDescent="0.25">
      <c r="A5788" s="78">
        <v>46259</v>
      </c>
      <c r="B5788" s="68">
        <v>26</v>
      </c>
      <c r="C5788" s="19" t="s">
        <v>1327</v>
      </c>
      <c r="D5788" s="30">
        <v>0.28599999999999998</v>
      </c>
      <c r="E5788" s="30">
        <v>70</v>
      </c>
      <c r="F5788" s="30">
        <f t="shared" si="190"/>
        <v>20.02</v>
      </c>
      <c r="G5788" s="30" t="s">
        <v>9</v>
      </c>
      <c r="J5788" s="30" t="s">
        <v>392</v>
      </c>
    </row>
    <row r="5789" spans="1:10" x14ac:dyDescent="0.25">
      <c r="A5789" s="78">
        <v>46259</v>
      </c>
      <c r="B5789" s="68">
        <v>28</v>
      </c>
      <c r="C5789" s="205" t="s">
        <v>1255</v>
      </c>
      <c r="D5789" s="30">
        <v>1</v>
      </c>
      <c r="E5789" s="30">
        <v>10</v>
      </c>
      <c r="F5789" s="30">
        <f t="shared" si="190"/>
        <v>10</v>
      </c>
      <c r="G5789" s="30" t="s">
        <v>10</v>
      </c>
      <c r="J5789" s="30" t="s">
        <v>392</v>
      </c>
    </row>
    <row r="5790" spans="1:10" ht="30" x14ac:dyDescent="0.25">
      <c r="A5790" s="78">
        <v>46259</v>
      </c>
      <c r="B5790" s="68">
        <v>28</v>
      </c>
      <c r="C5790" s="19" t="s">
        <v>1348</v>
      </c>
      <c r="D5790" s="30">
        <v>1</v>
      </c>
      <c r="E5790" s="30">
        <v>50</v>
      </c>
      <c r="F5790" s="30">
        <f t="shared" si="190"/>
        <v>50</v>
      </c>
      <c r="G5790" s="30" t="s">
        <v>10</v>
      </c>
      <c r="J5790" s="30" t="s">
        <v>392</v>
      </c>
    </row>
    <row r="5791" spans="1:10" x14ac:dyDescent="0.25">
      <c r="A5791" s="78">
        <v>46259</v>
      </c>
      <c r="B5791" s="68">
        <v>28</v>
      </c>
      <c r="C5791" s="205" t="s">
        <v>623</v>
      </c>
      <c r="D5791" s="30">
        <v>5</v>
      </c>
      <c r="E5791" s="30">
        <v>4</v>
      </c>
      <c r="F5791" s="30">
        <f t="shared" si="190"/>
        <v>20</v>
      </c>
      <c r="G5791" s="30" t="s">
        <v>10</v>
      </c>
      <c r="J5791" s="30" t="s">
        <v>392</v>
      </c>
    </row>
    <row r="5792" spans="1:10" x14ac:dyDescent="0.25">
      <c r="A5792" s="78">
        <v>46259</v>
      </c>
      <c r="B5792" s="68">
        <v>29</v>
      </c>
      <c r="C5792" s="205" t="s">
        <v>1150</v>
      </c>
      <c r="D5792" s="30">
        <v>0.16500000000000001</v>
      </c>
      <c r="E5792" s="30">
        <v>120</v>
      </c>
      <c r="F5792" s="30">
        <f t="shared" si="190"/>
        <v>19.8</v>
      </c>
      <c r="G5792" s="30" t="s">
        <v>9</v>
      </c>
      <c r="J5792" s="30" t="s">
        <v>392</v>
      </c>
    </row>
    <row r="5793" spans="1:12" x14ac:dyDescent="0.25">
      <c r="A5793" s="78">
        <v>46259</v>
      </c>
      <c r="B5793" s="68">
        <v>29</v>
      </c>
      <c r="C5793" s="205" t="s">
        <v>375</v>
      </c>
      <c r="D5793" s="30">
        <v>6</v>
      </c>
      <c r="E5793" s="30">
        <v>1</v>
      </c>
      <c r="F5793" s="30">
        <f t="shared" si="190"/>
        <v>6</v>
      </c>
      <c r="G5793" s="30" t="s">
        <v>9</v>
      </c>
      <c r="J5793" s="30" t="s">
        <v>392</v>
      </c>
    </row>
    <row r="5794" spans="1:12" x14ac:dyDescent="0.25">
      <c r="A5794" s="78">
        <v>46259</v>
      </c>
      <c r="B5794" s="68">
        <v>30</v>
      </c>
      <c r="C5794" s="205" t="s">
        <v>1261</v>
      </c>
      <c r="D5794" s="30">
        <v>1</v>
      </c>
      <c r="E5794" s="30">
        <v>10</v>
      </c>
      <c r="F5794" s="30">
        <f t="shared" si="190"/>
        <v>10</v>
      </c>
      <c r="G5794" s="30" t="s">
        <v>9</v>
      </c>
      <c r="J5794" s="30" t="s">
        <v>392</v>
      </c>
    </row>
    <row r="5795" spans="1:12" x14ac:dyDescent="0.25">
      <c r="A5795" s="78">
        <v>46259</v>
      </c>
      <c r="B5795" s="68">
        <v>31</v>
      </c>
      <c r="C5795" s="205" t="s">
        <v>1288</v>
      </c>
      <c r="D5795" s="30">
        <v>2</v>
      </c>
      <c r="E5795" s="30">
        <v>5</v>
      </c>
      <c r="F5795" s="30">
        <f t="shared" si="190"/>
        <v>10</v>
      </c>
      <c r="G5795" s="30" t="s">
        <v>9</v>
      </c>
      <c r="J5795" s="30" t="s">
        <v>392</v>
      </c>
    </row>
    <row r="5796" spans="1:12" x14ac:dyDescent="0.25">
      <c r="A5796" s="78">
        <v>46259</v>
      </c>
      <c r="B5796" s="68">
        <v>32</v>
      </c>
      <c r="C5796" s="205" t="s">
        <v>520</v>
      </c>
      <c r="D5796" s="30">
        <v>1</v>
      </c>
      <c r="E5796" s="30">
        <v>10</v>
      </c>
      <c r="F5796" s="30">
        <f t="shared" si="190"/>
        <v>10</v>
      </c>
      <c r="G5796" s="30" t="s">
        <v>9</v>
      </c>
      <c r="J5796" s="30" t="s">
        <v>392</v>
      </c>
    </row>
    <row r="5797" spans="1:12" x14ac:dyDescent="0.25">
      <c r="A5797" s="78">
        <v>46259</v>
      </c>
      <c r="B5797" s="68">
        <v>33</v>
      </c>
      <c r="C5797" s="205" t="s">
        <v>1255</v>
      </c>
      <c r="D5797" s="30">
        <v>1</v>
      </c>
      <c r="E5797" s="30">
        <v>10</v>
      </c>
      <c r="F5797" s="30">
        <f t="shared" si="190"/>
        <v>10</v>
      </c>
      <c r="G5797" s="30" t="s">
        <v>9</v>
      </c>
      <c r="J5797" s="30" t="s">
        <v>392</v>
      </c>
    </row>
    <row r="5798" spans="1:12" x14ac:dyDescent="0.25">
      <c r="A5798" s="78">
        <v>46259</v>
      </c>
      <c r="B5798" s="68">
        <v>33</v>
      </c>
      <c r="C5798" s="205" t="s">
        <v>1175</v>
      </c>
      <c r="D5798" s="30">
        <v>1</v>
      </c>
      <c r="E5798" s="30">
        <v>25</v>
      </c>
      <c r="F5798" s="30">
        <f t="shared" si="190"/>
        <v>25</v>
      </c>
      <c r="G5798" s="30" t="s">
        <v>16</v>
      </c>
      <c r="J5798" s="30" t="s">
        <v>392</v>
      </c>
    </row>
    <row r="5799" spans="1:12" x14ac:dyDescent="0.25">
      <c r="A5799" s="78">
        <v>46259</v>
      </c>
      <c r="B5799" s="68">
        <v>34</v>
      </c>
      <c r="C5799" s="205" t="s">
        <v>1252</v>
      </c>
      <c r="D5799" s="30">
        <v>3</v>
      </c>
      <c r="E5799" s="30">
        <v>5</v>
      </c>
      <c r="F5799" s="30">
        <f t="shared" si="190"/>
        <v>15</v>
      </c>
      <c r="G5799" s="30" t="s">
        <v>9</v>
      </c>
      <c r="J5799" s="30" t="s">
        <v>392</v>
      </c>
    </row>
    <row r="5800" spans="1:12" x14ac:dyDescent="0.25">
      <c r="A5800" s="78">
        <v>46259</v>
      </c>
      <c r="B5800" s="68">
        <v>34</v>
      </c>
      <c r="C5800" s="205" t="s">
        <v>1260</v>
      </c>
      <c r="D5800" s="30">
        <v>1</v>
      </c>
      <c r="E5800" s="30">
        <v>5</v>
      </c>
      <c r="F5800" s="30">
        <f t="shared" si="190"/>
        <v>5</v>
      </c>
      <c r="G5800" s="30" t="s">
        <v>9</v>
      </c>
      <c r="J5800" s="30" t="s">
        <v>392</v>
      </c>
    </row>
    <row r="5801" spans="1:12" x14ac:dyDescent="0.25">
      <c r="A5801" s="78">
        <v>46259</v>
      </c>
      <c r="B5801" s="68">
        <v>35</v>
      </c>
      <c r="C5801" s="19" t="s">
        <v>1339</v>
      </c>
      <c r="D5801" s="30">
        <v>2</v>
      </c>
      <c r="E5801" s="30">
        <v>10</v>
      </c>
      <c r="F5801" s="30">
        <f t="shared" si="190"/>
        <v>20</v>
      </c>
      <c r="G5801" s="30" t="s">
        <v>9</v>
      </c>
      <c r="J5801" s="30" t="s">
        <v>392</v>
      </c>
    </row>
    <row r="5802" spans="1:12" x14ac:dyDescent="0.25">
      <c r="A5802" s="78">
        <v>46259</v>
      </c>
      <c r="B5802" s="68">
        <v>36</v>
      </c>
      <c r="C5802" s="205" t="s">
        <v>967</v>
      </c>
      <c r="D5802" s="30">
        <v>1</v>
      </c>
      <c r="E5802" s="30">
        <v>120</v>
      </c>
      <c r="F5802" s="30">
        <f t="shared" si="190"/>
        <v>120</v>
      </c>
      <c r="G5802" s="30" t="s">
        <v>9</v>
      </c>
      <c r="J5802" s="30" t="s">
        <v>392</v>
      </c>
    </row>
    <row r="5803" spans="1:12" x14ac:dyDescent="0.25">
      <c r="A5803" s="78">
        <v>46259</v>
      </c>
      <c r="B5803" s="68">
        <v>37</v>
      </c>
      <c r="C5803" s="205" t="s">
        <v>1289</v>
      </c>
      <c r="D5803" s="30">
        <v>1</v>
      </c>
      <c r="E5803" s="30">
        <v>5</v>
      </c>
      <c r="F5803" s="30">
        <f t="shared" si="190"/>
        <v>5</v>
      </c>
      <c r="G5803" s="30" t="s">
        <v>9</v>
      </c>
      <c r="J5803" s="30" t="s">
        <v>392</v>
      </c>
    </row>
    <row r="5804" spans="1:12" x14ac:dyDescent="0.25">
      <c r="A5804" s="78">
        <v>46259</v>
      </c>
      <c r="B5804" s="68">
        <v>37</v>
      </c>
      <c r="C5804" s="205" t="s">
        <v>848</v>
      </c>
      <c r="D5804" s="30">
        <v>1</v>
      </c>
      <c r="E5804" s="30">
        <v>5</v>
      </c>
      <c r="F5804" s="30">
        <f t="shared" si="190"/>
        <v>5</v>
      </c>
      <c r="G5804" s="30" t="s">
        <v>9</v>
      </c>
      <c r="I5804" s="68" t="s">
        <v>1363</v>
      </c>
      <c r="J5804" s="30" t="s">
        <v>392</v>
      </c>
    </row>
    <row r="5805" spans="1:12" x14ac:dyDescent="0.25">
      <c r="A5805" s="78">
        <v>46259</v>
      </c>
      <c r="B5805" s="68">
        <v>38</v>
      </c>
      <c r="C5805" s="205" t="s">
        <v>1279</v>
      </c>
      <c r="D5805" s="30">
        <v>1</v>
      </c>
      <c r="E5805" s="30">
        <v>20</v>
      </c>
      <c r="F5805" s="30">
        <f t="shared" si="190"/>
        <v>20</v>
      </c>
      <c r="G5805" s="30" t="s">
        <v>10</v>
      </c>
      <c r="J5805" s="30" t="s">
        <v>392</v>
      </c>
    </row>
    <row r="5806" spans="1:12" s="199" customFormat="1" ht="31.5" x14ac:dyDescent="0.25">
      <c r="A5806" s="196">
        <v>46259</v>
      </c>
      <c r="B5806" s="197" t="s">
        <v>1248</v>
      </c>
      <c r="C5806" s="198">
        <f>MAX(B5780:B5805)</f>
        <v>38</v>
      </c>
      <c r="D5806" s="197" t="s">
        <v>1249</v>
      </c>
      <c r="E5806" s="199">
        <f>SUMIF(G5780:G5806,"UPI",F5780:F5806)</f>
        <v>120</v>
      </c>
      <c r="H5806" s="200" t="s">
        <v>1251</v>
      </c>
      <c r="I5806" s="200">
        <f>SUMIF(G5780:G5806, "&lt;&gt;UPI",F5780:F5806)</f>
        <v>353.12</v>
      </c>
    </row>
    <row r="5807" spans="1:12" s="5" customFormat="1" ht="15.75" x14ac:dyDescent="0.25">
      <c r="A5807" s="201">
        <v>46259</v>
      </c>
      <c r="B5807" s="2"/>
      <c r="C5807" s="14"/>
      <c r="H5807" s="2" t="s">
        <v>1250</v>
      </c>
      <c r="I5807" s="2">
        <f>SUMIF(G5748:G5806, "&lt;&gt;UPI",F5748:F5806)</f>
        <v>1166.1199999999999</v>
      </c>
    </row>
    <row r="5808" spans="1:12" s="202" customFormat="1" ht="18.75" x14ac:dyDescent="0.3">
      <c r="A5808" s="146">
        <v>46259</v>
      </c>
      <c r="B5808" s="147" t="s">
        <v>987</v>
      </c>
      <c r="C5808" s="148">
        <f>MAX(B5748:B5807)</f>
        <v>38</v>
      </c>
      <c r="D5808" s="147" t="s">
        <v>988</v>
      </c>
      <c r="E5808" s="202">
        <f>SUMIF(G5748:G5805,"UPI",F5748:F5805)</f>
        <v>220</v>
      </c>
      <c r="F5808" s="230" t="s">
        <v>437</v>
      </c>
      <c r="G5808" s="230"/>
      <c r="H5808" s="230"/>
      <c r="I5808" s="230">
        <f>SUM(F5748:F5807)</f>
        <v>1386.12</v>
      </c>
      <c r="J5808" s="230"/>
      <c r="K5808" s="230"/>
      <c r="L5808" s="230"/>
    </row>
    <row r="5809" spans="1:10" x14ac:dyDescent="0.25">
      <c r="A5809" s="78">
        <v>46260</v>
      </c>
      <c r="B5809" s="68">
        <v>1</v>
      </c>
      <c r="C5809" s="33" t="s">
        <v>1365</v>
      </c>
      <c r="D5809" s="30">
        <v>1</v>
      </c>
      <c r="E5809" s="30">
        <v>120</v>
      </c>
      <c r="F5809" s="30">
        <f>E5809*D5809</f>
        <v>120</v>
      </c>
      <c r="G5809" s="30" t="s">
        <v>16</v>
      </c>
      <c r="I5809" s="68" t="s">
        <v>1200</v>
      </c>
      <c r="J5809" s="30" t="s">
        <v>391</v>
      </c>
    </row>
    <row r="5810" spans="1:10" x14ac:dyDescent="0.25">
      <c r="A5810" s="78">
        <v>46260</v>
      </c>
      <c r="B5810" s="68">
        <v>2</v>
      </c>
      <c r="C5810" s="205" t="s">
        <v>1253</v>
      </c>
      <c r="D5810" s="30">
        <v>2</v>
      </c>
      <c r="E5810" s="30">
        <v>5</v>
      </c>
      <c r="F5810" s="30">
        <f t="shared" ref="F5810:F5863" si="191">E5810*D5810</f>
        <v>10</v>
      </c>
      <c r="G5810" s="30" t="s">
        <v>9</v>
      </c>
      <c r="J5810" s="30" t="s">
        <v>391</v>
      </c>
    </row>
    <row r="5811" spans="1:10" x14ac:dyDescent="0.25">
      <c r="A5811" s="78">
        <v>46260</v>
      </c>
      <c r="B5811" s="68">
        <v>2</v>
      </c>
      <c r="C5811" s="205" t="s">
        <v>1244</v>
      </c>
      <c r="D5811" s="30">
        <v>1</v>
      </c>
      <c r="E5811" s="30">
        <v>30</v>
      </c>
      <c r="F5811" s="30">
        <f t="shared" si="191"/>
        <v>30</v>
      </c>
      <c r="G5811" s="30" t="s">
        <v>9</v>
      </c>
      <c r="J5811" s="30" t="s">
        <v>391</v>
      </c>
    </row>
    <row r="5812" spans="1:10" x14ac:dyDescent="0.25">
      <c r="A5812" s="78">
        <v>46260</v>
      </c>
      <c r="B5812" s="68">
        <v>3</v>
      </c>
      <c r="C5812" s="205" t="s">
        <v>590</v>
      </c>
      <c r="D5812" s="30">
        <v>0.22500000000000001</v>
      </c>
      <c r="E5812" s="30">
        <v>44</v>
      </c>
      <c r="F5812" s="30">
        <f t="shared" si="191"/>
        <v>9.9</v>
      </c>
      <c r="G5812" s="30" t="s">
        <v>9</v>
      </c>
      <c r="J5812" s="30" t="s">
        <v>391</v>
      </c>
    </row>
    <row r="5813" spans="1:10" x14ac:dyDescent="0.25">
      <c r="A5813" s="78">
        <v>46260</v>
      </c>
      <c r="B5813" s="68">
        <v>3</v>
      </c>
      <c r="C5813" s="205" t="s">
        <v>916</v>
      </c>
      <c r="D5813" s="30">
        <v>1</v>
      </c>
      <c r="E5813" s="30">
        <v>10</v>
      </c>
      <c r="F5813" s="30">
        <f t="shared" si="191"/>
        <v>10</v>
      </c>
      <c r="G5813" s="30" t="s">
        <v>9</v>
      </c>
      <c r="J5813" s="30" t="s">
        <v>391</v>
      </c>
    </row>
    <row r="5814" spans="1:10" x14ac:dyDescent="0.25">
      <c r="A5814" s="78">
        <v>46260</v>
      </c>
      <c r="B5814" s="68">
        <v>4</v>
      </c>
      <c r="C5814" s="205" t="s">
        <v>94</v>
      </c>
      <c r="D5814" s="30">
        <v>1</v>
      </c>
      <c r="E5814" s="30">
        <v>19</v>
      </c>
      <c r="F5814" s="30">
        <f t="shared" si="191"/>
        <v>19</v>
      </c>
      <c r="G5814" s="30" t="s">
        <v>10</v>
      </c>
      <c r="J5814" s="30" t="s">
        <v>391</v>
      </c>
    </row>
    <row r="5815" spans="1:10" x14ac:dyDescent="0.25">
      <c r="A5815" s="78">
        <v>46260</v>
      </c>
      <c r="B5815" s="68">
        <v>5</v>
      </c>
      <c r="C5815" s="205" t="s">
        <v>1127</v>
      </c>
      <c r="D5815" s="30">
        <v>6</v>
      </c>
      <c r="E5815" s="30">
        <v>10</v>
      </c>
      <c r="F5815" s="30">
        <f t="shared" si="191"/>
        <v>60</v>
      </c>
      <c r="G5815" s="30" t="s">
        <v>9</v>
      </c>
      <c r="J5815" s="30" t="s">
        <v>391</v>
      </c>
    </row>
    <row r="5816" spans="1:10" ht="30" x14ac:dyDescent="0.25">
      <c r="A5816" s="78">
        <v>46260</v>
      </c>
      <c r="B5816" s="68">
        <v>5</v>
      </c>
      <c r="C5816" s="19" t="s">
        <v>1348</v>
      </c>
      <c r="D5816" s="30">
        <v>1</v>
      </c>
      <c r="E5816" s="30">
        <v>50</v>
      </c>
      <c r="F5816" s="30">
        <f t="shared" si="191"/>
        <v>50</v>
      </c>
      <c r="G5816" s="30" t="s">
        <v>16</v>
      </c>
      <c r="I5816" s="68" t="s">
        <v>1366</v>
      </c>
      <c r="J5816" s="30" t="s">
        <v>391</v>
      </c>
    </row>
    <row r="5817" spans="1:10" x14ac:dyDescent="0.25">
      <c r="A5817" s="78">
        <v>46260</v>
      </c>
      <c r="B5817" s="68">
        <v>5</v>
      </c>
      <c r="C5817" s="19" t="s">
        <v>1346</v>
      </c>
      <c r="D5817" s="30">
        <v>1</v>
      </c>
      <c r="E5817" s="30">
        <v>10</v>
      </c>
      <c r="F5817" s="30">
        <f t="shared" si="191"/>
        <v>10</v>
      </c>
      <c r="G5817" s="30" t="s">
        <v>9</v>
      </c>
      <c r="J5817" s="30" t="s">
        <v>391</v>
      </c>
    </row>
    <row r="5818" spans="1:10" x14ac:dyDescent="0.25">
      <c r="A5818" s="78">
        <v>46260</v>
      </c>
      <c r="B5818" s="68">
        <v>6</v>
      </c>
      <c r="C5818" s="205" t="s">
        <v>1231</v>
      </c>
      <c r="D5818" s="30">
        <v>0.4</v>
      </c>
      <c r="E5818" s="30">
        <v>25</v>
      </c>
      <c r="F5818" s="30">
        <f t="shared" si="191"/>
        <v>10</v>
      </c>
      <c r="G5818" s="30" t="s">
        <v>9</v>
      </c>
      <c r="J5818" s="30" t="s">
        <v>391</v>
      </c>
    </row>
    <row r="5819" spans="1:10" x14ac:dyDescent="0.25">
      <c r="A5819" s="78">
        <v>46260</v>
      </c>
      <c r="B5819" s="68">
        <v>6</v>
      </c>
      <c r="C5819" s="205" t="s">
        <v>1234</v>
      </c>
      <c r="D5819" s="30">
        <v>0.28599999999999998</v>
      </c>
      <c r="E5819" s="30">
        <v>70</v>
      </c>
      <c r="F5819" s="30">
        <f t="shared" si="191"/>
        <v>20.02</v>
      </c>
      <c r="G5819" s="30" t="s">
        <v>9</v>
      </c>
      <c r="J5819" s="30" t="s">
        <v>391</v>
      </c>
    </row>
    <row r="5820" spans="1:10" x14ac:dyDescent="0.25">
      <c r="A5820" s="78">
        <v>46260</v>
      </c>
      <c r="B5820" s="68">
        <v>6</v>
      </c>
      <c r="C5820" s="19" t="s">
        <v>1328</v>
      </c>
      <c r="D5820" s="30">
        <v>1</v>
      </c>
      <c r="E5820" s="30">
        <v>60</v>
      </c>
      <c r="F5820" s="30">
        <f t="shared" si="191"/>
        <v>60</v>
      </c>
      <c r="G5820" s="30" t="s">
        <v>9</v>
      </c>
      <c r="J5820" s="30" t="s">
        <v>391</v>
      </c>
    </row>
    <row r="5821" spans="1:10" x14ac:dyDescent="0.25">
      <c r="A5821" s="78">
        <v>46260</v>
      </c>
      <c r="B5821" s="68">
        <v>7</v>
      </c>
      <c r="C5821" s="205" t="s">
        <v>916</v>
      </c>
      <c r="D5821" s="30">
        <v>1</v>
      </c>
      <c r="E5821" s="30">
        <v>10</v>
      </c>
      <c r="F5821" s="30">
        <f t="shared" si="191"/>
        <v>10</v>
      </c>
      <c r="G5821" s="30" t="s">
        <v>9</v>
      </c>
      <c r="J5821" s="30" t="s">
        <v>391</v>
      </c>
    </row>
    <row r="5822" spans="1:10" x14ac:dyDescent="0.25">
      <c r="A5822" s="78">
        <v>46260</v>
      </c>
      <c r="B5822" s="68">
        <v>8</v>
      </c>
      <c r="C5822" s="19" t="s">
        <v>1340</v>
      </c>
      <c r="D5822" s="30">
        <v>1</v>
      </c>
      <c r="E5822" s="30">
        <v>10</v>
      </c>
      <c r="F5822" s="30">
        <f t="shared" si="191"/>
        <v>10</v>
      </c>
      <c r="G5822" s="30" t="s">
        <v>9</v>
      </c>
      <c r="J5822" s="30" t="s">
        <v>391</v>
      </c>
    </row>
    <row r="5823" spans="1:10" x14ac:dyDescent="0.25">
      <c r="A5823" s="78">
        <v>46260</v>
      </c>
      <c r="B5823" s="68">
        <v>8</v>
      </c>
      <c r="C5823" s="205" t="s">
        <v>939</v>
      </c>
      <c r="D5823" s="30">
        <v>1</v>
      </c>
      <c r="E5823" s="30">
        <v>30</v>
      </c>
      <c r="F5823" s="30">
        <f t="shared" si="191"/>
        <v>30</v>
      </c>
      <c r="G5823" s="30" t="s">
        <v>9</v>
      </c>
      <c r="J5823" s="30" t="s">
        <v>391</v>
      </c>
    </row>
    <row r="5824" spans="1:10" x14ac:dyDescent="0.25">
      <c r="A5824" s="78">
        <v>46260</v>
      </c>
      <c r="B5824" s="68">
        <v>8</v>
      </c>
      <c r="C5824" s="205" t="s">
        <v>151</v>
      </c>
      <c r="D5824" s="30">
        <v>1</v>
      </c>
      <c r="E5824" s="30">
        <v>10</v>
      </c>
      <c r="F5824" s="30">
        <f t="shared" si="191"/>
        <v>10</v>
      </c>
      <c r="G5824" s="30" t="s">
        <v>9</v>
      </c>
      <c r="J5824" s="30" t="s">
        <v>391</v>
      </c>
    </row>
    <row r="5825" spans="1:10" x14ac:dyDescent="0.25">
      <c r="A5825" s="78">
        <v>46260</v>
      </c>
      <c r="B5825" s="68">
        <v>9</v>
      </c>
      <c r="C5825" s="205" t="s">
        <v>971</v>
      </c>
      <c r="D5825" s="30">
        <v>1</v>
      </c>
      <c r="E5825" s="30">
        <v>10</v>
      </c>
      <c r="F5825" s="30">
        <f t="shared" si="191"/>
        <v>10</v>
      </c>
      <c r="G5825" s="30" t="s">
        <v>9</v>
      </c>
      <c r="J5825" s="30" t="s">
        <v>391</v>
      </c>
    </row>
    <row r="5826" spans="1:10" x14ac:dyDescent="0.25">
      <c r="A5826" s="78">
        <v>46260</v>
      </c>
      <c r="B5826" s="68">
        <v>9</v>
      </c>
      <c r="C5826" s="205" t="s">
        <v>956</v>
      </c>
      <c r="D5826" s="30">
        <v>1</v>
      </c>
      <c r="E5826" s="30">
        <v>10</v>
      </c>
      <c r="F5826" s="30">
        <f t="shared" si="191"/>
        <v>10</v>
      </c>
      <c r="G5826" s="30" t="s">
        <v>9</v>
      </c>
      <c r="J5826" s="30" t="s">
        <v>391</v>
      </c>
    </row>
    <row r="5827" spans="1:10" x14ac:dyDescent="0.25">
      <c r="A5827" s="78">
        <v>46260</v>
      </c>
      <c r="B5827" s="68">
        <v>10</v>
      </c>
      <c r="C5827" s="19" t="s">
        <v>1330</v>
      </c>
      <c r="D5827" s="30">
        <v>1</v>
      </c>
      <c r="E5827" s="30">
        <v>30</v>
      </c>
      <c r="F5827" s="30">
        <f t="shared" si="191"/>
        <v>30</v>
      </c>
      <c r="G5827" s="30" t="s">
        <v>16</v>
      </c>
      <c r="I5827" s="68" t="s">
        <v>1203</v>
      </c>
      <c r="J5827" s="30" t="s">
        <v>391</v>
      </c>
    </row>
    <row r="5828" spans="1:10" x14ac:dyDescent="0.25">
      <c r="A5828" s="78">
        <v>46260</v>
      </c>
      <c r="B5828" s="68">
        <v>11</v>
      </c>
      <c r="C5828" s="19" t="s">
        <v>1326</v>
      </c>
      <c r="D5828" s="30">
        <v>3</v>
      </c>
      <c r="E5828" s="30">
        <v>10</v>
      </c>
      <c r="F5828" s="30">
        <f t="shared" si="191"/>
        <v>30</v>
      </c>
      <c r="G5828" s="30" t="s">
        <v>9</v>
      </c>
      <c r="J5828" s="30" t="s">
        <v>391</v>
      </c>
    </row>
    <row r="5829" spans="1:10" x14ac:dyDescent="0.25">
      <c r="A5829" s="78">
        <v>46260</v>
      </c>
      <c r="B5829" s="68">
        <v>12</v>
      </c>
      <c r="C5829" s="19" t="s">
        <v>1326</v>
      </c>
      <c r="D5829" s="30">
        <v>2</v>
      </c>
      <c r="E5829" s="30">
        <v>10</v>
      </c>
      <c r="F5829" s="30">
        <f t="shared" si="191"/>
        <v>20</v>
      </c>
      <c r="G5829" s="30" t="s">
        <v>9</v>
      </c>
      <c r="J5829" s="30" t="s">
        <v>391</v>
      </c>
    </row>
    <row r="5830" spans="1:10" x14ac:dyDescent="0.25">
      <c r="A5830" s="78">
        <v>46260</v>
      </c>
      <c r="B5830" s="68">
        <v>13</v>
      </c>
      <c r="C5830" s="205" t="s">
        <v>539</v>
      </c>
      <c r="D5830" s="30">
        <v>1</v>
      </c>
      <c r="E5830" s="30">
        <v>20</v>
      </c>
      <c r="F5830" s="30">
        <f t="shared" si="191"/>
        <v>20</v>
      </c>
      <c r="G5830" s="30" t="s">
        <v>9</v>
      </c>
      <c r="J5830" s="30" t="s">
        <v>391</v>
      </c>
    </row>
    <row r="5831" spans="1:10" x14ac:dyDescent="0.25">
      <c r="A5831" s="78">
        <v>46260</v>
      </c>
      <c r="B5831" s="68">
        <v>14</v>
      </c>
      <c r="C5831" s="205" t="s">
        <v>1120</v>
      </c>
      <c r="D5831" s="30">
        <v>1</v>
      </c>
      <c r="E5831" s="30">
        <v>60</v>
      </c>
      <c r="F5831" s="30">
        <f t="shared" si="191"/>
        <v>60</v>
      </c>
      <c r="G5831" s="30" t="s">
        <v>9</v>
      </c>
      <c r="J5831" s="30" t="s">
        <v>391</v>
      </c>
    </row>
    <row r="5832" spans="1:10" x14ac:dyDescent="0.25">
      <c r="A5832" s="78">
        <v>46260</v>
      </c>
      <c r="B5832" s="68">
        <v>14</v>
      </c>
      <c r="C5832" s="205" t="s">
        <v>1260</v>
      </c>
      <c r="D5832" s="30">
        <v>2</v>
      </c>
      <c r="E5832" s="30">
        <v>5</v>
      </c>
      <c r="F5832" s="30">
        <f t="shared" si="191"/>
        <v>10</v>
      </c>
      <c r="G5832" s="30" t="s">
        <v>9</v>
      </c>
      <c r="J5832" s="30" t="s">
        <v>391</v>
      </c>
    </row>
    <row r="5833" spans="1:10" x14ac:dyDescent="0.25">
      <c r="A5833" s="78">
        <v>46260</v>
      </c>
      <c r="B5833" s="68">
        <v>15</v>
      </c>
      <c r="C5833" s="205" t="s">
        <v>971</v>
      </c>
      <c r="D5833" s="30">
        <v>1</v>
      </c>
      <c r="E5833" s="30">
        <v>10</v>
      </c>
      <c r="F5833" s="30">
        <f t="shared" si="191"/>
        <v>10</v>
      </c>
      <c r="G5833" s="30" t="s">
        <v>9</v>
      </c>
      <c r="J5833" s="30" t="s">
        <v>391</v>
      </c>
    </row>
    <row r="5834" spans="1:10" x14ac:dyDescent="0.25">
      <c r="A5834" s="78">
        <v>46260</v>
      </c>
      <c r="B5834" s="68">
        <v>16</v>
      </c>
      <c r="C5834" s="205" t="s">
        <v>960</v>
      </c>
      <c r="D5834" s="30">
        <v>2</v>
      </c>
      <c r="E5834" s="30">
        <v>5</v>
      </c>
      <c r="F5834" s="30">
        <f t="shared" si="191"/>
        <v>10</v>
      </c>
      <c r="G5834" s="30" t="s">
        <v>9</v>
      </c>
      <c r="J5834" s="30" t="s">
        <v>391</v>
      </c>
    </row>
    <row r="5835" spans="1:10" x14ac:dyDescent="0.25">
      <c r="A5835" s="78">
        <v>46260</v>
      </c>
      <c r="B5835" s="68">
        <v>16</v>
      </c>
      <c r="C5835" s="205" t="s">
        <v>1253</v>
      </c>
      <c r="D5835" s="30">
        <v>2</v>
      </c>
      <c r="E5835" s="30">
        <v>5</v>
      </c>
      <c r="F5835" s="30">
        <f t="shared" si="191"/>
        <v>10</v>
      </c>
      <c r="G5835" s="30" t="s">
        <v>9</v>
      </c>
      <c r="J5835" s="30" t="s">
        <v>391</v>
      </c>
    </row>
    <row r="5836" spans="1:10" x14ac:dyDescent="0.25">
      <c r="A5836" s="78">
        <v>46260</v>
      </c>
      <c r="B5836" s="68">
        <v>10</v>
      </c>
      <c r="C5836" s="205" t="s">
        <v>1260</v>
      </c>
      <c r="D5836" s="30">
        <v>2</v>
      </c>
      <c r="E5836" s="30">
        <v>5</v>
      </c>
      <c r="F5836" s="30">
        <f t="shared" si="191"/>
        <v>10</v>
      </c>
      <c r="G5836" s="30" t="s">
        <v>16</v>
      </c>
      <c r="I5836" s="68" t="s">
        <v>1203</v>
      </c>
      <c r="J5836" s="30" t="s">
        <v>391</v>
      </c>
    </row>
    <row r="5837" spans="1:10" x14ac:dyDescent="0.25">
      <c r="A5837" s="78">
        <v>46260</v>
      </c>
      <c r="B5837" s="68">
        <v>17</v>
      </c>
      <c r="C5837" s="205" t="s">
        <v>590</v>
      </c>
      <c r="D5837" s="30">
        <v>0.55000000000000004</v>
      </c>
      <c r="E5837" s="30">
        <v>44</v>
      </c>
      <c r="F5837" s="30">
        <f t="shared" si="191"/>
        <v>24.200000000000003</v>
      </c>
      <c r="G5837" s="30" t="s">
        <v>9</v>
      </c>
      <c r="J5837" s="30" t="s">
        <v>391</v>
      </c>
    </row>
    <row r="5838" spans="1:10" ht="30" x14ac:dyDescent="0.25">
      <c r="A5838" s="78">
        <v>46260</v>
      </c>
      <c r="B5838" s="68">
        <v>17</v>
      </c>
      <c r="C5838" s="205" t="s">
        <v>63</v>
      </c>
      <c r="D5838" s="30">
        <v>1</v>
      </c>
      <c r="E5838" s="30">
        <v>4</v>
      </c>
      <c r="F5838" s="30">
        <f t="shared" si="191"/>
        <v>4</v>
      </c>
      <c r="G5838" s="30" t="s">
        <v>9</v>
      </c>
      <c r="J5838" s="30" t="s">
        <v>391</v>
      </c>
    </row>
    <row r="5839" spans="1:10" x14ac:dyDescent="0.25">
      <c r="A5839" s="78">
        <v>46260</v>
      </c>
      <c r="B5839" s="68">
        <v>18</v>
      </c>
      <c r="C5839" s="205" t="s">
        <v>1279</v>
      </c>
      <c r="D5839" s="30">
        <v>1</v>
      </c>
      <c r="E5839" s="30">
        <v>20</v>
      </c>
      <c r="F5839" s="30">
        <f t="shared" si="191"/>
        <v>20</v>
      </c>
      <c r="G5839" s="30" t="s">
        <v>9</v>
      </c>
      <c r="J5839" s="30" t="s">
        <v>391</v>
      </c>
    </row>
    <row r="5840" spans="1:10" x14ac:dyDescent="0.25">
      <c r="A5840" s="78">
        <v>46260</v>
      </c>
      <c r="B5840" s="68">
        <v>19</v>
      </c>
      <c r="C5840" s="205" t="s">
        <v>590</v>
      </c>
      <c r="D5840" s="30">
        <v>0.22500000000000001</v>
      </c>
      <c r="E5840" s="30">
        <v>44</v>
      </c>
      <c r="F5840" s="30">
        <f t="shared" si="191"/>
        <v>9.9</v>
      </c>
      <c r="G5840" s="30" t="s">
        <v>9</v>
      </c>
      <c r="J5840" s="30" t="s">
        <v>391</v>
      </c>
    </row>
    <row r="5841" spans="1:10" x14ac:dyDescent="0.25">
      <c r="A5841" s="78">
        <v>46260</v>
      </c>
      <c r="B5841" s="68">
        <v>20</v>
      </c>
      <c r="C5841" s="205" t="s">
        <v>769</v>
      </c>
      <c r="D5841" s="30">
        <v>1</v>
      </c>
      <c r="E5841" s="30">
        <v>20</v>
      </c>
      <c r="F5841" s="30">
        <f t="shared" si="191"/>
        <v>20</v>
      </c>
      <c r="G5841" s="30" t="s">
        <v>9</v>
      </c>
      <c r="J5841" s="30" t="s">
        <v>391</v>
      </c>
    </row>
    <row r="5842" spans="1:10" x14ac:dyDescent="0.25">
      <c r="A5842" s="78">
        <v>46260</v>
      </c>
      <c r="B5842" s="68">
        <v>21</v>
      </c>
      <c r="C5842" s="205" t="s">
        <v>1234</v>
      </c>
      <c r="D5842" s="30">
        <v>0.214</v>
      </c>
      <c r="E5842" s="30">
        <v>70</v>
      </c>
      <c r="F5842" s="30">
        <f t="shared" si="191"/>
        <v>14.98</v>
      </c>
      <c r="G5842" s="30" t="s">
        <v>9</v>
      </c>
      <c r="J5842" s="30" t="s">
        <v>391</v>
      </c>
    </row>
    <row r="5843" spans="1:10" x14ac:dyDescent="0.25">
      <c r="A5843" s="78">
        <v>46260</v>
      </c>
      <c r="B5843" s="68">
        <v>21</v>
      </c>
      <c r="C5843" s="204" t="s">
        <v>1059</v>
      </c>
      <c r="D5843" s="30">
        <v>1</v>
      </c>
      <c r="E5843" s="30">
        <v>10</v>
      </c>
      <c r="F5843" s="30">
        <f t="shared" si="191"/>
        <v>10</v>
      </c>
      <c r="G5843" s="30" t="s">
        <v>9</v>
      </c>
      <c r="J5843" s="30" t="s">
        <v>391</v>
      </c>
    </row>
    <row r="5844" spans="1:10" x14ac:dyDescent="0.25">
      <c r="A5844" s="78">
        <v>46260</v>
      </c>
      <c r="B5844" s="68">
        <v>22</v>
      </c>
      <c r="C5844" s="19" t="s">
        <v>1326</v>
      </c>
      <c r="D5844" s="30">
        <v>2</v>
      </c>
      <c r="E5844" s="30">
        <v>10</v>
      </c>
      <c r="F5844" s="30">
        <f t="shared" si="191"/>
        <v>20</v>
      </c>
      <c r="G5844" s="30" t="s">
        <v>9</v>
      </c>
      <c r="J5844" s="30" t="s">
        <v>391</v>
      </c>
    </row>
    <row r="5845" spans="1:10" x14ac:dyDescent="0.25">
      <c r="A5845" s="78">
        <v>46260</v>
      </c>
      <c r="B5845" s="68">
        <v>23</v>
      </c>
      <c r="C5845" s="205" t="s">
        <v>569</v>
      </c>
      <c r="D5845" s="30">
        <v>2</v>
      </c>
      <c r="E5845" s="30">
        <v>10</v>
      </c>
      <c r="F5845" s="30">
        <f t="shared" si="191"/>
        <v>20</v>
      </c>
      <c r="G5845" s="30" t="s">
        <v>9</v>
      </c>
      <c r="J5845" s="30" t="s">
        <v>391</v>
      </c>
    </row>
    <row r="5846" spans="1:10" x14ac:dyDescent="0.25">
      <c r="A5846" s="78">
        <v>46260</v>
      </c>
      <c r="B5846" s="68">
        <v>24</v>
      </c>
      <c r="C5846" s="19" t="s">
        <v>1326</v>
      </c>
      <c r="D5846" s="30">
        <v>10</v>
      </c>
      <c r="E5846" s="30">
        <v>8.5</v>
      </c>
      <c r="F5846" s="30">
        <f t="shared" si="191"/>
        <v>85</v>
      </c>
      <c r="G5846" s="30" t="s">
        <v>9</v>
      </c>
      <c r="I5846" s="68" t="s">
        <v>1363</v>
      </c>
      <c r="J5846" s="30" t="s">
        <v>391</v>
      </c>
    </row>
    <row r="5847" spans="1:10" x14ac:dyDescent="0.25">
      <c r="A5847" s="78">
        <v>46260</v>
      </c>
      <c r="B5847" s="68">
        <v>25</v>
      </c>
      <c r="C5847" s="205" t="s">
        <v>1254</v>
      </c>
      <c r="D5847" s="30">
        <v>2</v>
      </c>
      <c r="E5847" s="30">
        <v>10</v>
      </c>
      <c r="F5847" s="30">
        <f t="shared" si="191"/>
        <v>20</v>
      </c>
      <c r="G5847" s="30" t="s">
        <v>9</v>
      </c>
      <c r="J5847" s="30" t="s">
        <v>391</v>
      </c>
    </row>
    <row r="5848" spans="1:10" x14ac:dyDescent="0.25">
      <c r="A5848" s="78">
        <v>46260</v>
      </c>
      <c r="B5848" s="68">
        <v>25</v>
      </c>
      <c r="C5848" s="205" t="s">
        <v>582</v>
      </c>
      <c r="D5848" s="30">
        <v>1</v>
      </c>
      <c r="E5848" s="30">
        <v>10</v>
      </c>
      <c r="F5848" s="30">
        <f t="shared" si="191"/>
        <v>10</v>
      </c>
      <c r="G5848" s="30" t="s">
        <v>9</v>
      </c>
      <c r="J5848" s="30" t="s">
        <v>391</v>
      </c>
    </row>
    <row r="5849" spans="1:10" x14ac:dyDescent="0.25">
      <c r="A5849" s="78">
        <v>46260</v>
      </c>
      <c r="B5849" s="68">
        <v>26</v>
      </c>
      <c r="C5849" s="205" t="s">
        <v>1272</v>
      </c>
      <c r="D5849" s="30">
        <v>2</v>
      </c>
      <c r="E5849" s="30">
        <v>10</v>
      </c>
      <c r="F5849" s="30">
        <f t="shared" si="191"/>
        <v>20</v>
      </c>
      <c r="G5849" s="30" t="s">
        <v>9</v>
      </c>
      <c r="J5849" s="30" t="s">
        <v>391</v>
      </c>
    </row>
    <row r="5850" spans="1:10" x14ac:dyDescent="0.25">
      <c r="A5850" s="78">
        <v>46260</v>
      </c>
      <c r="B5850" s="68">
        <v>27</v>
      </c>
      <c r="C5850" s="19" t="s">
        <v>1326</v>
      </c>
      <c r="D5850" s="30">
        <v>4</v>
      </c>
      <c r="E5850" s="30">
        <v>10</v>
      </c>
      <c r="F5850" s="30">
        <f t="shared" si="191"/>
        <v>40</v>
      </c>
      <c r="G5850" s="30" t="s">
        <v>10</v>
      </c>
      <c r="J5850" s="30" t="s">
        <v>391</v>
      </c>
    </row>
    <row r="5851" spans="1:10" x14ac:dyDescent="0.25">
      <c r="A5851" s="78">
        <v>46260</v>
      </c>
      <c r="B5851" s="68">
        <v>27</v>
      </c>
      <c r="C5851" s="205" t="s">
        <v>527</v>
      </c>
      <c r="D5851" s="30">
        <v>1</v>
      </c>
      <c r="E5851" s="30">
        <v>58</v>
      </c>
      <c r="F5851" s="30">
        <f t="shared" si="191"/>
        <v>58</v>
      </c>
      <c r="G5851" s="30" t="s">
        <v>10</v>
      </c>
      <c r="J5851" s="30" t="s">
        <v>391</v>
      </c>
    </row>
    <row r="5852" spans="1:10" x14ac:dyDescent="0.25">
      <c r="A5852" s="78">
        <v>46260</v>
      </c>
      <c r="B5852" s="68">
        <v>27</v>
      </c>
      <c r="C5852" s="205" t="s">
        <v>1279</v>
      </c>
      <c r="D5852" s="30">
        <v>1</v>
      </c>
      <c r="E5852" s="30">
        <v>20</v>
      </c>
      <c r="F5852" s="30">
        <f t="shared" si="191"/>
        <v>20</v>
      </c>
      <c r="G5852" s="30" t="s">
        <v>10</v>
      </c>
      <c r="J5852" s="30" t="s">
        <v>391</v>
      </c>
    </row>
    <row r="5853" spans="1:10" x14ac:dyDescent="0.25">
      <c r="A5853" s="78">
        <v>46260</v>
      </c>
      <c r="B5853" s="68">
        <v>27</v>
      </c>
      <c r="C5853" s="205" t="s">
        <v>1090</v>
      </c>
      <c r="D5853" s="30">
        <v>1</v>
      </c>
      <c r="E5853" s="30">
        <v>10</v>
      </c>
      <c r="F5853" s="30">
        <f t="shared" si="191"/>
        <v>10</v>
      </c>
      <c r="G5853" s="30" t="s">
        <v>9</v>
      </c>
      <c r="J5853" s="30" t="s">
        <v>391</v>
      </c>
    </row>
    <row r="5854" spans="1:10" x14ac:dyDescent="0.25">
      <c r="A5854" s="78">
        <v>46260</v>
      </c>
      <c r="B5854" s="68">
        <v>1</v>
      </c>
      <c r="C5854" s="205" t="s">
        <v>1171</v>
      </c>
      <c r="D5854" s="30">
        <v>1</v>
      </c>
      <c r="E5854" s="30">
        <v>60</v>
      </c>
      <c r="F5854" s="30">
        <f t="shared" si="191"/>
        <v>60</v>
      </c>
      <c r="G5854" s="30" t="s">
        <v>16</v>
      </c>
      <c r="I5854" s="68" t="s">
        <v>1200</v>
      </c>
      <c r="J5854" s="30" t="s">
        <v>391</v>
      </c>
    </row>
    <row r="5855" spans="1:10" x14ac:dyDescent="0.25">
      <c r="A5855" s="78">
        <v>46260</v>
      </c>
      <c r="B5855" s="68">
        <v>28</v>
      </c>
      <c r="C5855" s="205" t="s">
        <v>1255</v>
      </c>
      <c r="D5855" s="30">
        <v>1</v>
      </c>
      <c r="E5855" s="30">
        <v>10</v>
      </c>
      <c r="F5855" s="30">
        <f t="shared" si="191"/>
        <v>10</v>
      </c>
      <c r="G5855" s="30" t="s">
        <v>9</v>
      </c>
      <c r="J5855" s="30" t="s">
        <v>391</v>
      </c>
    </row>
    <row r="5856" spans="1:10" x14ac:dyDescent="0.25">
      <c r="A5856" s="78">
        <v>46260</v>
      </c>
      <c r="B5856" s="68">
        <v>28</v>
      </c>
      <c r="C5856" s="205" t="s">
        <v>753</v>
      </c>
      <c r="D5856" s="30">
        <v>1</v>
      </c>
      <c r="E5856" s="30">
        <v>10</v>
      </c>
      <c r="F5856" s="30">
        <f t="shared" si="191"/>
        <v>10</v>
      </c>
      <c r="G5856" s="30" t="s">
        <v>9</v>
      </c>
      <c r="J5856" s="30" t="s">
        <v>391</v>
      </c>
    </row>
    <row r="5857" spans="1:10" x14ac:dyDescent="0.25">
      <c r="A5857" s="78">
        <v>46260</v>
      </c>
      <c r="B5857" s="68">
        <v>29</v>
      </c>
      <c r="C5857" s="205" t="s">
        <v>1258</v>
      </c>
      <c r="D5857" s="30">
        <v>1</v>
      </c>
      <c r="E5857" s="30">
        <v>10</v>
      </c>
      <c r="F5857" s="30">
        <f t="shared" si="191"/>
        <v>10</v>
      </c>
      <c r="G5857" s="30" t="s">
        <v>9</v>
      </c>
      <c r="J5857" s="30" t="s">
        <v>391</v>
      </c>
    </row>
    <row r="5858" spans="1:10" x14ac:dyDescent="0.25">
      <c r="A5858" s="78">
        <v>46260</v>
      </c>
      <c r="B5858" s="68">
        <v>30</v>
      </c>
      <c r="C5858" s="19" t="s">
        <v>1326</v>
      </c>
      <c r="D5858" s="30">
        <v>1</v>
      </c>
      <c r="E5858" s="30">
        <v>10</v>
      </c>
      <c r="F5858" s="30">
        <f t="shared" si="191"/>
        <v>10</v>
      </c>
      <c r="G5858" s="30" t="s">
        <v>9</v>
      </c>
      <c r="J5858" s="30" t="s">
        <v>391</v>
      </c>
    </row>
    <row r="5859" spans="1:10" x14ac:dyDescent="0.25">
      <c r="A5859" s="78">
        <v>46260</v>
      </c>
      <c r="B5859" s="68">
        <v>30</v>
      </c>
      <c r="C5859" s="205" t="s">
        <v>1258</v>
      </c>
      <c r="D5859" s="30">
        <v>1</v>
      </c>
      <c r="E5859" s="30">
        <v>10</v>
      </c>
      <c r="F5859" s="30">
        <f t="shared" si="191"/>
        <v>10</v>
      </c>
      <c r="G5859" s="30" t="s">
        <v>9</v>
      </c>
      <c r="J5859" s="30" t="s">
        <v>391</v>
      </c>
    </row>
    <row r="5860" spans="1:10" x14ac:dyDescent="0.25">
      <c r="A5860" s="78">
        <v>46260</v>
      </c>
      <c r="B5860" s="68">
        <v>31</v>
      </c>
      <c r="C5860" s="205" t="s">
        <v>1253</v>
      </c>
      <c r="D5860" s="30">
        <v>1</v>
      </c>
      <c r="E5860" s="30">
        <v>5</v>
      </c>
      <c r="F5860" s="30">
        <f t="shared" si="191"/>
        <v>5</v>
      </c>
      <c r="G5860" s="30" t="s">
        <v>9</v>
      </c>
      <c r="J5860" s="30" t="s">
        <v>391</v>
      </c>
    </row>
    <row r="5861" spans="1:10" x14ac:dyDescent="0.25">
      <c r="A5861" s="78">
        <v>46260</v>
      </c>
      <c r="B5861" s="68">
        <v>31</v>
      </c>
      <c r="C5861" s="205" t="s">
        <v>1252</v>
      </c>
      <c r="D5861" s="30">
        <v>2</v>
      </c>
      <c r="E5861" s="30">
        <v>5</v>
      </c>
      <c r="F5861" s="30">
        <f t="shared" si="191"/>
        <v>10</v>
      </c>
      <c r="G5861" s="30" t="s">
        <v>9</v>
      </c>
      <c r="J5861" s="30" t="s">
        <v>391</v>
      </c>
    </row>
    <row r="5862" spans="1:10" x14ac:dyDescent="0.25">
      <c r="A5862" s="78">
        <v>46260</v>
      </c>
      <c r="B5862" s="68">
        <v>31</v>
      </c>
      <c r="C5862" s="205" t="s">
        <v>1260</v>
      </c>
      <c r="D5862" s="30">
        <v>1</v>
      </c>
      <c r="E5862" s="30">
        <v>5</v>
      </c>
      <c r="F5862" s="30">
        <f t="shared" si="191"/>
        <v>5</v>
      </c>
      <c r="G5862" s="30" t="s">
        <v>9</v>
      </c>
      <c r="J5862" s="30" t="s">
        <v>391</v>
      </c>
    </row>
    <row r="5863" spans="1:10" x14ac:dyDescent="0.25">
      <c r="A5863" s="78">
        <v>46260</v>
      </c>
      <c r="B5863" s="68">
        <v>32</v>
      </c>
      <c r="C5863" s="205" t="s">
        <v>1198</v>
      </c>
      <c r="D5863" s="30">
        <v>1</v>
      </c>
      <c r="E5863" s="30">
        <v>10</v>
      </c>
      <c r="F5863" s="30">
        <f t="shared" si="191"/>
        <v>10</v>
      </c>
      <c r="G5863" s="30" t="s">
        <v>9</v>
      </c>
      <c r="J5863" s="30" t="s">
        <v>391</v>
      </c>
    </row>
    <row r="5864" spans="1:10" s="199" customFormat="1" ht="31.5" x14ac:dyDescent="0.25">
      <c r="A5864" s="196">
        <v>46260</v>
      </c>
      <c r="B5864" s="197" t="s">
        <v>1245</v>
      </c>
      <c r="C5864" s="198">
        <f>MAX(B5809:B5863)</f>
        <v>32</v>
      </c>
      <c r="D5864" s="197" t="s">
        <v>1246</v>
      </c>
      <c r="E5864" s="199">
        <f>SUMIF(G5809:G5863,"UPI",F5809:F5863)</f>
        <v>137</v>
      </c>
      <c r="H5864" s="200" t="s">
        <v>1247</v>
      </c>
      <c r="I5864" s="200">
        <f>SUMIF(G5809:G5863, "&lt;&gt;UPI",F5809:F5863)</f>
        <v>1108</v>
      </c>
    </row>
    <row r="5865" spans="1:10" x14ac:dyDescent="0.25">
      <c r="A5865" s="78">
        <v>46260</v>
      </c>
      <c r="B5865" s="68">
        <v>1</v>
      </c>
      <c r="C5865" s="33" t="s">
        <v>1316</v>
      </c>
      <c r="D5865" s="30">
        <v>1</v>
      </c>
      <c r="E5865" s="30">
        <v>10</v>
      </c>
      <c r="F5865" s="30">
        <f t="shared" ref="F5865:F5905" si="192">E5865*D5865</f>
        <v>10</v>
      </c>
      <c r="G5865" s="30" t="s">
        <v>9</v>
      </c>
      <c r="J5865" s="30" t="s">
        <v>392</v>
      </c>
    </row>
    <row r="5866" spans="1:10" x14ac:dyDescent="0.25">
      <c r="A5866" s="78">
        <v>46260</v>
      </c>
      <c r="B5866" s="68">
        <v>33</v>
      </c>
      <c r="C5866" s="205" t="s">
        <v>567</v>
      </c>
      <c r="D5866" s="30">
        <v>2</v>
      </c>
      <c r="E5866" s="30">
        <v>2.5</v>
      </c>
      <c r="F5866" s="30">
        <f t="shared" si="192"/>
        <v>5</v>
      </c>
      <c r="G5866" s="30" t="s">
        <v>9</v>
      </c>
      <c r="J5866" s="30" t="s">
        <v>392</v>
      </c>
    </row>
    <row r="5867" spans="1:10" x14ac:dyDescent="0.25">
      <c r="A5867" s="78">
        <v>46260</v>
      </c>
      <c r="B5867" s="68">
        <v>33</v>
      </c>
      <c r="C5867" s="33" t="s">
        <v>1367</v>
      </c>
      <c r="D5867" s="30">
        <v>1</v>
      </c>
      <c r="E5867" s="30">
        <v>5</v>
      </c>
      <c r="F5867" s="30">
        <f t="shared" si="192"/>
        <v>5</v>
      </c>
      <c r="G5867" s="30" t="s">
        <v>9</v>
      </c>
      <c r="J5867" s="30" t="s">
        <v>392</v>
      </c>
    </row>
    <row r="5868" spans="1:10" x14ac:dyDescent="0.25">
      <c r="A5868" s="78">
        <v>46260</v>
      </c>
      <c r="B5868" s="68">
        <v>34</v>
      </c>
      <c r="C5868" s="33" t="s">
        <v>1368</v>
      </c>
      <c r="D5868" s="30">
        <v>1</v>
      </c>
      <c r="E5868" s="30">
        <v>10</v>
      </c>
      <c r="F5868" s="30">
        <f t="shared" si="192"/>
        <v>10</v>
      </c>
      <c r="G5868" s="30" t="s">
        <v>9</v>
      </c>
      <c r="J5868" s="30" t="s">
        <v>392</v>
      </c>
    </row>
    <row r="5869" spans="1:10" x14ac:dyDescent="0.25">
      <c r="A5869" s="78">
        <v>46260</v>
      </c>
      <c r="B5869" s="68">
        <v>33</v>
      </c>
      <c r="C5869" s="205" t="s">
        <v>764</v>
      </c>
      <c r="D5869" s="30">
        <v>1</v>
      </c>
      <c r="E5869" s="30">
        <v>5</v>
      </c>
      <c r="F5869" s="30">
        <f t="shared" si="192"/>
        <v>5</v>
      </c>
      <c r="G5869" s="30" t="s">
        <v>9</v>
      </c>
      <c r="J5869" s="30" t="s">
        <v>392</v>
      </c>
    </row>
    <row r="5870" spans="1:10" x14ac:dyDescent="0.25">
      <c r="A5870" s="78">
        <v>46260</v>
      </c>
      <c r="B5870" s="68">
        <v>33</v>
      </c>
      <c r="C5870" s="205" t="s">
        <v>1057</v>
      </c>
      <c r="D5870" s="30">
        <v>2</v>
      </c>
      <c r="E5870" s="30">
        <v>5</v>
      </c>
      <c r="F5870" s="30">
        <f t="shared" si="192"/>
        <v>10</v>
      </c>
      <c r="G5870" s="30" t="s">
        <v>9</v>
      </c>
      <c r="J5870" s="30" t="s">
        <v>392</v>
      </c>
    </row>
    <row r="5871" spans="1:10" x14ac:dyDescent="0.25">
      <c r="A5871" s="78">
        <v>46260</v>
      </c>
      <c r="B5871" s="68">
        <v>33</v>
      </c>
      <c r="C5871" s="205" t="s">
        <v>1288</v>
      </c>
      <c r="D5871" s="30">
        <v>1</v>
      </c>
      <c r="E5871" s="30">
        <v>5</v>
      </c>
      <c r="F5871" s="30">
        <f t="shared" si="192"/>
        <v>5</v>
      </c>
      <c r="G5871" s="30" t="s">
        <v>9</v>
      </c>
      <c r="J5871" s="30" t="s">
        <v>392</v>
      </c>
    </row>
    <row r="5872" spans="1:10" x14ac:dyDescent="0.25">
      <c r="A5872" s="78">
        <v>46260</v>
      </c>
      <c r="B5872" s="68">
        <v>35</v>
      </c>
      <c r="C5872" s="19" t="s">
        <v>1330</v>
      </c>
      <c r="D5872" s="30">
        <v>1</v>
      </c>
      <c r="E5872" s="30">
        <v>30</v>
      </c>
      <c r="F5872" s="30">
        <f t="shared" si="192"/>
        <v>30</v>
      </c>
      <c r="G5872" s="30" t="s">
        <v>10</v>
      </c>
      <c r="J5872" s="30" t="s">
        <v>392</v>
      </c>
    </row>
    <row r="5873" spans="1:10" x14ac:dyDescent="0.25">
      <c r="A5873" s="78">
        <v>46260</v>
      </c>
      <c r="B5873" s="68">
        <v>35</v>
      </c>
      <c r="C5873" s="205" t="s">
        <v>1234</v>
      </c>
      <c r="D5873" s="30">
        <v>0.28599999999999998</v>
      </c>
      <c r="E5873" s="30">
        <v>70</v>
      </c>
      <c r="F5873" s="30">
        <f t="shared" si="192"/>
        <v>20.02</v>
      </c>
      <c r="G5873" s="30" t="s">
        <v>10</v>
      </c>
      <c r="J5873" s="30" t="s">
        <v>392</v>
      </c>
    </row>
    <row r="5874" spans="1:10" x14ac:dyDescent="0.25">
      <c r="A5874" s="78">
        <v>46260</v>
      </c>
      <c r="B5874" s="68">
        <v>36</v>
      </c>
      <c r="C5874" s="205" t="s">
        <v>1258</v>
      </c>
      <c r="D5874" s="30">
        <v>1</v>
      </c>
      <c r="E5874" s="30">
        <v>10</v>
      </c>
      <c r="F5874" s="30">
        <f t="shared" si="192"/>
        <v>10</v>
      </c>
      <c r="G5874" s="30" t="s">
        <v>9</v>
      </c>
      <c r="J5874" s="30" t="s">
        <v>392</v>
      </c>
    </row>
    <row r="5875" spans="1:10" x14ac:dyDescent="0.25">
      <c r="A5875" s="78">
        <v>46260</v>
      </c>
      <c r="B5875" s="68">
        <v>27</v>
      </c>
      <c r="C5875" s="205" t="s">
        <v>1231</v>
      </c>
      <c r="D5875" s="30">
        <v>0.8</v>
      </c>
      <c r="E5875" s="30">
        <v>25</v>
      </c>
      <c r="F5875" s="30">
        <f t="shared" si="192"/>
        <v>20</v>
      </c>
      <c r="G5875" s="30" t="s">
        <v>10</v>
      </c>
      <c r="J5875" s="30" t="s">
        <v>392</v>
      </c>
    </row>
    <row r="5876" spans="1:10" x14ac:dyDescent="0.25">
      <c r="A5876" s="78">
        <v>46260</v>
      </c>
      <c r="B5876" s="68">
        <v>27</v>
      </c>
      <c r="C5876" s="205" t="s">
        <v>1078</v>
      </c>
      <c r="D5876" s="30">
        <v>1</v>
      </c>
      <c r="E5876" s="30">
        <v>20</v>
      </c>
      <c r="F5876" s="30">
        <f t="shared" si="192"/>
        <v>20</v>
      </c>
      <c r="G5876" s="30" t="s">
        <v>10</v>
      </c>
      <c r="J5876" s="30" t="s">
        <v>392</v>
      </c>
    </row>
    <row r="5877" spans="1:10" x14ac:dyDescent="0.25">
      <c r="A5877" s="78">
        <v>46260</v>
      </c>
      <c r="B5877" s="68">
        <v>27</v>
      </c>
      <c r="C5877" s="205" t="s">
        <v>1312</v>
      </c>
      <c r="D5877" s="30">
        <v>1</v>
      </c>
      <c r="E5877" s="30">
        <v>20</v>
      </c>
      <c r="F5877" s="30">
        <f t="shared" si="192"/>
        <v>20</v>
      </c>
      <c r="G5877" s="30" t="s">
        <v>10</v>
      </c>
      <c r="J5877" s="30" t="s">
        <v>392</v>
      </c>
    </row>
    <row r="5878" spans="1:10" x14ac:dyDescent="0.25">
      <c r="A5878" s="78">
        <v>46260</v>
      </c>
      <c r="B5878" s="68">
        <v>27</v>
      </c>
      <c r="C5878" s="205" t="s">
        <v>764</v>
      </c>
      <c r="D5878" s="30">
        <v>1</v>
      </c>
      <c r="E5878" s="30">
        <v>5</v>
      </c>
      <c r="F5878" s="30">
        <f t="shared" si="192"/>
        <v>5</v>
      </c>
      <c r="G5878" s="30" t="s">
        <v>10</v>
      </c>
      <c r="J5878" s="30" t="s">
        <v>392</v>
      </c>
    </row>
    <row r="5879" spans="1:10" x14ac:dyDescent="0.25">
      <c r="A5879" s="78">
        <v>46260</v>
      </c>
      <c r="B5879" s="68">
        <v>27</v>
      </c>
      <c r="C5879" s="205" t="s">
        <v>1369</v>
      </c>
      <c r="D5879" s="30">
        <v>1</v>
      </c>
      <c r="E5879" s="30">
        <v>5</v>
      </c>
      <c r="F5879" s="30">
        <f t="shared" si="192"/>
        <v>5</v>
      </c>
      <c r="G5879" s="30" t="s">
        <v>10</v>
      </c>
      <c r="J5879" s="30" t="s">
        <v>392</v>
      </c>
    </row>
    <row r="5880" spans="1:10" ht="30" x14ac:dyDescent="0.25">
      <c r="A5880" s="78">
        <v>46260</v>
      </c>
      <c r="B5880" s="68">
        <v>27</v>
      </c>
      <c r="C5880" s="205" t="s">
        <v>509</v>
      </c>
      <c r="D5880" s="30">
        <v>0.125</v>
      </c>
      <c r="E5880" s="30">
        <v>160</v>
      </c>
      <c r="F5880" s="30">
        <f t="shared" si="192"/>
        <v>20</v>
      </c>
      <c r="G5880" s="30" t="s">
        <v>10</v>
      </c>
      <c r="J5880" s="30" t="s">
        <v>392</v>
      </c>
    </row>
    <row r="5881" spans="1:10" x14ac:dyDescent="0.25">
      <c r="A5881" s="78">
        <v>46260</v>
      </c>
      <c r="B5881" s="68">
        <v>27</v>
      </c>
      <c r="C5881" s="205" t="s">
        <v>971</v>
      </c>
      <c r="D5881" s="30">
        <v>1</v>
      </c>
      <c r="E5881" s="30">
        <v>10</v>
      </c>
      <c r="F5881" s="30">
        <f t="shared" si="192"/>
        <v>10</v>
      </c>
      <c r="G5881" s="30" t="s">
        <v>10</v>
      </c>
      <c r="J5881" s="30" t="s">
        <v>392</v>
      </c>
    </row>
    <row r="5882" spans="1:10" x14ac:dyDescent="0.25">
      <c r="A5882" s="78">
        <v>46260</v>
      </c>
      <c r="B5882" s="68">
        <v>27</v>
      </c>
      <c r="C5882" s="205" t="s">
        <v>1120</v>
      </c>
      <c r="D5882" s="30">
        <v>1</v>
      </c>
      <c r="E5882" s="30">
        <v>60</v>
      </c>
      <c r="F5882" s="30">
        <f t="shared" si="192"/>
        <v>60</v>
      </c>
      <c r="G5882" s="30" t="s">
        <v>10</v>
      </c>
      <c r="J5882" s="30" t="s">
        <v>392</v>
      </c>
    </row>
    <row r="5883" spans="1:10" x14ac:dyDescent="0.25">
      <c r="A5883" s="78">
        <v>46260</v>
      </c>
      <c r="B5883" s="68">
        <v>27</v>
      </c>
      <c r="C5883" s="205" t="s">
        <v>103</v>
      </c>
      <c r="D5883" s="30">
        <v>1</v>
      </c>
      <c r="E5883" s="30">
        <v>10</v>
      </c>
      <c r="F5883" s="30">
        <f t="shared" si="192"/>
        <v>10</v>
      </c>
      <c r="G5883" s="30" t="s">
        <v>10</v>
      </c>
      <c r="J5883" s="30" t="s">
        <v>392</v>
      </c>
    </row>
    <row r="5884" spans="1:10" x14ac:dyDescent="0.25">
      <c r="A5884" s="78">
        <v>46260</v>
      </c>
      <c r="B5884" s="68">
        <v>27</v>
      </c>
      <c r="C5884" s="205" t="s">
        <v>655</v>
      </c>
      <c r="D5884" s="30">
        <v>1</v>
      </c>
      <c r="E5884" s="30">
        <v>15</v>
      </c>
      <c r="F5884" s="30">
        <f t="shared" si="192"/>
        <v>15</v>
      </c>
      <c r="G5884" s="30" t="s">
        <v>10</v>
      </c>
      <c r="J5884" s="30" t="s">
        <v>392</v>
      </c>
    </row>
    <row r="5885" spans="1:10" x14ac:dyDescent="0.25">
      <c r="A5885" s="78">
        <v>46260</v>
      </c>
      <c r="B5885" s="68">
        <v>27</v>
      </c>
      <c r="C5885" s="205" t="s">
        <v>956</v>
      </c>
      <c r="D5885" s="30">
        <v>1</v>
      </c>
      <c r="E5885" s="30">
        <v>10</v>
      </c>
      <c r="F5885" s="30">
        <f t="shared" si="192"/>
        <v>10</v>
      </c>
      <c r="G5885" s="30" t="s">
        <v>10</v>
      </c>
      <c r="J5885" s="30" t="s">
        <v>392</v>
      </c>
    </row>
    <row r="5886" spans="1:10" x14ac:dyDescent="0.25">
      <c r="A5886" s="78">
        <v>46260</v>
      </c>
      <c r="B5886" s="68">
        <v>27</v>
      </c>
      <c r="C5886" s="205" t="s">
        <v>1368</v>
      </c>
      <c r="D5886" s="30">
        <v>1</v>
      </c>
      <c r="E5886" s="30">
        <v>10</v>
      </c>
      <c r="F5886" s="30">
        <f t="shared" si="192"/>
        <v>10</v>
      </c>
      <c r="G5886" s="30" t="s">
        <v>10</v>
      </c>
      <c r="J5886" s="30" t="s">
        <v>392</v>
      </c>
    </row>
    <row r="5887" spans="1:10" x14ac:dyDescent="0.25">
      <c r="A5887" s="78">
        <v>46260</v>
      </c>
      <c r="B5887" s="68">
        <v>28</v>
      </c>
      <c r="C5887" s="205" t="s">
        <v>1078</v>
      </c>
      <c r="D5887" s="30">
        <v>1</v>
      </c>
      <c r="E5887" s="30">
        <v>20</v>
      </c>
      <c r="F5887" s="30">
        <f t="shared" si="192"/>
        <v>20</v>
      </c>
      <c r="G5887" s="30" t="s">
        <v>9</v>
      </c>
      <c r="J5887" s="30" t="s">
        <v>392</v>
      </c>
    </row>
    <row r="5888" spans="1:10" x14ac:dyDescent="0.25">
      <c r="A5888" s="78">
        <v>46260</v>
      </c>
      <c r="B5888" s="68">
        <v>38</v>
      </c>
      <c r="C5888" s="205" t="s">
        <v>1291</v>
      </c>
      <c r="D5888" s="30">
        <v>2</v>
      </c>
      <c r="E5888" s="30">
        <v>65</v>
      </c>
      <c r="F5888" s="30">
        <f t="shared" si="192"/>
        <v>130</v>
      </c>
      <c r="G5888" s="30" t="s">
        <v>16</v>
      </c>
      <c r="I5888" s="68" t="s">
        <v>1046</v>
      </c>
      <c r="J5888" s="30" t="s">
        <v>392</v>
      </c>
    </row>
    <row r="5889" spans="1:10" x14ac:dyDescent="0.25">
      <c r="A5889" s="78">
        <v>46260</v>
      </c>
      <c r="B5889" s="68">
        <v>38</v>
      </c>
      <c r="C5889" s="205" t="s">
        <v>916</v>
      </c>
      <c r="D5889" s="30">
        <v>1</v>
      </c>
      <c r="E5889" s="30">
        <v>10</v>
      </c>
      <c r="F5889" s="30">
        <f t="shared" si="192"/>
        <v>10</v>
      </c>
      <c r="G5889" s="30" t="s">
        <v>16</v>
      </c>
      <c r="I5889" s="68" t="s">
        <v>1046</v>
      </c>
      <c r="J5889" s="30" t="s">
        <v>392</v>
      </c>
    </row>
    <row r="5890" spans="1:10" x14ac:dyDescent="0.25">
      <c r="A5890" s="78">
        <v>46260</v>
      </c>
      <c r="B5890" s="68">
        <v>38</v>
      </c>
      <c r="C5890" s="205" t="s">
        <v>750</v>
      </c>
      <c r="D5890" s="30">
        <v>1</v>
      </c>
      <c r="E5890" s="30">
        <v>50</v>
      </c>
      <c r="F5890" s="30">
        <f t="shared" si="192"/>
        <v>50</v>
      </c>
      <c r="G5890" s="30" t="s">
        <v>16</v>
      </c>
      <c r="I5890" s="68" t="s">
        <v>1046</v>
      </c>
      <c r="J5890" s="30" t="s">
        <v>392</v>
      </c>
    </row>
    <row r="5891" spans="1:10" x14ac:dyDescent="0.25">
      <c r="A5891" s="78">
        <v>46260</v>
      </c>
      <c r="B5891" s="68">
        <v>38</v>
      </c>
      <c r="C5891" s="205" t="s">
        <v>1351</v>
      </c>
      <c r="D5891" s="30">
        <v>5</v>
      </c>
      <c r="E5891" s="30">
        <v>5</v>
      </c>
      <c r="F5891" s="30">
        <f t="shared" si="192"/>
        <v>25</v>
      </c>
      <c r="G5891" s="30" t="s">
        <v>16</v>
      </c>
      <c r="I5891" s="68" t="s">
        <v>1046</v>
      </c>
      <c r="J5891" s="30" t="s">
        <v>392</v>
      </c>
    </row>
    <row r="5892" spans="1:10" x14ac:dyDescent="0.25">
      <c r="A5892" s="78">
        <v>46260</v>
      </c>
      <c r="B5892" s="68">
        <v>38</v>
      </c>
      <c r="C5892" s="205" t="s">
        <v>1244</v>
      </c>
      <c r="D5892" s="30">
        <v>1</v>
      </c>
      <c r="E5892" s="30">
        <v>30</v>
      </c>
      <c r="F5892" s="30">
        <f t="shared" si="192"/>
        <v>30</v>
      </c>
      <c r="G5892" s="30" t="s">
        <v>16</v>
      </c>
      <c r="I5892" s="68" t="s">
        <v>1046</v>
      </c>
      <c r="J5892" s="30" t="s">
        <v>392</v>
      </c>
    </row>
    <row r="5893" spans="1:10" x14ac:dyDescent="0.25">
      <c r="A5893" s="78">
        <v>46260</v>
      </c>
      <c r="B5893" s="68">
        <v>38</v>
      </c>
      <c r="C5893" s="205" t="s">
        <v>1229</v>
      </c>
      <c r="D5893" s="30">
        <v>1</v>
      </c>
      <c r="E5893" s="30">
        <v>40</v>
      </c>
      <c r="F5893" s="30">
        <f t="shared" si="192"/>
        <v>40</v>
      </c>
      <c r="G5893" s="30" t="s">
        <v>16</v>
      </c>
      <c r="I5893" s="68" t="s">
        <v>1046</v>
      </c>
      <c r="J5893" s="30" t="s">
        <v>392</v>
      </c>
    </row>
    <row r="5894" spans="1:10" x14ac:dyDescent="0.25">
      <c r="A5894" s="78">
        <v>46260</v>
      </c>
      <c r="B5894" s="68">
        <v>38</v>
      </c>
      <c r="C5894" s="19" t="s">
        <v>1328</v>
      </c>
      <c r="D5894" s="30">
        <v>1</v>
      </c>
      <c r="E5894" s="30">
        <v>60</v>
      </c>
      <c r="F5894" s="30">
        <f t="shared" si="192"/>
        <v>60</v>
      </c>
      <c r="G5894" s="30" t="s">
        <v>16</v>
      </c>
      <c r="I5894" s="68" t="s">
        <v>1046</v>
      </c>
      <c r="J5894" s="30" t="s">
        <v>392</v>
      </c>
    </row>
    <row r="5895" spans="1:10" x14ac:dyDescent="0.25">
      <c r="A5895" s="78">
        <v>46260</v>
      </c>
      <c r="B5895" s="68">
        <v>38</v>
      </c>
      <c r="C5895" s="205" t="s">
        <v>892</v>
      </c>
      <c r="D5895" s="30">
        <v>2</v>
      </c>
      <c r="E5895" s="30">
        <v>10</v>
      </c>
      <c r="F5895" s="30">
        <f t="shared" si="192"/>
        <v>20</v>
      </c>
      <c r="G5895" s="30" t="s">
        <v>16</v>
      </c>
      <c r="I5895" s="68" t="s">
        <v>1046</v>
      </c>
      <c r="J5895" s="30" t="s">
        <v>392</v>
      </c>
    </row>
    <row r="5896" spans="1:10" ht="30" x14ac:dyDescent="0.25">
      <c r="A5896" s="78">
        <v>46260</v>
      </c>
      <c r="B5896" s="68">
        <v>38</v>
      </c>
      <c r="C5896" s="205" t="s">
        <v>897</v>
      </c>
      <c r="D5896" s="30">
        <v>5</v>
      </c>
      <c r="E5896" s="30">
        <v>1</v>
      </c>
      <c r="F5896" s="30">
        <f t="shared" si="192"/>
        <v>5</v>
      </c>
      <c r="G5896" s="30" t="s">
        <v>16</v>
      </c>
      <c r="I5896" s="68" t="s">
        <v>1046</v>
      </c>
      <c r="J5896" s="30" t="s">
        <v>392</v>
      </c>
    </row>
    <row r="5897" spans="1:10" x14ac:dyDescent="0.25">
      <c r="A5897" s="78">
        <v>46260</v>
      </c>
      <c r="B5897" s="68">
        <v>38</v>
      </c>
      <c r="C5897" s="205" t="s">
        <v>958</v>
      </c>
      <c r="D5897" s="30">
        <v>1</v>
      </c>
      <c r="E5897" s="30">
        <v>10</v>
      </c>
      <c r="F5897" s="30">
        <f t="shared" si="192"/>
        <v>10</v>
      </c>
      <c r="G5897" s="30" t="s">
        <v>16</v>
      </c>
      <c r="I5897" s="68" t="s">
        <v>1046</v>
      </c>
      <c r="J5897" s="30" t="s">
        <v>392</v>
      </c>
    </row>
    <row r="5898" spans="1:10" x14ac:dyDescent="0.25">
      <c r="A5898" s="78">
        <v>46260</v>
      </c>
      <c r="B5898" s="68">
        <v>39</v>
      </c>
      <c r="C5898" s="19" t="s">
        <v>1327</v>
      </c>
      <c r="D5898" s="30">
        <v>0.5</v>
      </c>
      <c r="E5898" s="30">
        <v>70</v>
      </c>
      <c r="F5898" s="30">
        <f t="shared" si="192"/>
        <v>35</v>
      </c>
      <c r="G5898" s="30" t="s">
        <v>9</v>
      </c>
      <c r="J5898" s="30" t="s">
        <v>392</v>
      </c>
    </row>
    <row r="5899" spans="1:10" x14ac:dyDescent="0.25">
      <c r="A5899" s="78">
        <v>46260</v>
      </c>
      <c r="B5899" s="68">
        <v>39</v>
      </c>
      <c r="C5899" s="19" t="s">
        <v>1328</v>
      </c>
      <c r="D5899" s="30">
        <v>1</v>
      </c>
      <c r="E5899" s="30">
        <v>60</v>
      </c>
      <c r="F5899" s="30">
        <f t="shared" si="192"/>
        <v>60</v>
      </c>
      <c r="G5899" s="30" t="s">
        <v>9</v>
      </c>
      <c r="J5899" s="30" t="s">
        <v>392</v>
      </c>
    </row>
    <row r="5900" spans="1:10" x14ac:dyDescent="0.25">
      <c r="A5900" s="78">
        <v>46260</v>
      </c>
      <c r="B5900" s="68">
        <v>40</v>
      </c>
      <c r="C5900" s="205" t="s">
        <v>1229</v>
      </c>
      <c r="D5900" s="30">
        <v>2</v>
      </c>
      <c r="E5900" s="30">
        <v>40</v>
      </c>
      <c r="F5900" s="30">
        <f t="shared" si="192"/>
        <v>80</v>
      </c>
      <c r="G5900" s="30" t="s">
        <v>9</v>
      </c>
      <c r="J5900" s="30" t="s">
        <v>392</v>
      </c>
    </row>
    <row r="5901" spans="1:10" x14ac:dyDescent="0.25">
      <c r="A5901" s="78">
        <v>46260</v>
      </c>
      <c r="B5901" s="68">
        <v>40</v>
      </c>
      <c r="C5901" s="205" t="s">
        <v>966</v>
      </c>
      <c r="D5901" s="30">
        <v>10</v>
      </c>
      <c r="E5901" s="30">
        <v>1</v>
      </c>
      <c r="F5901" s="30">
        <f t="shared" si="192"/>
        <v>10</v>
      </c>
      <c r="G5901" s="30" t="s">
        <v>9</v>
      </c>
      <c r="J5901" s="30" t="s">
        <v>392</v>
      </c>
    </row>
    <row r="5902" spans="1:10" x14ac:dyDescent="0.25">
      <c r="A5902" s="78">
        <v>46260</v>
      </c>
      <c r="B5902" s="68">
        <v>10</v>
      </c>
      <c r="C5902" s="19" t="s">
        <v>1326</v>
      </c>
      <c r="D5902" s="30">
        <v>2</v>
      </c>
      <c r="E5902" s="30">
        <v>10</v>
      </c>
      <c r="F5902" s="30">
        <f t="shared" si="192"/>
        <v>20</v>
      </c>
      <c r="G5902" s="30" t="s">
        <v>16</v>
      </c>
      <c r="I5902" s="68" t="s">
        <v>1203</v>
      </c>
      <c r="J5902" s="30" t="s">
        <v>392</v>
      </c>
    </row>
    <row r="5903" spans="1:10" x14ac:dyDescent="0.25">
      <c r="A5903" s="78">
        <v>46260</v>
      </c>
      <c r="B5903" s="68">
        <v>10</v>
      </c>
      <c r="C5903" s="205" t="s">
        <v>1129</v>
      </c>
      <c r="D5903" s="30">
        <v>1</v>
      </c>
      <c r="E5903" s="30">
        <v>40</v>
      </c>
      <c r="F5903" s="30">
        <f t="shared" si="192"/>
        <v>40</v>
      </c>
      <c r="G5903" s="30" t="s">
        <v>16</v>
      </c>
      <c r="I5903" s="68" t="s">
        <v>1203</v>
      </c>
      <c r="J5903" s="30" t="s">
        <v>392</v>
      </c>
    </row>
    <row r="5904" spans="1:10" x14ac:dyDescent="0.25">
      <c r="A5904" s="78">
        <v>46260</v>
      </c>
      <c r="B5904" s="68">
        <v>41</v>
      </c>
      <c r="C5904" s="19" t="s">
        <v>1326</v>
      </c>
      <c r="D5904" s="30">
        <v>2</v>
      </c>
      <c r="E5904" s="30">
        <v>10</v>
      </c>
      <c r="F5904" s="30">
        <f t="shared" si="192"/>
        <v>20</v>
      </c>
      <c r="G5904" s="30" t="s">
        <v>9</v>
      </c>
      <c r="I5904" s="68" t="s">
        <v>1370</v>
      </c>
      <c r="J5904" s="30" t="s">
        <v>392</v>
      </c>
    </row>
    <row r="5905" spans="1:12" x14ac:dyDescent="0.25">
      <c r="A5905" s="78">
        <v>46260</v>
      </c>
      <c r="B5905" s="68">
        <v>41</v>
      </c>
      <c r="C5905" s="205" t="s">
        <v>639</v>
      </c>
      <c r="D5905" s="30">
        <v>5</v>
      </c>
      <c r="E5905" s="30">
        <v>2</v>
      </c>
      <c r="F5905" s="30">
        <f t="shared" si="192"/>
        <v>10</v>
      </c>
      <c r="G5905" s="30" t="s">
        <v>9</v>
      </c>
      <c r="J5905" s="30" t="s">
        <v>392</v>
      </c>
    </row>
    <row r="5906" spans="1:12" s="199" customFormat="1" ht="31.5" x14ac:dyDescent="0.25">
      <c r="A5906" s="196">
        <v>46260</v>
      </c>
      <c r="B5906" s="197" t="s">
        <v>1248</v>
      </c>
      <c r="C5906" s="198">
        <f>MAX(B5865:B5905)</f>
        <v>41</v>
      </c>
      <c r="D5906" s="197" t="s">
        <v>1249</v>
      </c>
      <c r="E5906" s="199">
        <f>SUMIF(G5865:G5906,"UPI",F5865:F5906)</f>
        <v>255.01999999999998</v>
      </c>
      <c r="H5906" s="200" t="s">
        <v>1251</v>
      </c>
      <c r="I5906" s="200">
        <f>SUMIF(G5865:G5906, "&lt;&gt;UPI",F5865:F5906)</f>
        <v>735</v>
      </c>
    </row>
    <row r="5907" spans="1:12" s="5" customFormat="1" ht="15.75" x14ac:dyDescent="0.25">
      <c r="A5907" s="201">
        <v>46260</v>
      </c>
      <c r="B5907" s="2"/>
      <c r="C5907" s="14"/>
      <c r="H5907" s="2" t="s">
        <v>1250</v>
      </c>
      <c r="I5907" s="2">
        <f>SUMIF(G5809:G5906, "&lt;&gt;UPI",F5809:F5906)</f>
        <v>1843</v>
      </c>
    </row>
    <row r="5908" spans="1:12" s="202" customFormat="1" ht="18.75" customHeight="1" x14ac:dyDescent="0.3">
      <c r="A5908" s="146">
        <v>46260</v>
      </c>
      <c r="B5908" s="147" t="s">
        <v>987</v>
      </c>
      <c r="C5908" s="148">
        <f>MAX(B5809:B5907)</f>
        <v>41</v>
      </c>
      <c r="D5908" s="147" t="s">
        <v>988</v>
      </c>
      <c r="E5908" s="202">
        <f>SUMIF(G5809:G5905,"UPI",F5809:F5905)</f>
        <v>392.02</v>
      </c>
      <c r="F5908" s="227" t="s">
        <v>437</v>
      </c>
      <c r="G5908" s="228"/>
      <c r="H5908" s="229"/>
      <c r="I5908" s="227">
        <f>SUM(F5809:F5907)</f>
        <v>2235.02</v>
      </c>
      <c r="J5908" s="228"/>
      <c r="K5908" s="228"/>
      <c r="L5908" s="229"/>
    </row>
    <row r="5909" spans="1:12" x14ac:dyDescent="0.25">
      <c r="A5909" s="78">
        <v>46261</v>
      </c>
      <c r="B5909" s="68">
        <v>1</v>
      </c>
      <c r="C5909" s="205" t="s">
        <v>1234</v>
      </c>
      <c r="D5909" s="30">
        <v>0.28599999999999998</v>
      </c>
      <c r="E5909" s="30">
        <v>70</v>
      </c>
      <c r="F5909" s="30">
        <f>E5909*D5909</f>
        <v>20.02</v>
      </c>
      <c r="G5909" s="30" t="s">
        <v>9</v>
      </c>
      <c r="J5909" s="30" t="s">
        <v>391</v>
      </c>
    </row>
    <row r="5910" spans="1:12" x14ac:dyDescent="0.25">
      <c r="A5910" s="78">
        <v>46261</v>
      </c>
      <c r="B5910" s="68">
        <v>1</v>
      </c>
      <c r="C5910" s="204" t="s">
        <v>970</v>
      </c>
      <c r="D5910" s="30">
        <v>1</v>
      </c>
      <c r="E5910" s="30">
        <v>10</v>
      </c>
      <c r="F5910" s="30">
        <f t="shared" ref="F5910:F5936" si="193">E5910*D5910</f>
        <v>10</v>
      </c>
      <c r="G5910" s="30" t="s">
        <v>9</v>
      </c>
      <c r="J5910" s="30" t="s">
        <v>391</v>
      </c>
    </row>
    <row r="5911" spans="1:12" x14ac:dyDescent="0.25">
      <c r="A5911" s="78">
        <v>46261</v>
      </c>
      <c r="B5911" s="68">
        <v>1</v>
      </c>
      <c r="C5911" s="205" t="s">
        <v>520</v>
      </c>
      <c r="D5911" s="30">
        <v>1</v>
      </c>
      <c r="E5911" s="30">
        <v>10</v>
      </c>
      <c r="F5911" s="30">
        <f t="shared" si="193"/>
        <v>10</v>
      </c>
      <c r="G5911" s="30" t="s">
        <v>9</v>
      </c>
      <c r="J5911" s="30" t="s">
        <v>391</v>
      </c>
    </row>
    <row r="5912" spans="1:12" ht="30" x14ac:dyDescent="0.25">
      <c r="A5912" s="78">
        <v>46261</v>
      </c>
      <c r="B5912" s="68">
        <v>2</v>
      </c>
      <c r="C5912" s="205" t="s">
        <v>1256</v>
      </c>
      <c r="D5912" s="30">
        <v>1</v>
      </c>
      <c r="E5912" s="30">
        <v>10</v>
      </c>
      <c r="F5912" s="30">
        <f t="shared" si="193"/>
        <v>10</v>
      </c>
      <c r="G5912" s="30" t="s">
        <v>9</v>
      </c>
      <c r="J5912" s="30" t="s">
        <v>391</v>
      </c>
    </row>
    <row r="5913" spans="1:12" x14ac:dyDescent="0.25">
      <c r="A5913" s="78">
        <v>46261</v>
      </c>
      <c r="B5913" s="68">
        <v>3</v>
      </c>
      <c r="C5913" s="204" t="s">
        <v>970</v>
      </c>
      <c r="D5913" s="30">
        <v>1</v>
      </c>
      <c r="E5913" s="30">
        <v>10</v>
      </c>
      <c r="F5913" s="30">
        <f t="shared" si="193"/>
        <v>10</v>
      </c>
      <c r="G5913" s="30" t="s">
        <v>9</v>
      </c>
      <c r="J5913" s="30" t="s">
        <v>391</v>
      </c>
    </row>
    <row r="5914" spans="1:12" x14ac:dyDescent="0.25">
      <c r="A5914" s="78">
        <v>46261</v>
      </c>
      <c r="B5914" s="68">
        <v>4</v>
      </c>
      <c r="C5914" s="205" t="s">
        <v>358</v>
      </c>
      <c r="D5914" s="30">
        <v>1</v>
      </c>
      <c r="E5914" s="30">
        <v>85</v>
      </c>
      <c r="F5914" s="30">
        <f t="shared" si="193"/>
        <v>85</v>
      </c>
      <c r="G5914" s="30" t="s">
        <v>9</v>
      </c>
      <c r="J5914" s="30" t="s">
        <v>391</v>
      </c>
    </row>
    <row r="5915" spans="1:12" ht="30" x14ac:dyDescent="0.25">
      <c r="A5915" s="78">
        <v>46261</v>
      </c>
      <c r="B5915" s="68">
        <v>5</v>
      </c>
      <c r="C5915" s="205" t="s">
        <v>599</v>
      </c>
      <c r="D5915" s="30">
        <v>1</v>
      </c>
      <c r="E5915" s="30">
        <v>188</v>
      </c>
      <c r="F5915" s="30">
        <f t="shared" si="193"/>
        <v>188</v>
      </c>
      <c r="G5915" s="30" t="s">
        <v>9</v>
      </c>
      <c r="J5915" s="30" t="s">
        <v>391</v>
      </c>
    </row>
    <row r="5916" spans="1:12" x14ac:dyDescent="0.25">
      <c r="A5916" s="78">
        <v>46261</v>
      </c>
      <c r="B5916" s="68">
        <v>6</v>
      </c>
      <c r="C5916" s="205" t="s">
        <v>93</v>
      </c>
      <c r="D5916" s="30">
        <v>1</v>
      </c>
      <c r="E5916" s="30">
        <v>38</v>
      </c>
      <c r="F5916" s="30">
        <f t="shared" si="193"/>
        <v>38</v>
      </c>
      <c r="G5916" s="30" t="s">
        <v>9</v>
      </c>
      <c r="J5916" s="30" t="s">
        <v>391</v>
      </c>
    </row>
    <row r="5917" spans="1:12" x14ac:dyDescent="0.25">
      <c r="A5917" s="78">
        <v>46261</v>
      </c>
      <c r="B5917" s="68">
        <v>6</v>
      </c>
      <c r="C5917" s="205" t="s">
        <v>375</v>
      </c>
      <c r="D5917" s="30">
        <v>2</v>
      </c>
      <c r="E5917" s="30">
        <v>1</v>
      </c>
      <c r="F5917" s="30">
        <f t="shared" si="193"/>
        <v>2</v>
      </c>
      <c r="G5917" s="30" t="s">
        <v>9</v>
      </c>
      <c r="J5917" s="30" t="s">
        <v>391</v>
      </c>
    </row>
    <row r="5918" spans="1:12" x14ac:dyDescent="0.25">
      <c r="A5918" s="78">
        <v>46261</v>
      </c>
      <c r="B5918" s="68">
        <v>7</v>
      </c>
      <c r="C5918" s="205" t="s">
        <v>1106</v>
      </c>
      <c r="D5918" s="30">
        <v>1</v>
      </c>
      <c r="E5918" s="30">
        <v>20</v>
      </c>
      <c r="F5918" s="30">
        <f t="shared" si="193"/>
        <v>20</v>
      </c>
      <c r="G5918" s="30" t="s">
        <v>9</v>
      </c>
      <c r="J5918" s="30" t="s">
        <v>391</v>
      </c>
    </row>
    <row r="5919" spans="1:12" x14ac:dyDescent="0.25">
      <c r="A5919" s="78">
        <v>46261</v>
      </c>
      <c r="B5919" s="68">
        <v>7</v>
      </c>
      <c r="C5919" s="205" t="s">
        <v>1108</v>
      </c>
      <c r="D5919" s="30">
        <v>1</v>
      </c>
      <c r="E5919" s="30">
        <v>20</v>
      </c>
      <c r="F5919" s="30">
        <f t="shared" si="193"/>
        <v>20</v>
      </c>
      <c r="G5919" s="30" t="s">
        <v>9</v>
      </c>
      <c r="J5919" s="30" t="s">
        <v>391</v>
      </c>
    </row>
    <row r="5920" spans="1:12" x14ac:dyDescent="0.25">
      <c r="A5920" s="78">
        <v>46261</v>
      </c>
      <c r="B5920" s="68">
        <v>7</v>
      </c>
      <c r="C5920" s="205" t="s">
        <v>1283</v>
      </c>
      <c r="D5920" s="30">
        <v>1</v>
      </c>
      <c r="E5920" s="30">
        <v>40</v>
      </c>
      <c r="F5920" s="30">
        <f t="shared" si="193"/>
        <v>40</v>
      </c>
      <c r="G5920" s="30" t="s">
        <v>9</v>
      </c>
      <c r="J5920" s="30" t="s">
        <v>391</v>
      </c>
    </row>
    <row r="5921" spans="1:10" x14ac:dyDescent="0.25">
      <c r="A5921" s="78">
        <v>46261</v>
      </c>
      <c r="B5921" s="68">
        <v>7</v>
      </c>
      <c r="C5921" s="205" t="s">
        <v>639</v>
      </c>
      <c r="D5921" s="30">
        <v>10</v>
      </c>
      <c r="E5921" s="30">
        <v>2</v>
      </c>
      <c r="F5921" s="30">
        <f t="shared" si="193"/>
        <v>20</v>
      </c>
      <c r="G5921" s="30" t="s">
        <v>9</v>
      </c>
      <c r="J5921" s="30" t="s">
        <v>391</v>
      </c>
    </row>
    <row r="5922" spans="1:10" x14ac:dyDescent="0.25">
      <c r="A5922" s="78">
        <v>46261</v>
      </c>
      <c r="B5922" s="68">
        <v>8</v>
      </c>
      <c r="C5922" s="205" t="s">
        <v>863</v>
      </c>
      <c r="D5922" s="30">
        <v>1</v>
      </c>
      <c r="E5922" s="30">
        <v>40</v>
      </c>
      <c r="F5922" s="30">
        <f t="shared" si="193"/>
        <v>40</v>
      </c>
      <c r="G5922" s="30" t="s">
        <v>9</v>
      </c>
      <c r="J5922" s="30" t="s">
        <v>391</v>
      </c>
    </row>
    <row r="5923" spans="1:10" x14ac:dyDescent="0.25">
      <c r="A5923" s="78">
        <v>46261</v>
      </c>
      <c r="B5923" s="68">
        <v>8</v>
      </c>
      <c r="C5923" s="209" t="s">
        <v>1340</v>
      </c>
      <c r="D5923" s="30">
        <v>1</v>
      </c>
      <c r="E5923" s="30">
        <v>10</v>
      </c>
      <c r="F5923" s="30">
        <f t="shared" si="193"/>
        <v>10</v>
      </c>
      <c r="G5923" s="30" t="s">
        <v>9</v>
      </c>
      <c r="J5923" s="30" t="s">
        <v>391</v>
      </c>
    </row>
    <row r="5924" spans="1:10" x14ac:dyDescent="0.25">
      <c r="A5924" s="78">
        <v>46261</v>
      </c>
      <c r="B5924" s="68">
        <v>8</v>
      </c>
      <c r="C5924" s="209" t="s">
        <v>1346</v>
      </c>
      <c r="D5924" s="30">
        <v>1</v>
      </c>
      <c r="E5924" s="30">
        <v>10</v>
      </c>
      <c r="F5924" s="30">
        <f t="shared" si="193"/>
        <v>10</v>
      </c>
      <c r="G5924" s="30" t="s">
        <v>9</v>
      </c>
      <c r="J5924" s="30" t="s">
        <v>391</v>
      </c>
    </row>
    <row r="5925" spans="1:10" x14ac:dyDescent="0.25">
      <c r="A5925" s="78">
        <v>46261</v>
      </c>
      <c r="B5925" s="68">
        <v>8</v>
      </c>
      <c r="C5925" s="205" t="s">
        <v>1243</v>
      </c>
      <c r="D5925" s="30">
        <v>2</v>
      </c>
      <c r="E5925" s="30">
        <v>10</v>
      </c>
      <c r="F5925" s="30">
        <f t="shared" si="193"/>
        <v>20</v>
      </c>
      <c r="G5925" s="30" t="s">
        <v>9</v>
      </c>
      <c r="J5925" s="30" t="s">
        <v>391</v>
      </c>
    </row>
    <row r="5926" spans="1:10" x14ac:dyDescent="0.25">
      <c r="A5926" s="78">
        <v>46261</v>
      </c>
      <c r="B5926" s="68">
        <v>9</v>
      </c>
      <c r="C5926" s="205" t="s">
        <v>1316</v>
      </c>
      <c r="D5926" s="30">
        <v>3</v>
      </c>
      <c r="E5926" s="30">
        <v>10</v>
      </c>
      <c r="F5926" s="30">
        <f t="shared" si="193"/>
        <v>30</v>
      </c>
      <c r="G5926" s="30" t="s">
        <v>9</v>
      </c>
      <c r="J5926" s="30" t="s">
        <v>391</v>
      </c>
    </row>
    <row r="5927" spans="1:10" x14ac:dyDescent="0.25">
      <c r="A5927" s="78">
        <v>46261</v>
      </c>
      <c r="B5927" s="68">
        <v>9</v>
      </c>
      <c r="C5927" s="205" t="s">
        <v>1198</v>
      </c>
      <c r="D5927" s="30">
        <v>1</v>
      </c>
      <c r="E5927" s="30">
        <v>10</v>
      </c>
      <c r="F5927" s="30">
        <f t="shared" si="193"/>
        <v>10</v>
      </c>
      <c r="G5927" s="30" t="s">
        <v>9</v>
      </c>
      <c r="J5927" s="30" t="s">
        <v>391</v>
      </c>
    </row>
    <row r="5928" spans="1:10" x14ac:dyDescent="0.25">
      <c r="A5928" s="78">
        <v>46261</v>
      </c>
      <c r="B5928" s="68">
        <v>9</v>
      </c>
      <c r="C5928" s="205" t="s">
        <v>1334</v>
      </c>
      <c r="D5928" s="30">
        <v>4</v>
      </c>
      <c r="E5928" s="30">
        <v>5</v>
      </c>
      <c r="F5928" s="30">
        <f t="shared" si="193"/>
        <v>20</v>
      </c>
      <c r="G5928" s="30" t="s">
        <v>9</v>
      </c>
      <c r="J5928" s="30" t="s">
        <v>391</v>
      </c>
    </row>
    <row r="5929" spans="1:10" x14ac:dyDescent="0.25">
      <c r="A5929" s="78">
        <v>46261</v>
      </c>
      <c r="B5929" s="68">
        <v>9</v>
      </c>
      <c r="C5929" s="205" t="s">
        <v>1260</v>
      </c>
      <c r="D5929" s="30">
        <v>4</v>
      </c>
      <c r="E5929" s="30">
        <v>5</v>
      </c>
      <c r="F5929" s="30">
        <f t="shared" si="193"/>
        <v>20</v>
      </c>
      <c r="G5929" s="30" t="s">
        <v>9</v>
      </c>
      <c r="J5929" s="30" t="s">
        <v>391</v>
      </c>
    </row>
    <row r="5930" spans="1:10" x14ac:dyDescent="0.25">
      <c r="A5930" s="78">
        <v>46261</v>
      </c>
      <c r="B5930" s="68">
        <v>9</v>
      </c>
      <c r="C5930" s="205" t="s">
        <v>951</v>
      </c>
      <c r="D5930" s="30">
        <v>10</v>
      </c>
      <c r="E5930" s="30">
        <v>1</v>
      </c>
      <c r="F5930" s="30">
        <f t="shared" si="193"/>
        <v>10</v>
      </c>
      <c r="G5930" s="30" t="s">
        <v>9</v>
      </c>
      <c r="J5930" s="30" t="s">
        <v>391</v>
      </c>
    </row>
    <row r="5931" spans="1:10" x14ac:dyDescent="0.25">
      <c r="A5931" s="78">
        <v>46261</v>
      </c>
      <c r="B5931" s="68">
        <v>10</v>
      </c>
      <c r="C5931" s="205" t="s">
        <v>764</v>
      </c>
      <c r="D5931" s="30">
        <v>5</v>
      </c>
      <c r="E5931" s="30">
        <v>5</v>
      </c>
      <c r="F5931" s="30">
        <f t="shared" si="193"/>
        <v>25</v>
      </c>
      <c r="G5931" s="30" t="s">
        <v>9</v>
      </c>
      <c r="J5931" s="30" t="s">
        <v>391</v>
      </c>
    </row>
    <row r="5932" spans="1:10" x14ac:dyDescent="0.25">
      <c r="A5932" s="78">
        <v>46261</v>
      </c>
      <c r="B5932" s="68">
        <v>10</v>
      </c>
      <c r="C5932" s="205" t="s">
        <v>1229</v>
      </c>
      <c r="D5932" s="30">
        <v>2</v>
      </c>
      <c r="E5932" s="30">
        <v>40</v>
      </c>
      <c r="F5932" s="30">
        <f t="shared" si="193"/>
        <v>80</v>
      </c>
      <c r="G5932" s="30" t="s">
        <v>9</v>
      </c>
      <c r="J5932" s="30" t="s">
        <v>391</v>
      </c>
    </row>
    <row r="5933" spans="1:10" x14ac:dyDescent="0.25">
      <c r="A5933" s="78">
        <v>46261</v>
      </c>
      <c r="B5933" s="68">
        <v>10</v>
      </c>
      <c r="C5933" s="205" t="s">
        <v>1181</v>
      </c>
      <c r="D5933" s="30">
        <v>0.26</v>
      </c>
      <c r="E5933" s="30">
        <v>110</v>
      </c>
      <c r="F5933" s="30">
        <f t="shared" si="193"/>
        <v>28.6</v>
      </c>
      <c r="G5933" s="30" t="s">
        <v>9</v>
      </c>
      <c r="J5933" s="30" t="s">
        <v>391</v>
      </c>
    </row>
    <row r="5934" spans="1:10" x14ac:dyDescent="0.25">
      <c r="A5934" s="78">
        <v>46261</v>
      </c>
      <c r="B5934" s="68">
        <v>11</v>
      </c>
      <c r="C5934" s="205" t="s">
        <v>917</v>
      </c>
      <c r="D5934" s="30">
        <v>1</v>
      </c>
      <c r="E5934" s="30">
        <v>70</v>
      </c>
      <c r="F5934" s="30">
        <f t="shared" si="193"/>
        <v>70</v>
      </c>
      <c r="G5934" s="30" t="s">
        <v>9</v>
      </c>
      <c r="J5934" s="30" t="s">
        <v>391</v>
      </c>
    </row>
    <row r="5935" spans="1:10" x14ac:dyDescent="0.25">
      <c r="A5935" s="78">
        <v>46261</v>
      </c>
      <c r="B5935" s="68">
        <v>12</v>
      </c>
      <c r="C5935" s="205" t="s">
        <v>1288</v>
      </c>
      <c r="D5935" s="30">
        <v>1</v>
      </c>
      <c r="E5935" s="30">
        <v>5</v>
      </c>
      <c r="F5935" s="30">
        <f t="shared" si="193"/>
        <v>5</v>
      </c>
      <c r="G5935" s="30" t="s">
        <v>9</v>
      </c>
      <c r="J5935" s="30" t="s">
        <v>391</v>
      </c>
    </row>
    <row r="5936" spans="1:10" x14ac:dyDescent="0.25">
      <c r="A5936" s="78">
        <v>46261</v>
      </c>
      <c r="B5936" s="68">
        <v>13</v>
      </c>
      <c r="C5936" s="205" t="s">
        <v>542</v>
      </c>
      <c r="D5936" s="30">
        <v>0.15</v>
      </c>
      <c r="E5936" s="30">
        <v>140</v>
      </c>
      <c r="F5936" s="30">
        <f t="shared" si="193"/>
        <v>21</v>
      </c>
      <c r="G5936" s="30" t="s">
        <v>9</v>
      </c>
      <c r="J5936" s="30" t="s">
        <v>391</v>
      </c>
    </row>
    <row r="5937" spans="1:10" s="199" customFormat="1" ht="31.5" x14ac:dyDescent="0.25">
      <c r="A5937" s="196">
        <v>46261</v>
      </c>
      <c r="B5937" s="197" t="s">
        <v>1245</v>
      </c>
      <c r="C5937" s="198">
        <f>MAX(B5909:B5936)</f>
        <v>13</v>
      </c>
      <c r="D5937" s="197" t="s">
        <v>1246</v>
      </c>
      <c r="E5937" s="199">
        <f>SUMIF(G5909:G5936,"UPI",F5909:F5936)</f>
        <v>0</v>
      </c>
      <c r="H5937" s="200" t="s">
        <v>1247</v>
      </c>
      <c r="I5937" s="200">
        <f>SUMIF(G5909:G5936, "&lt;&gt;UPI",F5909:F5936)</f>
        <v>872.62</v>
      </c>
    </row>
    <row r="5938" spans="1:10" ht="30" x14ac:dyDescent="0.25">
      <c r="A5938" s="78">
        <v>46261</v>
      </c>
      <c r="B5938" s="68">
        <v>14</v>
      </c>
      <c r="C5938" s="205" t="s">
        <v>1183</v>
      </c>
      <c r="D5938" s="30">
        <v>2</v>
      </c>
      <c r="E5938" s="30">
        <v>10</v>
      </c>
      <c r="F5938" s="30">
        <f t="shared" ref="F5938:F5946" si="194">E5938*D5938</f>
        <v>20</v>
      </c>
      <c r="G5938" s="30" t="s">
        <v>9</v>
      </c>
      <c r="J5938" s="30" t="s">
        <v>392</v>
      </c>
    </row>
    <row r="5939" spans="1:10" x14ac:dyDescent="0.25">
      <c r="A5939" s="78">
        <v>46261</v>
      </c>
      <c r="B5939" s="68">
        <v>14</v>
      </c>
      <c r="C5939" s="33" t="s">
        <v>1368</v>
      </c>
      <c r="D5939" s="30">
        <v>1</v>
      </c>
      <c r="E5939" s="30">
        <v>10</v>
      </c>
      <c r="F5939" s="30">
        <f t="shared" si="194"/>
        <v>10</v>
      </c>
      <c r="G5939" s="30" t="s">
        <v>9</v>
      </c>
      <c r="J5939" s="30" t="s">
        <v>392</v>
      </c>
    </row>
    <row r="5940" spans="1:10" x14ac:dyDescent="0.25">
      <c r="A5940" s="78">
        <v>46261</v>
      </c>
      <c r="B5940" s="68">
        <v>15</v>
      </c>
      <c r="C5940" s="205" t="s">
        <v>1273</v>
      </c>
      <c r="D5940" s="30">
        <v>2</v>
      </c>
      <c r="E5940" s="30">
        <v>5</v>
      </c>
      <c r="F5940" s="30">
        <f t="shared" si="194"/>
        <v>10</v>
      </c>
      <c r="G5940" s="30" t="s">
        <v>9</v>
      </c>
      <c r="J5940" s="30" t="s">
        <v>392</v>
      </c>
    </row>
    <row r="5941" spans="1:10" x14ac:dyDescent="0.25">
      <c r="A5941" s="78">
        <v>46261</v>
      </c>
      <c r="B5941" s="68">
        <v>16</v>
      </c>
      <c r="C5941" s="205" t="s">
        <v>102</v>
      </c>
      <c r="D5941" s="30">
        <v>1</v>
      </c>
      <c r="E5941" s="30">
        <v>25</v>
      </c>
      <c r="F5941" s="30">
        <f t="shared" si="194"/>
        <v>25</v>
      </c>
      <c r="G5941" s="30" t="s">
        <v>9</v>
      </c>
      <c r="J5941" s="30" t="s">
        <v>392</v>
      </c>
    </row>
    <row r="5942" spans="1:10" x14ac:dyDescent="0.25">
      <c r="A5942" s="78">
        <v>46261</v>
      </c>
      <c r="B5942" s="68">
        <v>17</v>
      </c>
      <c r="C5942" s="205" t="s">
        <v>1234</v>
      </c>
      <c r="D5942" s="30">
        <v>0.5</v>
      </c>
      <c r="E5942" s="30">
        <v>70</v>
      </c>
      <c r="F5942" s="30">
        <f t="shared" si="194"/>
        <v>35</v>
      </c>
      <c r="G5942" s="30" t="s">
        <v>9</v>
      </c>
      <c r="J5942" s="30" t="s">
        <v>392</v>
      </c>
    </row>
    <row r="5943" spans="1:10" x14ac:dyDescent="0.25">
      <c r="A5943" s="78">
        <v>46261</v>
      </c>
      <c r="B5943" s="68">
        <v>18</v>
      </c>
      <c r="C5943" s="205" t="s">
        <v>915</v>
      </c>
      <c r="D5943" s="30">
        <v>2</v>
      </c>
      <c r="E5943" s="30">
        <v>10</v>
      </c>
      <c r="F5943" s="30">
        <f t="shared" si="194"/>
        <v>20</v>
      </c>
      <c r="G5943" s="30" t="s">
        <v>9</v>
      </c>
      <c r="J5943" s="30" t="s">
        <v>392</v>
      </c>
    </row>
    <row r="5944" spans="1:10" x14ac:dyDescent="0.25">
      <c r="A5944" s="78">
        <v>46261</v>
      </c>
      <c r="B5944" s="68">
        <v>18</v>
      </c>
      <c r="C5944" s="205" t="s">
        <v>1268</v>
      </c>
      <c r="D5944" s="30">
        <v>1</v>
      </c>
      <c r="E5944" s="30">
        <v>20</v>
      </c>
      <c r="F5944" s="30">
        <f t="shared" si="194"/>
        <v>20</v>
      </c>
      <c r="G5944" s="30" t="s">
        <v>9</v>
      </c>
      <c r="J5944" s="30" t="s">
        <v>392</v>
      </c>
    </row>
    <row r="5945" spans="1:10" x14ac:dyDescent="0.25">
      <c r="A5945" s="78">
        <v>46261</v>
      </c>
      <c r="B5945" s="68">
        <v>19</v>
      </c>
      <c r="C5945" s="205" t="s">
        <v>1229</v>
      </c>
      <c r="D5945" s="30">
        <v>1</v>
      </c>
      <c r="E5945" s="30">
        <v>40</v>
      </c>
      <c r="F5945" s="30">
        <f t="shared" si="194"/>
        <v>40</v>
      </c>
      <c r="G5945" s="30" t="s">
        <v>10</v>
      </c>
      <c r="J5945" s="30" t="s">
        <v>392</v>
      </c>
    </row>
    <row r="5946" spans="1:10" x14ac:dyDescent="0.25">
      <c r="A5946" s="78">
        <v>46261</v>
      </c>
      <c r="B5946" s="68">
        <v>19</v>
      </c>
      <c r="C5946" s="19" t="s">
        <v>1329</v>
      </c>
      <c r="D5946" s="30">
        <v>1</v>
      </c>
      <c r="E5946" s="30">
        <v>20</v>
      </c>
      <c r="F5946" s="30">
        <f t="shared" si="194"/>
        <v>20</v>
      </c>
      <c r="G5946" s="30" t="s">
        <v>10</v>
      </c>
      <c r="J5946" s="30" t="s">
        <v>392</v>
      </c>
    </row>
    <row r="5947" spans="1:10" x14ac:dyDescent="0.25">
      <c r="A5947" s="78">
        <v>46261</v>
      </c>
      <c r="B5947" s="68">
        <v>19</v>
      </c>
      <c r="C5947" s="19" t="s">
        <v>1327</v>
      </c>
      <c r="D5947" s="30">
        <v>0.2</v>
      </c>
      <c r="E5947" s="30">
        <v>70</v>
      </c>
      <c r="F5947" s="30">
        <v>13</v>
      </c>
      <c r="G5947" s="30" t="s">
        <v>10</v>
      </c>
      <c r="J5947" s="30" t="s">
        <v>392</v>
      </c>
    </row>
    <row r="5948" spans="1:10" x14ac:dyDescent="0.25">
      <c r="A5948" s="78">
        <v>46261</v>
      </c>
      <c r="B5948" s="68">
        <v>19</v>
      </c>
      <c r="C5948" s="205" t="s">
        <v>159</v>
      </c>
      <c r="D5948" s="30">
        <v>0.5</v>
      </c>
      <c r="E5948" s="30">
        <v>150</v>
      </c>
      <c r="F5948" s="30">
        <f>E5948*D5948</f>
        <v>75</v>
      </c>
      <c r="G5948" s="30" t="s">
        <v>10</v>
      </c>
      <c r="J5948" s="30" t="s">
        <v>392</v>
      </c>
    </row>
    <row r="5949" spans="1:10" x14ac:dyDescent="0.25">
      <c r="A5949" s="78">
        <v>46261</v>
      </c>
      <c r="B5949" s="68">
        <v>20</v>
      </c>
      <c r="C5949" s="19" t="s">
        <v>1327</v>
      </c>
      <c r="D5949" s="30">
        <v>0.2</v>
      </c>
      <c r="E5949" s="30">
        <v>70</v>
      </c>
      <c r="F5949" s="30">
        <f t="shared" ref="F5949:F5971" si="195">E5949*D5949</f>
        <v>14</v>
      </c>
      <c r="G5949" s="30" t="s">
        <v>10</v>
      </c>
      <c r="J5949" s="30" t="s">
        <v>392</v>
      </c>
    </row>
    <row r="5950" spans="1:10" x14ac:dyDescent="0.25">
      <c r="A5950" s="78">
        <v>46261</v>
      </c>
      <c r="B5950" s="68">
        <v>21</v>
      </c>
      <c r="C5950" s="205" t="s">
        <v>785</v>
      </c>
      <c r="D5950" s="30">
        <v>10</v>
      </c>
      <c r="E5950" s="30">
        <v>1</v>
      </c>
      <c r="F5950" s="30">
        <f t="shared" si="195"/>
        <v>10</v>
      </c>
      <c r="G5950" s="30" t="s">
        <v>9</v>
      </c>
      <c r="J5950" s="30" t="s">
        <v>392</v>
      </c>
    </row>
    <row r="5951" spans="1:10" x14ac:dyDescent="0.25">
      <c r="A5951" s="78">
        <v>46261</v>
      </c>
      <c r="B5951" s="68">
        <v>22</v>
      </c>
      <c r="C5951" s="205" t="s">
        <v>702</v>
      </c>
      <c r="D5951" s="30">
        <v>1</v>
      </c>
      <c r="E5951" s="30">
        <v>10</v>
      </c>
      <c r="F5951" s="30">
        <f t="shared" si="195"/>
        <v>10</v>
      </c>
      <c r="G5951" s="30" t="s">
        <v>10</v>
      </c>
      <c r="J5951" s="30" t="s">
        <v>392</v>
      </c>
    </row>
    <row r="5952" spans="1:10" x14ac:dyDescent="0.25">
      <c r="A5952" s="78">
        <v>46261</v>
      </c>
      <c r="B5952" s="68">
        <v>22</v>
      </c>
      <c r="C5952" s="205" t="s">
        <v>1258</v>
      </c>
      <c r="D5952" s="30">
        <v>1</v>
      </c>
      <c r="E5952" s="30">
        <v>10</v>
      </c>
      <c r="F5952" s="30">
        <f t="shared" si="195"/>
        <v>10</v>
      </c>
      <c r="G5952" s="30" t="s">
        <v>10</v>
      </c>
      <c r="J5952" s="30" t="s">
        <v>392</v>
      </c>
    </row>
    <row r="5953" spans="1:10" x14ac:dyDescent="0.25">
      <c r="A5953" s="78">
        <v>46261</v>
      </c>
      <c r="B5953" s="68">
        <v>22</v>
      </c>
      <c r="C5953" s="19" t="s">
        <v>1326</v>
      </c>
      <c r="D5953" s="30">
        <v>2</v>
      </c>
      <c r="E5953" s="30">
        <v>10</v>
      </c>
      <c r="F5953" s="30">
        <f t="shared" si="195"/>
        <v>20</v>
      </c>
      <c r="G5953" s="30" t="s">
        <v>10</v>
      </c>
      <c r="J5953" s="30" t="s">
        <v>392</v>
      </c>
    </row>
    <row r="5954" spans="1:10" x14ac:dyDescent="0.25">
      <c r="A5954" s="78">
        <v>46261</v>
      </c>
      <c r="B5954" s="68">
        <v>22</v>
      </c>
      <c r="C5954" s="205" t="s">
        <v>1234</v>
      </c>
      <c r="D5954" s="30">
        <v>0.14299999999999999</v>
      </c>
      <c r="E5954" s="30">
        <v>70</v>
      </c>
      <c r="F5954" s="30">
        <f t="shared" si="195"/>
        <v>10.01</v>
      </c>
      <c r="G5954" s="30" t="s">
        <v>10</v>
      </c>
      <c r="J5954" s="30" t="s">
        <v>392</v>
      </c>
    </row>
    <row r="5955" spans="1:10" x14ac:dyDescent="0.25">
      <c r="A5955" s="78">
        <v>46261</v>
      </c>
      <c r="B5955" s="68">
        <v>22</v>
      </c>
      <c r="C5955" s="19" t="s">
        <v>1346</v>
      </c>
      <c r="D5955" s="30">
        <v>1</v>
      </c>
      <c r="E5955" s="30">
        <v>10</v>
      </c>
      <c r="F5955" s="30">
        <f t="shared" si="195"/>
        <v>10</v>
      </c>
      <c r="G5955" s="30" t="s">
        <v>10</v>
      </c>
      <c r="J5955" s="30" t="s">
        <v>392</v>
      </c>
    </row>
    <row r="5956" spans="1:10" x14ac:dyDescent="0.25">
      <c r="A5956" s="78">
        <v>46261</v>
      </c>
      <c r="B5956" s="68">
        <v>22</v>
      </c>
      <c r="C5956" s="205" t="s">
        <v>953</v>
      </c>
      <c r="D5956" s="30">
        <v>1</v>
      </c>
      <c r="E5956" s="30">
        <v>10</v>
      </c>
      <c r="F5956" s="30">
        <f t="shared" si="195"/>
        <v>10</v>
      </c>
      <c r="G5956" s="30" t="s">
        <v>10</v>
      </c>
      <c r="J5956" s="30" t="s">
        <v>392</v>
      </c>
    </row>
    <row r="5957" spans="1:10" x14ac:dyDescent="0.25">
      <c r="A5957" s="78">
        <v>46261</v>
      </c>
      <c r="B5957" s="68">
        <v>22</v>
      </c>
      <c r="C5957" s="205" t="s">
        <v>964</v>
      </c>
      <c r="D5957" s="30">
        <v>1</v>
      </c>
      <c r="E5957" s="30">
        <v>10</v>
      </c>
      <c r="F5957" s="30">
        <f t="shared" si="195"/>
        <v>10</v>
      </c>
      <c r="G5957" s="30" t="s">
        <v>10</v>
      </c>
      <c r="J5957" s="30" t="s">
        <v>392</v>
      </c>
    </row>
    <row r="5958" spans="1:10" x14ac:dyDescent="0.25">
      <c r="A5958" s="78">
        <v>46261</v>
      </c>
      <c r="B5958" s="68">
        <v>22</v>
      </c>
      <c r="C5958" s="205" t="s">
        <v>1138</v>
      </c>
      <c r="D5958" s="30">
        <v>2</v>
      </c>
      <c r="E5958" s="30">
        <v>5</v>
      </c>
      <c r="F5958" s="30">
        <f t="shared" si="195"/>
        <v>10</v>
      </c>
      <c r="G5958" s="30" t="s">
        <v>10</v>
      </c>
      <c r="J5958" s="30" t="s">
        <v>392</v>
      </c>
    </row>
    <row r="5959" spans="1:10" x14ac:dyDescent="0.25">
      <c r="A5959" s="78">
        <v>46261</v>
      </c>
      <c r="B5959" s="68">
        <v>22</v>
      </c>
      <c r="C5959" s="205" t="s">
        <v>639</v>
      </c>
      <c r="D5959" s="30">
        <v>2</v>
      </c>
      <c r="E5959" s="30">
        <v>2</v>
      </c>
      <c r="F5959" s="30">
        <f t="shared" si="195"/>
        <v>4</v>
      </c>
      <c r="G5959" s="30" t="s">
        <v>10</v>
      </c>
      <c r="J5959" s="30" t="s">
        <v>392</v>
      </c>
    </row>
    <row r="5960" spans="1:10" x14ac:dyDescent="0.25">
      <c r="A5960" s="78">
        <v>46261</v>
      </c>
      <c r="B5960" s="68">
        <v>22</v>
      </c>
      <c r="C5960" s="205" t="s">
        <v>1162</v>
      </c>
      <c r="D5960" s="30">
        <v>1</v>
      </c>
      <c r="E5960" s="30">
        <v>5</v>
      </c>
      <c r="F5960" s="30">
        <f t="shared" si="195"/>
        <v>5</v>
      </c>
      <c r="G5960" s="30" t="s">
        <v>10</v>
      </c>
      <c r="J5960" s="30" t="s">
        <v>392</v>
      </c>
    </row>
    <row r="5961" spans="1:10" x14ac:dyDescent="0.25">
      <c r="A5961" s="78">
        <v>46261</v>
      </c>
      <c r="B5961" s="68">
        <v>23</v>
      </c>
      <c r="C5961" s="205" t="s">
        <v>1198</v>
      </c>
      <c r="D5961" s="30">
        <v>1</v>
      </c>
      <c r="E5961" s="30">
        <v>10</v>
      </c>
      <c r="F5961" s="30">
        <f t="shared" si="195"/>
        <v>10</v>
      </c>
      <c r="G5961" s="30" t="s">
        <v>9</v>
      </c>
      <c r="J5961" s="30" t="s">
        <v>392</v>
      </c>
    </row>
    <row r="5962" spans="1:10" x14ac:dyDescent="0.25">
      <c r="A5962" s="78">
        <v>46261</v>
      </c>
      <c r="B5962" s="68">
        <v>23</v>
      </c>
      <c r="C5962" s="205" t="s">
        <v>1255</v>
      </c>
      <c r="D5962" s="30">
        <v>1</v>
      </c>
      <c r="E5962" s="30">
        <v>10</v>
      </c>
      <c r="F5962" s="30">
        <f t="shared" si="195"/>
        <v>10</v>
      </c>
      <c r="G5962" s="30" t="s">
        <v>9</v>
      </c>
      <c r="J5962" s="30" t="s">
        <v>392</v>
      </c>
    </row>
    <row r="5963" spans="1:10" x14ac:dyDescent="0.25">
      <c r="A5963" s="78">
        <v>46261</v>
      </c>
      <c r="B5963" s="68">
        <v>24</v>
      </c>
      <c r="C5963" s="205" t="s">
        <v>1258</v>
      </c>
      <c r="D5963" s="30">
        <v>2</v>
      </c>
      <c r="E5963" s="30">
        <v>10</v>
      </c>
      <c r="F5963" s="30">
        <f t="shared" si="195"/>
        <v>20</v>
      </c>
      <c r="G5963" s="30" t="s">
        <v>9</v>
      </c>
      <c r="J5963" s="30" t="s">
        <v>392</v>
      </c>
    </row>
    <row r="5964" spans="1:10" x14ac:dyDescent="0.25">
      <c r="A5964" s="78">
        <v>46261</v>
      </c>
      <c r="B5964" s="68">
        <v>24</v>
      </c>
      <c r="C5964" s="19" t="s">
        <v>1330</v>
      </c>
      <c r="D5964" s="30">
        <v>1</v>
      </c>
      <c r="E5964" s="30">
        <v>30</v>
      </c>
      <c r="F5964" s="30">
        <f t="shared" si="195"/>
        <v>30</v>
      </c>
      <c r="G5964" s="30" t="s">
        <v>9</v>
      </c>
      <c r="J5964" s="30" t="s">
        <v>392</v>
      </c>
    </row>
    <row r="5965" spans="1:10" x14ac:dyDescent="0.25">
      <c r="A5965" s="78">
        <v>46261</v>
      </c>
      <c r="B5965" s="68">
        <v>25</v>
      </c>
      <c r="C5965" s="205" t="s">
        <v>1255</v>
      </c>
      <c r="D5965" s="30">
        <v>1</v>
      </c>
      <c r="E5965" s="30">
        <v>10</v>
      </c>
      <c r="F5965" s="30">
        <f t="shared" si="195"/>
        <v>10</v>
      </c>
      <c r="G5965" s="30" t="s">
        <v>9</v>
      </c>
      <c r="J5965" s="30" t="s">
        <v>392</v>
      </c>
    </row>
    <row r="5966" spans="1:10" x14ac:dyDescent="0.25">
      <c r="A5966" s="78">
        <v>46261</v>
      </c>
      <c r="B5966" s="68">
        <v>26</v>
      </c>
      <c r="C5966" s="205" t="s">
        <v>1137</v>
      </c>
      <c r="D5966" s="30">
        <v>1</v>
      </c>
      <c r="E5966" s="30">
        <v>40</v>
      </c>
      <c r="F5966" s="30">
        <f t="shared" si="195"/>
        <v>40</v>
      </c>
      <c r="G5966" s="30" t="s">
        <v>9</v>
      </c>
      <c r="J5966" s="30" t="s">
        <v>392</v>
      </c>
    </row>
    <row r="5967" spans="1:10" x14ac:dyDescent="0.25">
      <c r="A5967" s="78">
        <v>46261</v>
      </c>
      <c r="B5967" s="68">
        <v>26</v>
      </c>
      <c r="C5967" s="204" t="s">
        <v>970</v>
      </c>
      <c r="D5967" s="30">
        <v>2</v>
      </c>
      <c r="E5967" s="30">
        <v>10</v>
      </c>
      <c r="F5967" s="30">
        <f t="shared" si="195"/>
        <v>20</v>
      </c>
      <c r="G5967" s="30" t="s">
        <v>9</v>
      </c>
      <c r="J5967" s="30" t="s">
        <v>392</v>
      </c>
    </row>
    <row r="5968" spans="1:10" x14ac:dyDescent="0.25">
      <c r="A5968" s="78">
        <v>46261</v>
      </c>
      <c r="B5968" s="68">
        <v>27</v>
      </c>
      <c r="C5968" s="205" t="s">
        <v>117</v>
      </c>
      <c r="D5968" s="30">
        <v>1</v>
      </c>
      <c r="E5968" s="30">
        <v>10</v>
      </c>
      <c r="F5968" s="30">
        <f t="shared" si="195"/>
        <v>10</v>
      </c>
      <c r="G5968" s="30" t="s">
        <v>9</v>
      </c>
      <c r="J5968" s="30" t="s">
        <v>392</v>
      </c>
    </row>
    <row r="5969" spans="1:12" x14ac:dyDescent="0.25">
      <c r="A5969" s="78">
        <v>46261</v>
      </c>
      <c r="B5969" s="68">
        <v>28</v>
      </c>
      <c r="C5969" s="19" t="s">
        <v>1326</v>
      </c>
      <c r="D5969" s="30">
        <v>8</v>
      </c>
      <c r="E5969" s="30">
        <v>8.5</v>
      </c>
      <c r="F5969" s="30">
        <f t="shared" si="195"/>
        <v>68</v>
      </c>
      <c r="G5969" s="30" t="s">
        <v>10</v>
      </c>
      <c r="J5969" s="30" t="s">
        <v>392</v>
      </c>
    </row>
    <row r="5970" spans="1:12" x14ac:dyDescent="0.25">
      <c r="A5970" s="78">
        <v>46261</v>
      </c>
      <c r="B5970" s="68">
        <v>28</v>
      </c>
      <c r="C5970" s="19" t="s">
        <v>1351</v>
      </c>
      <c r="D5970" s="30">
        <v>6</v>
      </c>
      <c r="E5970" s="30">
        <v>5</v>
      </c>
      <c r="F5970" s="30">
        <f t="shared" si="195"/>
        <v>30</v>
      </c>
      <c r="G5970" s="30" t="s">
        <v>10</v>
      </c>
      <c r="J5970" s="30" t="s">
        <v>392</v>
      </c>
    </row>
    <row r="5971" spans="1:12" x14ac:dyDescent="0.25">
      <c r="A5971" s="78">
        <v>46261</v>
      </c>
      <c r="B5971" s="68">
        <v>28</v>
      </c>
      <c r="C5971" s="205" t="s">
        <v>639</v>
      </c>
      <c r="D5971" s="30">
        <v>6</v>
      </c>
      <c r="E5971" s="30">
        <v>2</v>
      </c>
      <c r="F5971" s="30">
        <f t="shared" si="195"/>
        <v>12</v>
      </c>
      <c r="G5971" s="30" t="s">
        <v>10</v>
      </c>
      <c r="J5971" s="30" t="s">
        <v>392</v>
      </c>
    </row>
    <row r="5972" spans="1:12" s="199" customFormat="1" ht="31.5" x14ac:dyDescent="0.25">
      <c r="A5972" s="196">
        <v>46261</v>
      </c>
      <c r="B5972" s="197" t="s">
        <v>1248</v>
      </c>
      <c r="C5972" s="198">
        <f>MAX(B5938:B5971)</f>
        <v>28</v>
      </c>
      <c r="D5972" s="197" t="s">
        <v>1249</v>
      </c>
      <c r="E5972" s="199">
        <f>SUMIF(G5938:G5972,"UPI",F5938:F5972)</f>
        <v>371.01</v>
      </c>
      <c r="H5972" s="200" t="s">
        <v>1251</v>
      </c>
      <c r="I5972" s="200">
        <f>SUMIF(G5938:G5972, "&lt;&gt;UPI",F5938:F5972)</f>
        <v>300</v>
      </c>
    </row>
    <row r="5973" spans="1:12" s="5" customFormat="1" ht="15.75" x14ac:dyDescent="0.25">
      <c r="A5973" s="201">
        <v>46261</v>
      </c>
      <c r="B5973" s="2"/>
      <c r="C5973" s="14"/>
      <c r="H5973" s="2" t="s">
        <v>1250</v>
      </c>
      <c r="I5973" s="2">
        <f>SUMIF(G5909:G5972, "&lt;&gt;UPI",F5909:F5972)</f>
        <v>1172.6199999999999</v>
      </c>
    </row>
    <row r="5974" spans="1:12" s="202" customFormat="1" ht="18.75" customHeight="1" x14ac:dyDescent="0.3">
      <c r="A5974" s="146">
        <v>46261</v>
      </c>
      <c r="B5974" s="147" t="s">
        <v>987</v>
      </c>
      <c r="C5974" s="148">
        <f>MAX(B5909:B5973)</f>
        <v>28</v>
      </c>
      <c r="D5974" s="147" t="s">
        <v>988</v>
      </c>
      <c r="E5974" s="202">
        <f>SUMIF(G5909:G5971,"UPI",F5909:F5971)</f>
        <v>371.01</v>
      </c>
      <c r="F5974" s="227" t="s">
        <v>437</v>
      </c>
      <c r="G5974" s="228"/>
      <c r="H5974" s="229"/>
      <c r="I5974" s="227">
        <f>SUM(F5909:F5973)</f>
        <v>1543.6299999999999</v>
      </c>
      <c r="J5974" s="228"/>
      <c r="K5974" s="228"/>
      <c r="L5974" s="229"/>
    </row>
    <row r="5975" spans="1:12" x14ac:dyDescent="0.25">
      <c r="A5975" s="78">
        <v>46262</v>
      </c>
      <c r="B5975" s="68">
        <v>1</v>
      </c>
      <c r="C5975" s="205" t="s">
        <v>1026</v>
      </c>
      <c r="D5975" s="30">
        <v>0.05</v>
      </c>
      <c r="E5975" s="30">
        <v>200</v>
      </c>
      <c r="F5975" s="30">
        <f>E5975*D5975</f>
        <v>10</v>
      </c>
      <c r="G5975" s="30" t="s">
        <v>9</v>
      </c>
      <c r="J5975" s="30" t="s">
        <v>391</v>
      </c>
    </row>
    <row r="5976" spans="1:12" x14ac:dyDescent="0.25">
      <c r="A5976" s="78">
        <v>46262</v>
      </c>
      <c r="B5976" s="68">
        <v>2</v>
      </c>
      <c r="C5976" s="205" t="s">
        <v>99</v>
      </c>
      <c r="D5976" s="30">
        <v>1</v>
      </c>
      <c r="E5976" s="30">
        <v>9</v>
      </c>
      <c r="F5976" s="30">
        <f t="shared" ref="F5976:F6003" si="196">E5976*D5976</f>
        <v>9</v>
      </c>
      <c r="G5976" s="30" t="s">
        <v>9</v>
      </c>
      <c r="J5976" s="30" t="s">
        <v>391</v>
      </c>
    </row>
    <row r="5977" spans="1:12" x14ac:dyDescent="0.25">
      <c r="A5977" s="78">
        <v>46262</v>
      </c>
      <c r="B5977" s="68">
        <v>3</v>
      </c>
      <c r="C5977" s="19" t="s">
        <v>1327</v>
      </c>
      <c r="D5977" s="30">
        <v>0.5</v>
      </c>
      <c r="E5977" s="30">
        <v>70</v>
      </c>
      <c r="F5977" s="30">
        <f t="shared" si="196"/>
        <v>35</v>
      </c>
      <c r="G5977" s="30" t="s">
        <v>9</v>
      </c>
      <c r="J5977" s="30" t="s">
        <v>391</v>
      </c>
    </row>
    <row r="5978" spans="1:12" x14ac:dyDescent="0.25">
      <c r="A5978" s="78">
        <v>46262</v>
      </c>
      <c r="B5978" s="68">
        <v>4</v>
      </c>
      <c r="C5978" s="205" t="s">
        <v>1158</v>
      </c>
      <c r="D5978" s="30">
        <v>2</v>
      </c>
      <c r="E5978" s="30">
        <v>30</v>
      </c>
      <c r="F5978" s="30">
        <f t="shared" si="196"/>
        <v>60</v>
      </c>
      <c r="G5978" s="30" t="s">
        <v>9</v>
      </c>
      <c r="J5978" s="30" t="s">
        <v>391</v>
      </c>
    </row>
    <row r="5979" spans="1:12" x14ac:dyDescent="0.25">
      <c r="A5979" s="78">
        <v>46262</v>
      </c>
      <c r="B5979" s="68">
        <v>4</v>
      </c>
      <c r="C5979" s="205" t="s">
        <v>880</v>
      </c>
      <c r="D5979" s="30">
        <v>1</v>
      </c>
      <c r="E5979" s="30">
        <v>45</v>
      </c>
      <c r="F5979" s="30">
        <f t="shared" si="196"/>
        <v>45</v>
      </c>
      <c r="G5979" s="30" t="s">
        <v>9</v>
      </c>
      <c r="J5979" s="30" t="s">
        <v>391</v>
      </c>
    </row>
    <row r="5980" spans="1:12" x14ac:dyDescent="0.25">
      <c r="A5980" s="78">
        <v>46262</v>
      </c>
      <c r="B5980" s="68">
        <v>4</v>
      </c>
      <c r="C5980" s="205" t="s">
        <v>499</v>
      </c>
      <c r="D5980" s="30">
        <v>1</v>
      </c>
      <c r="E5980" s="30">
        <v>20</v>
      </c>
      <c r="F5980" s="30">
        <f t="shared" si="196"/>
        <v>20</v>
      </c>
      <c r="G5980" s="30" t="s">
        <v>9</v>
      </c>
      <c r="J5980" s="30" t="s">
        <v>391</v>
      </c>
    </row>
    <row r="5981" spans="1:12" x14ac:dyDescent="0.25">
      <c r="A5981" s="78">
        <v>46262</v>
      </c>
      <c r="B5981" s="68">
        <v>4</v>
      </c>
      <c r="C5981" s="205" t="s">
        <v>1231</v>
      </c>
      <c r="D5981" s="30">
        <v>0.6</v>
      </c>
      <c r="E5981" s="30">
        <v>25</v>
      </c>
      <c r="F5981" s="30">
        <f t="shared" si="196"/>
        <v>15</v>
      </c>
      <c r="G5981" s="30" t="s">
        <v>9</v>
      </c>
      <c r="J5981" s="30" t="s">
        <v>391</v>
      </c>
    </row>
    <row r="5982" spans="1:12" x14ac:dyDescent="0.25">
      <c r="A5982" s="78">
        <v>46262</v>
      </c>
      <c r="B5982" s="68">
        <v>4</v>
      </c>
      <c r="C5982" s="204" t="s">
        <v>814</v>
      </c>
      <c r="D5982" s="30">
        <v>0.25</v>
      </c>
      <c r="E5982" s="30">
        <v>60</v>
      </c>
      <c r="F5982" s="30">
        <f t="shared" si="196"/>
        <v>15</v>
      </c>
      <c r="G5982" s="30" t="s">
        <v>9</v>
      </c>
      <c r="J5982" s="30" t="s">
        <v>391</v>
      </c>
    </row>
    <row r="5983" spans="1:12" x14ac:dyDescent="0.25">
      <c r="A5983" s="78">
        <v>46262</v>
      </c>
      <c r="B5983" s="68">
        <v>5</v>
      </c>
      <c r="C5983" s="205" t="s">
        <v>533</v>
      </c>
      <c r="D5983" s="30">
        <v>1</v>
      </c>
      <c r="E5983" s="30">
        <v>10</v>
      </c>
      <c r="F5983" s="30">
        <f t="shared" si="196"/>
        <v>10</v>
      </c>
      <c r="G5983" s="30" t="s">
        <v>9</v>
      </c>
      <c r="J5983" s="30" t="s">
        <v>391</v>
      </c>
    </row>
    <row r="5984" spans="1:12" x14ac:dyDescent="0.25">
      <c r="A5984" s="78">
        <v>46262</v>
      </c>
      <c r="B5984" s="68">
        <v>5</v>
      </c>
      <c r="C5984" s="205" t="s">
        <v>1162</v>
      </c>
      <c r="D5984" s="30">
        <v>2</v>
      </c>
      <c r="E5984" s="30">
        <v>5</v>
      </c>
      <c r="F5984" s="30">
        <f t="shared" si="196"/>
        <v>10</v>
      </c>
      <c r="G5984" s="30" t="s">
        <v>9</v>
      </c>
      <c r="J5984" s="30" t="s">
        <v>391</v>
      </c>
    </row>
    <row r="5985" spans="1:10" x14ac:dyDescent="0.25">
      <c r="A5985" s="78">
        <v>46262</v>
      </c>
      <c r="B5985" s="68">
        <v>6</v>
      </c>
      <c r="C5985" s="33" t="s">
        <v>1371</v>
      </c>
      <c r="D5985" s="30">
        <v>1</v>
      </c>
      <c r="E5985" s="30">
        <v>60</v>
      </c>
      <c r="F5985" s="30">
        <f t="shared" si="196"/>
        <v>60</v>
      </c>
      <c r="G5985" s="30" t="s">
        <v>16</v>
      </c>
      <c r="I5985" s="68" t="s">
        <v>1200</v>
      </c>
      <c r="J5985" s="30" t="s">
        <v>391</v>
      </c>
    </row>
    <row r="5986" spans="1:10" x14ac:dyDescent="0.25">
      <c r="A5986" s="78">
        <v>46262</v>
      </c>
      <c r="B5986" s="68">
        <v>7</v>
      </c>
      <c r="C5986" s="205" t="s">
        <v>1280</v>
      </c>
      <c r="D5986" s="30">
        <v>1</v>
      </c>
      <c r="E5986" s="30">
        <v>10</v>
      </c>
      <c r="F5986" s="30">
        <f t="shared" si="196"/>
        <v>10</v>
      </c>
      <c r="G5986" s="30" t="s">
        <v>9</v>
      </c>
      <c r="J5986" s="30" t="s">
        <v>391</v>
      </c>
    </row>
    <row r="5987" spans="1:10" x14ac:dyDescent="0.25">
      <c r="A5987" s="78">
        <v>46262</v>
      </c>
      <c r="B5987" s="68">
        <v>7</v>
      </c>
      <c r="C5987" s="205" t="s">
        <v>915</v>
      </c>
      <c r="D5987" s="30">
        <v>1</v>
      </c>
      <c r="E5987" s="30">
        <v>10</v>
      </c>
      <c r="F5987" s="30">
        <f t="shared" si="196"/>
        <v>10</v>
      </c>
      <c r="G5987" s="30" t="s">
        <v>9</v>
      </c>
      <c r="J5987" s="30" t="s">
        <v>391</v>
      </c>
    </row>
    <row r="5988" spans="1:10" x14ac:dyDescent="0.25">
      <c r="A5988" s="78">
        <v>46262</v>
      </c>
      <c r="B5988" s="68">
        <v>7</v>
      </c>
      <c r="C5988" s="205" t="s">
        <v>1261</v>
      </c>
      <c r="D5988" s="30">
        <v>1</v>
      </c>
      <c r="E5988" s="30">
        <v>10</v>
      </c>
      <c r="F5988" s="30">
        <f t="shared" si="196"/>
        <v>10</v>
      </c>
      <c r="G5988" s="30" t="s">
        <v>9</v>
      </c>
      <c r="J5988" s="30" t="s">
        <v>391</v>
      </c>
    </row>
    <row r="5989" spans="1:10" x14ac:dyDescent="0.25">
      <c r="A5989" s="78">
        <v>46262</v>
      </c>
      <c r="B5989" s="68">
        <v>8</v>
      </c>
      <c r="C5989" s="33" t="s">
        <v>1371</v>
      </c>
      <c r="D5989" s="30">
        <v>0.5</v>
      </c>
      <c r="E5989" s="30">
        <v>60</v>
      </c>
      <c r="F5989" s="30">
        <f t="shared" si="196"/>
        <v>30</v>
      </c>
      <c r="G5989" s="30" t="s">
        <v>9</v>
      </c>
      <c r="J5989" s="30" t="s">
        <v>391</v>
      </c>
    </row>
    <row r="5990" spans="1:10" x14ac:dyDescent="0.25">
      <c r="A5990" s="78">
        <v>46262</v>
      </c>
      <c r="B5990" s="68">
        <v>8</v>
      </c>
      <c r="C5990" s="205" t="s">
        <v>1147</v>
      </c>
      <c r="D5990" s="30">
        <v>1</v>
      </c>
      <c r="E5990" s="30">
        <v>10</v>
      </c>
      <c r="F5990" s="30">
        <f t="shared" si="196"/>
        <v>10</v>
      </c>
      <c r="G5990" s="30" t="s">
        <v>9</v>
      </c>
      <c r="J5990" s="30" t="s">
        <v>391</v>
      </c>
    </row>
    <row r="5991" spans="1:10" x14ac:dyDescent="0.25">
      <c r="A5991" s="78">
        <v>46262</v>
      </c>
      <c r="B5991" s="68">
        <v>9</v>
      </c>
      <c r="C5991" s="205" t="s">
        <v>931</v>
      </c>
      <c r="D5991" s="30">
        <v>1</v>
      </c>
      <c r="E5991" s="30">
        <v>20</v>
      </c>
      <c r="F5991" s="30">
        <f t="shared" si="196"/>
        <v>20</v>
      </c>
      <c r="G5991" s="30" t="s">
        <v>9</v>
      </c>
      <c r="J5991" s="30" t="s">
        <v>391</v>
      </c>
    </row>
    <row r="5992" spans="1:10" x14ac:dyDescent="0.25">
      <c r="A5992" s="78">
        <v>46262</v>
      </c>
      <c r="B5992" s="68">
        <v>9</v>
      </c>
      <c r="C5992" s="33" t="s">
        <v>1316</v>
      </c>
      <c r="D5992" s="30">
        <v>1</v>
      </c>
      <c r="E5992" s="30">
        <v>10</v>
      </c>
      <c r="F5992" s="30">
        <f t="shared" si="196"/>
        <v>10</v>
      </c>
      <c r="G5992" s="30" t="s">
        <v>9</v>
      </c>
      <c r="J5992" s="30" t="s">
        <v>391</v>
      </c>
    </row>
    <row r="5993" spans="1:10" x14ac:dyDescent="0.25">
      <c r="A5993" s="78">
        <v>46262</v>
      </c>
      <c r="B5993" s="68">
        <v>9</v>
      </c>
      <c r="C5993" s="33" t="s">
        <v>1352</v>
      </c>
      <c r="D5993" s="30">
        <v>1</v>
      </c>
      <c r="E5993" s="30">
        <v>45</v>
      </c>
      <c r="F5993" s="30">
        <f t="shared" si="196"/>
        <v>45</v>
      </c>
      <c r="G5993" s="30" t="s">
        <v>9</v>
      </c>
      <c r="J5993" s="30" t="s">
        <v>391</v>
      </c>
    </row>
    <row r="5994" spans="1:10" ht="30" x14ac:dyDescent="0.25">
      <c r="A5994" s="78">
        <v>46262</v>
      </c>
      <c r="B5994" s="68">
        <v>10</v>
      </c>
      <c r="C5994" s="205" t="s">
        <v>771</v>
      </c>
      <c r="D5994" s="30">
        <v>1</v>
      </c>
      <c r="E5994" s="30">
        <v>158</v>
      </c>
      <c r="F5994" s="30">
        <f t="shared" si="196"/>
        <v>158</v>
      </c>
      <c r="G5994" s="30" t="s">
        <v>9</v>
      </c>
      <c r="J5994" s="30" t="s">
        <v>391</v>
      </c>
    </row>
    <row r="5995" spans="1:10" x14ac:dyDescent="0.25">
      <c r="A5995" s="78">
        <v>46262</v>
      </c>
      <c r="B5995" s="68">
        <v>11</v>
      </c>
      <c r="C5995" s="205" t="s">
        <v>1234</v>
      </c>
      <c r="D5995" s="30">
        <v>0.74</v>
      </c>
      <c r="E5995" s="30">
        <v>70</v>
      </c>
      <c r="F5995" s="30">
        <f t="shared" si="196"/>
        <v>51.8</v>
      </c>
      <c r="G5995" s="30" t="s">
        <v>9</v>
      </c>
      <c r="J5995" s="30" t="s">
        <v>391</v>
      </c>
    </row>
    <row r="5996" spans="1:10" x14ac:dyDescent="0.25">
      <c r="A5996" s="78">
        <v>46262</v>
      </c>
      <c r="B5996" s="68">
        <v>12</v>
      </c>
      <c r="C5996" s="205" t="s">
        <v>1161</v>
      </c>
      <c r="D5996" s="30">
        <v>1</v>
      </c>
      <c r="E5996" s="30">
        <v>30</v>
      </c>
      <c r="F5996" s="30">
        <f t="shared" si="196"/>
        <v>30</v>
      </c>
      <c r="G5996" s="30" t="s">
        <v>9</v>
      </c>
      <c r="J5996" s="30" t="s">
        <v>391</v>
      </c>
    </row>
    <row r="5997" spans="1:10" x14ac:dyDescent="0.25">
      <c r="A5997" s="78">
        <v>46262</v>
      </c>
      <c r="B5997" s="68">
        <v>13</v>
      </c>
      <c r="C5997" s="205" t="s">
        <v>1372</v>
      </c>
      <c r="D5997" s="30">
        <v>1</v>
      </c>
      <c r="E5997" s="30">
        <v>13</v>
      </c>
      <c r="F5997" s="30">
        <f t="shared" si="196"/>
        <v>13</v>
      </c>
      <c r="G5997" s="30" t="s">
        <v>9</v>
      </c>
      <c r="J5997" s="30" t="s">
        <v>391</v>
      </c>
    </row>
    <row r="5998" spans="1:10" ht="30" x14ac:dyDescent="0.25">
      <c r="A5998" s="78">
        <v>46262</v>
      </c>
      <c r="B5998" s="68">
        <v>13</v>
      </c>
      <c r="C5998" s="205" t="s">
        <v>1066</v>
      </c>
      <c r="D5998" s="30">
        <v>1</v>
      </c>
      <c r="E5998" s="30">
        <v>40</v>
      </c>
      <c r="F5998" s="30">
        <f t="shared" si="196"/>
        <v>40</v>
      </c>
      <c r="G5998" s="30" t="s">
        <v>9</v>
      </c>
      <c r="J5998" s="30" t="s">
        <v>391</v>
      </c>
    </row>
    <row r="5999" spans="1:10" ht="30" x14ac:dyDescent="0.25">
      <c r="A5999" s="78">
        <v>46262</v>
      </c>
      <c r="B5999" s="68">
        <v>14</v>
      </c>
      <c r="C5999" s="205" t="s">
        <v>771</v>
      </c>
      <c r="D5999" s="30">
        <v>1</v>
      </c>
      <c r="E5999" s="30">
        <v>160</v>
      </c>
      <c r="F5999" s="30">
        <f t="shared" si="196"/>
        <v>160</v>
      </c>
      <c r="G5999" s="30" t="s">
        <v>9</v>
      </c>
      <c r="J5999" s="30" t="s">
        <v>391</v>
      </c>
    </row>
    <row r="6000" spans="1:10" x14ac:dyDescent="0.25">
      <c r="A6000" s="78">
        <v>46262</v>
      </c>
      <c r="B6000" s="68">
        <v>15</v>
      </c>
      <c r="C6000" s="205" t="s">
        <v>499</v>
      </c>
      <c r="D6000" s="30">
        <v>1</v>
      </c>
      <c r="E6000" s="30">
        <v>20</v>
      </c>
      <c r="F6000" s="30">
        <f t="shared" si="196"/>
        <v>20</v>
      </c>
      <c r="G6000" s="30" t="s">
        <v>9</v>
      </c>
      <c r="J6000" s="30" t="s">
        <v>391</v>
      </c>
    </row>
    <row r="6001" spans="1:10" x14ac:dyDescent="0.25">
      <c r="A6001" s="78">
        <v>46262</v>
      </c>
      <c r="B6001" s="68">
        <v>16</v>
      </c>
      <c r="C6001" s="205" t="s">
        <v>1291</v>
      </c>
      <c r="D6001" s="30">
        <v>5</v>
      </c>
      <c r="E6001" s="30">
        <v>65</v>
      </c>
      <c r="F6001" s="30">
        <f t="shared" si="196"/>
        <v>325</v>
      </c>
      <c r="G6001" s="30" t="s">
        <v>16</v>
      </c>
      <c r="I6001" s="68" t="s">
        <v>1200</v>
      </c>
      <c r="J6001" s="30" t="s">
        <v>391</v>
      </c>
    </row>
    <row r="6002" spans="1:10" x14ac:dyDescent="0.25">
      <c r="A6002" s="78">
        <v>46262</v>
      </c>
      <c r="B6002" s="68">
        <v>16</v>
      </c>
      <c r="C6002" s="33" t="s">
        <v>1373</v>
      </c>
      <c r="D6002" s="30">
        <v>0.5</v>
      </c>
      <c r="E6002" s="30">
        <v>150</v>
      </c>
      <c r="F6002" s="30">
        <f t="shared" si="196"/>
        <v>75</v>
      </c>
      <c r="G6002" s="30" t="s">
        <v>16</v>
      </c>
      <c r="I6002" s="68" t="s">
        <v>1200</v>
      </c>
      <c r="J6002" s="30" t="s">
        <v>391</v>
      </c>
    </row>
    <row r="6003" spans="1:10" x14ac:dyDescent="0.25">
      <c r="A6003" s="78">
        <v>46262</v>
      </c>
      <c r="B6003" s="68">
        <v>17</v>
      </c>
      <c r="C6003" s="205" t="s">
        <v>1280</v>
      </c>
      <c r="D6003" s="30">
        <v>1</v>
      </c>
      <c r="E6003" s="30">
        <v>10</v>
      </c>
      <c r="F6003" s="30">
        <f t="shared" si="196"/>
        <v>10</v>
      </c>
      <c r="G6003" s="30" t="s">
        <v>9</v>
      </c>
      <c r="J6003" s="30" t="s">
        <v>391</v>
      </c>
    </row>
    <row r="6004" spans="1:10" s="199" customFormat="1" ht="31.5" x14ac:dyDescent="0.25">
      <c r="A6004" s="196">
        <v>46262</v>
      </c>
      <c r="B6004" s="197" t="s">
        <v>1245</v>
      </c>
      <c r="C6004" s="198">
        <f>MAX(B5975:B6004)</f>
        <v>17</v>
      </c>
      <c r="D6004" s="197" t="s">
        <v>1246</v>
      </c>
      <c r="E6004" s="199">
        <f>SUMIF(G5975:G6003,"UPI",F5975:F6003)</f>
        <v>0</v>
      </c>
      <c r="H6004" s="200" t="s">
        <v>1247</v>
      </c>
      <c r="I6004" s="200">
        <f>SUMIF(G5975:G6003, "&lt;&gt;UPI",F5975:F6003)</f>
        <v>1316.8</v>
      </c>
    </row>
    <row r="6005" spans="1:10" x14ac:dyDescent="0.25">
      <c r="A6005" s="78">
        <v>46262</v>
      </c>
      <c r="B6005" s="68">
        <v>18</v>
      </c>
      <c r="C6005" s="19" t="s">
        <v>1326</v>
      </c>
      <c r="D6005" s="30">
        <v>4</v>
      </c>
      <c r="E6005" s="30">
        <v>10</v>
      </c>
      <c r="F6005" s="30">
        <f>E6005*D6005</f>
        <v>40</v>
      </c>
      <c r="G6005" s="30" t="s">
        <v>9</v>
      </c>
      <c r="J6005" s="30" t="s">
        <v>392</v>
      </c>
    </row>
    <row r="6006" spans="1:10" x14ac:dyDescent="0.25">
      <c r="A6006" s="78">
        <v>46262</v>
      </c>
      <c r="B6006" s="68">
        <v>18</v>
      </c>
      <c r="C6006" s="204" t="s">
        <v>970</v>
      </c>
      <c r="D6006" s="30">
        <v>4</v>
      </c>
      <c r="E6006" s="30">
        <v>10</v>
      </c>
      <c r="F6006" s="30">
        <f t="shared" ref="F6006:F6032" si="197">E6006*D6006</f>
        <v>40</v>
      </c>
      <c r="G6006" s="30" t="s">
        <v>9</v>
      </c>
      <c r="J6006" s="30" t="s">
        <v>392</v>
      </c>
    </row>
    <row r="6007" spans="1:10" x14ac:dyDescent="0.25">
      <c r="A6007" s="78">
        <v>46262</v>
      </c>
      <c r="B6007" s="68">
        <v>19</v>
      </c>
      <c r="C6007" s="205" t="s">
        <v>567</v>
      </c>
      <c r="D6007" s="30">
        <v>2</v>
      </c>
      <c r="E6007" s="30">
        <v>2.5</v>
      </c>
      <c r="F6007" s="30">
        <f t="shared" si="197"/>
        <v>5</v>
      </c>
      <c r="G6007" s="30" t="s">
        <v>9</v>
      </c>
      <c r="J6007" s="30" t="s">
        <v>392</v>
      </c>
    </row>
    <row r="6008" spans="1:10" x14ac:dyDescent="0.25">
      <c r="A6008" s="78">
        <v>46262</v>
      </c>
      <c r="B6008" s="68">
        <v>19</v>
      </c>
      <c r="C6008" s="205" t="s">
        <v>640</v>
      </c>
      <c r="D6008" s="30">
        <v>1</v>
      </c>
      <c r="E6008" s="30">
        <v>5</v>
      </c>
      <c r="F6008" s="30">
        <f t="shared" si="197"/>
        <v>5</v>
      </c>
      <c r="G6008" s="30" t="s">
        <v>9</v>
      </c>
      <c r="J6008" s="30" t="s">
        <v>392</v>
      </c>
    </row>
    <row r="6009" spans="1:10" ht="30" x14ac:dyDescent="0.25">
      <c r="A6009" s="78">
        <v>46262</v>
      </c>
      <c r="B6009" s="68">
        <v>16</v>
      </c>
      <c r="C6009" s="205" t="s">
        <v>977</v>
      </c>
      <c r="D6009" s="30">
        <v>1</v>
      </c>
      <c r="E6009" s="30">
        <v>10</v>
      </c>
      <c r="F6009" s="30">
        <f t="shared" si="197"/>
        <v>10</v>
      </c>
      <c r="G6009" s="30" t="s">
        <v>9</v>
      </c>
      <c r="J6009" s="30" t="s">
        <v>392</v>
      </c>
    </row>
    <row r="6010" spans="1:10" x14ac:dyDescent="0.25">
      <c r="A6010" s="78">
        <v>46262</v>
      </c>
      <c r="B6010" s="68">
        <v>20</v>
      </c>
      <c r="C6010" s="205" t="s">
        <v>915</v>
      </c>
      <c r="D6010" s="30">
        <v>2</v>
      </c>
      <c r="E6010" s="30">
        <v>10</v>
      </c>
      <c r="F6010" s="30">
        <f t="shared" si="197"/>
        <v>20</v>
      </c>
      <c r="G6010" s="30" t="s">
        <v>9</v>
      </c>
      <c r="J6010" s="30" t="s">
        <v>392</v>
      </c>
    </row>
    <row r="6011" spans="1:10" x14ac:dyDescent="0.25">
      <c r="A6011" s="78">
        <v>46262</v>
      </c>
      <c r="B6011" s="68">
        <v>21</v>
      </c>
      <c r="C6011" s="205" t="s">
        <v>1259</v>
      </c>
      <c r="D6011" s="30">
        <v>1</v>
      </c>
      <c r="E6011" s="30">
        <v>10</v>
      </c>
      <c r="F6011" s="30">
        <f t="shared" si="197"/>
        <v>10</v>
      </c>
      <c r="G6011" s="30" t="s">
        <v>9</v>
      </c>
      <c r="J6011" s="30" t="s">
        <v>392</v>
      </c>
    </row>
    <row r="6012" spans="1:10" x14ac:dyDescent="0.25">
      <c r="A6012" s="78">
        <v>46262</v>
      </c>
      <c r="B6012" s="68">
        <v>21</v>
      </c>
      <c r="C6012" s="33" t="s">
        <v>1316</v>
      </c>
      <c r="D6012" s="30">
        <v>1</v>
      </c>
      <c r="E6012" s="30">
        <v>10</v>
      </c>
      <c r="F6012" s="30">
        <f t="shared" si="197"/>
        <v>10</v>
      </c>
      <c r="G6012" s="30" t="s">
        <v>9</v>
      </c>
      <c r="J6012" s="30" t="s">
        <v>392</v>
      </c>
    </row>
    <row r="6013" spans="1:10" x14ac:dyDescent="0.25">
      <c r="A6013" s="78">
        <v>46262</v>
      </c>
      <c r="B6013" s="68">
        <v>22</v>
      </c>
      <c r="C6013" s="205" t="s">
        <v>915</v>
      </c>
      <c r="D6013" s="30">
        <v>3</v>
      </c>
      <c r="E6013" s="30">
        <v>10</v>
      </c>
      <c r="F6013" s="30">
        <f t="shared" si="197"/>
        <v>30</v>
      </c>
      <c r="G6013" s="30" t="s">
        <v>9</v>
      </c>
      <c r="J6013" s="30" t="s">
        <v>392</v>
      </c>
    </row>
    <row r="6014" spans="1:10" x14ac:dyDescent="0.25">
      <c r="A6014" s="78">
        <v>46262</v>
      </c>
      <c r="B6014" s="68">
        <v>23</v>
      </c>
      <c r="C6014" s="33" t="s">
        <v>1374</v>
      </c>
      <c r="D6014" s="30">
        <v>1</v>
      </c>
      <c r="E6014" s="30">
        <v>20</v>
      </c>
      <c r="F6014" s="30">
        <f t="shared" si="197"/>
        <v>20</v>
      </c>
      <c r="G6014" s="30" t="s">
        <v>10</v>
      </c>
      <c r="J6014" s="30" t="s">
        <v>392</v>
      </c>
    </row>
    <row r="6015" spans="1:10" x14ac:dyDescent="0.25">
      <c r="A6015" s="78">
        <v>46262</v>
      </c>
      <c r="B6015" s="68">
        <v>23</v>
      </c>
      <c r="C6015" s="205" t="s">
        <v>1198</v>
      </c>
      <c r="D6015" s="30">
        <v>1</v>
      </c>
      <c r="E6015" s="30">
        <v>10</v>
      </c>
      <c r="F6015" s="30">
        <f t="shared" si="197"/>
        <v>10</v>
      </c>
      <c r="G6015" s="30" t="s">
        <v>10</v>
      </c>
      <c r="J6015" s="30" t="s">
        <v>392</v>
      </c>
    </row>
    <row r="6016" spans="1:10" x14ac:dyDescent="0.25">
      <c r="A6016" s="78">
        <v>46262</v>
      </c>
      <c r="B6016" s="68">
        <v>23</v>
      </c>
      <c r="C6016" s="205" t="s">
        <v>953</v>
      </c>
      <c r="D6016" s="30">
        <v>1</v>
      </c>
      <c r="E6016" s="30">
        <v>10</v>
      </c>
      <c r="F6016" s="30">
        <f t="shared" si="197"/>
        <v>10</v>
      </c>
      <c r="G6016" s="30" t="s">
        <v>10</v>
      </c>
      <c r="J6016" s="30" t="s">
        <v>392</v>
      </c>
    </row>
    <row r="6017" spans="1:10" x14ac:dyDescent="0.25">
      <c r="A6017" s="78">
        <v>46262</v>
      </c>
      <c r="B6017" s="68">
        <v>23</v>
      </c>
      <c r="C6017" s="205" t="s">
        <v>1145</v>
      </c>
      <c r="D6017" s="30">
        <v>1</v>
      </c>
      <c r="E6017" s="30">
        <v>10</v>
      </c>
      <c r="F6017" s="30">
        <f t="shared" si="197"/>
        <v>10</v>
      </c>
      <c r="G6017" s="30" t="s">
        <v>10</v>
      </c>
      <c r="J6017" s="30" t="s">
        <v>392</v>
      </c>
    </row>
    <row r="6018" spans="1:10" x14ac:dyDescent="0.25">
      <c r="A6018" s="78">
        <v>46262</v>
      </c>
      <c r="B6018" s="68">
        <v>23</v>
      </c>
      <c r="C6018" s="205" t="s">
        <v>1181</v>
      </c>
      <c r="D6018" s="30">
        <v>0.09</v>
      </c>
      <c r="E6018" s="30">
        <v>110</v>
      </c>
      <c r="F6018" s="30">
        <f t="shared" si="197"/>
        <v>9.9</v>
      </c>
      <c r="G6018" s="30" t="s">
        <v>10</v>
      </c>
      <c r="J6018" s="30" t="s">
        <v>392</v>
      </c>
    </row>
    <row r="6019" spans="1:10" x14ac:dyDescent="0.25">
      <c r="A6019" s="78">
        <v>46262</v>
      </c>
      <c r="B6019" s="68">
        <v>24</v>
      </c>
      <c r="C6019" s="33" t="s">
        <v>1374</v>
      </c>
      <c r="D6019" s="30">
        <v>1</v>
      </c>
      <c r="E6019" s="30">
        <v>20</v>
      </c>
      <c r="F6019" s="30">
        <f t="shared" si="197"/>
        <v>20</v>
      </c>
      <c r="G6019" s="30" t="s">
        <v>9</v>
      </c>
      <c r="J6019" s="30" t="s">
        <v>392</v>
      </c>
    </row>
    <row r="6020" spans="1:10" x14ac:dyDescent="0.25">
      <c r="A6020" s="78">
        <v>46262</v>
      </c>
      <c r="B6020" s="68">
        <v>24</v>
      </c>
      <c r="C6020" s="205" t="s">
        <v>951</v>
      </c>
      <c r="D6020" s="30">
        <v>10</v>
      </c>
      <c r="E6020" s="30">
        <v>1</v>
      </c>
      <c r="F6020" s="30">
        <f t="shared" si="197"/>
        <v>10</v>
      </c>
      <c r="G6020" s="30" t="s">
        <v>9</v>
      </c>
      <c r="J6020" s="30" t="s">
        <v>392</v>
      </c>
    </row>
    <row r="6021" spans="1:10" x14ac:dyDescent="0.25">
      <c r="A6021" s="78">
        <v>46262</v>
      </c>
      <c r="B6021" s="68">
        <v>24</v>
      </c>
      <c r="C6021" s="205" t="s">
        <v>1280</v>
      </c>
      <c r="D6021" s="30">
        <v>2</v>
      </c>
      <c r="E6021" s="30">
        <v>10</v>
      </c>
      <c r="F6021" s="30">
        <f t="shared" si="197"/>
        <v>20</v>
      </c>
      <c r="G6021" s="30" t="s">
        <v>9</v>
      </c>
      <c r="J6021" s="30" t="s">
        <v>392</v>
      </c>
    </row>
    <row r="6022" spans="1:10" x14ac:dyDescent="0.25">
      <c r="A6022" s="78">
        <v>46262</v>
      </c>
      <c r="B6022" s="68">
        <v>25</v>
      </c>
      <c r="C6022" s="205" t="s">
        <v>1048</v>
      </c>
      <c r="D6022" s="30">
        <v>1</v>
      </c>
      <c r="E6022" s="30">
        <v>20</v>
      </c>
      <c r="F6022" s="30">
        <f t="shared" si="197"/>
        <v>20</v>
      </c>
      <c r="G6022" s="30" t="s">
        <v>9</v>
      </c>
      <c r="J6022" s="30" t="s">
        <v>392</v>
      </c>
    </row>
    <row r="6023" spans="1:10" x14ac:dyDescent="0.25">
      <c r="A6023" s="78">
        <v>46262</v>
      </c>
      <c r="B6023" s="68">
        <v>26</v>
      </c>
      <c r="C6023" s="204" t="s">
        <v>1285</v>
      </c>
      <c r="D6023" s="30">
        <v>1</v>
      </c>
      <c r="E6023" s="30">
        <v>60</v>
      </c>
      <c r="F6023" s="30">
        <f t="shared" si="197"/>
        <v>60</v>
      </c>
      <c r="G6023" s="30" t="s">
        <v>9</v>
      </c>
      <c r="J6023" s="30" t="s">
        <v>392</v>
      </c>
    </row>
    <row r="6024" spans="1:10" x14ac:dyDescent="0.25">
      <c r="A6024" s="78">
        <v>46262</v>
      </c>
      <c r="B6024" s="68">
        <v>26</v>
      </c>
      <c r="C6024" s="33" t="s">
        <v>1374</v>
      </c>
      <c r="D6024" s="30">
        <v>1</v>
      </c>
      <c r="E6024" s="30">
        <v>20</v>
      </c>
      <c r="F6024" s="30">
        <f t="shared" si="197"/>
        <v>20</v>
      </c>
      <c r="G6024" s="30" t="s">
        <v>9</v>
      </c>
      <c r="J6024" s="30" t="s">
        <v>392</v>
      </c>
    </row>
    <row r="6025" spans="1:10" x14ac:dyDescent="0.25">
      <c r="A6025" s="78">
        <v>46262</v>
      </c>
      <c r="B6025" s="68">
        <v>27</v>
      </c>
      <c r="C6025" s="205" t="s">
        <v>1198</v>
      </c>
      <c r="D6025" s="30">
        <v>1</v>
      </c>
      <c r="E6025" s="30">
        <v>10</v>
      </c>
      <c r="F6025" s="30">
        <f t="shared" si="197"/>
        <v>10</v>
      </c>
      <c r="G6025" s="30" t="s">
        <v>9</v>
      </c>
      <c r="J6025" s="30" t="s">
        <v>392</v>
      </c>
    </row>
    <row r="6026" spans="1:10" x14ac:dyDescent="0.25">
      <c r="A6026" s="78">
        <v>46262</v>
      </c>
      <c r="B6026" s="68">
        <v>28</v>
      </c>
      <c r="C6026" s="19" t="s">
        <v>1327</v>
      </c>
      <c r="D6026" s="30">
        <v>0.28599999999999998</v>
      </c>
      <c r="E6026" s="30">
        <v>70</v>
      </c>
      <c r="F6026" s="30">
        <f t="shared" si="197"/>
        <v>20.02</v>
      </c>
      <c r="G6026" s="30" t="s">
        <v>9</v>
      </c>
      <c r="J6026" s="30" t="s">
        <v>392</v>
      </c>
    </row>
    <row r="6027" spans="1:10" x14ac:dyDescent="0.25">
      <c r="A6027" s="78">
        <v>46262</v>
      </c>
      <c r="B6027" s="68">
        <v>29</v>
      </c>
      <c r="C6027" s="205" t="s">
        <v>916</v>
      </c>
      <c r="D6027" s="30">
        <v>3</v>
      </c>
      <c r="E6027" s="30">
        <v>10</v>
      </c>
      <c r="F6027" s="30">
        <f t="shared" si="197"/>
        <v>30</v>
      </c>
      <c r="G6027" s="30" t="s">
        <v>9</v>
      </c>
      <c r="J6027" s="30" t="s">
        <v>392</v>
      </c>
    </row>
    <row r="6028" spans="1:10" x14ac:dyDescent="0.25">
      <c r="A6028" s="78">
        <v>46262</v>
      </c>
      <c r="B6028" s="68">
        <v>30</v>
      </c>
      <c r="C6028" s="205" t="s">
        <v>752</v>
      </c>
      <c r="D6028" s="30">
        <v>1</v>
      </c>
      <c r="E6028" s="30">
        <v>50</v>
      </c>
      <c r="F6028" s="30">
        <f t="shared" si="197"/>
        <v>50</v>
      </c>
      <c r="G6028" s="30" t="s">
        <v>9</v>
      </c>
      <c r="J6028" s="30" t="s">
        <v>392</v>
      </c>
    </row>
    <row r="6029" spans="1:10" x14ac:dyDescent="0.25">
      <c r="A6029" s="78">
        <v>46262</v>
      </c>
      <c r="B6029" s="68">
        <v>30</v>
      </c>
      <c r="C6029" s="205" t="s">
        <v>1280</v>
      </c>
      <c r="D6029" s="30">
        <v>2</v>
      </c>
      <c r="E6029" s="30">
        <v>10</v>
      </c>
      <c r="F6029" s="30">
        <f t="shared" si="197"/>
        <v>20</v>
      </c>
      <c r="G6029" s="30" t="s">
        <v>9</v>
      </c>
      <c r="J6029" s="30" t="s">
        <v>392</v>
      </c>
    </row>
    <row r="6030" spans="1:10" x14ac:dyDescent="0.25">
      <c r="A6030" s="78">
        <v>46262</v>
      </c>
      <c r="B6030" s="68">
        <v>30</v>
      </c>
      <c r="C6030" s="205" t="s">
        <v>953</v>
      </c>
      <c r="D6030" s="30">
        <v>1</v>
      </c>
      <c r="E6030" s="30">
        <v>10</v>
      </c>
      <c r="F6030" s="30">
        <f t="shared" si="197"/>
        <v>10</v>
      </c>
      <c r="G6030" s="30" t="s">
        <v>9</v>
      </c>
      <c r="J6030" s="30" t="s">
        <v>392</v>
      </c>
    </row>
    <row r="6031" spans="1:10" x14ac:dyDescent="0.25">
      <c r="A6031" s="78">
        <v>46262</v>
      </c>
      <c r="B6031" s="68">
        <v>31</v>
      </c>
      <c r="C6031" s="33" t="s">
        <v>1374</v>
      </c>
      <c r="D6031" s="30">
        <v>2</v>
      </c>
      <c r="E6031" s="30">
        <v>20</v>
      </c>
      <c r="F6031" s="30">
        <f t="shared" si="197"/>
        <v>40</v>
      </c>
      <c r="G6031" s="30" t="s">
        <v>9</v>
      </c>
      <c r="J6031" s="30" t="s">
        <v>392</v>
      </c>
    </row>
    <row r="6032" spans="1:10" x14ac:dyDescent="0.25">
      <c r="A6032" s="78">
        <v>46262</v>
      </c>
      <c r="B6032" s="68">
        <v>32</v>
      </c>
      <c r="C6032" s="205" t="s">
        <v>591</v>
      </c>
      <c r="D6032" s="30">
        <v>1</v>
      </c>
      <c r="E6032" s="30">
        <v>200</v>
      </c>
      <c r="F6032" s="30">
        <f t="shared" si="197"/>
        <v>200</v>
      </c>
      <c r="G6032" s="30" t="s">
        <v>9</v>
      </c>
      <c r="J6032" s="30" t="s">
        <v>392</v>
      </c>
    </row>
    <row r="6033" spans="1:12" s="199" customFormat="1" ht="31.5" x14ac:dyDescent="0.25">
      <c r="A6033" s="196">
        <v>46262</v>
      </c>
      <c r="B6033" s="197" t="s">
        <v>1248</v>
      </c>
      <c r="C6033" s="198">
        <f>MAX(B6005:B6032)</f>
        <v>32</v>
      </c>
      <c r="D6033" s="197" t="s">
        <v>1249</v>
      </c>
      <c r="E6033" s="199">
        <f>SUMIF(G6005:G6033,"UPI",F6005:F6033)</f>
        <v>59.9</v>
      </c>
      <c r="H6033" s="200" t="s">
        <v>1251</v>
      </c>
      <c r="I6033" s="200">
        <f>SUMIF(G6005:G6033, "&lt;&gt;UPI",F6005:F6033)</f>
        <v>700.02</v>
      </c>
    </row>
    <row r="6034" spans="1:12" s="5" customFormat="1" ht="15.75" x14ac:dyDescent="0.25">
      <c r="A6034" s="201">
        <v>46262</v>
      </c>
      <c r="B6034" s="2"/>
      <c r="C6034" s="14"/>
      <c r="H6034" s="2" t="s">
        <v>1250</v>
      </c>
      <c r="I6034" s="2">
        <f>SUMIF(G5975:G6033, "&lt;&gt;UPI",F5975:F6033)</f>
        <v>2016.82</v>
      </c>
    </row>
    <row r="6035" spans="1:12" s="202" customFormat="1" ht="18.75" customHeight="1" x14ac:dyDescent="0.3">
      <c r="A6035" s="146">
        <v>46262</v>
      </c>
      <c r="B6035" s="147" t="s">
        <v>987</v>
      </c>
      <c r="C6035" s="148">
        <f>MAX(B5975:B6034)</f>
        <v>32</v>
      </c>
      <c r="D6035" s="147" t="s">
        <v>988</v>
      </c>
      <c r="E6035" s="202">
        <f>SUMIF(G5975:G6032,"UPI",F5975:F6032)</f>
        <v>59.9</v>
      </c>
      <c r="F6035" s="227" t="s">
        <v>437</v>
      </c>
      <c r="G6035" s="228"/>
      <c r="H6035" s="229"/>
      <c r="I6035" s="227">
        <f>SUM(F5975:F6034)</f>
        <v>2076.7200000000003</v>
      </c>
      <c r="J6035" s="228"/>
      <c r="K6035" s="228"/>
      <c r="L6035" s="229"/>
    </row>
    <row r="6036" spans="1:12" x14ac:dyDescent="0.25">
      <c r="A6036" s="78">
        <v>46263</v>
      </c>
      <c r="B6036" s="68">
        <v>1</v>
      </c>
      <c r="C6036" s="204" t="s">
        <v>970</v>
      </c>
      <c r="D6036" s="30">
        <v>1</v>
      </c>
      <c r="E6036" s="30">
        <v>10</v>
      </c>
      <c r="F6036" s="30">
        <f>E6036*D6036</f>
        <v>10</v>
      </c>
      <c r="G6036" s="30" t="s">
        <v>9</v>
      </c>
      <c r="J6036" s="30" t="s">
        <v>391</v>
      </c>
    </row>
    <row r="6037" spans="1:12" x14ac:dyDescent="0.25">
      <c r="A6037" s="78">
        <v>46263</v>
      </c>
      <c r="B6037" s="68">
        <v>2</v>
      </c>
      <c r="C6037" s="205" t="s">
        <v>702</v>
      </c>
      <c r="D6037" s="30">
        <v>1</v>
      </c>
      <c r="E6037" s="30">
        <v>10</v>
      </c>
      <c r="F6037" s="30">
        <f t="shared" ref="F6037:F6075" si="198">E6037*D6037</f>
        <v>10</v>
      </c>
      <c r="G6037" s="30" t="s">
        <v>9</v>
      </c>
      <c r="J6037" s="30" t="s">
        <v>391</v>
      </c>
    </row>
    <row r="6038" spans="1:12" ht="30" x14ac:dyDescent="0.25">
      <c r="A6038" s="78">
        <v>46263</v>
      </c>
      <c r="B6038" s="68">
        <v>3</v>
      </c>
      <c r="C6038" s="205" t="s">
        <v>599</v>
      </c>
      <c r="D6038" s="30">
        <v>1</v>
      </c>
      <c r="E6038" s="30">
        <v>188</v>
      </c>
      <c r="F6038" s="30">
        <f t="shared" si="198"/>
        <v>188</v>
      </c>
      <c r="G6038" s="30" t="s">
        <v>9</v>
      </c>
      <c r="J6038" s="30" t="s">
        <v>391</v>
      </c>
    </row>
    <row r="6039" spans="1:12" x14ac:dyDescent="0.25">
      <c r="A6039" s="78">
        <v>46263</v>
      </c>
      <c r="B6039" s="68">
        <v>3</v>
      </c>
      <c r="C6039" s="19" t="s">
        <v>1326</v>
      </c>
      <c r="D6039" s="30">
        <v>1</v>
      </c>
      <c r="E6039" s="30">
        <v>10</v>
      </c>
      <c r="F6039" s="30">
        <f t="shared" si="198"/>
        <v>10</v>
      </c>
      <c r="G6039" s="30" t="s">
        <v>9</v>
      </c>
      <c r="J6039" s="30" t="s">
        <v>391</v>
      </c>
    </row>
    <row r="6040" spans="1:12" x14ac:dyDescent="0.25">
      <c r="A6040" s="78">
        <v>46263</v>
      </c>
      <c r="B6040" s="68">
        <v>3</v>
      </c>
      <c r="C6040" s="205" t="s">
        <v>375</v>
      </c>
      <c r="D6040" s="30">
        <v>2</v>
      </c>
      <c r="E6040" s="30">
        <v>1</v>
      </c>
      <c r="F6040" s="30">
        <f t="shared" si="198"/>
        <v>2</v>
      </c>
      <c r="G6040" s="30" t="s">
        <v>9</v>
      </c>
      <c r="J6040" s="30" t="s">
        <v>391</v>
      </c>
    </row>
    <row r="6041" spans="1:12" x14ac:dyDescent="0.25">
      <c r="A6041" s="78">
        <v>46263</v>
      </c>
      <c r="B6041" s="68">
        <v>4</v>
      </c>
      <c r="C6041" s="19" t="s">
        <v>1326</v>
      </c>
      <c r="D6041" s="30">
        <v>4</v>
      </c>
      <c r="E6041" s="30">
        <v>10</v>
      </c>
      <c r="F6041" s="30">
        <f t="shared" si="198"/>
        <v>40</v>
      </c>
      <c r="G6041" s="30" t="s">
        <v>9</v>
      </c>
      <c r="J6041" s="30" t="s">
        <v>391</v>
      </c>
    </row>
    <row r="6042" spans="1:12" x14ac:dyDescent="0.25">
      <c r="A6042" s="78">
        <v>46263</v>
      </c>
      <c r="B6042" s="68">
        <v>4</v>
      </c>
      <c r="C6042" s="205" t="s">
        <v>590</v>
      </c>
      <c r="D6042" s="30">
        <v>0.24</v>
      </c>
      <c r="E6042" s="30">
        <v>44</v>
      </c>
      <c r="F6042" s="30">
        <f t="shared" si="198"/>
        <v>10.559999999999999</v>
      </c>
      <c r="G6042" s="30" t="s">
        <v>9</v>
      </c>
      <c r="J6042" s="30" t="s">
        <v>391</v>
      </c>
    </row>
    <row r="6043" spans="1:12" x14ac:dyDescent="0.25">
      <c r="A6043" s="78">
        <v>46263</v>
      </c>
      <c r="B6043" s="68">
        <v>4</v>
      </c>
      <c r="C6043" s="33" t="s">
        <v>1371</v>
      </c>
      <c r="D6043" s="30">
        <v>0.16</v>
      </c>
      <c r="E6043" s="30">
        <v>60</v>
      </c>
      <c r="F6043" s="30">
        <f t="shared" si="198"/>
        <v>9.6</v>
      </c>
      <c r="G6043" s="30" t="s">
        <v>9</v>
      </c>
      <c r="J6043" s="30" t="s">
        <v>391</v>
      </c>
    </row>
    <row r="6044" spans="1:12" x14ac:dyDescent="0.25">
      <c r="A6044" s="78">
        <v>46263</v>
      </c>
      <c r="B6044" s="68">
        <v>4</v>
      </c>
      <c r="C6044" s="205" t="s">
        <v>1234</v>
      </c>
      <c r="D6044" s="30">
        <v>0.14299999999999999</v>
      </c>
      <c r="E6044" s="30">
        <v>70</v>
      </c>
      <c r="F6044" s="30">
        <f t="shared" si="198"/>
        <v>10.01</v>
      </c>
      <c r="G6044" s="30" t="s">
        <v>16</v>
      </c>
      <c r="J6044" s="30" t="s">
        <v>391</v>
      </c>
    </row>
    <row r="6045" spans="1:12" x14ac:dyDescent="0.25">
      <c r="A6045" s="78">
        <v>46263</v>
      </c>
      <c r="B6045" s="68">
        <v>4</v>
      </c>
      <c r="C6045" s="205" t="s">
        <v>1162</v>
      </c>
      <c r="D6045" s="30">
        <v>1</v>
      </c>
      <c r="E6045" s="30">
        <v>5</v>
      </c>
      <c r="F6045" s="30">
        <f t="shared" si="198"/>
        <v>5</v>
      </c>
      <c r="G6045" s="30" t="s">
        <v>16</v>
      </c>
      <c r="J6045" s="30" t="s">
        <v>391</v>
      </c>
    </row>
    <row r="6046" spans="1:12" x14ac:dyDescent="0.25">
      <c r="A6046" s="78">
        <v>46263</v>
      </c>
      <c r="B6046" s="68">
        <v>5</v>
      </c>
      <c r="C6046" s="205" t="s">
        <v>1280</v>
      </c>
      <c r="D6046" s="30">
        <v>1</v>
      </c>
      <c r="E6046" s="30">
        <v>10</v>
      </c>
      <c r="F6046" s="30">
        <f t="shared" si="198"/>
        <v>10</v>
      </c>
      <c r="G6046" s="30" t="s">
        <v>10</v>
      </c>
      <c r="J6046" s="30" t="s">
        <v>391</v>
      </c>
    </row>
    <row r="6047" spans="1:12" x14ac:dyDescent="0.25">
      <c r="A6047" s="78">
        <v>46263</v>
      </c>
      <c r="B6047" s="68">
        <v>6</v>
      </c>
      <c r="C6047" s="205" t="s">
        <v>874</v>
      </c>
      <c r="D6047" s="30">
        <v>1</v>
      </c>
      <c r="E6047" s="30">
        <v>35</v>
      </c>
      <c r="F6047" s="30">
        <f t="shared" si="198"/>
        <v>35</v>
      </c>
      <c r="G6047" s="30" t="s">
        <v>9</v>
      </c>
      <c r="J6047" s="30" t="s">
        <v>391</v>
      </c>
    </row>
    <row r="6048" spans="1:12" x14ac:dyDescent="0.25">
      <c r="A6048" s="78">
        <v>46263</v>
      </c>
      <c r="B6048" s="68">
        <v>6</v>
      </c>
      <c r="C6048" s="205" t="s">
        <v>639</v>
      </c>
      <c r="D6048" s="30">
        <v>6</v>
      </c>
      <c r="E6048" s="30">
        <v>2</v>
      </c>
      <c r="F6048" s="30">
        <f t="shared" si="198"/>
        <v>12</v>
      </c>
      <c r="G6048" s="30" t="s">
        <v>9</v>
      </c>
      <c r="J6048" s="30" t="s">
        <v>391</v>
      </c>
    </row>
    <row r="6049" spans="1:10" x14ac:dyDescent="0.25">
      <c r="A6049" s="78">
        <v>46263</v>
      </c>
      <c r="B6049" s="68">
        <v>6</v>
      </c>
      <c r="C6049" s="205" t="s">
        <v>1055</v>
      </c>
      <c r="D6049" s="30">
        <v>1</v>
      </c>
      <c r="E6049" s="30">
        <v>2</v>
      </c>
      <c r="F6049" s="30">
        <f t="shared" si="198"/>
        <v>2</v>
      </c>
      <c r="G6049" s="30" t="s">
        <v>9</v>
      </c>
      <c r="J6049" s="30" t="s">
        <v>391</v>
      </c>
    </row>
    <row r="6050" spans="1:10" x14ac:dyDescent="0.25">
      <c r="A6050" s="78">
        <v>46263</v>
      </c>
      <c r="B6050" s="68">
        <v>7</v>
      </c>
      <c r="C6050" s="205" t="s">
        <v>1273</v>
      </c>
      <c r="D6050" s="30">
        <v>1</v>
      </c>
      <c r="E6050" s="30">
        <v>5</v>
      </c>
      <c r="F6050" s="30">
        <f t="shared" si="198"/>
        <v>5</v>
      </c>
      <c r="G6050" s="30" t="s">
        <v>9</v>
      </c>
      <c r="J6050" s="30" t="s">
        <v>391</v>
      </c>
    </row>
    <row r="6051" spans="1:10" x14ac:dyDescent="0.25">
      <c r="A6051" s="78">
        <v>46263</v>
      </c>
      <c r="B6051" s="68">
        <v>8</v>
      </c>
      <c r="C6051" s="33" t="s">
        <v>1374</v>
      </c>
      <c r="D6051" s="30">
        <v>2</v>
      </c>
      <c r="E6051" s="30">
        <v>20</v>
      </c>
      <c r="F6051" s="30">
        <f t="shared" si="198"/>
        <v>40</v>
      </c>
      <c r="G6051" s="30" t="s">
        <v>9</v>
      </c>
      <c r="J6051" s="30" t="s">
        <v>391</v>
      </c>
    </row>
    <row r="6052" spans="1:10" x14ac:dyDescent="0.25">
      <c r="A6052" s="78">
        <v>46263</v>
      </c>
      <c r="B6052" s="68">
        <v>8</v>
      </c>
      <c r="C6052" s="205" t="s">
        <v>960</v>
      </c>
      <c r="D6052" s="30">
        <v>4</v>
      </c>
      <c r="E6052" s="30">
        <v>5</v>
      </c>
      <c r="F6052" s="30">
        <f t="shared" si="198"/>
        <v>20</v>
      </c>
      <c r="G6052" s="30" t="s">
        <v>9</v>
      </c>
      <c r="J6052" s="30" t="s">
        <v>391</v>
      </c>
    </row>
    <row r="6053" spans="1:10" ht="30" x14ac:dyDescent="0.25">
      <c r="A6053" s="78">
        <v>46263</v>
      </c>
      <c r="B6053" s="68">
        <v>9</v>
      </c>
      <c r="C6053" s="205" t="s">
        <v>1256</v>
      </c>
      <c r="D6053" s="30">
        <v>1</v>
      </c>
      <c r="E6053" s="30">
        <v>10</v>
      </c>
      <c r="F6053" s="30">
        <f t="shared" si="198"/>
        <v>10</v>
      </c>
      <c r="G6053" s="30" t="s">
        <v>9</v>
      </c>
      <c r="J6053" s="30" t="s">
        <v>391</v>
      </c>
    </row>
    <row r="6054" spans="1:10" x14ac:dyDescent="0.25">
      <c r="A6054" s="78">
        <v>46263</v>
      </c>
      <c r="B6054" s="68">
        <v>10</v>
      </c>
      <c r="C6054" s="205" t="s">
        <v>646</v>
      </c>
      <c r="D6054" s="30">
        <v>5</v>
      </c>
      <c r="E6054" s="30">
        <v>4</v>
      </c>
      <c r="F6054" s="30">
        <f t="shared" si="198"/>
        <v>20</v>
      </c>
      <c r="G6054" s="30" t="s">
        <v>9</v>
      </c>
      <c r="J6054" s="30" t="s">
        <v>391</v>
      </c>
    </row>
    <row r="6055" spans="1:10" x14ac:dyDescent="0.25">
      <c r="A6055" s="78">
        <v>46263</v>
      </c>
      <c r="B6055" s="68">
        <v>11</v>
      </c>
      <c r="C6055" s="205" t="s">
        <v>1132</v>
      </c>
      <c r="D6055" s="30">
        <v>1</v>
      </c>
      <c r="E6055" s="30">
        <v>60</v>
      </c>
      <c r="F6055" s="30">
        <f t="shared" si="198"/>
        <v>60</v>
      </c>
      <c r="G6055" s="30" t="s">
        <v>10</v>
      </c>
      <c r="J6055" s="30" t="s">
        <v>391</v>
      </c>
    </row>
    <row r="6056" spans="1:10" x14ac:dyDescent="0.25">
      <c r="A6056" s="78">
        <v>46263</v>
      </c>
      <c r="B6056" s="68">
        <v>11</v>
      </c>
      <c r="C6056" s="205" t="s">
        <v>1269</v>
      </c>
      <c r="D6056" s="30">
        <v>1</v>
      </c>
      <c r="E6056" s="30">
        <v>30</v>
      </c>
      <c r="F6056" s="30">
        <f t="shared" si="198"/>
        <v>30</v>
      </c>
      <c r="G6056" s="30" t="s">
        <v>10</v>
      </c>
      <c r="J6056" s="30" t="s">
        <v>391</v>
      </c>
    </row>
    <row r="6057" spans="1:10" x14ac:dyDescent="0.25">
      <c r="A6057" s="78">
        <v>46263</v>
      </c>
      <c r="B6057" s="68">
        <v>12</v>
      </c>
      <c r="C6057" s="205" t="s">
        <v>1280</v>
      </c>
      <c r="D6057" s="30">
        <v>1</v>
      </c>
      <c r="E6057" s="30">
        <v>10</v>
      </c>
      <c r="F6057" s="30">
        <f t="shared" si="198"/>
        <v>10</v>
      </c>
      <c r="G6057" s="30" t="s">
        <v>9</v>
      </c>
      <c r="J6057" s="30" t="s">
        <v>391</v>
      </c>
    </row>
    <row r="6058" spans="1:10" x14ac:dyDescent="0.25">
      <c r="A6058" s="78">
        <v>46263</v>
      </c>
      <c r="B6058" s="68">
        <v>12</v>
      </c>
      <c r="C6058" s="205" t="s">
        <v>670</v>
      </c>
      <c r="D6058" s="30">
        <v>1</v>
      </c>
      <c r="E6058" s="30">
        <v>10</v>
      </c>
      <c r="F6058" s="30">
        <f t="shared" si="198"/>
        <v>10</v>
      </c>
      <c r="G6058" s="30" t="s">
        <v>9</v>
      </c>
      <c r="J6058" s="30" t="s">
        <v>391</v>
      </c>
    </row>
    <row r="6059" spans="1:10" x14ac:dyDescent="0.25">
      <c r="A6059" s="78">
        <v>46263</v>
      </c>
      <c r="B6059" s="68">
        <v>12</v>
      </c>
      <c r="C6059" s="205" t="s">
        <v>1142</v>
      </c>
      <c r="D6059" s="30">
        <v>1</v>
      </c>
      <c r="E6059" s="30">
        <v>5</v>
      </c>
      <c r="F6059" s="30">
        <f t="shared" si="198"/>
        <v>5</v>
      </c>
      <c r="G6059" s="30" t="s">
        <v>9</v>
      </c>
      <c r="J6059" s="30" t="s">
        <v>391</v>
      </c>
    </row>
    <row r="6060" spans="1:10" x14ac:dyDescent="0.25">
      <c r="A6060" s="78">
        <v>46263</v>
      </c>
      <c r="B6060" s="68">
        <v>13</v>
      </c>
      <c r="C6060" s="205" t="s">
        <v>702</v>
      </c>
      <c r="D6060" s="30">
        <v>1</v>
      </c>
      <c r="E6060" s="30">
        <v>10</v>
      </c>
      <c r="F6060" s="30">
        <f t="shared" si="198"/>
        <v>10</v>
      </c>
      <c r="G6060" s="30" t="s">
        <v>16</v>
      </c>
      <c r="I6060" s="68" t="s">
        <v>1202</v>
      </c>
      <c r="J6060" s="30" t="s">
        <v>391</v>
      </c>
    </row>
    <row r="6061" spans="1:10" x14ac:dyDescent="0.25">
      <c r="A6061" s="78">
        <v>46263</v>
      </c>
      <c r="B6061" s="68">
        <v>14</v>
      </c>
      <c r="C6061" s="205" t="s">
        <v>69</v>
      </c>
      <c r="D6061" s="30">
        <v>1</v>
      </c>
      <c r="E6061" s="30">
        <v>10</v>
      </c>
      <c r="F6061" s="30">
        <f t="shared" si="198"/>
        <v>10</v>
      </c>
      <c r="G6061" s="30" t="s">
        <v>9</v>
      </c>
      <c r="J6061" s="30" t="s">
        <v>391</v>
      </c>
    </row>
    <row r="6062" spans="1:10" x14ac:dyDescent="0.25">
      <c r="A6062" s="78">
        <v>46263</v>
      </c>
      <c r="B6062" s="68">
        <v>15</v>
      </c>
      <c r="C6062" s="205" t="s">
        <v>1280</v>
      </c>
      <c r="D6062" s="30">
        <v>1</v>
      </c>
      <c r="E6062" s="30">
        <v>10</v>
      </c>
      <c r="F6062" s="30">
        <f t="shared" si="198"/>
        <v>10</v>
      </c>
      <c r="G6062" s="30" t="s">
        <v>9</v>
      </c>
      <c r="J6062" s="30" t="s">
        <v>391</v>
      </c>
    </row>
    <row r="6063" spans="1:10" x14ac:dyDescent="0.25">
      <c r="A6063" s="78">
        <v>46263</v>
      </c>
      <c r="B6063" s="68">
        <v>16</v>
      </c>
      <c r="C6063" s="19" t="s">
        <v>1326</v>
      </c>
      <c r="D6063" s="30">
        <v>4</v>
      </c>
      <c r="E6063" s="30">
        <v>10</v>
      </c>
      <c r="F6063" s="30">
        <f t="shared" si="198"/>
        <v>40</v>
      </c>
      <c r="G6063" s="30" t="s">
        <v>10</v>
      </c>
      <c r="J6063" s="30" t="s">
        <v>391</v>
      </c>
    </row>
    <row r="6064" spans="1:10" x14ac:dyDescent="0.25">
      <c r="A6064" s="78">
        <v>46263</v>
      </c>
      <c r="B6064" s="68">
        <v>16</v>
      </c>
      <c r="C6064" s="205" t="s">
        <v>1280</v>
      </c>
      <c r="D6064" s="30">
        <v>1</v>
      </c>
      <c r="E6064" s="30">
        <v>10</v>
      </c>
      <c r="F6064" s="30">
        <f t="shared" si="198"/>
        <v>10</v>
      </c>
      <c r="G6064" s="30" t="s">
        <v>10</v>
      </c>
      <c r="J6064" s="30" t="s">
        <v>391</v>
      </c>
    </row>
    <row r="6065" spans="1:10" x14ac:dyDescent="0.25">
      <c r="A6065" s="78">
        <v>46263</v>
      </c>
      <c r="B6065" s="68">
        <v>16</v>
      </c>
      <c r="C6065" s="33" t="s">
        <v>1371</v>
      </c>
      <c r="D6065" s="30">
        <v>0.16</v>
      </c>
      <c r="E6065" s="30">
        <v>60</v>
      </c>
      <c r="F6065" s="30">
        <f t="shared" si="198"/>
        <v>9.6</v>
      </c>
      <c r="G6065" s="30" t="s">
        <v>10</v>
      </c>
      <c r="J6065" s="30" t="s">
        <v>391</v>
      </c>
    </row>
    <row r="6066" spans="1:10" x14ac:dyDescent="0.25">
      <c r="A6066" s="78">
        <v>46263</v>
      </c>
      <c r="B6066" s="68">
        <v>16</v>
      </c>
      <c r="C6066" s="205" t="s">
        <v>1090</v>
      </c>
      <c r="D6066" s="30">
        <v>1</v>
      </c>
      <c r="E6066" s="30">
        <v>10</v>
      </c>
      <c r="F6066" s="30">
        <f t="shared" si="198"/>
        <v>10</v>
      </c>
      <c r="G6066" s="30" t="s">
        <v>10</v>
      </c>
      <c r="J6066" s="30" t="s">
        <v>391</v>
      </c>
    </row>
    <row r="6067" spans="1:10" x14ac:dyDescent="0.25">
      <c r="A6067" s="78">
        <v>46263</v>
      </c>
      <c r="B6067" s="68">
        <v>17</v>
      </c>
      <c r="C6067" s="205" t="s">
        <v>960</v>
      </c>
      <c r="D6067" s="30">
        <v>1</v>
      </c>
      <c r="E6067" s="30">
        <v>5</v>
      </c>
      <c r="F6067" s="30">
        <f t="shared" si="198"/>
        <v>5</v>
      </c>
      <c r="G6067" s="30" t="s">
        <v>16</v>
      </c>
      <c r="I6067" s="68" t="s">
        <v>1203</v>
      </c>
      <c r="J6067" s="30" t="s">
        <v>391</v>
      </c>
    </row>
    <row r="6068" spans="1:10" x14ac:dyDescent="0.25">
      <c r="A6068" s="78">
        <v>46263</v>
      </c>
      <c r="B6068" s="68">
        <v>18</v>
      </c>
      <c r="C6068" s="205" t="s">
        <v>1280</v>
      </c>
      <c r="D6068" s="30">
        <v>2</v>
      </c>
      <c r="E6068" s="30">
        <v>10</v>
      </c>
      <c r="F6068" s="30">
        <f t="shared" si="198"/>
        <v>20</v>
      </c>
      <c r="G6068" s="30" t="s">
        <v>9</v>
      </c>
      <c r="J6068" s="30" t="s">
        <v>391</v>
      </c>
    </row>
    <row r="6069" spans="1:10" x14ac:dyDescent="0.25">
      <c r="A6069" s="78">
        <v>46263</v>
      </c>
      <c r="B6069" s="68">
        <v>19</v>
      </c>
      <c r="C6069" s="205" t="s">
        <v>1280</v>
      </c>
      <c r="D6069" s="30">
        <v>3</v>
      </c>
      <c r="E6069" s="30">
        <v>10</v>
      </c>
      <c r="F6069" s="30">
        <f t="shared" si="198"/>
        <v>30</v>
      </c>
      <c r="G6069" s="30" t="s">
        <v>10</v>
      </c>
      <c r="J6069" s="30" t="s">
        <v>391</v>
      </c>
    </row>
    <row r="6070" spans="1:10" x14ac:dyDescent="0.25">
      <c r="A6070" s="78">
        <v>46263</v>
      </c>
      <c r="B6070" s="68">
        <v>19</v>
      </c>
      <c r="C6070" s="33" t="s">
        <v>1375</v>
      </c>
      <c r="D6070" s="30">
        <v>1</v>
      </c>
      <c r="E6070" s="30">
        <v>20</v>
      </c>
      <c r="F6070" s="30">
        <f t="shared" si="198"/>
        <v>20</v>
      </c>
      <c r="G6070" s="30" t="s">
        <v>9</v>
      </c>
      <c r="J6070" s="30" t="s">
        <v>391</v>
      </c>
    </row>
    <row r="6071" spans="1:10" x14ac:dyDescent="0.25">
      <c r="A6071" s="78">
        <v>46263</v>
      </c>
      <c r="B6071" s="68">
        <v>20</v>
      </c>
      <c r="C6071" s="205" t="s">
        <v>783</v>
      </c>
      <c r="D6071" s="30">
        <v>1</v>
      </c>
      <c r="E6071" s="30">
        <v>10</v>
      </c>
      <c r="F6071" s="30">
        <f t="shared" si="198"/>
        <v>10</v>
      </c>
      <c r="G6071" s="30" t="s">
        <v>9</v>
      </c>
      <c r="J6071" s="30" t="s">
        <v>391</v>
      </c>
    </row>
    <row r="6072" spans="1:10" x14ac:dyDescent="0.25">
      <c r="A6072" s="78">
        <v>46263</v>
      </c>
      <c r="B6072" s="68">
        <v>21</v>
      </c>
      <c r="C6072" s="205" t="s">
        <v>877</v>
      </c>
      <c r="D6072" s="30">
        <v>1</v>
      </c>
      <c r="E6072" s="30">
        <v>10</v>
      </c>
      <c r="F6072" s="30">
        <f t="shared" si="198"/>
        <v>10</v>
      </c>
      <c r="G6072" s="30" t="s">
        <v>9</v>
      </c>
      <c r="J6072" s="30" t="s">
        <v>391</v>
      </c>
    </row>
    <row r="6073" spans="1:10" x14ac:dyDescent="0.25">
      <c r="A6073" s="78">
        <v>46263</v>
      </c>
      <c r="B6073" s="68">
        <v>21</v>
      </c>
      <c r="C6073" s="205" t="s">
        <v>1253</v>
      </c>
      <c r="D6073" s="30">
        <v>2</v>
      </c>
      <c r="E6073" s="30">
        <v>5</v>
      </c>
      <c r="F6073" s="30">
        <f t="shared" si="198"/>
        <v>10</v>
      </c>
      <c r="G6073" s="30" t="s">
        <v>9</v>
      </c>
      <c r="J6073" s="30" t="s">
        <v>391</v>
      </c>
    </row>
    <row r="6074" spans="1:10" x14ac:dyDescent="0.25">
      <c r="A6074" s="78">
        <v>46263</v>
      </c>
      <c r="B6074" s="68">
        <v>22</v>
      </c>
      <c r="C6074" s="205" t="s">
        <v>1198</v>
      </c>
      <c r="D6074" s="30">
        <v>1</v>
      </c>
      <c r="E6074" s="30">
        <v>10</v>
      </c>
      <c r="F6074" s="30">
        <f t="shared" si="198"/>
        <v>10</v>
      </c>
      <c r="G6074" s="30" t="s">
        <v>9</v>
      </c>
      <c r="J6074" s="30" t="s">
        <v>391</v>
      </c>
    </row>
    <row r="6075" spans="1:10" ht="30" x14ac:dyDescent="0.25">
      <c r="A6075" s="78">
        <v>46263</v>
      </c>
      <c r="B6075" s="68">
        <v>23</v>
      </c>
      <c r="C6075" s="205" t="s">
        <v>1256</v>
      </c>
      <c r="D6075" s="30">
        <v>1</v>
      </c>
      <c r="E6075" s="30">
        <v>10</v>
      </c>
      <c r="F6075" s="30">
        <f t="shared" si="198"/>
        <v>10</v>
      </c>
      <c r="G6075" s="30" t="s">
        <v>16</v>
      </c>
      <c r="I6075" s="68" t="s">
        <v>1203</v>
      </c>
      <c r="J6075" s="30" t="s">
        <v>391</v>
      </c>
    </row>
    <row r="6076" spans="1:10" s="199" customFormat="1" ht="31.5" x14ac:dyDescent="0.25">
      <c r="A6076" s="196">
        <v>46263</v>
      </c>
      <c r="B6076" s="197" t="s">
        <v>1245</v>
      </c>
      <c r="C6076" s="198">
        <f>MAX(B6035:B6076)</f>
        <v>23</v>
      </c>
      <c r="D6076" s="197" t="s">
        <v>1246</v>
      </c>
      <c r="E6076" s="199">
        <f>SUMIF(G6035:G6075,"UPI",F6035:F6075)</f>
        <v>199.6</v>
      </c>
      <c r="H6076" s="200" t="s">
        <v>1247</v>
      </c>
      <c r="I6076" s="200">
        <f>SUMIF(G6035:G6075, "&lt;&gt;UPI",F6035:F6160)</f>
        <v>589.17000000000007</v>
      </c>
    </row>
    <row r="6077" spans="1:10" x14ac:dyDescent="0.25">
      <c r="A6077" s="78">
        <v>46263</v>
      </c>
      <c r="B6077" s="68">
        <v>24</v>
      </c>
      <c r="C6077" s="205" t="s">
        <v>1180</v>
      </c>
      <c r="D6077" s="30">
        <v>1</v>
      </c>
      <c r="E6077" s="30">
        <v>100</v>
      </c>
      <c r="F6077" s="30">
        <f t="shared" ref="F6077:F6110" si="199">E6077*D6077</f>
        <v>100</v>
      </c>
      <c r="G6077" s="30" t="s">
        <v>10</v>
      </c>
      <c r="J6077" s="30" t="s">
        <v>392</v>
      </c>
    </row>
    <row r="6078" spans="1:10" x14ac:dyDescent="0.25">
      <c r="A6078" s="78">
        <v>46263</v>
      </c>
      <c r="B6078" s="68">
        <v>25</v>
      </c>
      <c r="C6078" s="33" t="s">
        <v>1374</v>
      </c>
      <c r="D6078" s="30">
        <v>2</v>
      </c>
      <c r="E6078" s="30">
        <v>20</v>
      </c>
      <c r="F6078" s="30">
        <f t="shared" si="199"/>
        <v>40</v>
      </c>
      <c r="G6078" s="30" t="s">
        <v>9</v>
      </c>
      <c r="J6078" s="30" t="s">
        <v>392</v>
      </c>
    </row>
    <row r="6079" spans="1:10" x14ac:dyDescent="0.25">
      <c r="A6079" s="78">
        <v>46263</v>
      </c>
      <c r="B6079" s="68">
        <v>25</v>
      </c>
      <c r="C6079" s="205" t="s">
        <v>1254</v>
      </c>
      <c r="D6079" s="30">
        <v>1</v>
      </c>
      <c r="E6079" s="30">
        <v>10</v>
      </c>
      <c r="F6079" s="30">
        <f t="shared" si="199"/>
        <v>10</v>
      </c>
      <c r="G6079" s="30" t="s">
        <v>9</v>
      </c>
      <c r="J6079" s="30" t="s">
        <v>392</v>
      </c>
    </row>
    <row r="6080" spans="1:10" x14ac:dyDescent="0.25">
      <c r="A6080" s="78">
        <v>46263</v>
      </c>
      <c r="B6080" s="68">
        <v>26</v>
      </c>
      <c r="C6080" s="205" t="s">
        <v>1316</v>
      </c>
      <c r="D6080" s="30">
        <v>1</v>
      </c>
      <c r="E6080" s="30">
        <v>10</v>
      </c>
      <c r="F6080" s="30">
        <f t="shared" si="199"/>
        <v>10</v>
      </c>
      <c r="G6080" s="30" t="s">
        <v>9</v>
      </c>
      <c r="J6080" s="30" t="s">
        <v>392</v>
      </c>
    </row>
    <row r="6081" spans="1:10" x14ac:dyDescent="0.25">
      <c r="A6081" s="78">
        <v>46263</v>
      </c>
      <c r="B6081" s="68">
        <v>27</v>
      </c>
      <c r="C6081" s="205" t="s">
        <v>877</v>
      </c>
      <c r="D6081" s="30">
        <v>1</v>
      </c>
      <c r="E6081" s="30">
        <v>10</v>
      </c>
      <c r="F6081" s="30">
        <f t="shared" si="199"/>
        <v>10</v>
      </c>
      <c r="G6081" s="30" t="s">
        <v>9</v>
      </c>
      <c r="J6081" s="30" t="s">
        <v>392</v>
      </c>
    </row>
    <row r="6082" spans="1:10" x14ac:dyDescent="0.25">
      <c r="A6082" s="78">
        <v>46263</v>
      </c>
      <c r="B6082" s="68">
        <v>28</v>
      </c>
      <c r="C6082" s="205" t="s">
        <v>877</v>
      </c>
      <c r="D6082" s="30">
        <v>1</v>
      </c>
      <c r="E6082" s="30">
        <v>10</v>
      </c>
      <c r="F6082" s="30">
        <f t="shared" si="199"/>
        <v>10</v>
      </c>
      <c r="G6082" s="30" t="s">
        <v>9</v>
      </c>
      <c r="J6082" s="30" t="s">
        <v>392</v>
      </c>
    </row>
    <row r="6083" spans="1:10" ht="30" x14ac:dyDescent="0.25">
      <c r="A6083" s="78">
        <v>46263</v>
      </c>
      <c r="B6083" s="68">
        <v>28</v>
      </c>
      <c r="C6083" s="205" t="s">
        <v>1286</v>
      </c>
      <c r="D6083" s="30">
        <v>1</v>
      </c>
      <c r="E6083" s="30">
        <v>10</v>
      </c>
      <c r="F6083" s="30">
        <f t="shared" si="199"/>
        <v>10</v>
      </c>
      <c r="G6083" s="30" t="s">
        <v>16</v>
      </c>
      <c r="I6083" s="68" t="s">
        <v>1199</v>
      </c>
      <c r="J6083" s="30" t="s">
        <v>392</v>
      </c>
    </row>
    <row r="6084" spans="1:10" x14ac:dyDescent="0.25">
      <c r="A6084" s="78">
        <v>46263</v>
      </c>
      <c r="B6084" s="68">
        <v>29</v>
      </c>
      <c r="C6084" s="205" t="s">
        <v>810</v>
      </c>
      <c r="D6084" s="30">
        <v>0.5</v>
      </c>
      <c r="E6084" s="30">
        <v>60</v>
      </c>
      <c r="F6084" s="30">
        <f t="shared" si="199"/>
        <v>30</v>
      </c>
      <c r="G6084" s="30" t="s">
        <v>9</v>
      </c>
      <c r="J6084" s="30" t="s">
        <v>392</v>
      </c>
    </row>
    <row r="6085" spans="1:10" x14ac:dyDescent="0.25">
      <c r="A6085" s="78">
        <v>46263</v>
      </c>
      <c r="B6085" s="68">
        <v>29</v>
      </c>
      <c r="C6085" s="205" t="s">
        <v>1148</v>
      </c>
      <c r="D6085" s="30">
        <v>1</v>
      </c>
      <c r="E6085" s="30">
        <v>10</v>
      </c>
      <c r="F6085" s="30">
        <f t="shared" si="199"/>
        <v>10</v>
      </c>
      <c r="G6085" s="30" t="s">
        <v>9</v>
      </c>
      <c r="J6085" s="30" t="s">
        <v>392</v>
      </c>
    </row>
    <row r="6086" spans="1:10" x14ac:dyDescent="0.25">
      <c r="A6086" s="78">
        <v>46263</v>
      </c>
      <c r="B6086" s="68">
        <v>30</v>
      </c>
      <c r="C6086" s="205" t="s">
        <v>1229</v>
      </c>
      <c r="D6086" s="30">
        <v>1</v>
      </c>
      <c r="E6086" s="30">
        <v>40</v>
      </c>
      <c r="F6086" s="30">
        <f t="shared" si="199"/>
        <v>40</v>
      </c>
      <c r="G6086" s="30" t="s">
        <v>10</v>
      </c>
      <c r="J6086" s="30" t="s">
        <v>392</v>
      </c>
    </row>
    <row r="6087" spans="1:10" x14ac:dyDescent="0.25">
      <c r="A6087" s="78">
        <v>46263</v>
      </c>
      <c r="B6087" s="68">
        <v>30</v>
      </c>
      <c r="C6087" s="205" t="s">
        <v>670</v>
      </c>
      <c r="D6087" s="30">
        <v>1</v>
      </c>
      <c r="E6087" s="30">
        <v>10</v>
      </c>
      <c r="F6087" s="30">
        <f t="shared" si="199"/>
        <v>10</v>
      </c>
      <c r="G6087" s="30" t="s">
        <v>10</v>
      </c>
      <c r="J6087" s="30" t="s">
        <v>392</v>
      </c>
    </row>
    <row r="6088" spans="1:10" x14ac:dyDescent="0.25">
      <c r="A6088" s="78">
        <v>46263</v>
      </c>
      <c r="B6088" s="68">
        <v>31</v>
      </c>
      <c r="C6088" s="205" t="s">
        <v>1243</v>
      </c>
      <c r="D6088" s="30">
        <v>1</v>
      </c>
      <c r="E6088" s="30">
        <v>10</v>
      </c>
      <c r="F6088" s="30">
        <f t="shared" si="199"/>
        <v>10</v>
      </c>
      <c r="G6088" s="30" t="s">
        <v>9</v>
      </c>
      <c r="J6088" s="30" t="s">
        <v>392</v>
      </c>
    </row>
    <row r="6089" spans="1:10" x14ac:dyDescent="0.25">
      <c r="A6089" s="78">
        <v>46263</v>
      </c>
      <c r="B6089" s="68">
        <v>32</v>
      </c>
      <c r="C6089" s="205" t="s">
        <v>877</v>
      </c>
      <c r="D6089" s="30">
        <v>1</v>
      </c>
      <c r="E6089" s="30">
        <v>10</v>
      </c>
      <c r="F6089" s="30">
        <f t="shared" si="199"/>
        <v>10</v>
      </c>
      <c r="G6089" s="30" t="s">
        <v>9</v>
      </c>
      <c r="J6089" s="30" t="s">
        <v>392</v>
      </c>
    </row>
    <row r="6090" spans="1:10" x14ac:dyDescent="0.25">
      <c r="A6090" s="78">
        <v>46263</v>
      </c>
      <c r="B6090" s="68">
        <v>33</v>
      </c>
      <c r="C6090" s="205" t="s">
        <v>1090</v>
      </c>
      <c r="D6090" s="30">
        <v>2</v>
      </c>
      <c r="E6090" s="30">
        <v>10</v>
      </c>
      <c r="F6090" s="30">
        <f t="shared" si="199"/>
        <v>20</v>
      </c>
      <c r="G6090" s="30" t="s">
        <v>9</v>
      </c>
      <c r="J6090" s="30" t="s">
        <v>392</v>
      </c>
    </row>
    <row r="6091" spans="1:10" x14ac:dyDescent="0.25">
      <c r="A6091" s="78">
        <v>46263</v>
      </c>
      <c r="B6091" s="68">
        <v>34</v>
      </c>
      <c r="C6091" s="205" t="s">
        <v>1078</v>
      </c>
      <c r="D6091" s="30">
        <v>2</v>
      </c>
      <c r="E6091" s="30">
        <v>20</v>
      </c>
      <c r="F6091" s="30">
        <f t="shared" si="199"/>
        <v>40</v>
      </c>
      <c r="G6091" s="30" t="s">
        <v>9</v>
      </c>
      <c r="J6091" s="30" t="s">
        <v>392</v>
      </c>
    </row>
    <row r="6092" spans="1:10" x14ac:dyDescent="0.25">
      <c r="A6092" s="78">
        <v>46263</v>
      </c>
      <c r="B6092" s="68">
        <v>34</v>
      </c>
      <c r="C6092" s="33" t="s">
        <v>1375</v>
      </c>
      <c r="D6092" s="30">
        <v>1</v>
      </c>
      <c r="E6092" s="30">
        <v>20</v>
      </c>
      <c r="F6092" s="30">
        <f t="shared" si="199"/>
        <v>20</v>
      </c>
      <c r="G6092" s="30" t="s">
        <v>9</v>
      </c>
      <c r="J6092" s="30" t="s">
        <v>392</v>
      </c>
    </row>
    <row r="6093" spans="1:10" ht="30" x14ac:dyDescent="0.25">
      <c r="A6093" s="78">
        <v>46263</v>
      </c>
      <c r="B6093" s="68">
        <v>34</v>
      </c>
      <c r="C6093" s="205" t="s">
        <v>897</v>
      </c>
      <c r="D6093" s="30">
        <v>10</v>
      </c>
      <c r="E6093" s="30">
        <v>1</v>
      </c>
      <c r="F6093" s="30">
        <f t="shared" si="199"/>
        <v>10</v>
      </c>
      <c r="G6093" s="30" t="s">
        <v>9</v>
      </c>
      <c r="J6093" s="30" t="s">
        <v>392</v>
      </c>
    </row>
    <row r="6094" spans="1:10" x14ac:dyDescent="0.25">
      <c r="A6094" s="78">
        <v>46263</v>
      </c>
      <c r="B6094" s="68">
        <v>34</v>
      </c>
      <c r="C6094" s="205" t="s">
        <v>1090</v>
      </c>
      <c r="D6094" s="30">
        <v>2</v>
      </c>
      <c r="E6094" s="30">
        <v>10</v>
      </c>
      <c r="F6094" s="30">
        <f t="shared" si="199"/>
        <v>20</v>
      </c>
      <c r="G6094" s="30" t="s">
        <v>9</v>
      </c>
      <c r="J6094" s="30" t="s">
        <v>392</v>
      </c>
    </row>
    <row r="6095" spans="1:10" x14ac:dyDescent="0.25">
      <c r="A6095" s="78">
        <v>46263</v>
      </c>
      <c r="B6095" s="68">
        <v>35</v>
      </c>
      <c r="C6095" s="205" t="s">
        <v>877</v>
      </c>
      <c r="D6095" s="30">
        <v>2</v>
      </c>
      <c r="E6095" s="30">
        <v>10</v>
      </c>
      <c r="F6095" s="30">
        <f t="shared" si="199"/>
        <v>20</v>
      </c>
      <c r="G6095" s="30" t="s">
        <v>9</v>
      </c>
      <c r="J6095" s="30" t="s">
        <v>392</v>
      </c>
    </row>
    <row r="6096" spans="1:10" x14ac:dyDescent="0.25">
      <c r="A6096" s="78">
        <v>46263</v>
      </c>
      <c r="B6096" s="68">
        <v>36</v>
      </c>
      <c r="C6096" s="19" t="s">
        <v>1326</v>
      </c>
      <c r="D6096" s="30">
        <v>4</v>
      </c>
      <c r="E6096" s="30">
        <v>9.5</v>
      </c>
      <c r="F6096" s="30">
        <f t="shared" si="199"/>
        <v>38</v>
      </c>
      <c r="G6096" s="30" t="s">
        <v>16</v>
      </c>
      <c r="I6096" s="68" t="s">
        <v>1203</v>
      </c>
      <c r="J6096" s="30" t="s">
        <v>392</v>
      </c>
    </row>
    <row r="6097" spans="1:10" x14ac:dyDescent="0.25">
      <c r="A6097" s="78">
        <v>46263</v>
      </c>
      <c r="B6097" s="68">
        <v>36</v>
      </c>
      <c r="C6097" s="205" t="str">
        <f>PA!A223</f>
        <v>VIMAL PAPAD</v>
      </c>
      <c r="D6097" s="30">
        <v>1</v>
      </c>
      <c r="E6097" s="30">
        <v>20</v>
      </c>
      <c r="F6097" s="30">
        <f t="shared" si="199"/>
        <v>20</v>
      </c>
      <c r="G6097" s="30" t="s">
        <v>16</v>
      </c>
      <c r="I6097" s="68" t="s">
        <v>1203</v>
      </c>
      <c r="J6097" s="30" t="s">
        <v>392</v>
      </c>
    </row>
    <row r="6098" spans="1:10" x14ac:dyDescent="0.25">
      <c r="A6098" s="78">
        <v>46263</v>
      </c>
      <c r="B6098" s="68">
        <v>36</v>
      </c>
      <c r="C6098" s="205" t="str">
        <f>PA!A226</f>
        <v>WHOLE DARCHINI LOT 1</v>
      </c>
      <c r="D6098" s="30">
        <v>0.01</v>
      </c>
      <c r="E6098" s="30">
        <v>480</v>
      </c>
      <c r="F6098" s="30">
        <f t="shared" si="199"/>
        <v>4.8</v>
      </c>
      <c r="G6098" s="30" t="s">
        <v>16</v>
      </c>
      <c r="I6098" s="68" t="s">
        <v>1203</v>
      </c>
      <c r="J6098" s="30" t="s">
        <v>392</v>
      </c>
    </row>
    <row r="6099" spans="1:10" x14ac:dyDescent="0.25">
      <c r="A6099" s="78">
        <v>46263</v>
      </c>
      <c r="B6099" s="68">
        <v>37</v>
      </c>
      <c r="C6099" s="205" t="s">
        <v>1261</v>
      </c>
      <c r="D6099" s="30">
        <v>1</v>
      </c>
      <c r="E6099" s="30">
        <v>10</v>
      </c>
      <c r="F6099" s="30">
        <f t="shared" si="199"/>
        <v>10</v>
      </c>
      <c r="G6099" s="30" t="s">
        <v>9</v>
      </c>
      <c r="J6099" s="30" t="s">
        <v>392</v>
      </c>
    </row>
    <row r="6100" spans="1:10" ht="30" x14ac:dyDescent="0.25">
      <c r="A6100" s="78">
        <v>46263</v>
      </c>
      <c r="B6100" s="68">
        <v>38</v>
      </c>
      <c r="C6100" s="205" t="s">
        <v>1256</v>
      </c>
      <c r="D6100" s="30">
        <v>1</v>
      </c>
      <c r="E6100" s="30">
        <v>10</v>
      </c>
      <c r="F6100" s="30">
        <f t="shared" si="199"/>
        <v>10</v>
      </c>
      <c r="G6100" s="30" t="s">
        <v>9</v>
      </c>
      <c r="J6100" s="30" t="s">
        <v>392</v>
      </c>
    </row>
    <row r="6101" spans="1:10" x14ac:dyDescent="0.25">
      <c r="A6101" s="78">
        <v>46263</v>
      </c>
      <c r="B6101" s="68">
        <v>38</v>
      </c>
      <c r="C6101" s="19" t="s">
        <v>1340</v>
      </c>
      <c r="D6101" s="30">
        <v>1</v>
      </c>
      <c r="E6101" s="30">
        <v>10</v>
      </c>
      <c r="F6101" s="30">
        <f t="shared" si="199"/>
        <v>10</v>
      </c>
      <c r="G6101" s="30" t="s">
        <v>9</v>
      </c>
      <c r="J6101" s="30" t="s">
        <v>392</v>
      </c>
    </row>
    <row r="6102" spans="1:10" x14ac:dyDescent="0.25">
      <c r="A6102" s="78">
        <v>46263</v>
      </c>
      <c r="B6102" s="68">
        <v>39</v>
      </c>
      <c r="C6102" s="204" t="s">
        <v>1053</v>
      </c>
      <c r="D6102" s="30">
        <v>10</v>
      </c>
      <c r="E6102" s="30">
        <v>10</v>
      </c>
      <c r="F6102" s="30">
        <f t="shared" si="199"/>
        <v>100</v>
      </c>
      <c r="G6102" s="30" t="s">
        <v>9</v>
      </c>
      <c r="J6102" s="30" t="s">
        <v>392</v>
      </c>
    </row>
    <row r="6103" spans="1:10" x14ac:dyDescent="0.25">
      <c r="A6103" s="78">
        <v>46263</v>
      </c>
      <c r="B6103" s="68">
        <v>39</v>
      </c>
      <c r="C6103" s="204" t="s">
        <v>535</v>
      </c>
      <c r="D6103" s="30">
        <v>1</v>
      </c>
      <c r="E6103" s="30">
        <v>10</v>
      </c>
      <c r="F6103" s="30">
        <f t="shared" si="199"/>
        <v>10</v>
      </c>
      <c r="G6103" s="30" t="s">
        <v>9</v>
      </c>
      <c r="J6103" s="30" t="s">
        <v>392</v>
      </c>
    </row>
    <row r="6104" spans="1:10" x14ac:dyDescent="0.25">
      <c r="A6104" s="78">
        <v>46263</v>
      </c>
      <c r="B6104" s="68">
        <v>40</v>
      </c>
      <c r="C6104" s="205" t="s">
        <v>1198</v>
      </c>
      <c r="D6104" s="30">
        <v>1</v>
      </c>
      <c r="E6104" s="30">
        <v>10</v>
      </c>
      <c r="F6104" s="30">
        <f t="shared" si="199"/>
        <v>10</v>
      </c>
      <c r="G6104" s="30" t="s">
        <v>9</v>
      </c>
      <c r="J6104" s="30" t="s">
        <v>392</v>
      </c>
    </row>
    <row r="6105" spans="1:10" x14ac:dyDescent="0.25">
      <c r="A6105" s="78">
        <v>46263</v>
      </c>
      <c r="B6105" s="68">
        <v>41</v>
      </c>
      <c r="C6105" s="19" t="s">
        <v>1328</v>
      </c>
      <c r="D6105" s="30">
        <v>1</v>
      </c>
      <c r="E6105" s="30">
        <v>60</v>
      </c>
      <c r="F6105" s="30">
        <f t="shared" si="199"/>
        <v>60</v>
      </c>
      <c r="G6105" s="30" t="s">
        <v>9</v>
      </c>
      <c r="J6105" s="30" t="s">
        <v>392</v>
      </c>
    </row>
    <row r="6106" spans="1:10" ht="30" x14ac:dyDescent="0.25">
      <c r="A6106" s="78">
        <v>46263</v>
      </c>
      <c r="B6106" s="68">
        <v>41</v>
      </c>
      <c r="C6106" s="205" t="s">
        <v>1256</v>
      </c>
      <c r="D6106" s="30">
        <v>1</v>
      </c>
      <c r="E6106" s="30">
        <v>10</v>
      </c>
      <c r="F6106" s="30">
        <f t="shared" si="199"/>
        <v>10</v>
      </c>
      <c r="G6106" s="30" t="s">
        <v>9</v>
      </c>
      <c r="J6106" s="30" t="s">
        <v>392</v>
      </c>
    </row>
    <row r="6107" spans="1:10" x14ac:dyDescent="0.25">
      <c r="A6107" s="78">
        <v>46263</v>
      </c>
      <c r="B6107" s="68">
        <v>41</v>
      </c>
      <c r="C6107" s="205" t="s">
        <v>1273</v>
      </c>
      <c r="D6107" s="30">
        <v>2</v>
      </c>
      <c r="E6107" s="30">
        <v>5</v>
      </c>
      <c r="F6107" s="30">
        <f t="shared" si="199"/>
        <v>10</v>
      </c>
      <c r="G6107" s="30" t="s">
        <v>9</v>
      </c>
      <c r="J6107" s="30" t="s">
        <v>392</v>
      </c>
    </row>
    <row r="6108" spans="1:10" x14ac:dyDescent="0.25">
      <c r="A6108" s="78">
        <v>46263</v>
      </c>
      <c r="B6108" s="68">
        <v>41</v>
      </c>
      <c r="C6108" s="204" t="s">
        <v>535</v>
      </c>
      <c r="D6108" s="30">
        <v>1</v>
      </c>
      <c r="E6108" s="30">
        <v>10</v>
      </c>
      <c r="F6108" s="30">
        <f t="shared" si="199"/>
        <v>10</v>
      </c>
      <c r="G6108" s="30" t="s">
        <v>9</v>
      </c>
      <c r="J6108" s="30" t="s">
        <v>392</v>
      </c>
    </row>
    <row r="6109" spans="1:10" x14ac:dyDescent="0.25">
      <c r="A6109" s="78">
        <v>46263</v>
      </c>
      <c r="B6109" s="68">
        <v>42</v>
      </c>
      <c r="C6109" s="204" t="str">
        <f>PA!A228</f>
        <v>WHOLE DHANIA LOT 1</v>
      </c>
      <c r="D6109" s="30">
        <v>0.17699999999999999</v>
      </c>
      <c r="E6109" s="30">
        <v>180</v>
      </c>
      <c r="F6109" s="30">
        <f t="shared" si="199"/>
        <v>31.86</v>
      </c>
      <c r="G6109" s="30" t="s">
        <v>9</v>
      </c>
      <c r="J6109" s="30" t="s">
        <v>392</v>
      </c>
    </row>
    <row r="6110" spans="1:10" x14ac:dyDescent="0.25">
      <c r="A6110" s="78">
        <v>46263</v>
      </c>
      <c r="B6110" s="68">
        <v>42</v>
      </c>
      <c r="C6110" s="19" t="s">
        <v>1327</v>
      </c>
      <c r="D6110" s="30">
        <v>1</v>
      </c>
      <c r="E6110" s="30">
        <v>70</v>
      </c>
      <c r="F6110" s="30">
        <f t="shared" si="199"/>
        <v>70</v>
      </c>
      <c r="G6110" s="30" t="s">
        <v>9</v>
      </c>
      <c r="J6110" s="30" t="s">
        <v>392</v>
      </c>
    </row>
    <row r="6111" spans="1:10" x14ac:dyDescent="0.25">
      <c r="A6111" s="78">
        <v>46263</v>
      </c>
      <c r="C6111" s="205"/>
    </row>
    <row r="6112" spans="1:10" s="199" customFormat="1" ht="31.5" x14ac:dyDescent="0.25">
      <c r="A6112" s="196">
        <v>46263</v>
      </c>
      <c r="B6112" s="197" t="s">
        <v>1248</v>
      </c>
      <c r="C6112" s="198">
        <f>MAX(B6077:B6112)</f>
        <v>42</v>
      </c>
      <c r="D6112" s="197" t="s">
        <v>1249</v>
      </c>
      <c r="E6112" s="199">
        <f>SUMIF(G6077:G6112,"UPI",F6077:F6112)</f>
        <v>150</v>
      </c>
      <c r="H6112" s="200" t="s">
        <v>1251</v>
      </c>
      <c r="I6112" s="200">
        <f>SUMIF(G6077:G6112, "&lt;&gt;UPI",F6077:F6112)</f>
        <v>684.66</v>
      </c>
    </row>
    <row r="6113" spans="1:12" s="5" customFormat="1" ht="15.75" x14ac:dyDescent="0.25">
      <c r="A6113" s="201">
        <v>46263</v>
      </c>
      <c r="B6113" s="2"/>
      <c r="C6113" s="14"/>
      <c r="H6113" s="2" t="s">
        <v>1250</v>
      </c>
      <c r="I6113" s="2">
        <f>SUMIF(G6036:G6112, "&lt;&gt;UPI",F6036:F6112)</f>
        <v>1273.83</v>
      </c>
    </row>
    <row r="6114" spans="1:12" s="202" customFormat="1" ht="18.75" customHeight="1" x14ac:dyDescent="0.3">
      <c r="A6114" s="146">
        <v>46263</v>
      </c>
      <c r="B6114" s="147" t="s">
        <v>987</v>
      </c>
      <c r="C6114" s="148">
        <f>MAX(B6036:B6113)</f>
        <v>42</v>
      </c>
      <c r="D6114" s="147" t="s">
        <v>988</v>
      </c>
      <c r="E6114" s="202">
        <f>SUMIF(G6036:G6112,"UPI",F6036:F6112)</f>
        <v>349.6</v>
      </c>
      <c r="F6114" s="227" t="s">
        <v>437</v>
      </c>
      <c r="G6114" s="228"/>
      <c r="H6114" s="229"/>
      <c r="I6114" s="227">
        <f>SUM(F6036:F6113)</f>
        <v>1623.4299999999998</v>
      </c>
      <c r="J6114" s="228"/>
      <c r="K6114" s="228"/>
      <c r="L6114" s="229"/>
    </row>
    <row r="6115" spans="1:12" ht="30" x14ac:dyDescent="0.25">
      <c r="A6115" s="78">
        <v>46264</v>
      </c>
      <c r="B6115" s="68">
        <v>1</v>
      </c>
      <c r="C6115" s="205" t="s">
        <v>771</v>
      </c>
      <c r="D6115" s="30">
        <v>1</v>
      </c>
      <c r="E6115" s="30">
        <v>160</v>
      </c>
      <c r="F6115" s="30">
        <f>E6115*D6115</f>
        <v>160</v>
      </c>
      <c r="G6115" s="30" t="s">
        <v>9</v>
      </c>
      <c r="J6115" s="30" t="s">
        <v>391</v>
      </c>
    </row>
    <row r="6116" spans="1:12" x14ac:dyDescent="0.25">
      <c r="A6116" s="78">
        <v>46264</v>
      </c>
      <c r="B6116" s="68">
        <v>2</v>
      </c>
      <c r="C6116" s="19" t="s">
        <v>1383</v>
      </c>
      <c r="D6116" s="30">
        <v>1.5</v>
      </c>
      <c r="E6116" s="30">
        <v>20</v>
      </c>
      <c r="F6116" s="30">
        <f t="shared" ref="F6116:F6159" si="200">E6116*D6116</f>
        <v>30</v>
      </c>
      <c r="G6116" s="30" t="s">
        <v>9</v>
      </c>
      <c r="J6116" s="30" t="s">
        <v>391</v>
      </c>
    </row>
    <row r="6117" spans="1:12" x14ac:dyDescent="0.25">
      <c r="A6117" s="78">
        <v>46264</v>
      </c>
      <c r="B6117" s="68">
        <v>2</v>
      </c>
      <c r="C6117" s="19" t="s">
        <v>1326</v>
      </c>
      <c r="D6117" s="30">
        <v>4</v>
      </c>
      <c r="E6117" s="30">
        <v>10</v>
      </c>
      <c r="F6117" s="30">
        <f t="shared" si="200"/>
        <v>40</v>
      </c>
      <c r="G6117" s="30" t="s">
        <v>9</v>
      </c>
      <c r="J6117" s="30" t="s">
        <v>391</v>
      </c>
    </row>
    <row r="6118" spans="1:12" x14ac:dyDescent="0.25">
      <c r="A6118" s="78">
        <v>46264</v>
      </c>
      <c r="B6118" s="68">
        <v>2</v>
      </c>
      <c r="C6118" s="205" t="s">
        <v>964</v>
      </c>
      <c r="D6118" s="30">
        <v>1</v>
      </c>
      <c r="E6118" s="30">
        <v>10</v>
      </c>
      <c r="F6118" s="30">
        <f t="shared" si="200"/>
        <v>10</v>
      </c>
      <c r="G6118" s="30" t="s">
        <v>9</v>
      </c>
      <c r="J6118" s="30" t="s">
        <v>391</v>
      </c>
    </row>
    <row r="6119" spans="1:12" x14ac:dyDescent="0.25">
      <c r="A6119" s="78">
        <v>46264</v>
      </c>
      <c r="B6119" s="68">
        <v>3</v>
      </c>
      <c r="C6119" s="205" t="s">
        <v>1291</v>
      </c>
      <c r="D6119" s="30">
        <v>0.5</v>
      </c>
      <c r="E6119" s="30">
        <v>65</v>
      </c>
      <c r="F6119" s="30">
        <f t="shared" si="200"/>
        <v>32.5</v>
      </c>
      <c r="G6119" s="30" t="s">
        <v>16</v>
      </c>
      <c r="I6119" s="68" t="s">
        <v>1200</v>
      </c>
      <c r="J6119" s="30" t="s">
        <v>391</v>
      </c>
    </row>
    <row r="6120" spans="1:12" x14ac:dyDescent="0.25">
      <c r="A6120" s="78">
        <v>46264</v>
      </c>
      <c r="B6120" s="68">
        <v>3</v>
      </c>
      <c r="C6120" s="205" t="s">
        <v>588</v>
      </c>
      <c r="D6120" s="30">
        <v>0.5</v>
      </c>
      <c r="E6120" s="30">
        <v>190</v>
      </c>
      <c r="F6120" s="30">
        <f t="shared" si="200"/>
        <v>95</v>
      </c>
      <c r="G6120" s="30" t="s">
        <v>16</v>
      </c>
      <c r="I6120" s="68" t="s">
        <v>1200</v>
      </c>
      <c r="J6120" s="30" t="s">
        <v>391</v>
      </c>
    </row>
    <row r="6121" spans="1:12" x14ac:dyDescent="0.25">
      <c r="A6121" s="78">
        <v>46264</v>
      </c>
      <c r="B6121" s="68">
        <v>4</v>
      </c>
      <c r="C6121" s="19" t="s">
        <v>1376</v>
      </c>
      <c r="D6121" s="30">
        <v>0.5</v>
      </c>
      <c r="E6121" s="30">
        <v>60</v>
      </c>
      <c r="F6121" s="30">
        <f t="shared" si="200"/>
        <v>30</v>
      </c>
      <c r="G6121" s="30" t="s">
        <v>9</v>
      </c>
      <c r="J6121" s="30" t="s">
        <v>391</v>
      </c>
    </row>
    <row r="6122" spans="1:12" x14ac:dyDescent="0.25">
      <c r="A6122" s="78">
        <v>46264</v>
      </c>
      <c r="B6122" s="68">
        <v>5</v>
      </c>
      <c r="C6122" s="205" t="s">
        <v>917</v>
      </c>
      <c r="D6122" s="30">
        <v>1</v>
      </c>
      <c r="E6122" s="30">
        <v>70</v>
      </c>
      <c r="F6122" s="30">
        <f t="shared" si="200"/>
        <v>70</v>
      </c>
      <c r="G6122" s="30" t="s">
        <v>9</v>
      </c>
      <c r="J6122" s="30" t="s">
        <v>391</v>
      </c>
    </row>
    <row r="6123" spans="1:12" x14ac:dyDescent="0.25">
      <c r="A6123" s="78">
        <v>46264</v>
      </c>
      <c r="B6123" s="68">
        <v>6</v>
      </c>
      <c r="C6123" s="205" t="s">
        <v>623</v>
      </c>
      <c r="D6123" s="30">
        <v>5</v>
      </c>
      <c r="E6123" s="30">
        <v>4</v>
      </c>
      <c r="F6123" s="30">
        <f t="shared" si="200"/>
        <v>20</v>
      </c>
      <c r="G6123" s="30" t="s">
        <v>9</v>
      </c>
      <c r="J6123" s="30" t="s">
        <v>391</v>
      </c>
    </row>
    <row r="6124" spans="1:12" x14ac:dyDescent="0.25">
      <c r="A6124" s="78">
        <v>46264</v>
      </c>
      <c r="B6124" s="68">
        <v>7</v>
      </c>
      <c r="C6124" s="19" t="s">
        <v>1392</v>
      </c>
      <c r="D6124" s="30">
        <v>1</v>
      </c>
      <c r="E6124" s="30">
        <v>10</v>
      </c>
      <c r="F6124" s="30">
        <f t="shared" si="200"/>
        <v>10</v>
      </c>
      <c r="G6124" s="30" t="s">
        <v>10</v>
      </c>
      <c r="J6124" s="30" t="s">
        <v>391</v>
      </c>
    </row>
    <row r="6125" spans="1:12" x14ac:dyDescent="0.25">
      <c r="A6125" s="78">
        <v>46264</v>
      </c>
      <c r="B6125" s="68">
        <v>8</v>
      </c>
      <c r="C6125" s="205" t="s">
        <v>503</v>
      </c>
      <c r="D6125" s="30">
        <v>1</v>
      </c>
      <c r="E6125" s="30">
        <v>10</v>
      </c>
      <c r="F6125" s="30">
        <f t="shared" si="200"/>
        <v>10</v>
      </c>
      <c r="G6125" s="30" t="s">
        <v>9</v>
      </c>
      <c r="J6125" s="30" t="s">
        <v>391</v>
      </c>
    </row>
    <row r="6126" spans="1:12" x14ac:dyDescent="0.25">
      <c r="A6126" s="78">
        <v>46264</v>
      </c>
      <c r="B6126" s="68">
        <v>9</v>
      </c>
      <c r="C6126" s="205" t="s">
        <v>655</v>
      </c>
      <c r="D6126" s="30">
        <v>1</v>
      </c>
      <c r="E6126" s="30">
        <v>15</v>
      </c>
      <c r="F6126" s="30">
        <f t="shared" si="200"/>
        <v>15</v>
      </c>
      <c r="G6126" s="30" t="s">
        <v>9</v>
      </c>
      <c r="J6126" s="30" t="s">
        <v>391</v>
      </c>
    </row>
    <row r="6127" spans="1:12" ht="30" x14ac:dyDescent="0.25">
      <c r="A6127" s="78">
        <v>46264</v>
      </c>
      <c r="B6127" s="68">
        <v>10</v>
      </c>
      <c r="C6127" s="205" t="s">
        <v>1066</v>
      </c>
      <c r="D6127" s="30">
        <v>1</v>
      </c>
      <c r="E6127" s="30">
        <v>40</v>
      </c>
      <c r="F6127" s="30">
        <f t="shared" si="200"/>
        <v>40</v>
      </c>
      <c r="G6127" s="30" t="s">
        <v>16</v>
      </c>
      <c r="I6127" s="68" t="s">
        <v>1200</v>
      </c>
      <c r="J6127" s="30" t="s">
        <v>391</v>
      </c>
    </row>
    <row r="6128" spans="1:12" x14ac:dyDescent="0.25">
      <c r="A6128" s="78">
        <v>46264</v>
      </c>
      <c r="B6128" s="68">
        <v>11</v>
      </c>
      <c r="C6128" s="19" t="s">
        <v>1376</v>
      </c>
      <c r="D6128" s="30">
        <v>0.5</v>
      </c>
      <c r="E6128" s="30">
        <v>60</v>
      </c>
      <c r="F6128" s="30">
        <f t="shared" si="200"/>
        <v>30</v>
      </c>
      <c r="G6128" s="30" t="s">
        <v>9</v>
      </c>
      <c r="J6128" s="30" t="s">
        <v>391</v>
      </c>
    </row>
    <row r="6129" spans="1:10" x14ac:dyDescent="0.25">
      <c r="A6129" s="78">
        <v>46264</v>
      </c>
      <c r="B6129" s="68">
        <v>11</v>
      </c>
      <c r="C6129" s="19" t="s">
        <v>1384</v>
      </c>
      <c r="D6129" s="30">
        <v>1</v>
      </c>
      <c r="E6129" s="30">
        <v>10</v>
      </c>
      <c r="F6129" s="30">
        <f t="shared" si="200"/>
        <v>10</v>
      </c>
      <c r="G6129" s="30" t="s">
        <v>9</v>
      </c>
      <c r="J6129" s="30" t="s">
        <v>391</v>
      </c>
    </row>
    <row r="6130" spans="1:10" x14ac:dyDescent="0.25">
      <c r="A6130" s="78">
        <v>46264</v>
      </c>
      <c r="B6130" s="68">
        <v>11</v>
      </c>
      <c r="C6130" s="205" t="s">
        <v>102</v>
      </c>
      <c r="D6130" s="30">
        <v>1</v>
      </c>
      <c r="E6130" s="30">
        <v>25</v>
      </c>
      <c r="F6130" s="30">
        <f t="shared" si="200"/>
        <v>25</v>
      </c>
      <c r="G6130" s="30" t="s">
        <v>9</v>
      </c>
      <c r="J6130" s="30" t="s">
        <v>391</v>
      </c>
    </row>
    <row r="6131" spans="1:10" ht="30" x14ac:dyDescent="0.25">
      <c r="A6131" s="78">
        <v>46264</v>
      </c>
      <c r="B6131" s="68">
        <v>12</v>
      </c>
      <c r="C6131" s="204" t="s">
        <v>377</v>
      </c>
      <c r="D6131" s="30">
        <v>2</v>
      </c>
      <c r="E6131" s="30">
        <v>10</v>
      </c>
      <c r="F6131" s="30">
        <f t="shared" si="200"/>
        <v>20</v>
      </c>
      <c r="G6131" s="30" t="s">
        <v>9</v>
      </c>
      <c r="J6131" s="30" t="s">
        <v>391</v>
      </c>
    </row>
    <row r="6132" spans="1:10" x14ac:dyDescent="0.25">
      <c r="A6132" s="78">
        <v>46264</v>
      </c>
      <c r="B6132" s="68">
        <v>12</v>
      </c>
      <c r="C6132" s="205" t="s">
        <v>159</v>
      </c>
      <c r="D6132" s="30">
        <v>0.5</v>
      </c>
      <c r="E6132" s="30">
        <v>160</v>
      </c>
      <c r="F6132" s="30">
        <f t="shared" si="200"/>
        <v>80</v>
      </c>
      <c r="G6132" s="30" t="s">
        <v>9</v>
      </c>
      <c r="J6132" s="30" t="s">
        <v>391</v>
      </c>
    </row>
    <row r="6133" spans="1:10" x14ac:dyDescent="0.25">
      <c r="A6133" s="78">
        <v>46264</v>
      </c>
      <c r="B6133" s="68">
        <v>13</v>
      </c>
      <c r="C6133" s="205" t="s">
        <v>93</v>
      </c>
      <c r="D6133" s="30">
        <v>1</v>
      </c>
      <c r="E6133" s="30">
        <v>38</v>
      </c>
      <c r="F6133" s="30">
        <f t="shared" si="200"/>
        <v>38</v>
      </c>
      <c r="G6133" s="30" t="s">
        <v>9</v>
      </c>
      <c r="J6133" s="30" t="s">
        <v>391</v>
      </c>
    </row>
    <row r="6134" spans="1:10" x14ac:dyDescent="0.25">
      <c r="A6134" s="78">
        <v>46264</v>
      </c>
      <c r="B6134" s="68">
        <v>13</v>
      </c>
      <c r="C6134" s="205" t="s">
        <v>1026</v>
      </c>
      <c r="D6134" s="30">
        <v>0.06</v>
      </c>
      <c r="E6134" s="30">
        <v>200</v>
      </c>
      <c r="F6134" s="30">
        <f t="shared" si="200"/>
        <v>12</v>
      </c>
      <c r="G6134" s="30" t="s">
        <v>9</v>
      </c>
      <c r="J6134" s="30" t="s">
        <v>391</v>
      </c>
    </row>
    <row r="6135" spans="1:10" x14ac:dyDescent="0.25">
      <c r="A6135" s="78">
        <v>46264</v>
      </c>
      <c r="B6135" s="68">
        <v>14</v>
      </c>
      <c r="C6135" s="19" t="s">
        <v>1380</v>
      </c>
      <c r="D6135" s="30">
        <v>4</v>
      </c>
      <c r="E6135" s="30">
        <v>10</v>
      </c>
      <c r="F6135" s="30">
        <f t="shared" si="200"/>
        <v>40</v>
      </c>
      <c r="G6135" s="30" t="s">
        <v>9</v>
      </c>
      <c r="J6135" s="30" t="s">
        <v>391</v>
      </c>
    </row>
    <row r="6136" spans="1:10" ht="30" x14ac:dyDescent="0.25">
      <c r="A6136" s="78">
        <v>46264</v>
      </c>
      <c r="B6136" s="68">
        <v>14</v>
      </c>
      <c r="C6136" s="205" t="s">
        <v>1281</v>
      </c>
      <c r="D6136" s="30">
        <v>1</v>
      </c>
      <c r="E6136" s="30">
        <v>60</v>
      </c>
      <c r="F6136" s="30">
        <f t="shared" si="200"/>
        <v>60</v>
      </c>
      <c r="G6136" s="30" t="s">
        <v>9</v>
      </c>
      <c r="J6136" s="30" t="s">
        <v>391</v>
      </c>
    </row>
    <row r="6137" spans="1:10" x14ac:dyDescent="0.25">
      <c r="A6137" s="78">
        <v>46264</v>
      </c>
      <c r="B6137" s="68">
        <v>14</v>
      </c>
      <c r="C6137" s="205" t="s">
        <v>1201</v>
      </c>
      <c r="D6137" s="30">
        <v>1</v>
      </c>
      <c r="E6137" s="30">
        <v>100</v>
      </c>
      <c r="F6137" s="30">
        <f t="shared" si="200"/>
        <v>100</v>
      </c>
      <c r="G6137" s="30" t="s">
        <v>9</v>
      </c>
      <c r="J6137" s="30" t="s">
        <v>391</v>
      </c>
    </row>
    <row r="6138" spans="1:10" x14ac:dyDescent="0.25">
      <c r="A6138" s="78">
        <v>46264</v>
      </c>
      <c r="B6138" s="68">
        <v>14</v>
      </c>
      <c r="C6138" s="205" t="s">
        <v>623</v>
      </c>
      <c r="D6138" s="30">
        <v>5</v>
      </c>
      <c r="E6138" s="30">
        <v>4</v>
      </c>
      <c r="F6138" s="30">
        <f t="shared" si="200"/>
        <v>20</v>
      </c>
      <c r="G6138" s="30" t="s">
        <v>9</v>
      </c>
      <c r="J6138" s="30" t="s">
        <v>391</v>
      </c>
    </row>
    <row r="6139" spans="1:10" x14ac:dyDescent="0.25">
      <c r="A6139" s="78">
        <v>46264</v>
      </c>
      <c r="B6139" s="68">
        <v>14</v>
      </c>
      <c r="C6139" s="19" t="s">
        <v>1387</v>
      </c>
      <c r="D6139" s="221">
        <v>1</v>
      </c>
      <c r="E6139" s="30">
        <v>10</v>
      </c>
      <c r="F6139" s="30">
        <f t="shared" si="200"/>
        <v>10</v>
      </c>
      <c r="G6139" s="30" t="s">
        <v>9</v>
      </c>
      <c r="J6139" s="30" t="s">
        <v>391</v>
      </c>
    </row>
    <row r="6140" spans="1:10" x14ac:dyDescent="0.25">
      <c r="A6140" s="78">
        <v>46264</v>
      </c>
      <c r="B6140" s="68">
        <v>14</v>
      </c>
      <c r="C6140" s="205" t="s">
        <v>1268</v>
      </c>
      <c r="D6140" s="30">
        <v>1</v>
      </c>
      <c r="E6140" s="30">
        <v>20</v>
      </c>
      <c r="F6140" s="30">
        <f t="shared" si="200"/>
        <v>20</v>
      </c>
      <c r="G6140" s="30" t="s">
        <v>9</v>
      </c>
      <c r="J6140" s="30" t="s">
        <v>391</v>
      </c>
    </row>
    <row r="6141" spans="1:10" x14ac:dyDescent="0.25">
      <c r="A6141" s="78">
        <v>46264</v>
      </c>
      <c r="B6141" s="68">
        <v>14</v>
      </c>
      <c r="C6141" s="205" t="s">
        <v>1147</v>
      </c>
      <c r="D6141" s="30">
        <v>1</v>
      </c>
      <c r="E6141" s="30">
        <v>10</v>
      </c>
      <c r="F6141" s="30">
        <f t="shared" si="200"/>
        <v>10</v>
      </c>
      <c r="G6141" s="30" t="s">
        <v>9</v>
      </c>
      <c r="J6141" s="30" t="s">
        <v>391</v>
      </c>
    </row>
    <row r="6142" spans="1:10" x14ac:dyDescent="0.25">
      <c r="A6142" s="78">
        <v>46264</v>
      </c>
      <c r="B6142" s="68">
        <v>14</v>
      </c>
      <c r="C6142" s="205" t="s">
        <v>953</v>
      </c>
      <c r="D6142" s="30">
        <v>1</v>
      </c>
      <c r="E6142" s="30">
        <v>10</v>
      </c>
      <c r="F6142" s="30">
        <f t="shared" si="200"/>
        <v>10</v>
      </c>
      <c r="G6142" s="30" t="s">
        <v>9</v>
      </c>
      <c r="J6142" s="30" t="s">
        <v>391</v>
      </c>
    </row>
    <row r="6143" spans="1:10" x14ac:dyDescent="0.25">
      <c r="A6143" s="78">
        <v>46264</v>
      </c>
      <c r="B6143" s="68">
        <v>14</v>
      </c>
      <c r="C6143" s="205" t="s">
        <v>1257</v>
      </c>
      <c r="D6143" s="30">
        <v>1</v>
      </c>
      <c r="E6143" s="30">
        <v>50</v>
      </c>
      <c r="F6143" s="30">
        <f t="shared" si="200"/>
        <v>50</v>
      </c>
      <c r="G6143" s="30" t="s">
        <v>9</v>
      </c>
      <c r="J6143" s="30" t="s">
        <v>391</v>
      </c>
    </row>
    <row r="6144" spans="1:10" x14ac:dyDescent="0.25">
      <c r="A6144" s="78">
        <v>46264</v>
      </c>
      <c r="B6144" s="68">
        <v>14</v>
      </c>
      <c r="C6144" s="19" t="s">
        <v>1344</v>
      </c>
      <c r="D6144" s="30">
        <v>1</v>
      </c>
      <c r="E6144" s="30">
        <v>20</v>
      </c>
      <c r="F6144" s="30">
        <f t="shared" si="200"/>
        <v>20</v>
      </c>
      <c r="G6144" s="30" t="s">
        <v>9</v>
      </c>
      <c r="J6144" s="30" t="s">
        <v>391</v>
      </c>
    </row>
    <row r="6145" spans="1:10" x14ac:dyDescent="0.25">
      <c r="A6145" s="78">
        <v>46264</v>
      </c>
      <c r="B6145" s="68">
        <v>14</v>
      </c>
      <c r="C6145" s="205" t="s">
        <v>871</v>
      </c>
      <c r="D6145" s="30">
        <v>1</v>
      </c>
      <c r="E6145" s="30">
        <v>20</v>
      </c>
      <c r="F6145" s="30">
        <f t="shared" si="200"/>
        <v>20</v>
      </c>
      <c r="G6145" s="30" t="s">
        <v>9</v>
      </c>
      <c r="J6145" s="30" t="s">
        <v>391</v>
      </c>
    </row>
    <row r="6146" spans="1:10" x14ac:dyDescent="0.25">
      <c r="A6146" s="78">
        <v>46264</v>
      </c>
      <c r="B6146" s="68">
        <v>14</v>
      </c>
      <c r="C6146" s="205" t="s">
        <v>925</v>
      </c>
      <c r="D6146" s="30">
        <v>1</v>
      </c>
      <c r="E6146" s="30">
        <v>20</v>
      </c>
      <c r="F6146" s="30">
        <f t="shared" si="200"/>
        <v>20</v>
      </c>
      <c r="G6146" s="30" t="s">
        <v>9</v>
      </c>
      <c r="J6146" s="30" t="s">
        <v>391</v>
      </c>
    </row>
    <row r="6147" spans="1:10" x14ac:dyDescent="0.25">
      <c r="A6147" s="78">
        <v>46264</v>
      </c>
      <c r="B6147" s="68">
        <v>15</v>
      </c>
      <c r="C6147" s="205" t="s">
        <v>951</v>
      </c>
      <c r="D6147" s="30">
        <v>16</v>
      </c>
      <c r="E6147" s="30">
        <v>1</v>
      </c>
      <c r="F6147" s="30">
        <f t="shared" si="200"/>
        <v>16</v>
      </c>
      <c r="G6147" s="30" t="s">
        <v>9</v>
      </c>
      <c r="I6147" s="68" t="s">
        <v>1397</v>
      </c>
      <c r="J6147" s="30" t="s">
        <v>391</v>
      </c>
    </row>
    <row r="6148" spans="1:10" x14ac:dyDescent="0.25">
      <c r="A6148" s="78">
        <v>46264</v>
      </c>
      <c r="B6148" s="68">
        <v>15</v>
      </c>
      <c r="C6148" s="205" t="s">
        <v>950</v>
      </c>
      <c r="D6148" s="30">
        <v>16</v>
      </c>
      <c r="E6148" s="30">
        <v>1</v>
      </c>
      <c r="F6148" s="30">
        <f t="shared" si="200"/>
        <v>16</v>
      </c>
      <c r="G6148" s="30" t="s">
        <v>9</v>
      </c>
      <c r="I6148" s="68" t="s">
        <v>1397</v>
      </c>
      <c r="J6148" s="30" t="s">
        <v>391</v>
      </c>
    </row>
    <row r="6149" spans="1:10" ht="30" x14ac:dyDescent="0.25">
      <c r="A6149" s="78">
        <v>46264</v>
      </c>
      <c r="B6149" s="68">
        <v>16</v>
      </c>
      <c r="C6149" s="205" t="s">
        <v>1256</v>
      </c>
      <c r="D6149" s="30">
        <v>1</v>
      </c>
      <c r="E6149" s="30">
        <v>10</v>
      </c>
      <c r="F6149" s="30">
        <f t="shared" si="200"/>
        <v>10</v>
      </c>
      <c r="G6149" s="30" t="s">
        <v>9</v>
      </c>
      <c r="J6149" s="30" t="s">
        <v>391</v>
      </c>
    </row>
    <row r="6150" spans="1:10" x14ac:dyDescent="0.25">
      <c r="A6150" s="78">
        <v>46264</v>
      </c>
      <c r="B6150" s="68">
        <v>16</v>
      </c>
      <c r="C6150" s="205" t="s">
        <v>1254</v>
      </c>
      <c r="D6150" s="30">
        <v>2</v>
      </c>
      <c r="E6150" s="30">
        <v>10</v>
      </c>
      <c r="F6150" s="30">
        <f t="shared" si="200"/>
        <v>20</v>
      </c>
      <c r="G6150" s="30" t="s">
        <v>9</v>
      </c>
      <c r="J6150" s="30" t="s">
        <v>391</v>
      </c>
    </row>
    <row r="6151" spans="1:10" x14ac:dyDescent="0.25">
      <c r="A6151" s="78">
        <v>46264</v>
      </c>
      <c r="B6151" s="68">
        <v>17</v>
      </c>
      <c r="C6151" s="205" t="s">
        <v>503</v>
      </c>
      <c r="D6151" s="30">
        <v>1</v>
      </c>
      <c r="E6151" s="30">
        <v>10</v>
      </c>
      <c r="F6151" s="30">
        <f t="shared" si="200"/>
        <v>10</v>
      </c>
      <c r="G6151" s="30" t="s">
        <v>9</v>
      </c>
      <c r="J6151" s="30" t="s">
        <v>391</v>
      </c>
    </row>
    <row r="6152" spans="1:10" x14ac:dyDescent="0.25">
      <c r="A6152" s="78">
        <v>46264</v>
      </c>
      <c r="B6152" s="68">
        <v>18</v>
      </c>
      <c r="C6152" s="205" t="s">
        <v>25</v>
      </c>
      <c r="D6152" s="30">
        <v>1</v>
      </c>
      <c r="E6152" s="30">
        <v>10</v>
      </c>
      <c r="F6152" s="30">
        <f t="shared" si="200"/>
        <v>10</v>
      </c>
      <c r="G6152" s="30" t="s">
        <v>16</v>
      </c>
      <c r="J6152" s="30" t="s">
        <v>391</v>
      </c>
    </row>
    <row r="6153" spans="1:10" x14ac:dyDescent="0.25">
      <c r="A6153" s="78">
        <v>46264</v>
      </c>
      <c r="B6153" s="68">
        <v>18</v>
      </c>
      <c r="C6153" s="205" t="s">
        <v>891</v>
      </c>
      <c r="D6153" s="30">
        <v>10</v>
      </c>
      <c r="E6153" s="30">
        <v>1</v>
      </c>
      <c r="F6153" s="30">
        <f t="shared" si="200"/>
        <v>10</v>
      </c>
      <c r="G6153" s="30" t="s">
        <v>16</v>
      </c>
      <c r="J6153" s="30" t="s">
        <v>391</v>
      </c>
    </row>
    <row r="6154" spans="1:10" x14ac:dyDescent="0.25">
      <c r="A6154" s="78">
        <v>46264</v>
      </c>
      <c r="B6154" s="68">
        <v>19</v>
      </c>
      <c r="C6154" s="205" t="s">
        <v>134</v>
      </c>
      <c r="D6154" s="30">
        <v>1</v>
      </c>
      <c r="E6154" s="30">
        <v>28</v>
      </c>
      <c r="F6154" s="30">
        <f t="shared" si="200"/>
        <v>28</v>
      </c>
      <c r="G6154" s="30" t="s">
        <v>10</v>
      </c>
      <c r="J6154" s="30" t="s">
        <v>391</v>
      </c>
    </row>
    <row r="6155" spans="1:10" ht="30" x14ac:dyDescent="0.25">
      <c r="A6155" s="78">
        <v>46264</v>
      </c>
      <c r="B6155" s="68">
        <v>19</v>
      </c>
      <c r="C6155" s="205" t="s">
        <v>897</v>
      </c>
      <c r="D6155" s="30">
        <v>2</v>
      </c>
      <c r="E6155" s="30">
        <v>1</v>
      </c>
      <c r="F6155" s="30">
        <f t="shared" si="200"/>
        <v>2</v>
      </c>
      <c r="G6155" s="30" t="s">
        <v>10</v>
      </c>
      <c r="J6155" s="30" t="s">
        <v>391</v>
      </c>
    </row>
    <row r="6156" spans="1:10" x14ac:dyDescent="0.25">
      <c r="A6156" s="78">
        <v>46264</v>
      </c>
      <c r="B6156" s="68">
        <v>20</v>
      </c>
      <c r="C6156" s="205" t="s">
        <v>677</v>
      </c>
      <c r="D6156" s="30">
        <v>2</v>
      </c>
      <c r="E6156" s="30">
        <v>5</v>
      </c>
      <c r="F6156" s="30">
        <f t="shared" si="200"/>
        <v>10</v>
      </c>
      <c r="G6156" s="30" t="s">
        <v>9</v>
      </c>
      <c r="J6156" s="30" t="s">
        <v>391</v>
      </c>
    </row>
    <row r="6157" spans="1:10" x14ac:dyDescent="0.25">
      <c r="A6157" s="78">
        <v>46264</v>
      </c>
      <c r="B6157" s="68">
        <v>21</v>
      </c>
      <c r="C6157" s="19" t="s">
        <v>1378</v>
      </c>
      <c r="D6157" s="30">
        <v>1</v>
      </c>
      <c r="E6157" s="30">
        <v>10</v>
      </c>
      <c r="F6157" s="30">
        <f t="shared" si="200"/>
        <v>10</v>
      </c>
      <c r="G6157" s="30" t="s">
        <v>9</v>
      </c>
      <c r="J6157" s="30" t="s">
        <v>391</v>
      </c>
    </row>
    <row r="6158" spans="1:10" ht="30" x14ac:dyDescent="0.25">
      <c r="A6158" s="78">
        <v>46264</v>
      </c>
      <c r="B6158" s="68">
        <v>22</v>
      </c>
      <c r="C6158" s="205" t="s">
        <v>897</v>
      </c>
      <c r="D6158" s="30">
        <v>5</v>
      </c>
      <c r="E6158" s="30">
        <v>1</v>
      </c>
      <c r="F6158" s="30">
        <f t="shared" si="200"/>
        <v>5</v>
      </c>
      <c r="G6158" s="30" t="s">
        <v>9</v>
      </c>
      <c r="J6158" s="30" t="s">
        <v>391</v>
      </c>
    </row>
    <row r="6159" spans="1:10" x14ac:dyDescent="0.25">
      <c r="A6159" s="78">
        <v>46264</v>
      </c>
      <c r="B6159" s="68">
        <v>23</v>
      </c>
      <c r="C6159" s="205" t="s">
        <v>413</v>
      </c>
      <c r="D6159" s="30">
        <v>1</v>
      </c>
      <c r="E6159" s="30">
        <v>70</v>
      </c>
      <c r="F6159" s="30">
        <f t="shared" si="200"/>
        <v>70</v>
      </c>
      <c r="G6159" s="30" t="s">
        <v>9</v>
      </c>
      <c r="J6159" s="30" t="s">
        <v>391</v>
      </c>
    </row>
    <row r="6160" spans="1:10" s="199" customFormat="1" ht="31.5" x14ac:dyDescent="0.25">
      <c r="A6160" s="196">
        <v>46264</v>
      </c>
      <c r="B6160" s="197" t="s">
        <v>1245</v>
      </c>
      <c r="C6160" s="198">
        <f>MAX(B6115:B6160)</f>
        <v>23</v>
      </c>
      <c r="D6160" s="197" t="s">
        <v>1246</v>
      </c>
      <c r="E6160" s="199">
        <f>SUMIF(G6115:G6158,"UPI",F6115:F6158)</f>
        <v>40</v>
      </c>
      <c r="H6160" s="200" t="s">
        <v>1247</v>
      </c>
      <c r="I6160" s="200">
        <f>SUMIF(G6115:G6159, "&lt;&gt;UPI",F6115:F6159)</f>
        <v>1334.5</v>
      </c>
    </row>
    <row r="6161" spans="1:10" x14ac:dyDescent="0.25">
      <c r="A6161" s="78">
        <v>46264</v>
      </c>
      <c r="B6161" s="68">
        <v>24</v>
      </c>
      <c r="C6161" s="19" t="s">
        <v>1377</v>
      </c>
      <c r="D6161" s="30">
        <v>4</v>
      </c>
      <c r="E6161" s="30">
        <v>10</v>
      </c>
      <c r="F6161" s="30">
        <f>E6161*D6161</f>
        <v>40</v>
      </c>
      <c r="G6161" s="30" t="s">
        <v>9</v>
      </c>
      <c r="J6161" s="30" t="s">
        <v>392</v>
      </c>
    </row>
    <row r="6162" spans="1:10" x14ac:dyDescent="0.25">
      <c r="A6162" s="78">
        <v>46264</v>
      </c>
      <c r="B6162" s="68">
        <v>24</v>
      </c>
      <c r="C6162" s="19" t="s">
        <v>1343</v>
      </c>
      <c r="D6162" s="30">
        <v>1</v>
      </c>
      <c r="E6162" s="30">
        <v>10</v>
      </c>
      <c r="F6162" s="30">
        <f t="shared" ref="F6162:F6202" si="201">E6162*D6162</f>
        <v>10</v>
      </c>
      <c r="G6162" s="30" t="s">
        <v>9</v>
      </c>
      <c r="J6162" s="30" t="s">
        <v>392</v>
      </c>
    </row>
    <row r="6163" spans="1:10" x14ac:dyDescent="0.25">
      <c r="A6163" s="78">
        <v>46264</v>
      </c>
      <c r="B6163" s="68">
        <v>25</v>
      </c>
      <c r="C6163" s="205" t="s">
        <v>915</v>
      </c>
      <c r="D6163" s="30">
        <v>1</v>
      </c>
      <c r="E6163" s="30">
        <v>10</v>
      </c>
      <c r="F6163" s="30">
        <f t="shared" si="201"/>
        <v>10</v>
      </c>
      <c r="G6163" s="30" t="s">
        <v>9</v>
      </c>
      <c r="J6163" s="30" t="s">
        <v>392</v>
      </c>
    </row>
    <row r="6164" spans="1:10" x14ac:dyDescent="0.25">
      <c r="A6164" s="78">
        <v>46264</v>
      </c>
      <c r="B6164" s="68">
        <v>26</v>
      </c>
      <c r="C6164" s="19" t="s">
        <v>1379</v>
      </c>
      <c r="D6164" s="30">
        <v>24</v>
      </c>
      <c r="E6164" s="30">
        <v>39</v>
      </c>
      <c r="F6164" s="30">
        <f t="shared" si="201"/>
        <v>936</v>
      </c>
      <c r="G6164" s="30" t="s">
        <v>10</v>
      </c>
      <c r="J6164" s="30" t="s">
        <v>392</v>
      </c>
    </row>
    <row r="6165" spans="1:10" ht="30" x14ac:dyDescent="0.25">
      <c r="A6165" s="78">
        <v>46264</v>
      </c>
      <c r="B6165" s="68">
        <v>26</v>
      </c>
      <c r="C6165" s="19" t="s">
        <v>1404</v>
      </c>
      <c r="D6165" s="30">
        <v>380</v>
      </c>
      <c r="E6165" s="30">
        <v>1</v>
      </c>
      <c r="F6165" s="30">
        <f t="shared" si="201"/>
        <v>380</v>
      </c>
      <c r="G6165" s="30" t="s">
        <v>10</v>
      </c>
      <c r="J6165" s="30" t="s">
        <v>392</v>
      </c>
    </row>
    <row r="6166" spans="1:10" x14ac:dyDescent="0.25">
      <c r="A6166" s="78">
        <v>46264</v>
      </c>
      <c r="B6166" s="68">
        <v>26</v>
      </c>
      <c r="C6166" s="205" t="s">
        <v>1291</v>
      </c>
      <c r="D6166" s="30">
        <v>26</v>
      </c>
      <c r="E6166" s="30">
        <v>61.5</v>
      </c>
      <c r="F6166" s="30">
        <f t="shared" si="201"/>
        <v>1599</v>
      </c>
      <c r="G6166" s="30" t="s">
        <v>10</v>
      </c>
      <c r="J6166" s="30" t="s">
        <v>392</v>
      </c>
    </row>
    <row r="6167" spans="1:10" x14ac:dyDescent="0.25">
      <c r="A6167" s="78">
        <v>46264</v>
      </c>
      <c r="B6167" s="68">
        <v>26</v>
      </c>
      <c r="C6167" s="19" t="s">
        <v>1326</v>
      </c>
      <c r="D6167" s="30">
        <v>30</v>
      </c>
      <c r="E6167" s="30">
        <v>8.3000000000000007</v>
      </c>
      <c r="F6167" s="30">
        <f t="shared" si="201"/>
        <v>249.00000000000003</v>
      </c>
      <c r="G6167" s="30" t="s">
        <v>10</v>
      </c>
      <c r="J6167" s="30" t="s">
        <v>392</v>
      </c>
    </row>
    <row r="6168" spans="1:10" x14ac:dyDescent="0.25">
      <c r="A6168" s="78">
        <v>46264</v>
      </c>
      <c r="C6168" s="205"/>
      <c r="J6168" s="30" t="s">
        <v>392</v>
      </c>
    </row>
    <row r="6169" spans="1:10" ht="30" x14ac:dyDescent="0.25">
      <c r="A6169" s="78">
        <v>46264</v>
      </c>
      <c r="B6169" s="68">
        <v>26</v>
      </c>
      <c r="C6169" s="19" t="s">
        <v>1416</v>
      </c>
      <c r="D6169" s="30">
        <v>1</v>
      </c>
      <c r="E6169" s="30">
        <v>485</v>
      </c>
      <c r="F6169" s="30">
        <f t="shared" si="201"/>
        <v>485</v>
      </c>
      <c r="G6169" s="30" t="s">
        <v>10</v>
      </c>
      <c r="J6169" s="30" t="s">
        <v>392</v>
      </c>
    </row>
    <row r="6170" spans="1:10" x14ac:dyDescent="0.25">
      <c r="A6170" s="78">
        <v>46264</v>
      </c>
      <c r="B6170" s="68">
        <v>27</v>
      </c>
      <c r="C6170" s="19" t="s">
        <v>1383</v>
      </c>
      <c r="D6170" s="30">
        <v>0.5</v>
      </c>
      <c r="E6170" s="30">
        <v>20</v>
      </c>
      <c r="F6170" s="30">
        <f t="shared" si="201"/>
        <v>10</v>
      </c>
      <c r="G6170" s="30" t="s">
        <v>9</v>
      </c>
      <c r="J6170" s="30" t="s">
        <v>392</v>
      </c>
    </row>
    <row r="6171" spans="1:10" x14ac:dyDescent="0.25">
      <c r="A6171" s="78">
        <v>46264</v>
      </c>
      <c r="B6171" s="68">
        <v>29</v>
      </c>
      <c r="C6171" s="204" t="s">
        <v>970</v>
      </c>
      <c r="D6171" s="30">
        <v>2</v>
      </c>
      <c r="E6171" s="30">
        <v>10</v>
      </c>
      <c r="F6171" s="30">
        <f t="shared" si="201"/>
        <v>20</v>
      </c>
      <c r="G6171" s="30" t="s">
        <v>9</v>
      </c>
      <c r="J6171" s="30" t="s">
        <v>392</v>
      </c>
    </row>
    <row r="6172" spans="1:10" x14ac:dyDescent="0.25">
      <c r="A6172" s="78">
        <v>46264</v>
      </c>
      <c r="B6172" s="68">
        <v>30</v>
      </c>
      <c r="C6172" s="204" t="s">
        <v>970</v>
      </c>
      <c r="D6172" s="30">
        <v>1</v>
      </c>
      <c r="E6172" s="30">
        <v>10</v>
      </c>
      <c r="F6172" s="30">
        <f t="shared" si="201"/>
        <v>10</v>
      </c>
      <c r="G6172" s="30" t="s">
        <v>9</v>
      </c>
      <c r="J6172" s="30" t="s">
        <v>392</v>
      </c>
    </row>
    <row r="6173" spans="1:10" x14ac:dyDescent="0.25">
      <c r="A6173" s="78">
        <v>46264</v>
      </c>
      <c r="B6173" s="68">
        <v>31</v>
      </c>
      <c r="C6173" s="205" t="s">
        <v>639</v>
      </c>
      <c r="D6173" s="30">
        <v>1</v>
      </c>
      <c r="E6173" s="30">
        <v>2</v>
      </c>
      <c r="F6173" s="30">
        <f t="shared" si="201"/>
        <v>2</v>
      </c>
      <c r="G6173" s="30" t="s">
        <v>9</v>
      </c>
      <c r="J6173" s="30" t="s">
        <v>392</v>
      </c>
    </row>
    <row r="6174" spans="1:10" x14ac:dyDescent="0.25">
      <c r="A6174" s="78">
        <v>46264</v>
      </c>
      <c r="B6174" s="68">
        <v>32</v>
      </c>
      <c r="C6174" s="204" t="s">
        <v>1078</v>
      </c>
      <c r="D6174" s="30">
        <v>1</v>
      </c>
      <c r="E6174" s="30">
        <v>20</v>
      </c>
      <c r="F6174" s="30">
        <f t="shared" si="201"/>
        <v>20</v>
      </c>
      <c r="G6174" s="30" t="s">
        <v>10</v>
      </c>
      <c r="J6174" s="30" t="s">
        <v>392</v>
      </c>
    </row>
    <row r="6175" spans="1:10" x14ac:dyDescent="0.25">
      <c r="A6175" s="78">
        <v>46264</v>
      </c>
      <c r="B6175" s="68">
        <v>32</v>
      </c>
      <c r="C6175" s="19" t="s">
        <v>1340</v>
      </c>
      <c r="D6175" s="30">
        <v>1</v>
      </c>
      <c r="E6175" s="30">
        <v>10</v>
      </c>
      <c r="F6175" s="30">
        <f t="shared" si="201"/>
        <v>10</v>
      </c>
      <c r="G6175" s="30" t="s">
        <v>10</v>
      </c>
      <c r="J6175" s="30" t="s">
        <v>392</v>
      </c>
    </row>
    <row r="6176" spans="1:10" x14ac:dyDescent="0.25">
      <c r="A6176" s="78">
        <v>46264</v>
      </c>
      <c r="B6176" s="68">
        <v>32</v>
      </c>
      <c r="C6176" s="19" t="s">
        <v>1378</v>
      </c>
      <c r="D6176" s="30">
        <v>1</v>
      </c>
      <c r="E6176" s="30">
        <v>10</v>
      </c>
      <c r="F6176" s="30">
        <f t="shared" si="201"/>
        <v>10</v>
      </c>
      <c r="G6176" s="30" t="s">
        <v>10</v>
      </c>
      <c r="J6176" s="30" t="s">
        <v>392</v>
      </c>
    </row>
    <row r="6177" spans="1:10" ht="30" x14ac:dyDescent="0.25">
      <c r="A6177" s="78">
        <v>46264</v>
      </c>
      <c r="B6177" s="68">
        <v>33</v>
      </c>
      <c r="C6177" s="205" t="s">
        <v>771</v>
      </c>
      <c r="D6177" s="30">
        <v>1</v>
      </c>
      <c r="E6177" s="30">
        <v>155</v>
      </c>
      <c r="F6177" s="30">
        <f t="shared" si="201"/>
        <v>155</v>
      </c>
      <c r="G6177" s="30" t="s">
        <v>9</v>
      </c>
      <c r="J6177" s="30" t="s">
        <v>392</v>
      </c>
    </row>
    <row r="6178" spans="1:10" x14ac:dyDescent="0.25">
      <c r="A6178" s="78">
        <v>46264</v>
      </c>
      <c r="B6178" s="68">
        <v>34</v>
      </c>
      <c r="C6178" s="19" t="s">
        <v>1374</v>
      </c>
      <c r="D6178" s="30">
        <v>1</v>
      </c>
      <c r="E6178" s="30">
        <v>20</v>
      </c>
      <c r="F6178" s="30">
        <f t="shared" si="201"/>
        <v>20</v>
      </c>
      <c r="G6178" s="30" t="s">
        <v>9</v>
      </c>
      <c r="J6178" s="30" t="s">
        <v>392</v>
      </c>
    </row>
    <row r="6179" spans="1:10" x14ac:dyDescent="0.25">
      <c r="A6179" s="78">
        <v>46264</v>
      </c>
      <c r="B6179" s="68">
        <v>35</v>
      </c>
      <c r="C6179" s="19" t="s">
        <v>1374</v>
      </c>
      <c r="D6179" s="30">
        <v>1</v>
      </c>
      <c r="E6179" s="30">
        <v>20</v>
      </c>
      <c r="F6179" s="30">
        <f t="shared" si="201"/>
        <v>20</v>
      </c>
      <c r="G6179" s="30" t="s">
        <v>9</v>
      </c>
      <c r="J6179" s="30" t="s">
        <v>392</v>
      </c>
    </row>
    <row r="6180" spans="1:10" ht="30" x14ac:dyDescent="0.25">
      <c r="A6180" s="78">
        <v>46264</v>
      </c>
      <c r="B6180" s="68">
        <v>36</v>
      </c>
      <c r="C6180" s="19" t="s">
        <v>1394</v>
      </c>
      <c r="D6180" s="30">
        <v>2</v>
      </c>
      <c r="E6180" s="30">
        <v>10</v>
      </c>
      <c r="F6180" s="30">
        <f t="shared" si="201"/>
        <v>20</v>
      </c>
      <c r="G6180" s="30" t="s">
        <v>9</v>
      </c>
      <c r="J6180" s="30" t="s">
        <v>392</v>
      </c>
    </row>
    <row r="6181" spans="1:10" x14ac:dyDescent="0.25">
      <c r="A6181" s="78">
        <v>46264</v>
      </c>
      <c r="B6181" s="68">
        <v>36</v>
      </c>
      <c r="C6181" s="19" t="s">
        <v>1326</v>
      </c>
      <c r="D6181" s="30">
        <v>1</v>
      </c>
      <c r="E6181" s="30">
        <v>10</v>
      </c>
      <c r="F6181" s="30">
        <f t="shared" si="201"/>
        <v>10</v>
      </c>
      <c r="G6181" s="30" t="s">
        <v>9</v>
      </c>
      <c r="J6181" s="30" t="s">
        <v>392</v>
      </c>
    </row>
    <row r="6182" spans="1:10" x14ac:dyDescent="0.25">
      <c r="A6182" s="78">
        <v>46264</v>
      </c>
      <c r="B6182" s="68">
        <v>37</v>
      </c>
      <c r="C6182" s="204" t="s">
        <v>1396</v>
      </c>
      <c r="D6182" s="30">
        <v>6</v>
      </c>
      <c r="E6182" s="30">
        <v>10</v>
      </c>
      <c r="F6182" s="30">
        <f t="shared" si="201"/>
        <v>60</v>
      </c>
      <c r="G6182" s="30" t="s">
        <v>9</v>
      </c>
      <c r="J6182" s="30" t="s">
        <v>392</v>
      </c>
    </row>
    <row r="6183" spans="1:10" x14ac:dyDescent="0.25">
      <c r="A6183" s="78">
        <v>46264</v>
      </c>
      <c r="B6183" s="68">
        <v>38</v>
      </c>
      <c r="C6183" s="205" t="s">
        <v>134</v>
      </c>
      <c r="D6183" s="30">
        <v>1</v>
      </c>
      <c r="E6183" s="30">
        <v>28</v>
      </c>
      <c r="F6183" s="30">
        <f t="shared" si="201"/>
        <v>28</v>
      </c>
      <c r="G6183" s="30" t="s">
        <v>9</v>
      </c>
      <c r="J6183" s="30" t="s">
        <v>392</v>
      </c>
    </row>
    <row r="6184" spans="1:10" x14ac:dyDescent="0.25">
      <c r="A6184" s="78">
        <v>46264</v>
      </c>
      <c r="B6184" s="68">
        <v>38</v>
      </c>
      <c r="C6184" s="205" t="s">
        <v>348</v>
      </c>
      <c r="D6184" s="30">
        <v>2</v>
      </c>
      <c r="E6184" s="30">
        <v>1</v>
      </c>
      <c r="F6184" s="30">
        <f t="shared" si="201"/>
        <v>2</v>
      </c>
      <c r="G6184" s="30" t="s">
        <v>9</v>
      </c>
      <c r="J6184" s="30" t="s">
        <v>392</v>
      </c>
    </row>
    <row r="6185" spans="1:10" x14ac:dyDescent="0.25">
      <c r="A6185" s="78">
        <v>46264</v>
      </c>
      <c r="B6185" s="68">
        <v>38</v>
      </c>
      <c r="C6185" s="205" t="s">
        <v>1273</v>
      </c>
      <c r="D6185" s="30">
        <v>2</v>
      </c>
      <c r="E6185" s="30">
        <v>5</v>
      </c>
      <c r="F6185" s="30">
        <f t="shared" si="201"/>
        <v>10</v>
      </c>
      <c r="G6185" s="30" t="s">
        <v>9</v>
      </c>
      <c r="J6185" s="30" t="s">
        <v>392</v>
      </c>
    </row>
    <row r="6186" spans="1:10" x14ac:dyDescent="0.25">
      <c r="A6186" s="78">
        <v>46264</v>
      </c>
      <c r="B6186" s="68">
        <v>38</v>
      </c>
      <c r="C6186" s="205" t="s">
        <v>1253</v>
      </c>
      <c r="D6186" s="30">
        <v>2</v>
      </c>
      <c r="E6186" s="30">
        <v>5</v>
      </c>
      <c r="F6186" s="30">
        <f t="shared" si="201"/>
        <v>10</v>
      </c>
      <c r="G6186" s="30" t="s">
        <v>9</v>
      </c>
      <c r="J6186" s="30" t="s">
        <v>392</v>
      </c>
    </row>
    <row r="6187" spans="1:10" ht="30" x14ac:dyDescent="0.25">
      <c r="A6187" s="78">
        <v>46264</v>
      </c>
      <c r="B6187" s="68">
        <v>39</v>
      </c>
      <c r="C6187" s="205" t="s">
        <v>599</v>
      </c>
      <c r="D6187" s="30">
        <v>1</v>
      </c>
      <c r="E6187" s="30">
        <v>188</v>
      </c>
      <c r="F6187" s="30">
        <f t="shared" si="201"/>
        <v>188</v>
      </c>
      <c r="G6187" s="30" t="s">
        <v>9</v>
      </c>
      <c r="J6187" s="30" t="s">
        <v>392</v>
      </c>
    </row>
    <row r="6188" spans="1:10" ht="30" x14ac:dyDescent="0.25">
      <c r="A6188" s="78">
        <v>46264</v>
      </c>
      <c r="B6188" s="68">
        <v>40</v>
      </c>
      <c r="C6188" s="19" t="s">
        <v>1394</v>
      </c>
      <c r="D6188" s="30">
        <v>1</v>
      </c>
      <c r="E6188" s="30">
        <v>10</v>
      </c>
      <c r="F6188" s="30">
        <f t="shared" si="201"/>
        <v>10</v>
      </c>
      <c r="G6188" s="30" t="s">
        <v>9</v>
      </c>
      <c r="J6188" s="30" t="s">
        <v>392</v>
      </c>
    </row>
    <row r="6189" spans="1:10" x14ac:dyDescent="0.25">
      <c r="A6189" s="78">
        <v>46264</v>
      </c>
      <c r="B6189" s="68">
        <v>40</v>
      </c>
      <c r="C6189" s="205" t="s">
        <v>1147</v>
      </c>
      <c r="D6189" s="30">
        <v>1</v>
      </c>
      <c r="E6189" s="30">
        <v>10</v>
      </c>
      <c r="F6189" s="30">
        <f t="shared" si="201"/>
        <v>10</v>
      </c>
      <c r="G6189" s="30" t="s">
        <v>9</v>
      </c>
      <c r="J6189" s="30" t="s">
        <v>392</v>
      </c>
    </row>
    <row r="6190" spans="1:10" x14ac:dyDescent="0.25">
      <c r="A6190" s="78">
        <v>46264</v>
      </c>
      <c r="B6190" s="68">
        <v>41</v>
      </c>
      <c r="C6190" s="204" t="s">
        <v>1078</v>
      </c>
      <c r="D6190" s="30">
        <v>1</v>
      </c>
      <c r="E6190" s="30">
        <v>20</v>
      </c>
      <c r="F6190" s="30">
        <f t="shared" si="201"/>
        <v>20</v>
      </c>
      <c r="G6190" s="30" t="s">
        <v>9</v>
      </c>
      <c r="J6190" s="30" t="s">
        <v>392</v>
      </c>
    </row>
    <row r="6191" spans="1:10" x14ac:dyDescent="0.25">
      <c r="A6191" s="78">
        <v>46264</v>
      </c>
      <c r="B6191" s="68">
        <v>42</v>
      </c>
      <c r="C6191" s="205" t="s">
        <v>655</v>
      </c>
      <c r="D6191" s="30">
        <v>1</v>
      </c>
      <c r="E6191" s="30">
        <v>15</v>
      </c>
      <c r="F6191" s="30">
        <f t="shared" si="201"/>
        <v>15</v>
      </c>
      <c r="G6191" s="30" t="s">
        <v>9</v>
      </c>
      <c r="J6191" s="30" t="s">
        <v>392</v>
      </c>
    </row>
    <row r="6192" spans="1:10" x14ac:dyDescent="0.25">
      <c r="A6192" s="78">
        <v>46264</v>
      </c>
      <c r="B6192" s="68">
        <v>43</v>
      </c>
      <c r="C6192" s="205" t="s">
        <v>1229</v>
      </c>
      <c r="D6192" s="30">
        <v>1</v>
      </c>
      <c r="E6192" s="30">
        <v>40</v>
      </c>
      <c r="F6192" s="30">
        <f t="shared" si="201"/>
        <v>40</v>
      </c>
      <c r="G6192" s="30" t="s">
        <v>10</v>
      </c>
      <c r="J6192" s="30" t="s">
        <v>392</v>
      </c>
    </row>
    <row r="6193" spans="1:12" x14ac:dyDescent="0.25">
      <c r="A6193" s="78">
        <v>46264</v>
      </c>
      <c r="B6193" s="68">
        <v>44</v>
      </c>
      <c r="C6193" s="19" t="s">
        <v>1383</v>
      </c>
      <c r="D6193" s="30">
        <v>1</v>
      </c>
      <c r="E6193" s="30">
        <v>15</v>
      </c>
      <c r="F6193" s="30">
        <f t="shared" si="201"/>
        <v>15</v>
      </c>
      <c r="G6193" s="30" t="s">
        <v>9</v>
      </c>
      <c r="J6193" s="30" t="s">
        <v>392</v>
      </c>
    </row>
    <row r="6194" spans="1:12" ht="30" x14ac:dyDescent="0.25">
      <c r="A6194" s="78">
        <v>46264</v>
      </c>
      <c r="B6194" s="68">
        <v>44</v>
      </c>
      <c r="C6194" s="205" t="s">
        <v>897</v>
      </c>
      <c r="D6194" s="30">
        <v>5</v>
      </c>
      <c r="E6194" s="30">
        <v>1</v>
      </c>
      <c r="F6194" s="30">
        <f t="shared" si="201"/>
        <v>5</v>
      </c>
      <c r="G6194" s="30" t="s">
        <v>9</v>
      </c>
      <c r="J6194" s="30" t="s">
        <v>392</v>
      </c>
    </row>
    <row r="6195" spans="1:12" x14ac:dyDescent="0.25">
      <c r="A6195" s="78">
        <v>46264</v>
      </c>
      <c r="B6195" s="68">
        <v>45</v>
      </c>
      <c r="C6195" s="19" t="s">
        <v>1326</v>
      </c>
      <c r="D6195" s="30">
        <v>4</v>
      </c>
      <c r="E6195" s="30">
        <v>10</v>
      </c>
      <c r="F6195" s="30">
        <f t="shared" si="201"/>
        <v>40</v>
      </c>
      <c r="G6195" s="30" t="s">
        <v>9</v>
      </c>
      <c r="J6195" s="30" t="s">
        <v>392</v>
      </c>
    </row>
    <row r="6196" spans="1:12" x14ac:dyDescent="0.25">
      <c r="A6196" s="78">
        <v>46264</v>
      </c>
      <c r="B6196" s="68">
        <v>45</v>
      </c>
      <c r="C6196" s="19" t="s">
        <v>1376</v>
      </c>
      <c r="D6196" s="30">
        <v>0.2</v>
      </c>
      <c r="E6196" s="30">
        <v>60</v>
      </c>
      <c r="F6196" s="30">
        <f t="shared" si="201"/>
        <v>12</v>
      </c>
      <c r="G6196" s="30" t="s">
        <v>9</v>
      </c>
      <c r="J6196" s="30" t="s">
        <v>392</v>
      </c>
    </row>
    <row r="6197" spans="1:12" x14ac:dyDescent="0.25">
      <c r="A6197" s="78">
        <v>46264</v>
      </c>
      <c r="B6197" s="68">
        <v>45</v>
      </c>
      <c r="C6197" s="205" t="s">
        <v>764</v>
      </c>
      <c r="D6197" s="30">
        <v>1</v>
      </c>
      <c r="E6197" s="30">
        <v>5</v>
      </c>
      <c r="F6197" s="30">
        <f t="shared" si="201"/>
        <v>5</v>
      </c>
      <c r="G6197" s="30" t="s">
        <v>9</v>
      </c>
      <c r="J6197" s="30" t="s">
        <v>392</v>
      </c>
    </row>
    <row r="6198" spans="1:12" x14ac:dyDescent="0.25">
      <c r="A6198" s="78">
        <v>46264</v>
      </c>
      <c r="B6198" s="68">
        <v>45</v>
      </c>
      <c r="C6198" s="205" t="s">
        <v>966</v>
      </c>
      <c r="D6198" s="30">
        <v>3</v>
      </c>
      <c r="E6198" s="30">
        <v>1</v>
      </c>
      <c r="F6198" s="30">
        <f t="shared" si="201"/>
        <v>3</v>
      </c>
      <c r="G6198" s="30" t="s">
        <v>9</v>
      </c>
      <c r="J6198" s="30" t="s">
        <v>392</v>
      </c>
    </row>
    <row r="6199" spans="1:12" x14ac:dyDescent="0.25">
      <c r="A6199" s="78">
        <v>46264</v>
      </c>
      <c r="B6199" s="68">
        <v>46</v>
      </c>
      <c r="C6199" s="204" t="s">
        <v>1396</v>
      </c>
      <c r="D6199" s="30">
        <v>5</v>
      </c>
      <c r="E6199" s="30">
        <v>10</v>
      </c>
      <c r="F6199" s="30">
        <f t="shared" si="201"/>
        <v>50</v>
      </c>
      <c r="G6199" s="30" t="s">
        <v>9</v>
      </c>
      <c r="J6199" s="30" t="s">
        <v>392</v>
      </c>
    </row>
    <row r="6200" spans="1:12" ht="30" x14ac:dyDescent="0.25">
      <c r="A6200" s="78">
        <v>46264</v>
      </c>
      <c r="B6200" s="68">
        <v>47</v>
      </c>
      <c r="C6200" s="205" t="s">
        <v>575</v>
      </c>
      <c r="D6200" s="30">
        <v>1</v>
      </c>
      <c r="E6200" s="30">
        <v>20</v>
      </c>
      <c r="F6200" s="30">
        <f t="shared" si="201"/>
        <v>20</v>
      </c>
      <c r="G6200" s="30" t="s">
        <v>16</v>
      </c>
      <c r="I6200" s="68" t="s">
        <v>1203</v>
      </c>
      <c r="J6200" s="30" t="s">
        <v>392</v>
      </c>
    </row>
    <row r="6201" spans="1:12" ht="30" x14ac:dyDescent="0.25">
      <c r="A6201" s="78">
        <v>46264</v>
      </c>
      <c r="B6201" s="68">
        <v>48</v>
      </c>
      <c r="C6201" s="19" t="s">
        <v>1407</v>
      </c>
      <c r="D6201" s="30">
        <v>1</v>
      </c>
      <c r="E6201" s="30">
        <v>40</v>
      </c>
      <c r="F6201" s="30">
        <f t="shared" si="201"/>
        <v>40</v>
      </c>
      <c r="G6201" s="30" t="s">
        <v>9</v>
      </c>
      <c r="J6201" s="30" t="s">
        <v>392</v>
      </c>
    </row>
    <row r="6202" spans="1:12" x14ac:dyDescent="0.25">
      <c r="A6202" s="78">
        <v>46264</v>
      </c>
      <c r="B6202" s="68">
        <v>48</v>
      </c>
      <c r="C6202" s="204" t="s">
        <v>1396</v>
      </c>
      <c r="D6202" s="30">
        <v>7</v>
      </c>
      <c r="E6202" s="30">
        <v>10</v>
      </c>
      <c r="F6202" s="30">
        <f t="shared" si="201"/>
        <v>70</v>
      </c>
      <c r="G6202" s="30" t="s">
        <v>9</v>
      </c>
      <c r="J6202" s="30" t="s">
        <v>392</v>
      </c>
    </row>
    <row r="6203" spans="1:12" s="199" customFormat="1" ht="31.5" x14ac:dyDescent="0.25">
      <c r="A6203" s="196">
        <v>46264</v>
      </c>
      <c r="B6203" s="197" t="s">
        <v>1248</v>
      </c>
      <c r="C6203" s="198">
        <f>MAX(B6161:B6203)</f>
        <v>48</v>
      </c>
      <c r="D6203" s="197" t="s">
        <v>1249</v>
      </c>
      <c r="E6203" s="199">
        <f>SUMIF(G6161:G6203,"UPI",F6161:F6203)</f>
        <v>3729</v>
      </c>
      <c r="H6203" s="200" t="s">
        <v>1251</v>
      </c>
      <c r="I6203" s="200">
        <f>SUMIF(G6161:G6203, "&lt;&gt;UPI",F6161:F6203)</f>
        <v>940</v>
      </c>
    </row>
    <row r="6204" spans="1:12" s="5" customFormat="1" ht="15.75" x14ac:dyDescent="0.25">
      <c r="A6204" s="201">
        <v>46264</v>
      </c>
      <c r="B6204" s="2"/>
      <c r="C6204" s="14"/>
      <c r="H6204" s="2" t="s">
        <v>1250</v>
      </c>
      <c r="I6204" s="2">
        <f>SUMIF(G6115:G6203, "&lt;&gt;UPI",F6115:F6203)</f>
        <v>2274.5</v>
      </c>
    </row>
    <row r="6205" spans="1:12" s="202" customFormat="1" ht="18.75" customHeight="1" x14ac:dyDescent="0.3">
      <c r="A6205" s="146">
        <v>46264</v>
      </c>
      <c r="B6205" s="147" t="s">
        <v>987</v>
      </c>
      <c r="C6205" s="148">
        <f>MAX(B6115:B6204)</f>
        <v>48</v>
      </c>
      <c r="D6205" s="147" t="s">
        <v>988</v>
      </c>
      <c r="E6205" s="202">
        <f>SUMIF(G6115:G6203,"UPI",F6115:F6203)</f>
        <v>3769</v>
      </c>
      <c r="F6205" s="227" t="s">
        <v>437</v>
      </c>
      <c r="G6205" s="228"/>
      <c r="H6205" s="229"/>
      <c r="I6205" s="227">
        <f>SUM(F6115:F6204)</f>
        <v>6043.5</v>
      </c>
      <c r="J6205" s="228"/>
      <c r="K6205" s="228"/>
      <c r="L6205" s="229"/>
    </row>
    <row r="6206" spans="1:12" x14ac:dyDescent="0.25">
      <c r="A6206" s="78">
        <v>46265</v>
      </c>
      <c r="B6206" s="68">
        <v>1</v>
      </c>
      <c r="C6206" s="205" t="s">
        <v>857</v>
      </c>
      <c r="D6206" s="30">
        <v>4</v>
      </c>
      <c r="E6206" s="30">
        <v>5</v>
      </c>
      <c r="F6206" s="30">
        <f>E6206*D6206</f>
        <v>20</v>
      </c>
      <c r="G6206" s="30" t="s">
        <v>9</v>
      </c>
      <c r="J6206" s="30" t="s">
        <v>391</v>
      </c>
    </row>
    <row r="6207" spans="1:12" x14ac:dyDescent="0.25">
      <c r="A6207" s="78">
        <v>46265</v>
      </c>
      <c r="B6207" s="68">
        <v>2</v>
      </c>
      <c r="C6207" s="205" t="s">
        <v>1229</v>
      </c>
      <c r="D6207" s="30">
        <v>1</v>
      </c>
      <c r="E6207" s="30">
        <v>40</v>
      </c>
      <c r="F6207" s="30">
        <f t="shared" ref="F6207:F6231" si="202">E6207*D6207</f>
        <v>40</v>
      </c>
      <c r="G6207" s="30" t="s">
        <v>9</v>
      </c>
      <c r="J6207" s="30" t="s">
        <v>391</v>
      </c>
    </row>
    <row r="6208" spans="1:12" x14ac:dyDescent="0.25">
      <c r="A6208" s="78">
        <v>46265</v>
      </c>
      <c r="B6208" s="68">
        <v>3</v>
      </c>
      <c r="C6208" s="19" t="s">
        <v>1326</v>
      </c>
      <c r="D6208" s="30">
        <v>8</v>
      </c>
      <c r="E6208" s="30">
        <v>8.8000000000000007</v>
      </c>
      <c r="F6208" s="30">
        <f t="shared" si="202"/>
        <v>70.400000000000006</v>
      </c>
      <c r="G6208" s="30" t="s">
        <v>10</v>
      </c>
      <c r="J6208" s="30" t="s">
        <v>391</v>
      </c>
    </row>
    <row r="6209" spans="1:10" ht="30" x14ac:dyDescent="0.25">
      <c r="A6209" s="78">
        <v>46265</v>
      </c>
      <c r="B6209" s="68">
        <v>4</v>
      </c>
      <c r="C6209" s="205" t="s">
        <v>136</v>
      </c>
      <c r="D6209" s="30">
        <v>1</v>
      </c>
      <c r="E6209" s="30">
        <v>50</v>
      </c>
      <c r="F6209" s="30">
        <f t="shared" si="202"/>
        <v>50</v>
      </c>
      <c r="G6209" s="30" t="s">
        <v>9</v>
      </c>
      <c r="J6209" s="30" t="s">
        <v>391</v>
      </c>
    </row>
    <row r="6210" spans="1:10" x14ac:dyDescent="0.25">
      <c r="A6210" s="78">
        <v>46265</v>
      </c>
      <c r="B6210" s="68">
        <v>4</v>
      </c>
      <c r="C6210" s="205" t="s">
        <v>956</v>
      </c>
      <c r="D6210" s="30">
        <v>2</v>
      </c>
      <c r="E6210" s="30">
        <v>10</v>
      </c>
      <c r="F6210" s="30">
        <f t="shared" si="202"/>
        <v>20</v>
      </c>
      <c r="G6210" s="30" t="s">
        <v>9</v>
      </c>
      <c r="J6210" s="30" t="s">
        <v>391</v>
      </c>
    </row>
    <row r="6211" spans="1:10" x14ac:dyDescent="0.25">
      <c r="A6211" s="78">
        <v>46265</v>
      </c>
      <c r="B6211" s="68">
        <v>4</v>
      </c>
      <c r="C6211" s="205" t="s">
        <v>723</v>
      </c>
      <c r="D6211" s="30">
        <v>3.4000000000000002E-2</v>
      </c>
      <c r="E6211" s="30">
        <v>300</v>
      </c>
      <c r="F6211" s="30">
        <f t="shared" si="202"/>
        <v>10.200000000000001</v>
      </c>
      <c r="G6211" s="30" t="s">
        <v>9</v>
      </c>
      <c r="J6211" s="30" t="s">
        <v>391</v>
      </c>
    </row>
    <row r="6212" spans="1:10" x14ac:dyDescent="0.25">
      <c r="A6212" s="78">
        <v>46265</v>
      </c>
      <c r="B6212" s="68">
        <v>5</v>
      </c>
      <c r="C6212" s="205" t="s">
        <v>1142</v>
      </c>
      <c r="D6212" s="30">
        <v>2</v>
      </c>
      <c r="E6212" s="30">
        <v>5</v>
      </c>
      <c r="F6212" s="30">
        <f t="shared" si="202"/>
        <v>10</v>
      </c>
      <c r="G6212" s="30" t="s">
        <v>9</v>
      </c>
      <c r="J6212" s="30" t="s">
        <v>391</v>
      </c>
    </row>
    <row r="6213" spans="1:10" x14ac:dyDescent="0.25">
      <c r="A6213" s="78">
        <v>46265</v>
      </c>
      <c r="B6213" s="68">
        <v>5</v>
      </c>
      <c r="C6213" s="205" t="s">
        <v>953</v>
      </c>
      <c r="D6213" s="30">
        <v>1</v>
      </c>
      <c r="E6213" s="30">
        <v>10</v>
      </c>
      <c r="F6213" s="30">
        <f t="shared" si="202"/>
        <v>10</v>
      </c>
      <c r="G6213" s="30" t="s">
        <v>9</v>
      </c>
      <c r="J6213" s="30" t="s">
        <v>391</v>
      </c>
    </row>
    <row r="6214" spans="1:10" x14ac:dyDescent="0.25">
      <c r="A6214" s="78">
        <v>46265</v>
      </c>
      <c r="B6214" s="68">
        <v>6</v>
      </c>
      <c r="C6214" s="19" t="s">
        <v>1326</v>
      </c>
      <c r="D6214" s="30">
        <v>2</v>
      </c>
      <c r="E6214" s="30">
        <v>10</v>
      </c>
      <c r="F6214" s="30">
        <f t="shared" si="202"/>
        <v>20</v>
      </c>
      <c r="G6214" s="30" t="s">
        <v>9</v>
      </c>
      <c r="J6214" s="30" t="s">
        <v>391</v>
      </c>
    </row>
    <row r="6215" spans="1:10" x14ac:dyDescent="0.25">
      <c r="A6215" s="78">
        <v>46265</v>
      </c>
      <c r="B6215" s="68">
        <v>6</v>
      </c>
      <c r="C6215" s="204" t="s">
        <v>970</v>
      </c>
      <c r="D6215" s="30">
        <v>1</v>
      </c>
      <c r="E6215" s="30">
        <v>10</v>
      </c>
      <c r="F6215" s="30">
        <f t="shared" si="202"/>
        <v>10</v>
      </c>
      <c r="G6215" s="30" t="s">
        <v>9</v>
      </c>
      <c r="J6215" s="30" t="s">
        <v>391</v>
      </c>
    </row>
    <row r="6216" spans="1:10" x14ac:dyDescent="0.25">
      <c r="A6216" s="78">
        <v>46265</v>
      </c>
      <c r="B6216" s="68">
        <v>7</v>
      </c>
      <c r="C6216" s="205" t="s">
        <v>1261</v>
      </c>
      <c r="D6216" s="30">
        <v>1</v>
      </c>
      <c r="E6216" s="30">
        <v>10</v>
      </c>
      <c r="F6216" s="30">
        <f t="shared" si="202"/>
        <v>10</v>
      </c>
      <c r="G6216" s="30" t="s">
        <v>9</v>
      </c>
      <c r="J6216" s="30" t="s">
        <v>391</v>
      </c>
    </row>
    <row r="6217" spans="1:10" x14ac:dyDescent="0.25">
      <c r="A6217" s="78">
        <v>46265</v>
      </c>
      <c r="B6217" s="68">
        <v>8</v>
      </c>
      <c r="C6217" s="19" t="s">
        <v>1376</v>
      </c>
      <c r="D6217" s="30">
        <v>0.5</v>
      </c>
      <c r="E6217" s="30">
        <v>60</v>
      </c>
      <c r="F6217" s="30">
        <f t="shared" si="202"/>
        <v>30</v>
      </c>
      <c r="G6217" s="30" t="s">
        <v>10</v>
      </c>
      <c r="J6217" s="30" t="s">
        <v>391</v>
      </c>
    </row>
    <row r="6218" spans="1:10" x14ac:dyDescent="0.25">
      <c r="A6218" s="78">
        <v>46265</v>
      </c>
      <c r="B6218" s="68">
        <v>9</v>
      </c>
      <c r="C6218" s="19" t="s">
        <v>1374</v>
      </c>
      <c r="D6218" s="30">
        <v>1</v>
      </c>
      <c r="E6218" s="30">
        <v>20</v>
      </c>
      <c r="F6218" s="30">
        <f t="shared" si="202"/>
        <v>20</v>
      </c>
      <c r="G6218" s="30" t="s">
        <v>9</v>
      </c>
      <c r="J6218" s="30" t="s">
        <v>391</v>
      </c>
    </row>
    <row r="6219" spans="1:10" ht="30" x14ac:dyDescent="0.25">
      <c r="A6219" s="78">
        <v>46265</v>
      </c>
      <c r="B6219" s="68">
        <v>10</v>
      </c>
      <c r="C6219" s="19" t="s">
        <v>1389</v>
      </c>
      <c r="D6219" s="30">
        <v>1</v>
      </c>
      <c r="E6219" s="30">
        <v>70</v>
      </c>
      <c r="F6219" s="30">
        <f t="shared" si="202"/>
        <v>70</v>
      </c>
      <c r="G6219" s="30" t="s">
        <v>9</v>
      </c>
      <c r="J6219" s="30" t="s">
        <v>391</v>
      </c>
    </row>
    <row r="6220" spans="1:10" x14ac:dyDescent="0.25">
      <c r="A6220" s="78">
        <v>46265</v>
      </c>
      <c r="B6220" s="68">
        <v>10</v>
      </c>
      <c r="C6220" s="205" t="s">
        <v>1074</v>
      </c>
      <c r="D6220" s="30">
        <v>1</v>
      </c>
      <c r="E6220" s="30">
        <v>10</v>
      </c>
      <c r="F6220" s="30">
        <f t="shared" si="202"/>
        <v>10</v>
      </c>
      <c r="G6220" s="30" t="s">
        <v>9</v>
      </c>
      <c r="J6220" s="30" t="s">
        <v>391</v>
      </c>
    </row>
    <row r="6221" spans="1:10" x14ac:dyDescent="0.25">
      <c r="A6221" s="78">
        <v>46265</v>
      </c>
      <c r="B6221" s="68">
        <v>10</v>
      </c>
      <c r="C6221" s="19" t="s">
        <v>1383</v>
      </c>
      <c r="D6221" s="30">
        <v>2</v>
      </c>
      <c r="E6221" s="30">
        <v>15</v>
      </c>
      <c r="F6221" s="30">
        <f t="shared" si="202"/>
        <v>30</v>
      </c>
      <c r="G6221" s="30" t="s">
        <v>9</v>
      </c>
      <c r="J6221" s="30" t="s">
        <v>391</v>
      </c>
    </row>
    <row r="6222" spans="1:10" x14ac:dyDescent="0.25">
      <c r="A6222" s="78">
        <v>46265</v>
      </c>
      <c r="B6222" s="68">
        <v>11</v>
      </c>
      <c r="C6222" s="205" t="s">
        <v>887</v>
      </c>
      <c r="D6222" s="30">
        <v>1</v>
      </c>
      <c r="E6222" s="30">
        <v>51</v>
      </c>
      <c r="F6222" s="30">
        <f t="shared" si="202"/>
        <v>51</v>
      </c>
      <c r="G6222" s="30" t="s">
        <v>10</v>
      </c>
      <c r="J6222" s="30" t="s">
        <v>391</v>
      </c>
    </row>
    <row r="6223" spans="1:10" ht="30" x14ac:dyDescent="0.25">
      <c r="A6223" s="78">
        <v>46265</v>
      </c>
      <c r="B6223" s="68">
        <v>11</v>
      </c>
      <c r="C6223" s="205" t="s">
        <v>128</v>
      </c>
      <c r="D6223" s="30">
        <v>1</v>
      </c>
      <c r="E6223" s="30">
        <v>79</v>
      </c>
      <c r="F6223" s="30">
        <f t="shared" si="202"/>
        <v>79</v>
      </c>
      <c r="G6223" s="30" t="s">
        <v>10</v>
      </c>
      <c r="J6223" s="30" t="s">
        <v>391</v>
      </c>
    </row>
    <row r="6224" spans="1:10" x14ac:dyDescent="0.25">
      <c r="A6224" s="78">
        <v>46265</v>
      </c>
      <c r="B6224" s="68">
        <v>12</v>
      </c>
      <c r="C6224" s="19" t="s">
        <v>1405</v>
      </c>
      <c r="D6224" s="30">
        <v>1</v>
      </c>
      <c r="E6224" s="30">
        <v>100</v>
      </c>
      <c r="F6224" s="30">
        <f t="shared" si="202"/>
        <v>100</v>
      </c>
      <c r="G6224" s="30" t="s">
        <v>9</v>
      </c>
      <c r="J6224" s="30" t="s">
        <v>391</v>
      </c>
    </row>
    <row r="6225" spans="1:10" x14ac:dyDescent="0.25">
      <c r="A6225" s="78">
        <v>46265</v>
      </c>
      <c r="B6225" s="68">
        <v>12</v>
      </c>
      <c r="C6225" s="19" t="s">
        <v>1381</v>
      </c>
      <c r="D6225" s="30">
        <v>2</v>
      </c>
      <c r="E6225" s="30">
        <v>20</v>
      </c>
      <c r="F6225" s="30">
        <f t="shared" si="202"/>
        <v>40</v>
      </c>
      <c r="G6225" s="30" t="s">
        <v>9</v>
      </c>
      <c r="J6225" s="30" t="s">
        <v>391</v>
      </c>
    </row>
    <row r="6226" spans="1:10" x14ac:dyDescent="0.25">
      <c r="A6226" s="78">
        <v>46265</v>
      </c>
      <c r="B6226" s="68">
        <v>13</v>
      </c>
      <c r="C6226" s="204" t="s">
        <v>1396</v>
      </c>
      <c r="D6226" s="30">
        <v>5</v>
      </c>
      <c r="E6226" s="30">
        <v>10</v>
      </c>
      <c r="F6226" s="30">
        <f t="shared" si="202"/>
        <v>50</v>
      </c>
      <c r="G6226" s="30" t="s">
        <v>9</v>
      </c>
      <c r="J6226" s="30" t="s">
        <v>391</v>
      </c>
    </row>
    <row r="6227" spans="1:10" ht="30" x14ac:dyDescent="0.25">
      <c r="A6227" s="78">
        <v>46265</v>
      </c>
      <c r="B6227" s="68">
        <v>14</v>
      </c>
      <c r="C6227" s="205" t="s">
        <v>1256</v>
      </c>
      <c r="D6227" s="30">
        <v>1</v>
      </c>
      <c r="E6227" s="30">
        <v>10</v>
      </c>
      <c r="F6227" s="30">
        <f t="shared" si="202"/>
        <v>10</v>
      </c>
      <c r="G6227" s="30" t="s">
        <v>10</v>
      </c>
      <c r="J6227" s="30" t="s">
        <v>391</v>
      </c>
    </row>
    <row r="6228" spans="1:10" x14ac:dyDescent="0.25">
      <c r="A6228" s="78">
        <v>46265</v>
      </c>
      <c r="B6228" s="68">
        <v>14</v>
      </c>
      <c r="C6228" s="19" t="s">
        <v>1377</v>
      </c>
      <c r="D6228" s="30">
        <v>1</v>
      </c>
      <c r="E6228" s="30">
        <v>10</v>
      </c>
      <c r="F6228" s="30">
        <f t="shared" si="202"/>
        <v>10</v>
      </c>
      <c r="G6228" s="30" t="s">
        <v>10</v>
      </c>
      <c r="J6228" s="30" t="s">
        <v>391</v>
      </c>
    </row>
    <row r="6229" spans="1:10" x14ac:dyDescent="0.25">
      <c r="A6229" s="78">
        <v>46265</v>
      </c>
      <c r="B6229" s="68">
        <v>14</v>
      </c>
      <c r="C6229" s="205" t="s">
        <v>1260</v>
      </c>
      <c r="D6229" s="30">
        <v>2</v>
      </c>
      <c r="E6229" s="30">
        <v>5</v>
      </c>
      <c r="F6229" s="30">
        <f t="shared" si="202"/>
        <v>10</v>
      </c>
      <c r="G6229" s="30" t="s">
        <v>10</v>
      </c>
      <c r="J6229" s="30" t="s">
        <v>391</v>
      </c>
    </row>
    <row r="6230" spans="1:10" x14ac:dyDescent="0.25">
      <c r="A6230" s="78">
        <v>46265</v>
      </c>
      <c r="B6230" s="68">
        <v>15</v>
      </c>
      <c r="C6230" s="205" t="s">
        <v>892</v>
      </c>
      <c r="D6230" s="30">
        <v>1</v>
      </c>
      <c r="E6230" s="30">
        <v>10</v>
      </c>
      <c r="F6230" s="30">
        <f t="shared" si="202"/>
        <v>10</v>
      </c>
      <c r="G6230" s="30" t="s">
        <v>9</v>
      </c>
      <c r="J6230" s="30" t="s">
        <v>391</v>
      </c>
    </row>
    <row r="6231" spans="1:10" x14ac:dyDescent="0.25">
      <c r="A6231" s="78">
        <v>46265</v>
      </c>
      <c r="B6231" s="68">
        <v>16</v>
      </c>
      <c r="C6231" s="204" t="s">
        <v>1396</v>
      </c>
      <c r="D6231" s="30">
        <v>10</v>
      </c>
      <c r="E6231" s="30">
        <v>10</v>
      </c>
      <c r="F6231" s="30">
        <f t="shared" si="202"/>
        <v>100</v>
      </c>
      <c r="G6231" s="30" t="s">
        <v>9</v>
      </c>
      <c r="J6231" s="30" t="s">
        <v>391</v>
      </c>
    </row>
    <row r="6232" spans="1:10" s="199" customFormat="1" ht="31.5" x14ac:dyDescent="0.25">
      <c r="A6232" s="196">
        <v>46265</v>
      </c>
      <c r="B6232" s="197" t="s">
        <v>1245</v>
      </c>
      <c r="C6232" s="198">
        <f>MAX(B6206:B6232)</f>
        <v>16</v>
      </c>
      <c r="D6232" s="197" t="s">
        <v>1246</v>
      </c>
      <c r="E6232" s="199">
        <f>SUMIF(G6206:G6223,"UPI",F6206:F6223)</f>
        <v>230.4</v>
      </c>
      <c r="H6232" s="200" t="s">
        <v>1247</v>
      </c>
      <c r="I6232" s="200">
        <f>SUMIF(G6206:G6231, "&lt;&gt;UPI",F6206:F6231)</f>
        <v>630.20000000000005</v>
      </c>
    </row>
    <row r="6233" spans="1:10" x14ac:dyDescent="0.25">
      <c r="A6233" s="78">
        <v>46265</v>
      </c>
      <c r="B6233" s="68">
        <v>17</v>
      </c>
      <c r="C6233" s="205" t="s">
        <v>948</v>
      </c>
      <c r="D6233" s="30">
        <v>1</v>
      </c>
      <c r="E6233" s="30">
        <v>205</v>
      </c>
      <c r="F6233" s="30">
        <f t="shared" ref="F6233:F6275" si="203">E6233*D6233</f>
        <v>205</v>
      </c>
      <c r="G6233" s="30" t="s">
        <v>16</v>
      </c>
      <c r="I6233" s="68" t="s">
        <v>1200</v>
      </c>
      <c r="J6233" s="30" t="s">
        <v>392</v>
      </c>
    </row>
    <row r="6234" spans="1:10" x14ac:dyDescent="0.25">
      <c r="A6234" s="78">
        <v>46265</v>
      </c>
      <c r="B6234" s="68">
        <v>17</v>
      </c>
      <c r="C6234" s="205" t="s">
        <v>1273</v>
      </c>
      <c r="D6234" s="30">
        <v>2</v>
      </c>
      <c r="E6234" s="30">
        <v>5</v>
      </c>
      <c r="F6234" s="30">
        <f t="shared" si="203"/>
        <v>10</v>
      </c>
      <c r="G6234" s="30" t="s">
        <v>9</v>
      </c>
      <c r="I6234" s="68" t="s">
        <v>1418</v>
      </c>
      <c r="J6234" s="30" t="s">
        <v>392</v>
      </c>
    </row>
    <row r="6235" spans="1:10" x14ac:dyDescent="0.25">
      <c r="A6235" s="78">
        <v>46265</v>
      </c>
      <c r="B6235" s="68">
        <v>18</v>
      </c>
      <c r="C6235" s="19" t="s">
        <v>1327</v>
      </c>
      <c r="D6235" s="30">
        <v>0.28599999999999998</v>
      </c>
      <c r="E6235" s="30">
        <v>70</v>
      </c>
      <c r="F6235" s="30">
        <f t="shared" si="203"/>
        <v>20.02</v>
      </c>
      <c r="G6235" s="30" t="s">
        <v>9</v>
      </c>
      <c r="J6235" s="30" t="s">
        <v>392</v>
      </c>
    </row>
    <row r="6236" spans="1:10" x14ac:dyDescent="0.25">
      <c r="A6236" s="78">
        <v>46265</v>
      </c>
      <c r="B6236" s="68">
        <v>18</v>
      </c>
      <c r="C6236" s="19" t="s">
        <v>1343</v>
      </c>
      <c r="D6236" s="30">
        <v>1</v>
      </c>
      <c r="E6236" s="30">
        <v>10</v>
      </c>
      <c r="F6236" s="30">
        <f t="shared" si="203"/>
        <v>10</v>
      </c>
      <c r="G6236" s="30" t="s">
        <v>9</v>
      </c>
      <c r="J6236" s="30" t="s">
        <v>392</v>
      </c>
    </row>
    <row r="6237" spans="1:10" x14ac:dyDescent="0.25">
      <c r="A6237" s="78">
        <v>46265</v>
      </c>
      <c r="B6237" s="68">
        <v>19</v>
      </c>
      <c r="C6237" s="19" t="s">
        <v>1381</v>
      </c>
      <c r="D6237" s="30">
        <v>1</v>
      </c>
      <c r="E6237" s="30">
        <v>20</v>
      </c>
      <c r="F6237" s="30">
        <f t="shared" si="203"/>
        <v>20</v>
      </c>
      <c r="G6237" s="30" t="s">
        <v>9</v>
      </c>
      <c r="J6237" s="30" t="s">
        <v>392</v>
      </c>
    </row>
    <row r="6238" spans="1:10" x14ac:dyDescent="0.25">
      <c r="A6238" s="78">
        <v>46265</v>
      </c>
      <c r="B6238" s="68">
        <v>20</v>
      </c>
      <c r="C6238" s="205" t="s">
        <v>515</v>
      </c>
      <c r="D6238" s="30">
        <v>0.125</v>
      </c>
      <c r="E6238" s="30">
        <v>80</v>
      </c>
      <c r="F6238" s="30">
        <f t="shared" si="203"/>
        <v>10</v>
      </c>
      <c r="G6238" s="30" t="s">
        <v>9</v>
      </c>
      <c r="J6238" s="30" t="s">
        <v>392</v>
      </c>
    </row>
    <row r="6239" spans="1:10" x14ac:dyDescent="0.25">
      <c r="A6239" s="78">
        <v>46265</v>
      </c>
      <c r="B6239" s="68">
        <v>21</v>
      </c>
      <c r="C6239" s="19" t="s">
        <v>1377</v>
      </c>
      <c r="D6239" s="30">
        <v>1</v>
      </c>
      <c r="E6239" s="30">
        <v>10</v>
      </c>
      <c r="F6239" s="30">
        <f t="shared" si="203"/>
        <v>10</v>
      </c>
      <c r="G6239" s="30" t="s">
        <v>9</v>
      </c>
      <c r="J6239" s="30" t="s">
        <v>392</v>
      </c>
    </row>
    <row r="6240" spans="1:10" x14ac:dyDescent="0.25">
      <c r="A6240" s="78">
        <v>46265</v>
      </c>
      <c r="B6240" s="68">
        <v>22</v>
      </c>
      <c r="C6240" s="204" t="s">
        <v>1396</v>
      </c>
      <c r="D6240" s="30">
        <v>5</v>
      </c>
      <c r="E6240" s="30">
        <v>10</v>
      </c>
      <c r="F6240" s="30">
        <f t="shared" si="203"/>
        <v>50</v>
      </c>
      <c r="G6240" s="30" t="s">
        <v>9</v>
      </c>
      <c r="J6240" s="30" t="s">
        <v>392</v>
      </c>
    </row>
    <row r="6241" spans="1:10" x14ac:dyDescent="0.25">
      <c r="A6241" s="78">
        <v>46265</v>
      </c>
      <c r="B6241" s="68">
        <v>23</v>
      </c>
      <c r="C6241" s="204" t="s">
        <v>814</v>
      </c>
      <c r="D6241" s="30">
        <v>0.37</v>
      </c>
      <c r="E6241" s="30">
        <v>60</v>
      </c>
      <c r="F6241" s="30">
        <f t="shared" si="203"/>
        <v>22.2</v>
      </c>
      <c r="G6241" s="30" t="s">
        <v>10</v>
      </c>
      <c r="I6241" s="68" t="s">
        <v>1417</v>
      </c>
      <c r="J6241" s="30" t="s">
        <v>392</v>
      </c>
    </row>
    <row r="6242" spans="1:10" x14ac:dyDescent="0.25">
      <c r="A6242" s="78">
        <v>46265</v>
      </c>
      <c r="B6242" s="68">
        <v>24</v>
      </c>
      <c r="C6242" s="205" t="s">
        <v>153</v>
      </c>
      <c r="D6242" s="30">
        <v>1</v>
      </c>
      <c r="E6242" s="30">
        <v>10</v>
      </c>
      <c r="F6242" s="30">
        <f t="shared" si="203"/>
        <v>10</v>
      </c>
      <c r="G6242" s="30" t="s">
        <v>16</v>
      </c>
      <c r="J6242" s="30" t="s">
        <v>392</v>
      </c>
    </row>
    <row r="6243" spans="1:10" x14ac:dyDescent="0.25">
      <c r="A6243" s="78">
        <v>46265</v>
      </c>
      <c r="B6243" s="68">
        <v>25</v>
      </c>
      <c r="C6243" s="19" t="s">
        <v>1376</v>
      </c>
      <c r="D6243" s="30">
        <v>0.5</v>
      </c>
      <c r="E6243" s="30">
        <v>60</v>
      </c>
      <c r="F6243" s="30">
        <f t="shared" si="203"/>
        <v>30</v>
      </c>
      <c r="G6243" s="30" t="s">
        <v>9</v>
      </c>
      <c r="J6243" s="30" t="s">
        <v>392</v>
      </c>
    </row>
    <row r="6244" spans="1:10" ht="30" x14ac:dyDescent="0.25">
      <c r="A6244" s="78">
        <v>46265</v>
      </c>
      <c r="B6244" s="68">
        <v>25</v>
      </c>
      <c r="C6244" s="19" t="s">
        <v>1390</v>
      </c>
      <c r="D6244" s="30">
        <v>1</v>
      </c>
      <c r="E6244" s="30">
        <v>40</v>
      </c>
      <c r="F6244" s="30">
        <f t="shared" si="203"/>
        <v>40</v>
      </c>
      <c r="G6244" s="30" t="s">
        <v>9</v>
      </c>
      <c r="J6244" s="30" t="s">
        <v>392</v>
      </c>
    </row>
    <row r="6245" spans="1:10" x14ac:dyDescent="0.25">
      <c r="A6245" s="78">
        <v>46265</v>
      </c>
      <c r="B6245" s="68">
        <v>25</v>
      </c>
      <c r="C6245" s="205" t="s">
        <v>1282</v>
      </c>
      <c r="D6245" s="30">
        <v>2</v>
      </c>
      <c r="E6245" s="30">
        <v>15</v>
      </c>
      <c r="F6245" s="30">
        <f t="shared" si="203"/>
        <v>30</v>
      </c>
      <c r="G6245" s="30" t="s">
        <v>9</v>
      </c>
      <c r="J6245" s="30" t="s">
        <v>392</v>
      </c>
    </row>
    <row r="6246" spans="1:10" ht="30" x14ac:dyDescent="0.25">
      <c r="A6246" s="78">
        <v>46265</v>
      </c>
      <c r="B6246" s="68">
        <v>26</v>
      </c>
      <c r="C6246" s="205" t="s">
        <v>879</v>
      </c>
      <c r="D6246" s="30">
        <v>1</v>
      </c>
      <c r="E6246" s="30">
        <v>15</v>
      </c>
      <c r="F6246" s="30">
        <f t="shared" si="203"/>
        <v>15</v>
      </c>
      <c r="G6246" s="30" t="s">
        <v>9</v>
      </c>
      <c r="J6246" s="30" t="s">
        <v>392</v>
      </c>
    </row>
    <row r="6247" spans="1:10" ht="30" x14ac:dyDescent="0.25">
      <c r="A6247" s="78">
        <v>46265</v>
      </c>
      <c r="B6247" s="68">
        <v>26</v>
      </c>
      <c r="C6247" s="205" t="s">
        <v>883</v>
      </c>
      <c r="D6247" s="30">
        <v>1</v>
      </c>
      <c r="E6247" s="30">
        <v>15</v>
      </c>
      <c r="F6247" s="30">
        <f t="shared" si="203"/>
        <v>15</v>
      </c>
      <c r="G6247" s="30" t="s">
        <v>9</v>
      </c>
      <c r="J6247" s="30" t="s">
        <v>392</v>
      </c>
    </row>
    <row r="6248" spans="1:10" x14ac:dyDescent="0.25">
      <c r="A6248" s="78">
        <v>46265</v>
      </c>
      <c r="B6248" s="68">
        <v>26</v>
      </c>
      <c r="C6248" s="19" t="s">
        <v>1386</v>
      </c>
      <c r="D6248" s="30">
        <v>1</v>
      </c>
      <c r="E6248" s="30">
        <v>40</v>
      </c>
      <c r="F6248" s="30">
        <f t="shared" si="203"/>
        <v>40</v>
      </c>
      <c r="G6248" s="30" t="s">
        <v>9</v>
      </c>
      <c r="J6248" s="30" t="s">
        <v>392</v>
      </c>
    </row>
    <row r="6249" spans="1:10" x14ac:dyDescent="0.25">
      <c r="A6249" s="78">
        <v>46265</v>
      </c>
      <c r="B6249" s="68">
        <v>27</v>
      </c>
      <c r="C6249" s="205" t="s">
        <v>828</v>
      </c>
      <c r="D6249" s="30">
        <v>1</v>
      </c>
      <c r="E6249" s="30">
        <v>120</v>
      </c>
      <c r="F6249" s="30">
        <f t="shared" si="203"/>
        <v>120</v>
      </c>
      <c r="G6249" s="30" t="s">
        <v>9</v>
      </c>
      <c r="J6249" s="30" t="s">
        <v>392</v>
      </c>
    </row>
    <row r="6250" spans="1:10" x14ac:dyDescent="0.25">
      <c r="A6250" s="78">
        <v>46265</v>
      </c>
      <c r="B6250" s="68">
        <v>28</v>
      </c>
      <c r="C6250" s="205" t="s">
        <v>1158</v>
      </c>
      <c r="D6250" s="30">
        <v>1</v>
      </c>
      <c r="E6250" s="30">
        <v>30</v>
      </c>
      <c r="F6250" s="30">
        <f t="shared" si="203"/>
        <v>30</v>
      </c>
      <c r="G6250" s="30" t="s">
        <v>9</v>
      </c>
      <c r="J6250" s="30" t="s">
        <v>392</v>
      </c>
    </row>
    <row r="6251" spans="1:10" x14ac:dyDescent="0.25">
      <c r="A6251" s="78">
        <v>46265</v>
      </c>
      <c r="B6251" s="68">
        <v>29</v>
      </c>
      <c r="C6251" s="205" t="s">
        <v>1120</v>
      </c>
      <c r="D6251" s="30">
        <v>1</v>
      </c>
      <c r="E6251" s="30">
        <v>55</v>
      </c>
      <c r="F6251" s="30">
        <f t="shared" si="203"/>
        <v>55</v>
      </c>
      <c r="G6251" s="30" t="s">
        <v>10</v>
      </c>
      <c r="J6251" s="30" t="s">
        <v>392</v>
      </c>
    </row>
    <row r="6252" spans="1:10" x14ac:dyDescent="0.25">
      <c r="A6252" s="78">
        <v>46265</v>
      </c>
      <c r="B6252" s="68">
        <v>29</v>
      </c>
      <c r="C6252" s="19" t="s">
        <v>1326</v>
      </c>
      <c r="D6252" s="30">
        <v>8</v>
      </c>
      <c r="E6252" s="30">
        <v>8.8000000000000007</v>
      </c>
      <c r="F6252" s="30">
        <f t="shared" si="203"/>
        <v>70.400000000000006</v>
      </c>
      <c r="G6252" s="30" t="s">
        <v>9</v>
      </c>
      <c r="J6252" s="30" t="s">
        <v>392</v>
      </c>
    </row>
    <row r="6253" spans="1:10" x14ac:dyDescent="0.25">
      <c r="A6253" s="78">
        <v>46265</v>
      </c>
      <c r="B6253" s="68">
        <v>30</v>
      </c>
      <c r="C6253" s="205" t="s">
        <v>1253</v>
      </c>
      <c r="D6253" s="30">
        <v>2</v>
      </c>
      <c r="E6253" s="30">
        <v>5</v>
      </c>
      <c r="F6253" s="30">
        <f t="shared" si="203"/>
        <v>10</v>
      </c>
      <c r="G6253" s="30" t="s">
        <v>10</v>
      </c>
      <c r="J6253" s="30" t="s">
        <v>392</v>
      </c>
    </row>
    <row r="6254" spans="1:10" x14ac:dyDescent="0.25">
      <c r="A6254" s="78">
        <v>46265</v>
      </c>
      <c r="B6254" s="68">
        <v>31</v>
      </c>
      <c r="C6254" s="204" t="s">
        <v>970</v>
      </c>
      <c r="D6254" s="30">
        <v>1</v>
      </c>
      <c r="E6254" s="30">
        <v>10</v>
      </c>
      <c r="F6254" s="30">
        <f t="shared" si="203"/>
        <v>10</v>
      </c>
      <c r="G6254" s="30" t="s">
        <v>9</v>
      </c>
      <c r="J6254" s="30" t="s">
        <v>392</v>
      </c>
    </row>
    <row r="6255" spans="1:10" x14ac:dyDescent="0.25">
      <c r="A6255" s="78">
        <v>46265</v>
      </c>
      <c r="B6255" s="68">
        <v>32</v>
      </c>
      <c r="C6255" s="205" t="s">
        <v>1252</v>
      </c>
      <c r="D6255" s="30">
        <v>2</v>
      </c>
      <c r="E6255" s="30">
        <v>5</v>
      </c>
      <c r="F6255" s="30">
        <f t="shared" si="203"/>
        <v>10</v>
      </c>
      <c r="G6255" s="30" t="s">
        <v>9</v>
      </c>
      <c r="J6255" s="30" t="s">
        <v>392</v>
      </c>
    </row>
    <row r="6256" spans="1:10" x14ac:dyDescent="0.25">
      <c r="A6256" s="78">
        <v>46265</v>
      </c>
      <c r="B6256" s="68">
        <v>33</v>
      </c>
      <c r="C6256" s="205" t="s">
        <v>1429</v>
      </c>
      <c r="D6256" s="30">
        <v>2</v>
      </c>
      <c r="E6256" s="30">
        <v>5</v>
      </c>
      <c r="F6256" s="30">
        <f t="shared" si="203"/>
        <v>10</v>
      </c>
      <c r="G6256" s="30" t="s">
        <v>9</v>
      </c>
      <c r="J6256" s="30" t="s">
        <v>392</v>
      </c>
    </row>
    <row r="6257" spans="1:10" x14ac:dyDescent="0.25">
      <c r="A6257" s="78">
        <v>46265</v>
      </c>
      <c r="B6257" s="68">
        <v>34</v>
      </c>
      <c r="C6257" s="205" t="s">
        <v>845</v>
      </c>
      <c r="D6257" s="30">
        <v>2.5000000000000001E-2</v>
      </c>
      <c r="E6257" s="30">
        <v>420</v>
      </c>
      <c r="F6257" s="30">
        <f t="shared" si="203"/>
        <v>10.5</v>
      </c>
      <c r="G6257" s="30" t="s">
        <v>9</v>
      </c>
      <c r="J6257" s="30" t="s">
        <v>392</v>
      </c>
    </row>
    <row r="6258" spans="1:10" x14ac:dyDescent="0.25">
      <c r="A6258" s="78">
        <v>46265</v>
      </c>
      <c r="B6258" s="68">
        <v>34</v>
      </c>
      <c r="C6258" s="19" t="s">
        <v>1343</v>
      </c>
      <c r="D6258" s="30">
        <v>2</v>
      </c>
      <c r="E6258" s="30">
        <v>10</v>
      </c>
      <c r="F6258" s="30">
        <f t="shared" si="203"/>
        <v>20</v>
      </c>
      <c r="G6258" s="30" t="s">
        <v>9</v>
      </c>
      <c r="J6258" s="30" t="s">
        <v>392</v>
      </c>
    </row>
    <row r="6259" spans="1:10" x14ac:dyDescent="0.25">
      <c r="A6259" s="78">
        <v>46265</v>
      </c>
      <c r="B6259" s="68">
        <v>35</v>
      </c>
      <c r="C6259" s="19" t="s">
        <v>1383</v>
      </c>
      <c r="D6259" s="30">
        <v>0.5</v>
      </c>
      <c r="E6259" s="30">
        <v>20</v>
      </c>
      <c r="F6259" s="30">
        <f t="shared" si="203"/>
        <v>10</v>
      </c>
      <c r="G6259" s="30" t="s">
        <v>9</v>
      </c>
      <c r="J6259" s="30" t="s">
        <v>392</v>
      </c>
    </row>
    <row r="6260" spans="1:10" x14ac:dyDescent="0.25">
      <c r="A6260" s="78">
        <v>46265</v>
      </c>
      <c r="B6260" s="68">
        <v>35</v>
      </c>
      <c r="C6260" s="205" t="s">
        <v>1026</v>
      </c>
      <c r="D6260" s="30">
        <v>0.05</v>
      </c>
      <c r="E6260" s="30">
        <v>200</v>
      </c>
      <c r="F6260" s="30">
        <f t="shared" si="203"/>
        <v>10</v>
      </c>
      <c r="G6260" s="30" t="s">
        <v>9</v>
      </c>
      <c r="J6260" s="30" t="s">
        <v>392</v>
      </c>
    </row>
    <row r="6261" spans="1:10" x14ac:dyDescent="0.25">
      <c r="A6261" s="78">
        <v>46265</v>
      </c>
      <c r="B6261" s="68">
        <v>36</v>
      </c>
      <c r="C6261" s="19" t="s">
        <v>1383</v>
      </c>
      <c r="D6261" s="30">
        <v>1</v>
      </c>
      <c r="E6261" s="30">
        <v>20</v>
      </c>
      <c r="F6261" s="30">
        <f t="shared" si="203"/>
        <v>20</v>
      </c>
      <c r="G6261" s="30" t="s">
        <v>9</v>
      </c>
      <c r="J6261" s="30" t="s">
        <v>392</v>
      </c>
    </row>
    <row r="6262" spans="1:10" x14ac:dyDescent="0.25">
      <c r="A6262" s="78">
        <v>46265</v>
      </c>
      <c r="B6262" s="68">
        <v>36</v>
      </c>
      <c r="C6262" s="19" t="s">
        <v>1326</v>
      </c>
      <c r="D6262" s="30">
        <v>4</v>
      </c>
      <c r="E6262" s="30">
        <v>10</v>
      </c>
      <c r="F6262" s="30">
        <f t="shared" si="203"/>
        <v>40</v>
      </c>
      <c r="G6262" s="30" t="s">
        <v>9</v>
      </c>
      <c r="J6262" s="30" t="s">
        <v>392</v>
      </c>
    </row>
    <row r="6263" spans="1:10" x14ac:dyDescent="0.25">
      <c r="A6263" s="78">
        <v>46265</v>
      </c>
      <c r="B6263" s="68">
        <v>36</v>
      </c>
      <c r="C6263" s="19" t="s">
        <v>1376</v>
      </c>
      <c r="D6263" s="30">
        <v>0.16</v>
      </c>
      <c r="E6263" s="30">
        <v>60</v>
      </c>
      <c r="F6263" s="30">
        <f t="shared" si="203"/>
        <v>9.6</v>
      </c>
      <c r="G6263" s="30" t="s">
        <v>9</v>
      </c>
      <c r="J6263" s="30" t="s">
        <v>392</v>
      </c>
    </row>
    <row r="6264" spans="1:10" x14ac:dyDescent="0.25">
      <c r="A6264" s="78">
        <v>46265</v>
      </c>
      <c r="B6264" s="68">
        <v>36</v>
      </c>
      <c r="C6264" s="205" t="s">
        <v>103</v>
      </c>
      <c r="D6264" s="30">
        <v>1</v>
      </c>
      <c r="E6264" s="30">
        <v>13</v>
      </c>
      <c r="F6264" s="30">
        <f t="shared" si="203"/>
        <v>13</v>
      </c>
      <c r="G6264" s="30" t="s">
        <v>9</v>
      </c>
      <c r="J6264" s="30" t="s">
        <v>392</v>
      </c>
    </row>
    <row r="6265" spans="1:10" x14ac:dyDescent="0.25">
      <c r="A6265" s="78">
        <v>46265</v>
      </c>
      <c r="B6265" s="68">
        <v>37</v>
      </c>
      <c r="C6265" s="205" t="s">
        <v>578</v>
      </c>
      <c r="D6265" s="30">
        <v>1</v>
      </c>
      <c r="E6265" s="30">
        <v>5</v>
      </c>
      <c r="F6265" s="30">
        <f t="shared" si="203"/>
        <v>5</v>
      </c>
      <c r="G6265" s="30" t="s">
        <v>9</v>
      </c>
      <c r="I6265" s="68" t="s">
        <v>1363</v>
      </c>
      <c r="J6265" s="30" t="s">
        <v>392</v>
      </c>
    </row>
    <row r="6266" spans="1:10" x14ac:dyDescent="0.25">
      <c r="A6266" s="78">
        <v>46265</v>
      </c>
      <c r="B6266" s="68">
        <v>38</v>
      </c>
      <c r="C6266" s="205" t="s">
        <v>1430</v>
      </c>
      <c r="D6266" s="30">
        <v>1</v>
      </c>
      <c r="E6266" s="30">
        <v>5</v>
      </c>
      <c r="F6266" s="30">
        <f t="shared" si="203"/>
        <v>5</v>
      </c>
      <c r="G6266" s="30" t="s">
        <v>9</v>
      </c>
      <c r="J6266" s="30" t="s">
        <v>392</v>
      </c>
    </row>
    <row r="6267" spans="1:10" x14ac:dyDescent="0.25">
      <c r="A6267" s="78">
        <v>46265</v>
      </c>
      <c r="B6267" s="68">
        <v>39</v>
      </c>
      <c r="C6267" s="205" t="s">
        <v>1429</v>
      </c>
      <c r="D6267" s="30">
        <v>1</v>
      </c>
      <c r="E6267" s="30">
        <v>5</v>
      </c>
      <c r="F6267" s="30">
        <f t="shared" si="203"/>
        <v>5</v>
      </c>
      <c r="G6267" s="30" t="s">
        <v>9</v>
      </c>
      <c r="J6267" s="30" t="s">
        <v>392</v>
      </c>
    </row>
    <row r="6268" spans="1:10" x14ac:dyDescent="0.25">
      <c r="A6268" s="78">
        <v>46265</v>
      </c>
      <c r="B6268" s="68">
        <v>40</v>
      </c>
      <c r="C6268" s="204" t="s">
        <v>1396</v>
      </c>
      <c r="D6268" s="30">
        <v>8</v>
      </c>
      <c r="E6268" s="30">
        <v>10</v>
      </c>
      <c r="F6268" s="30">
        <f t="shared" si="203"/>
        <v>80</v>
      </c>
      <c r="G6268" s="30" t="s">
        <v>9</v>
      </c>
      <c r="J6268" s="30" t="s">
        <v>392</v>
      </c>
    </row>
    <row r="6269" spans="1:10" x14ac:dyDescent="0.25">
      <c r="A6269" s="78">
        <v>46265</v>
      </c>
      <c r="B6269" s="68">
        <v>41</v>
      </c>
      <c r="C6269" s="204" t="s">
        <v>1078</v>
      </c>
      <c r="D6269" s="30">
        <v>1</v>
      </c>
      <c r="E6269" s="30">
        <v>20</v>
      </c>
      <c r="F6269" s="30">
        <f t="shared" si="203"/>
        <v>20</v>
      </c>
      <c r="G6269" s="30" t="s">
        <v>9</v>
      </c>
      <c r="J6269" s="30" t="s">
        <v>392</v>
      </c>
    </row>
    <row r="6270" spans="1:10" x14ac:dyDescent="0.25">
      <c r="A6270" s="78">
        <v>46265</v>
      </c>
      <c r="B6270" s="68">
        <v>41</v>
      </c>
      <c r="C6270" s="19" t="s">
        <v>1383</v>
      </c>
      <c r="D6270" s="30">
        <v>2</v>
      </c>
      <c r="E6270" s="30">
        <v>15</v>
      </c>
      <c r="F6270" s="30">
        <f t="shared" si="203"/>
        <v>30</v>
      </c>
      <c r="G6270" s="30" t="s">
        <v>9</v>
      </c>
      <c r="J6270" s="30" t="s">
        <v>392</v>
      </c>
    </row>
    <row r="6271" spans="1:10" x14ac:dyDescent="0.25">
      <c r="A6271" s="78">
        <v>46265</v>
      </c>
      <c r="B6271" s="68">
        <v>41</v>
      </c>
      <c r="C6271" s="19" t="s">
        <v>1393</v>
      </c>
      <c r="D6271" s="30">
        <v>1</v>
      </c>
      <c r="E6271" s="30">
        <v>40</v>
      </c>
      <c r="F6271" s="30">
        <f t="shared" si="203"/>
        <v>40</v>
      </c>
      <c r="G6271" s="30" t="s">
        <v>9</v>
      </c>
      <c r="J6271" s="30" t="s">
        <v>392</v>
      </c>
    </row>
    <row r="6272" spans="1:10" x14ac:dyDescent="0.25">
      <c r="A6272" s="78">
        <v>46265</v>
      </c>
      <c r="B6272" s="68">
        <v>42</v>
      </c>
      <c r="C6272" s="205" t="s">
        <v>1142</v>
      </c>
      <c r="D6272" s="30">
        <v>2</v>
      </c>
      <c r="E6272" s="30">
        <v>5</v>
      </c>
      <c r="F6272" s="30">
        <f t="shared" si="203"/>
        <v>10</v>
      </c>
      <c r="G6272" s="30" t="s">
        <v>16</v>
      </c>
      <c r="I6272" s="68" t="s">
        <v>1332</v>
      </c>
      <c r="J6272" s="30" t="s">
        <v>392</v>
      </c>
    </row>
    <row r="6273" spans="1:12" x14ac:dyDescent="0.25">
      <c r="A6273" s="78">
        <v>46265</v>
      </c>
      <c r="B6273" s="68">
        <v>43</v>
      </c>
      <c r="C6273" s="19" t="s">
        <v>1326</v>
      </c>
      <c r="D6273" s="30">
        <v>4</v>
      </c>
      <c r="E6273" s="30">
        <v>10</v>
      </c>
      <c r="F6273" s="30">
        <f t="shared" si="203"/>
        <v>40</v>
      </c>
      <c r="G6273" s="30" t="s">
        <v>10</v>
      </c>
      <c r="J6273" s="30" t="s">
        <v>392</v>
      </c>
    </row>
    <row r="6274" spans="1:12" ht="30" x14ac:dyDescent="0.25">
      <c r="A6274" s="78">
        <v>46265</v>
      </c>
      <c r="B6274" s="68">
        <v>24</v>
      </c>
      <c r="C6274" s="205" t="s">
        <v>1121</v>
      </c>
      <c r="D6274" s="30">
        <v>1</v>
      </c>
      <c r="E6274" s="30">
        <v>205</v>
      </c>
      <c r="F6274" s="30">
        <f t="shared" si="203"/>
        <v>205</v>
      </c>
      <c r="G6274" s="30" t="s">
        <v>16</v>
      </c>
      <c r="I6274" s="68" t="s">
        <v>1200</v>
      </c>
      <c r="J6274" s="30" t="s">
        <v>392</v>
      </c>
    </row>
    <row r="6275" spans="1:12" x14ac:dyDescent="0.25">
      <c r="A6275" s="78">
        <v>46265</v>
      </c>
      <c r="B6275" s="68">
        <v>24</v>
      </c>
      <c r="C6275" s="205" t="s">
        <v>1254</v>
      </c>
      <c r="D6275" s="30">
        <v>1</v>
      </c>
      <c r="E6275" s="30">
        <v>10</v>
      </c>
      <c r="F6275" s="30">
        <f t="shared" si="203"/>
        <v>10</v>
      </c>
      <c r="G6275" s="30" t="s">
        <v>16</v>
      </c>
      <c r="I6275" s="68" t="s">
        <v>1200</v>
      </c>
      <c r="J6275" s="30" t="s">
        <v>392</v>
      </c>
    </row>
    <row r="6276" spans="1:12" s="199" customFormat="1" ht="31.5" x14ac:dyDescent="0.25">
      <c r="A6276" s="196">
        <v>46265</v>
      </c>
      <c r="B6276" s="197" t="s">
        <v>1248</v>
      </c>
      <c r="C6276" s="198">
        <f>MAX(B6233:B6276)</f>
        <v>43</v>
      </c>
      <c r="D6276" s="197" t="s">
        <v>1249</v>
      </c>
      <c r="E6276" s="199">
        <f>SUMIF(G6233:G6276,"UPI",F6233:F6276)</f>
        <v>127.2</v>
      </c>
      <c r="H6276" s="200" t="s">
        <v>1251</v>
      </c>
      <c r="I6276" s="200">
        <f>SUMIF(G6233:G6276, "&lt;&gt;UPI",F6233:F6276)</f>
        <v>1308.52</v>
      </c>
    </row>
    <row r="6277" spans="1:12" s="5" customFormat="1" ht="15.75" x14ac:dyDescent="0.25">
      <c r="A6277" s="201">
        <v>46265</v>
      </c>
      <c r="B6277" s="2"/>
      <c r="C6277" s="14"/>
      <c r="H6277" s="2" t="s">
        <v>1250</v>
      </c>
      <c r="I6277" s="2">
        <f>SUMIF(G6206:G6276, "&lt;&gt;UPI",F6206:F6276)</f>
        <v>1938.72</v>
      </c>
    </row>
    <row r="6278" spans="1:12" s="202" customFormat="1" ht="18.75" customHeight="1" x14ac:dyDescent="0.3">
      <c r="A6278" s="146">
        <v>46265</v>
      </c>
      <c r="B6278" s="147" t="s">
        <v>987</v>
      </c>
      <c r="C6278" s="148">
        <f>MAX(B6206:B6277)</f>
        <v>43</v>
      </c>
      <c r="D6278" s="147" t="s">
        <v>988</v>
      </c>
      <c r="E6278" s="202">
        <f>SUMIF(G6206:G6276,"UPI",F6206:F6276)</f>
        <v>387.59999999999997</v>
      </c>
      <c r="F6278" s="227" t="s">
        <v>437</v>
      </c>
      <c r="G6278" s="228"/>
      <c r="H6278" s="229"/>
      <c r="I6278" s="227">
        <f>SUM(F6206:F6277)</f>
        <v>2326.3199999999997</v>
      </c>
      <c r="J6278" s="228"/>
      <c r="K6278" s="228"/>
      <c r="L6278" s="229"/>
    </row>
    <row r="6279" spans="1:12" x14ac:dyDescent="0.25">
      <c r="A6279" s="78">
        <v>46266</v>
      </c>
      <c r="B6279" s="68">
        <v>1</v>
      </c>
      <c r="C6279" s="19" t="s">
        <v>1383</v>
      </c>
      <c r="D6279" s="30">
        <v>1</v>
      </c>
      <c r="E6279" s="30">
        <v>20</v>
      </c>
      <c r="F6279" s="30">
        <f>E6279*D6279</f>
        <v>20</v>
      </c>
      <c r="G6279" s="30" t="s">
        <v>16</v>
      </c>
      <c r="I6279" s="68" t="s">
        <v>1200</v>
      </c>
      <c r="J6279" s="30" t="s">
        <v>391</v>
      </c>
    </row>
    <row r="6280" spans="1:12" ht="30" x14ac:dyDescent="0.25">
      <c r="A6280" s="78">
        <v>46266</v>
      </c>
      <c r="B6280" s="68">
        <v>1</v>
      </c>
      <c r="C6280" s="19" t="s">
        <v>1420</v>
      </c>
      <c r="D6280" s="30">
        <v>1</v>
      </c>
      <c r="E6280" s="30">
        <v>160</v>
      </c>
      <c r="F6280" s="30">
        <f t="shared" ref="F6280:F6302" si="204">E6280*D6280</f>
        <v>160</v>
      </c>
      <c r="G6280" s="30" t="s">
        <v>16</v>
      </c>
      <c r="I6280" s="68" t="s">
        <v>1200</v>
      </c>
      <c r="J6280" s="30" t="s">
        <v>391</v>
      </c>
    </row>
    <row r="6281" spans="1:12" x14ac:dyDescent="0.25">
      <c r="A6281" s="78">
        <v>46266</v>
      </c>
      <c r="B6281" s="68">
        <v>1</v>
      </c>
      <c r="C6281" s="205" t="s">
        <v>395</v>
      </c>
      <c r="D6281" s="30">
        <v>1</v>
      </c>
      <c r="E6281" s="30">
        <v>10</v>
      </c>
      <c r="F6281" s="30">
        <f t="shared" si="204"/>
        <v>10</v>
      </c>
      <c r="G6281" s="30" t="s">
        <v>16</v>
      </c>
      <c r="I6281" s="68" t="s">
        <v>1200</v>
      </c>
      <c r="J6281" s="30" t="s">
        <v>391</v>
      </c>
    </row>
    <row r="6282" spans="1:12" x14ac:dyDescent="0.25">
      <c r="A6282" s="78">
        <v>46266</v>
      </c>
      <c r="B6282" s="68">
        <v>2</v>
      </c>
      <c r="C6282" s="19" t="s">
        <v>1326</v>
      </c>
      <c r="D6282" s="30">
        <v>1</v>
      </c>
      <c r="E6282" s="30">
        <v>10</v>
      </c>
      <c r="F6282" s="30">
        <f t="shared" si="204"/>
        <v>10</v>
      </c>
      <c r="G6282" s="30" t="s">
        <v>9</v>
      </c>
      <c r="J6282" s="30" t="s">
        <v>391</v>
      </c>
    </row>
    <row r="6283" spans="1:12" x14ac:dyDescent="0.25">
      <c r="A6283" s="78">
        <v>46266</v>
      </c>
      <c r="B6283" s="68">
        <v>2</v>
      </c>
      <c r="C6283" s="205" t="s">
        <v>1243</v>
      </c>
      <c r="D6283" s="30">
        <v>2</v>
      </c>
      <c r="E6283" s="30">
        <v>10</v>
      </c>
      <c r="F6283" s="30">
        <f t="shared" si="204"/>
        <v>20</v>
      </c>
      <c r="G6283" s="30" t="s">
        <v>9</v>
      </c>
      <c r="J6283" s="30" t="s">
        <v>391</v>
      </c>
    </row>
    <row r="6284" spans="1:12" x14ac:dyDescent="0.25">
      <c r="A6284" s="78">
        <v>46266</v>
      </c>
      <c r="B6284" s="68">
        <v>2</v>
      </c>
      <c r="C6284" s="33" t="s">
        <v>1431</v>
      </c>
      <c r="D6284" s="30">
        <v>2</v>
      </c>
      <c r="E6284" s="30">
        <v>5</v>
      </c>
      <c r="F6284" s="30">
        <f t="shared" si="204"/>
        <v>10</v>
      </c>
      <c r="G6284" s="30" t="s">
        <v>9</v>
      </c>
      <c r="J6284" s="30" t="s">
        <v>391</v>
      </c>
    </row>
    <row r="6285" spans="1:12" x14ac:dyDescent="0.25">
      <c r="A6285" s="78">
        <v>46266</v>
      </c>
      <c r="B6285" s="68">
        <v>2</v>
      </c>
      <c r="C6285" s="19" t="s">
        <v>1384</v>
      </c>
      <c r="D6285" s="30">
        <v>1</v>
      </c>
      <c r="E6285" s="30">
        <v>10</v>
      </c>
      <c r="F6285" s="30">
        <f t="shared" si="204"/>
        <v>10</v>
      </c>
      <c r="G6285" s="30" t="s">
        <v>9</v>
      </c>
      <c r="J6285" s="30" t="s">
        <v>391</v>
      </c>
    </row>
    <row r="6286" spans="1:12" x14ac:dyDescent="0.25">
      <c r="A6286" s="78">
        <v>46266</v>
      </c>
      <c r="F6286" s="30">
        <f t="shared" si="204"/>
        <v>0</v>
      </c>
      <c r="G6286" s="30" t="s">
        <v>9</v>
      </c>
      <c r="J6286" s="30" t="s">
        <v>391</v>
      </c>
    </row>
    <row r="6287" spans="1:12" x14ac:dyDescent="0.25">
      <c r="A6287" s="78">
        <v>46266</v>
      </c>
      <c r="B6287" s="68">
        <v>3</v>
      </c>
      <c r="C6287" s="19" t="s">
        <v>1378</v>
      </c>
      <c r="D6287" s="30">
        <v>1</v>
      </c>
      <c r="E6287" s="30">
        <v>10</v>
      </c>
      <c r="F6287" s="30">
        <f t="shared" si="204"/>
        <v>10</v>
      </c>
      <c r="G6287" s="30" t="s">
        <v>9</v>
      </c>
      <c r="J6287" s="30" t="s">
        <v>391</v>
      </c>
    </row>
    <row r="6288" spans="1:12" ht="30" x14ac:dyDescent="0.25">
      <c r="A6288" s="78">
        <v>46266</v>
      </c>
      <c r="B6288" s="68">
        <v>4</v>
      </c>
      <c r="C6288" s="19" t="s">
        <v>1391</v>
      </c>
      <c r="D6288" s="30">
        <v>1</v>
      </c>
      <c r="E6288" s="30">
        <v>50</v>
      </c>
      <c r="F6288" s="30">
        <f t="shared" si="204"/>
        <v>50</v>
      </c>
      <c r="G6288" s="30" t="s">
        <v>9</v>
      </c>
      <c r="J6288" s="30" t="s">
        <v>391</v>
      </c>
    </row>
    <row r="6289" spans="1:10" ht="30" x14ac:dyDescent="0.25">
      <c r="A6289" s="78">
        <v>46266</v>
      </c>
      <c r="B6289" s="68">
        <v>4</v>
      </c>
      <c r="C6289" s="19" t="s">
        <v>1410</v>
      </c>
      <c r="D6289" s="30">
        <v>1</v>
      </c>
      <c r="E6289" s="30">
        <v>40</v>
      </c>
      <c r="F6289" s="30">
        <f t="shared" si="204"/>
        <v>40</v>
      </c>
      <c r="G6289" s="30" t="s">
        <v>9</v>
      </c>
      <c r="J6289" s="30" t="s">
        <v>391</v>
      </c>
    </row>
    <row r="6290" spans="1:10" x14ac:dyDescent="0.25">
      <c r="A6290" s="78">
        <v>46266</v>
      </c>
      <c r="B6290" s="68">
        <v>4</v>
      </c>
      <c r="C6290" s="19" t="s">
        <v>1395</v>
      </c>
      <c r="D6290" s="30">
        <v>1</v>
      </c>
      <c r="E6290" s="30">
        <v>30</v>
      </c>
      <c r="F6290" s="30">
        <f t="shared" si="204"/>
        <v>30</v>
      </c>
      <c r="G6290" s="30" t="s">
        <v>9</v>
      </c>
      <c r="J6290" s="30" t="s">
        <v>391</v>
      </c>
    </row>
    <row r="6291" spans="1:10" ht="30" x14ac:dyDescent="0.25">
      <c r="A6291" s="78">
        <v>46266</v>
      </c>
      <c r="B6291" s="68">
        <v>5</v>
      </c>
      <c r="C6291" s="204" t="s">
        <v>361</v>
      </c>
      <c r="D6291" s="30">
        <v>1</v>
      </c>
      <c r="E6291" s="30">
        <v>10</v>
      </c>
      <c r="F6291" s="30">
        <f t="shared" si="204"/>
        <v>10</v>
      </c>
      <c r="G6291" s="30" t="s">
        <v>16</v>
      </c>
      <c r="I6291" s="68" t="s">
        <v>1202</v>
      </c>
      <c r="J6291" s="30" t="s">
        <v>391</v>
      </c>
    </row>
    <row r="6292" spans="1:10" x14ac:dyDescent="0.25">
      <c r="A6292" s="78">
        <v>46266</v>
      </c>
      <c r="B6292" s="68">
        <v>5</v>
      </c>
      <c r="C6292" s="205" t="s">
        <v>846</v>
      </c>
      <c r="D6292" s="30">
        <v>1</v>
      </c>
      <c r="E6292" s="30">
        <v>10</v>
      </c>
      <c r="F6292" s="30">
        <f t="shared" si="204"/>
        <v>10</v>
      </c>
      <c r="G6292" s="30" t="s">
        <v>16</v>
      </c>
      <c r="I6292" s="68" t="s">
        <v>1202</v>
      </c>
      <c r="J6292" s="30" t="s">
        <v>391</v>
      </c>
    </row>
    <row r="6293" spans="1:10" x14ac:dyDescent="0.25">
      <c r="A6293" s="78">
        <v>46266</v>
      </c>
      <c r="B6293" s="68">
        <v>6</v>
      </c>
      <c r="C6293" s="205" t="s">
        <v>1147</v>
      </c>
      <c r="D6293" s="30">
        <v>1</v>
      </c>
      <c r="E6293" s="30">
        <v>10</v>
      </c>
      <c r="F6293" s="30">
        <f t="shared" si="204"/>
        <v>10</v>
      </c>
      <c r="G6293" s="30" t="s">
        <v>9</v>
      </c>
      <c r="J6293" s="30" t="s">
        <v>391</v>
      </c>
    </row>
    <row r="6294" spans="1:10" x14ac:dyDescent="0.25">
      <c r="A6294" s="78">
        <v>46266</v>
      </c>
      <c r="B6294" s="68">
        <v>7</v>
      </c>
      <c r="C6294" s="205" t="s">
        <v>1287</v>
      </c>
      <c r="D6294" s="30">
        <v>1</v>
      </c>
      <c r="E6294" s="30">
        <v>10</v>
      </c>
      <c r="F6294" s="30">
        <f t="shared" si="204"/>
        <v>10</v>
      </c>
      <c r="G6294" s="30" t="s">
        <v>9</v>
      </c>
      <c r="J6294" s="30" t="s">
        <v>391</v>
      </c>
    </row>
    <row r="6295" spans="1:10" x14ac:dyDescent="0.25">
      <c r="A6295" s="78">
        <v>46266</v>
      </c>
      <c r="B6295" s="68">
        <v>8</v>
      </c>
      <c r="C6295" s="19" t="s">
        <v>1380</v>
      </c>
      <c r="D6295" s="30">
        <v>2</v>
      </c>
      <c r="E6295" s="30">
        <v>10</v>
      </c>
      <c r="F6295" s="30">
        <f t="shared" si="204"/>
        <v>20</v>
      </c>
      <c r="G6295" s="30" t="s">
        <v>9</v>
      </c>
      <c r="J6295" s="30" t="s">
        <v>391</v>
      </c>
    </row>
    <row r="6296" spans="1:10" ht="30" x14ac:dyDescent="0.25">
      <c r="A6296" s="78">
        <v>46266</v>
      </c>
      <c r="B6296" s="68">
        <v>8</v>
      </c>
      <c r="C6296" s="19" t="s">
        <v>1401</v>
      </c>
      <c r="D6296" s="30">
        <v>2</v>
      </c>
      <c r="E6296" s="30">
        <v>35</v>
      </c>
      <c r="F6296" s="30">
        <f t="shared" si="204"/>
        <v>70</v>
      </c>
      <c r="G6296" s="30" t="s">
        <v>9</v>
      </c>
      <c r="J6296" s="30" t="s">
        <v>391</v>
      </c>
    </row>
    <row r="6297" spans="1:10" x14ac:dyDescent="0.25">
      <c r="A6297" s="78">
        <v>46266</v>
      </c>
      <c r="B6297" s="68">
        <v>8</v>
      </c>
      <c r="C6297" s="205" t="s">
        <v>646</v>
      </c>
      <c r="D6297" s="30">
        <v>3</v>
      </c>
      <c r="E6297" s="30">
        <v>4</v>
      </c>
      <c r="F6297" s="30">
        <f t="shared" si="204"/>
        <v>12</v>
      </c>
      <c r="G6297" s="30" t="s">
        <v>9</v>
      </c>
      <c r="J6297" s="30" t="s">
        <v>391</v>
      </c>
    </row>
    <row r="6298" spans="1:10" x14ac:dyDescent="0.25">
      <c r="A6298" s="78">
        <v>46266</v>
      </c>
      <c r="B6298" s="68">
        <v>8</v>
      </c>
      <c r="C6298" s="205" t="s">
        <v>640</v>
      </c>
      <c r="D6298" s="30">
        <v>3</v>
      </c>
      <c r="E6298" s="30">
        <v>5</v>
      </c>
      <c r="F6298" s="30">
        <f t="shared" si="204"/>
        <v>15</v>
      </c>
      <c r="G6298" s="30" t="s">
        <v>9</v>
      </c>
      <c r="J6298" s="30" t="s">
        <v>391</v>
      </c>
    </row>
    <row r="6299" spans="1:10" x14ac:dyDescent="0.25">
      <c r="A6299" s="78">
        <v>46266</v>
      </c>
      <c r="B6299" s="68">
        <v>9</v>
      </c>
      <c r="C6299" s="205" t="s">
        <v>764</v>
      </c>
      <c r="D6299" s="30">
        <v>4</v>
      </c>
      <c r="E6299" s="30">
        <v>5</v>
      </c>
      <c r="F6299" s="30">
        <f t="shared" si="204"/>
        <v>20</v>
      </c>
      <c r="G6299" s="30" t="s">
        <v>10</v>
      </c>
      <c r="J6299" s="30" t="s">
        <v>391</v>
      </c>
    </row>
    <row r="6300" spans="1:10" x14ac:dyDescent="0.25">
      <c r="A6300" s="78">
        <v>46266</v>
      </c>
      <c r="B6300" s="68">
        <v>10</v>
      </c>
      <c r="C6300" s="19" t="s">
        <v>1376</v>
      </c>
      <c r="D6300" s="30">
        <v>0.5</v>
      </c>
      <c r="E6300" s="30">
        <v>60</v>
      </c>
      <c r="F6300" s="30">
        <f t="shared" si="204"/>
        <v>30</v>
      </c>
      <c r="G6300" s="30" t="s">
        <v>9</v>
      </c>
      <c r="J6300" s="30" t="s">
        <v>391</v>
      </c>
    </row>
    <row r="6301" spans="1:10" x14ac:dyDescent="0.25">
      <c r="A6301" s="78">
        <v>46266</v>
      </c>
      <c r="F6301" s="30">
        <f t="shared" si="204"/>
        <v>0</v>
      </c>
      <c r="J6301" s="30" t="s">
        <v>391</v>
      </c>
    </row>
    <row r="6302" spans="1:10" x14ac:dyDescent="0.25">
      <c r="A6302" s="78">
        <v>46266</v>
      </c>
      <c r="F6302" s="30">
        <f t="shared" si="204"/>
        <v>0</v>
      </c>
      <c r="J6302" s="30" t="s">
        <v>391</v>
      </c>
    </row>
    <row r="6303" spans="1:10" s="199" customFormat="1" ht="31.5" x14ac:dyDescent="0.25">
      <c r="A6303" s="196">
        <v>46266</v>
      </c>
      <c r="B6303" s="197" t="s">
        <v>1245</v>
      </c>
      <c r="C6303" s="198">
        <f>MAX(B6279:B6303)</f>
        <v>10</v>
      </c>
      <c r="D6303" s="197" t="s">
        <v>1246</v>
      </c>
      <c r="E6303" s="199">
        <f>SUMIF(G6279:G6302,"UPI",F6279:F6302)</f>
        <v>20</v>
      </c>
      <c r="H6303" s="200" t="s">
        <v>1247</v>
      </c>
      <c r="I6303" s="200">
        <f>SUMIF(G6279:G6302, "&lt;&gt;UPI",F6279:F6302)</f>
        <v>557</v>
      </c>
    </row>
    <row r="6304" spans="1:10" x14ac:dyDescent="0.25">
      <c r="A6304" s="78">
        <v>46266</v>
      </c>
      <c r="B6304" s="68">
        <v>1</v>
      </c>
      <c r="C6304" s="33" t="s">
        <v>1316</v>
      </c>
      <c r="D6304" s="30">
        <v>1</v>
      </c>
      <c r="E6304" s="30">
        <v>10</v>
      </c>
      <c r="F6304" s="30">
        <f>E6304*D6304</f>
        <v>10</v>
      </c>
      <c r="G6304" s="30" t="s">
        <v>9</v>
      </c>
      <c r="J6304" s="30" t="s">
        <v>392</v>
      </c>
    </row>
    <row r="6305" spans="1:10" x14ac:dyDescent="0.25">
      <c r="A6305" s="78">
        <v>46266</v>
      </c>
      <c r="B6305" s="68">
        <v>11</v>
      </c>
      <c r="C6305" s="205" t="s">
        <v>1261</v>
      </c>
      <c r="D6305" s="30">
        <v>4</v>
      </c>
      <c r="E6305" s="30">
        <v>10</v>
      </c>
      <c r="F6305" s="30">
        <f t="shared" ref="F6305:F6336" si="205">E6305*D6305</f>
        <v>40</v>
      </c>
      <c r="G6305" s="30" t="s">
        <v>10</v>
      </c>
      <c r="J6305" s="30" t="s">
        <v>392</v>
      </c>
    </row>
    <row r="6306" spans="1:10" x14ac:dyDescent="0.25">
      <c r="A6306" s="78">
        <v>46266</v>
      </c>
      <c r="B6306" s="68">
        <v>11</v>
      </c>
      <c r="C6306" s="19" t="s">
        <v>1387</v>
      </c>
      <c r="D6306" s="30">
        <v>1</v>
      </c>
      <c r="E6306" s="30">
        <v>40</v>
      </c>
      <c r="F6306" s="30">
        <f t="shared" si="205"/>
        <v>40</v>
      </c>
      <c r="G6306" s="30" t="s">
        <v>10</v>
      </c>
      <c r="J6306" s="30" t="s">
        <v>392</v>
      </c>
    </row>
    <row r="6307" spans="1:10" x14ac:dyDescent="0.25">
      <c r="A6307" s="78">
        <v>46266</v>
      </c>
      <c r="B6307" s="68">
        <v>11</v>
      </c>
      <c r="C6307" s="205" t="s">
        <v>1254</v>
      </c>
      <c r="D6307" s="30">
        <v>5</v>
      </c>
      <c r="E6307" s="30">
        <v>10</v>
      </c>
      <c r="F6307" s="30">
        <f t="shared" si="205"/>
        <v>50</v>
      </c>
      <c r="G6307" s="30" t="s">
        <v>10</v>
      </c>
      <c r="J6307" s="30" t="s">
        <v>392</v>
      </c>
    </row>
    <row r="6308" spans="1:10" x14ac:dyDescent="0.25">
      <c r="A6308" s="78">
        <v>46266</v>
      </c>
      <c r="B6308" s="68">
        <v>12</v>
      </c>
      <c r="C6308" s="205" t="s">
        <v>742</v>
      </c>
      <c r="D6308" s="30">
        <v>1</v>
      </c>
      <c r="E6308" s="30">
        <v>35</v>
      </c>
      <c r="F6308" s="30">
        <f t="shared" si="205"/>
        <v>35</v>
      </c>
      <c r="G6308" s="30" t="s">
        <v>9</v>
      </c>
      <c r="J6308" s="30" t="s">
        <v>392</v>
      </c>
    </row>
    <row r="6309" spans="1:10" x14ac:dyDescent="0.25">
      <c r="A6309" s="78">
        <v>46266</v>
      </c>
      <c r="B6309" s="68">
        <v>12</v>
      </c>
      <c r="C6309" s="205" t="s">
        <v>764</v>
      </c>
      <c r="D6309" s="30">
        <v>1</v>
      </c>
      <c r="E6309" s="30">
        <v>5</v>
      </c>
      <c r="F6309" s="30">
        <f t="shared" si="205"/>
        <v>5</v>
      </c>
      <c r="G6309" s="30" t="s">
        <v>9</v>
      </c>
      <c r="J6309" s="30" t="s">
        <v>392</v>
      </c>
    </row>
    <row r="6310" spans="1:10" ht="30" x14ac:dyDescent="0.25">
      <c r="A6310" s="78">
        <v>46266</v>
      </c>
      <c r="B6310" s="68">
        <v>12</v>
      </c>
      <c r="C6310" s="19" t="s">
        <v>1394</v>
      </c>
      <c r="D6310" s="30">
        <v>1</v>
      </c>
      <c r="E6310" s="30">
        <v>10</v>
      </c>
      <c r="F6310" s="30">
        <f t="shared" si="205"/>
        <v>10</v>
      </c>
      <c r="G6310" s="30" t="s">
        <v>9</v>
      </c>
      <c r="J6310" s="30" t="s">
        <v>392</v>
      </c>
    </row>
    <row r="6311" spans="1:10" x14ac:dyDescent="0.25">
      <c r="A6311" s="78">
        <v>46266</v>
      </c>
      <c r="B6311" s="68">
        <v>9</v>
      </c>
      <c r="C6311" s="19" t="s">
        <v>1379</v>
      </c>
      <c r="D6311" s="30">
        <v>1</v>
      </c>
      <c r="E6311" s="30">
        <v>40</v>
      </c>
      <c r="F6311" s="30">
        <f t="shared" si="205"/>
        <v>40</v>
      </c>
      <c r="G6311" s="30" t="s">
        <v>9</v>
      </c>
      <c r="J6311" s="30" t="s">
        <v>392</v>
      </c>
    </row>
    <row r="6312" spans="1:10" x14ac:dyDescent="0.25">
      <c r="A6312" s="78">
        <v>46266</v>
      </c>
      <c r="B6312" s="68">
        <v>13</v>
      </c>
      <c r="C6312" s="205" t="s">
        <v>966</v>
      </c>
      <c r="D6312" s="30">
        <v>10</v>
      </c>
      <c r="E6312" s="30">
        <v>1</v>
      </c>
      <c r="F6312" s="30">
        <f t="shared" si="205"/>
        <v>10</v>
      </c>
      <c r="G6312" s="30" t="s">
        <v>9</v>
      </c>
      <c r="J6312" s="30" t="s">
        <v>392</v>
      </c>
    </row>
    <row r="6313" spans="1:10" x14ac:dyDescent="0.25">
      <c r="A6313" s="78">
        <v>46266</v>
      </c>
      <c r="B6313" s="68">
        <v>14</v>
      </c>
      <c r="C6313" s="205" t="s">
        <v>523</v>
      </c>
      <c r="D6313" s="30">
        <v>0.1</v>
      </c>
      <c r="E6313" s="30">
        <v>280</v>
      </c>
      <c r="F6313" s="30">
        <f t="shared" si="205"/>
        <v>28</v>
      </c>
      <c r="G6313" s="30" t="s">
        <v>9</v>
      </c>
      <c r="J6313" s="30" t="s">
        <v>392</v>
      </c>
    </row>
    <row r="6314" spans="1:10" x14ac:dyDescent="0.25">
      <c r="A6314" s="78">
        <v>46266</v>
      </c>
      <c r="B6314" s="68">
        <v>14</v>
      </c>
      <c r="C6314" s="205" t="s">
        <v>966</v>
      </c>
      <c r="D6314" s="30">
        <v>2</v>
      </c>
      <c r="E6314" s="30">
        <v>1</v>
      </c>
      <c r="F6314" s="30">
        <f t="shared" si="205"/>
        <v>2</v>
      </c>
      <c r="G6314" s="30" t="s">
        <v>9</v>
      </c>
      <c r="J6314" s="30" t="s">
        <v>392</v>
      </c>
    </row>
    <row r="6315" spans="1:10" x14ac:dyDescent="0.25">
      <c r="A6315" s="78">
        <v>46266</v>
      </c>
      <c r="B6315" s="68">
        <v>15</v>
      </c>
      <c r="C6315" s="19" t="s">
        <v>1426</v>
      </c>
      <c r="D6315" s="30">
        <v>0.5</v>
      </c>
      <c r="E6315" s="30">
        <v>80</v>
      </c>
      <c r="F6315" s="30">
        <f t="shared" si="205"/>
        <v>40</v>
      </c>
      <c r="G6315" s="30" t="s">
        <v>9</v>
      </c>
      <c r="J6315" s="30" t="s">
        <v>392</v>
      </c>
    </row>
    <row r="6316" spans="1:10" x14ac:dyDescent="0.25">
      <c r="A6316" s="78">
        <v>46266</v>
      </c>
      <c r="B6316" s="68">
        <v>15</v>
      </c>
      <c r="C6316" s="205" t="s">
        <v>95</v>
      </c>
      <c r="D6316" s="30">
        <v>1</v>
      </c>
      <c r="E6316" s="30">
        <v>10</v>
      </c>
      <c r="F6316" s="30">
        <f t="shared" si="205"/>
        <v>10</v>
      </c>
      <c r="G6316" s="30" t="s">
        <v>9</v>
      </c>
      <c r="J6316" s="30" t="s">
        <v>392</v>
      </c>
    </row>
    <row r="6317" spans="1:10" x14ac:dyDescent="0.25">
      <c r="A6317" s="78">
        <v>46266</v>
      </c>
      <c r="B6317" s="68">
        <v>16</v>
      </c>
      <c r="C6317" s="19" t="s">
        <v>1326</v>
      </c>
      <c r="D6317" s="30">
        <v>8.8000000000000007</v>
      </c>
      <c r="E6317" s="30">
        <v>8</v>
      </c>
      <c r="F6317" s="30">
        <f t="shared" si="205"/>
        <v>70.400000000000006</v>
      </c>
      <c r="G6317" s="30" t="s">
        <v>10</v>
      </c>
      <c r="J6317" s="30" t="s">
        <v>392</v>
      </c>
    </row>
    <row r="6318" spans="1:10" x14ac:dyDescent="0.25">
      <c r="A6318" s="78">
        <v>46266</v>
      </c>
      <c r="B6318" s="68">
        <v>16</v>
      </c>
      <c r="C6318" s="19" t="s">
        <v>1379</v>
      </c>
      <c r="D6318" s="30">
        <v>2</v>
      </c>
      <c r="E6318" s="30">
        <v>40</v>
      </c>
      <c r="F6318" s="30">
        <f t="shared" si="205"/>
        <v>80</v>
      </c>
      <c r="G6318" s="30" t="s">
        <v>10</v>
      </c>
      <c r="J6318" s="30" t="s">
        <v>392</v>
      </c>
    </row>
    <row r="6319" spans="1:10" x14ac:dyDescent="0.25">
      <c r="A6319" s="78">
        <v>46266</v>
      </c>
      <c r="B6319" s="68">
        <v>16</v>
      </c>
      <c r="C6319" s="19" t="s">
        <v>1327</v>
      </c>
      <c r="D6319" s="30">
        <v>0.19</v>
      </c>
      <c r="E6319" s="30">
        <v>70</v>
      </c>
      <c r="F6319" s="30">
        <f t="shared" si="205"/>
        <v>13.3</v>
      </c>
      <c r="G6319" s="30" t="s">
        <v>10</v>
      </c>
      <c r="J6319" s="30" t="s">
        <v>392</v>
      </c>
    </row>
    <row r="6320" spans="1:10" x14ac:dyDescent="0.25">
      <c r="A6320" s="78">
        <v>46266</v>
      </c>
      <c r="B6320" s="68">
        <v>16</v>
      </c>
      <c r="C6320" s="205" t="s">
        <v>569</v>
      </c>
      <c r="D6320" s="30">
        <v>1</v>
      </c>
      <c r="E6320" s="30">
        <v>10</v>
      </c>
      <c r="F6320" s="30">
        <f t="shared" si="205"/>
        <v>10</v>
      </c>
      <c r="G6320" s="30" t="s">
        <v>10</v>
      </c>
      <c r="J6320" s="30" t="s">
        <v>392</v>
      </c>
    </row>
    <row r="6321" spans="1:10" x14ac:dyDescent="0.25">
      <c r="A6321" s="78">
        <v>46266</v>
      </c>
      <c r="B6321" s="68">
        <v>17</v>
      </c>
      <c r="C6321" s="205" t="s">
        <v>497</v>
      </c>
      <c r="D6321" s="30">
        <v>1</v>
      </c>
      <c r="E6321" s="30">
        <v>35</v>
      </c>
      <c r="F6321" s="30">
        <f t="shared" si="205"/>
        <v>35</v>
      </c>
      <c r="G6321" s="30" t="s">
        <v>9</v>
      </c>
      <c r="I6321" s="68" t="s">
        <v>1432</v>
      </c>
      <c r="J6321" s="30" t="s">
        <v>392</v>
      </c>
    </row>
    <row r="6322" spans="1:10" x14ac:dyDescent="0.25">
      <c r="A6322" s="78">
        <v>46266</v>
      </c>
      <c r="B6322" s="68">
        <v>18</v>
      </c>
      <c r="C6322" s="19" t="s">
        <v>1386</v>
      </c>
      <c r="D6322" s="30">
        <v>1</v>
      </c>
      <c r="E6322" s="30">
        <v>40</v>
      </c>
      <c r="F6322" s="30">
        <f t="shared" si="205"/>
        <v>40</v>
      </c>
      <c r="G6322" s="30" t="s">
        <v>10</v>
      </c>
      <c r="J6322" s="30" t="s">
        <v>392</v>
      </c>
    </row>
    <row r="6323" spans="1:10" x14ac:dyDescent="0.25">
      <c r="A6323" s="78">
        <v>46266</v>
      </c>
      <c r="B6323" s="68">
        <v>18</v>
      </c>
      <c r="C6323" s="19" t="s">
        <v>1383</v>
      </c>
      <c r="D6323" s="30">
        <v>1</v>
      </c>
      <c r="E6323" s="30">
        <v>20</v>
      </c>
      <c r="F6323" s="30">
        <f t="shared" si="205"/>
        <v>20</v>
      </c>
      <c r="G6323" s="30" t="s">
        <v>10</v>
      </c>
      <c r="J6323" s="30" t="s">
        <v>392</v>
      </c>
    </row>
    <row r="6324" spans="1:10" x14ac:dyDescent="0.25">
      <c r="A6324" s="78">
        <v>46266</v>
      </c>
      <c r="B6324" s="68">
        <v>18</v>
      </c>
      <c r="C6324" s="19" t="s">
        <v>1374</v>
      </c>
      <c r="D6324" s="30">
        <v>1</v>
      </c>
      <c r="E6324" s="30">
        <v>20</v>
      </c>
      <c r="F6324" s="30">
        <f t="shared" si="205"/>
        <v>20</v>
      </c>
      <c r="G6324" s="30" t="s">
        <v>10</v>
      </c>
      <c r="J6324" s="30" t="s">
        <v>392</v>
      </c>
    </row>
    <row r="6325" spans="1:10" ht="30" x14ac:dyDescent="0.25">
      <c r="A6325" s="78">
        <v>46266</v>
      </c>
      <c r="B6325" s="68">
        <v>18</v>
      </c>
      <c r="C6325" s="19" t="s">
        <v>1394</v>
      </c>
      <c r="D6325" s="30">
        <v>1</v>
      </c>
      <c r="E6325" s="30">
        <v>10</v>
      </c>
      <c r="F6325" s="30">
        <f t="shared" si="205"/>
        <v>10</v>
      </c>
      <c r="G6325" s="30" t="s">
        <v>10</v>
      </c>
      <c r="J6325" s="30" t="s">
        <v>392</v>
      </c>
    </row>
    <row r="6326" spans="1:10" ht="30" x14ac:dyDescent="0.25">
      <c r="A6326" s="78">
        <v>46266</v>
      </c>
      <c r="B6326" s="68">
        <v>18</v>
      </c>
      <c r="C6326" s="19" t="s">
        <v>1413</v>
      </c>
      <c r="D6326" s="30">
        <v>1</v>
      </c>
      <c r="E6326" s="30">
        <v>30</v>
      </c>
      <c r="F6326" s="30">
        <f t="shared" si="205"/>
        <v>30</v>
      </c>
      <c r="G6326" s="30" t="s">
        <v>10</v>
      </c>
      <c r="J6326" s="30" t="s">
        <v>392</v>
      </c>
    </row>
    <row r="6327" spans="1:10" ht="30" x14ac:dyDescent="0.25">
      <c r="A6327" s="78">
        <v>46266</v>
      </c>
      <c r="B6327" s="68">
        <v>18</v>
      </c>
      <c r="C6327" s="19" t="s">
        <v>1398</v>
      </c>
      <c r="D6327" s="30">
        <v>1</v>
      </c>
      <c r="E6327" s="30">
        <v>20</v>
      </c>
      <c r="F6327" s="30">
        <f t="shared" si="205"/>
        <v>20</v>
      </c>
      <c r="G6327" s="30" t="s">
        <v>10</v>
      </c>
      <c r="J6327" s="30" t="s">
        <v>392</v>
      </c>
    </row>
    <row r="6328" spans="1:10" x14ac:dyDescent="0.25">
      <c r="A6328" s="78">
        <v>46266</v>
      </c>
      <c r="B6328" s="68">
        <v>18</v>
      </c>
      <c r="C6328" s="19" t="s">
        <v>1326</v>
      </c>
      <c r="D6328" s="30">
        <v>2</v>
      </c>
      <c r="E6328" s="30">
        <v>10</v>
      </c>
      <c r="F6328" s="30">
        <f t="shared" si="205"/>
        <v>20</v>
      </c>
      <c r="G6328" s="30" t="s">
        <v>10</v>
      </c>
      <c r="J6328" s="30" t="s">
        <v>392</v>
      </c>
    </row>
    <row r="6329" spans="1:10" x14ac:dyDescent="0.25">
      <c r="A6329" s="78">
        <v>46266</v>
      </c>
      <c r="B6329" s="68">
        <v>19</v>
      </c>
      <c r="C6329" s="204" t="s">
        <v>1396</v>
      </c>
      <c r="D6329" s="30">
        <v>7</v>
      </c>
      <c r="E6329" s="30">
        <v>10</v>
      </c>
      <c r="F6329" s="30">
        <f t="shared" si="205"/>
        <v>70</v>
      </c>
      <c r="G6329" s="30" t="s">
        <v>9</v>
      </c>
      <c r="J6329" s="30" t="s">
        <v>392</v>
      </c>
    </row>
    <row r="6330" spans="1:10" x14ac:dyDescent="0.25">
      <c r="A6330" s="78">
        <v>46266</v>
      </c>
      <c r="B6330" s="68">
        <v>20</v>
      </c>
      <c r="C6330" s="205" t="s">
        <v>1147</v>
      </c>
      <c r="D6330" s="30">
        <v>1</v>
      </c>
      <c r="E6330" s="30">
        <v>10</v>
      </c>
      <c r="F6330" s="30">
        <f t="shared" si="205"/>
        <v>10</v>
      </c>
      <c r="G6330" s="30" t="s">
        <v>9</v>
      </c>
      <c r="J6330" s="30" t="s">
        <v>392</v>
      </c>
    </row>
    <row r="6331" spans="1:10" x14ac:dyDescent="0.25">
      <c r="A6331" s="78">
        <v>46266</v>
      </c>
      <c r="B6331" s="68">
        <v>20</v>
      </c>
      <c r="C6331" s="205" t="s">
        <v>953</v>
      </c>
      <c r="D6331" s="30">
        <v>1</v>
      </c>
      <c r="E6331" s="30">
        <v>10</v>
      </c>
      <c r="F6331" s="30">
        <f t="shared" si="205"/>
        <v>10</v>
      </c>
      <c r="G6331" s="30" t="s">
        <v>9</v>
      </c>
      <c r="J6331" s="30" t="s">
        <v>392</v>
      </c>
    </row>
    <row r="6332" spans="1:10" x14ac:dyDescent="0.25">
      <c r="A6332" s="78">
        <v>46266</v>
      </c>
      <c r="B6332" s="68">
        <v>20</v>
      </c>
      <c r="C6332" s="205" t="s">
        <v>1127</v>
      </c>
      <c r="D6332" s="30">
        <v>1</v>
      </c>
      <c r="E6332" s="30">
        <v>10</v>
      </c>
      <c r="F6332" s="30">
        <f t="shared" si="205"/>
        <v>10</v>
      </c>
      <c r="G6332" s="30" t="s">
        <v>9</v>
      </c>
      <c r="J6332" s="30" t="s">
        <v>392</v>
      </c>
    </row>
    <row r="6333" spans="1:10" x14ac:dyDescent="0.25">
      <c r="A6333" s="78">
        <v>46266</v>
      </c>
      <c r="B6333" s="68">
        <v>21</v>
      </c>
      <c r="C6333" s="204" t="s">
        <v>1078</v>
      </c>
      <c r="D6333" s="30">
        <v>2</v>
      </c>
      <c r="E6333" s="30">
        <v>20</v>
      </c>
      <c r="F6333" s="30">
        <f t="shared" si="205"/>
        <v>40</v>
      </c>
      <c r="G6333" s="30" t="s">
        <v>9</v>
      </c>
      <c r="J6333" s="30" t="s">
        <v>392</v>
      </c>
    </row>
    <row r="6334" spans="1:10" ht="30" x14ac:dyDescent="0.25">
      <c r="A6334" s="78">
        <v>46266</v>
      </c>
      <c r="B6334" s="68">
        <v>22</v>
      </c>
      <c r="C6334" s="19" t="s">
        <v>1398</v>
      </c>
      <c r="D6334" s="30">
        <v>1</v>
      </c>
      <c r="E6334" s="30">
        <v>20</v>
      </c>
      <c r="F6334" s="30">
        <f t="shared" si="205"/>
        <v>20</v>
      </c>
      <c r="G6334" s="30" t="s">
        <v>9</v>
      </c>
      <c r="J6334" s="30" t="s">
        <v>392</v>
      </c>
    </row>
    <row r="6335" spans="1:10" x14ac:dyDescent="0.25">
      <c r="A6335" s="78">
        <v>46266</v>
      </c>
      <c r="B6335" s="68">
        <v>5</v>
      </c>
      <c r="C6335" s="205" t="s">
        <v>639</v>
      </c>
      <c r="D6335" s="30">
        <v>2</v>
      </c>
      <c r="E6335" s="30">
        <v>2</v>
      </c>
      <c r="F6335" s="30">
        <f t="shared" si="205"/>
        <v>4</v>
      </c>
      <c r="G6335" s="30" t="s">
        <v>16</v>
      </c>
      <c r="I6335" s="68" t="s">
        <v>1202</v>
      </c>
      <c r="J6335" s="30" t="s">
        <v>392</v>
      </c>
    </row>
    <row r="6336" spans="1:10" x14ac:dyDescent="0.25">
      <c r="A6336" s="78">
        <v>46266</v>
      </c>
      <c r="B6336" s="68">
        <v>24</v>
      </c>
      <c r="C6336" s="19" t="s">
        <v>1426</v>
      </c>
      <c r="D6336" s="30">
        <v>0.25</v>
      </c>
      <c r="E6336" s="30">
        <v>80</v>
      </c>
      <c r="F6336" s="30">
        <f t="shared" si="205"/>
        <v>20</v>
      </c>
      <c r="G6336" s="30" t="s">
        <v>9</v>
      </c>
      <c r="J6336" s="30" t="s">
        <v>392</v>
      </c>
    </row>
    <row r="6337" spans="1:12" s="199" customFormat="1" ht="31.5" x14ac:dyDescent="0.25">
      <c r="A6337" s="196">
        <v>46266</v>
      </c>
      <c r="B6337" s="197" t="s">
        <v>1248</v>
      </c>
      <c r="C6337" s="198">
        <f>MAX(B6304:B6337)</f>
        <v>24</v>
      </c>
      <c r="D6337" s="197" t="s">
        <v>1249</v>
      </c>
      <c r="E6337" s="199">
        <f>SUMIF(G6304:G6337,"UPI",F6304:F6337)</f>
        <v>463.7</v>
      </c>
      <c r="H6337" s="200" t="s">
        <v>1251</v>
      </c>
      <c r="I6337" s="200">
        <f>SUMIF(G6304:G6337, "&lt;&gt;UPI",F6304:F6337)</f>
        <v>409</v>
      </c>
    </row>
    <row r="6338" spans="1:12" s="5" customFormat="1" ht="15.75" x14ac:dyDescent="0.25">
      <c r="A6338" s="201">
        <v>46266</v>
      </c>
      <c r="B6338" s="2"/>
      <c r="C6338" s="14"/>
      <c r="H6338" s="2" t="s">
        <v>1250</v>
      </c>
      <c r="I6338" s="2">
        <f>SUMIF(G6279:G6337, "&lt;&gt;UPI",F6279:F6337)</f>
        <v>966</v>
      </c>
    </row>
    <row r="6339" spans="1:12" s="202" customFormat="1" ht="18.75" customHeight="1" x14ac:dyDescent="0.3">
      <c r="A6339" s="146">
        <v>46266</v>
      </c>
      <c r="B6339" s="147" t="s">
        <v>987</v>
      </c>
      <c r="C6339" s="148">
        <f>MAX(B6279:B6338)</f>
        <v>24</v>
      </c>
      <c r="D6339" s="147" t="s">
        <v>988</v>
      </c>
      <c r="E6339" s="202">
        <f>SUMIF(G6279:G6337,"UPI",F6279:F6337)</f>
        <v>483.7</v>
      </c>
      <c r="F6339" s="227" t="s">
        <v>437</v>
      </c>
      <c r="G6339" s="228"/>
      <c r="H6339" s="229"/>
      <c r="I6339" s="227">
        <f>SUM(F6279:F6338)</f>
        <v>1449.7</v>
      </c>
      <c r="J6339" s="228"/>
      <c r="K6339" s="228"/>
      <c r="L6339" s="229"/>
    </row>
    <row r="6340" spans="1:12" x14ac:dyDescent="0.25">
      <c r="A6340" s="78">
        <v>46267</v>
      </c>
      <c r="B6340" s="68">
        <v>1</v>
      </c>
      <c r="C6340" s="19" t="s">
        <v>1376</v>
      </c>
      <c r="D6340" s="30">
        <v>0.16</v>
      </c>
      <c r="E6340" s="30">
        <v>60</v>
      </c>
      <c r="F6340" s="30">
        <f>E6340*D6340</f>
        <v>9.6</v>
      </c>
      <c r="G6340" s="30" t="s">
        <v>9</v>
      </c>
      <c r="J6340" s="30" t="s">
        <v>391</v>
      </c>
    </row>
    <row r="6341" spans="1:12" x14ac:dyDescent="0.25">
      <c r="A6341" s="78">
        <v>46267</v>
      </c>
      <c r="B6341" s="68">
        <v>2</v>
      </c>
      <c r="C6341" s="19" t="s">
        <v>1392</v>
      </c>
      <c r="D6341" s="30">
        <v>1</v>
      </c>
      <c r="E6341" s="30">
        <v>10</v>
      </c>
      <c r="F6341" s="30">
        <f t="shared" ref="F6341:F6364" si="206">E6341*D6341</f>
        <v>10</v>
      </c>
      <c r="G6341" s="30" t="s">
        <v>10</v>
      </c>
      <c r="J6341" s="30" t="s">
        <v>391</v>
      </c>
    </row>
    <row r="6342" spans="1:12" x14ac:dyDescent="0.25">
      <c r="A6342" s="78">
        <v>46267</v>
      </c>
      <c r="B6342" s="68">
        <v>2</v>
      </c>
      <c r="C6342" s="205" t="s">
        <v>886</v>
      </c>
      <c r="D6342" s="30">
        <v>1</v>
      </c>
      <c r="E6342" s="30">
        <v>10</v>
      </c>
      <c r="F6342" s="30">
        <f t="shared" si="206"/>
        <v>10</v>
      </c>
      <c r="G6342" s="30" t="s">
        <v>10</v>
      </c>
      <c r="J6342" s="30" t="s">
        <v>391</v>
      </c>
    </row>
    <row r="6343" spans="1:12" x14ac:dyDescent="0.25">
      <c r="A6343" s="78">
        <v>46267</v>
      </c>
      <c r="B6343" s="68">
        <v>3</v>
      </c>
      <c r="C6343" s="205" t="s">
        <v>720</v>
      </c>
      <c r="D6343" s="30">
        <v>0.3</v>
      </c>
      <c r="E6343" s="30">
        <v>135</v>
      </c>
      <c r="F6343" s="30">
        <f t="shared" si="206"/>
        <v>40.5</v>
      </c>
      <c r="G6343" s="30" t="s">
        <v>9</v>
      </c>
      <c r="J6343" s="30" t="s">
        <v>391</v>
      </c>
    </row>
    <row r="6344" spans="1:12" x14ac:dyDescent="0.25">
      <c r="A6344" s="78">
        <v>46267</v>
      </c>
      <c r="B6344" s="68">
        <v>3</v>
      </c>
      <c r="C6344" s="33" t="s">
        <v>1429</v>
      </c>
      <c r="D6344" s="30">
        <v>2</v>
      </c>
      <c r="E6344" s="30">
        <v>5</v>
      </c>
      <c r="F6344" s="30">
        <f t="shared" si="206"/>
        <v>10</v>
      </c>
      <c r="G6344" s="30" t="s">
        <v>9</v>
      </c>
      <c r="J6344" s="30" t="s">
        <v>391</v>
      </c>
    </row>
    <row r="6345" spans="1:12" x14ac:dyDescent="0.25">
      <c r="A6345" s="78">
        <v>46267</v>
      </c>
      <c r="B6345" s="68">
        <v>4</v>
      </c>
      <c r="C6345" s="205" t="s">
        <v>523</v>
      </c>
      <c r="D6345" s="30">
        <v>0.5</v>
      </c>
      <c r="E6345" s="30">
        <v>280</v>
      </c>
      <c r="F6345" s="30">
        <f t="shared" si="206"/>
        <v>140</v>
      </c>
      <c r="G6345" s="30" t="s">
        <v>16</v>
      </c>
      <c r="I6345" s="68" t="s">
        <v>1200</v>
      </c>
      <c r="J6345" s="30" t="s">
        <v>391</v>
      </c>
    </row>
    <row r="6346" spans="1:12" x14ac:dyDescent="0.25">
      <c r="A6346" s="78">
        <v>46267</v>
      </c>
      <c r="B6346" s="68">
        <v>4</v>
      </c>
      <c r="C6346" s="205" t="s">
        <v>1116</v>
      </c>
      <c r="D6346" s="30">
        <v>1</v>
      </c>
      <c r="E6346" s="30">
        <v>10</v>
      </c>
      <c r="F6346" s="30">
        <f t="shared" si="206"/>
        <v>10</v>
      </c>
      <c r="G6346" s="30" t="s">
        <v>16</v>
      </c>
      <c r="I6346" s="68" t="s">
        <v>1200</v>
      </c>
      <c r="J6346" s="30" t="s">
        <v>391</v>
      </c>
    </row>
    <row r="6347" spans="1:12" ht="30" x14ac:dyDescent="0.25">
      <c r="A6347" s="78">
        <v>46267</v>
      </c>
      <c r="B6347" s="68">
        <v>4</v>
      </c>
      <c r="C6347" s="205" t="s">
        <v>1281</v>
      </c>
      <c r="D6347" s="30">
        <v>1</v>
      </c>
      <c r="E6347" s="30">
        <v>57</v>
      </c>
      <c r="F6347" s="30">
        <f t="shared" si="206"/>
        <v>57</v>
      </c>
      <c r="G6347" s="30" t="s">
        <v>16</v>
      </c>
      <c r="I6347" s="68" t="s">
        <v>1200</v>
      </c>
      <c r="J6347" s="30" t="s">
        <v>391</v>
      </c>
    </row>
    <row r="6348" spans="1:12" x14ac:dyDescent="0.25">
      <c r="A6348" s="78">
        <v>46267</v>
      </c>
      <c r="B6348" s="68">
        <v>5</v>
      </c>
      <c r="C6348" s="205" t="s">
        <v>1261</v>
      </c>
      <c r="D6348" s="30">
        <v>1</v>
      </c>
      <c r="E6348" s="30">
        <v>10</v>
      </c>
      <c r="F6348" s="30">
        <f t="shared" si="206"/>
        <v>10</v>
      </c>
      <c r="G6348" s="30" t="s">
        <v>9</v>
      </c>
      <c r="J6348" s="30" t="s">
        <v>391</v>
      </c>
    </row>
    <row r="6349" spans="1:12" x14ac:dyDescent="0.25">
      <c r="A6349" s="78">
        <v>46267</v>
      </c>
      <c r="B6349" s="68">
        <v>6</v>
      </c>
      <c r="C6349" s="204" t="s">
        <v>1396</v>
      </c>
      <c r="D6349" s="30">
        <v>3</v>
      </c>
      <c r="E6349" s="30">
        <v>10</v>
      </c>
      <c r="F6349" s="30">
        <f t="shared" si="206"/>
        <v>30</v>
      </c>
      <c r="G6349" s="30" t="s">
        <v>9</v>
      </c>
      <c r="J6349" s="30" t="s">
        <v>391</v>
      </c>
    </row>
    <row r="6350" spans="1:12" x14ac:dyDescent="0.25">
      <c r="A6350" s="78">
        <v>46267</v>
      </c>
      <c r="B6350" s="68">
        <v>6</v>
      </c>
      <c r="C6350" s="19" t="s">
        <v>1377</v>
      </c>
      <c r="D6350" s="30">
        <v>1</v>
      </c>
      <c r="E6350" s="30">
        <v>10</v>
      </c>
      <c r="F6350" s="30">
        <f t="shared" si="206"/>
        <v>10</v>
      </c>
      <c r="G6350" s="30" t="s">
        <v>9</v>
      </c>
      <c r="J6350" s="30" t="s">
        <v>391</v>
      </c>
    </row>
    <row r="6351" spans="1:12" x14ac:dyDescent="0.25">
      <c r="A6351" s="78">
        <v>46267</v>
      </c>
      <c r="B6351" s="68">
        <v>7</v>
      </c>
      <c r="C6351" s="19" t="s">
        <v>1326</v>
      </c>
      <c r="D6351" s="30">
        <v>8</v>
      </c>
      <c r="E6351" s="30">
        <v>8.8000000000000007</v>
      </c>
      <c r="F6351" s="30">
        <f t="shared" si="206"/>
        <v>70.400000000000006</v>
      </c>
      <c r="G6351" s="30" t="s">
        <v>9</v>
      </c>
      <c r="J6351" s="30" t="s">
        <v>391</v>
      </c>
    </row>
    <row r="6352" spans="1:12" x14ac:dyDescent="0.25">
      <c r="A6352" s="78">
        <v>46267</v>
      </c>
      <c r="B6352" s="68">
        <v>7</v>
      </c>
      <c r="C6352" s="204" t="s">
        <v>1396</v>
      </c>
      <c r="D6352" s="30">
        <v>2</v>
      </c>
      <c r="E6352" s="30">
        <v>10</v>
      </c>
      <c r="F6352" s="30">
        <f t="shared" si="206"/>
        <v>20</v>
      </c>
      <c r="G6352" s="30" t="s">
        <v>9</v>
      </c>
      <c r="J6352" s="30" t="s">
        <v>391</v>
      </c>
    </row>
    <row r="6353" spans="1:10" x14ac:dyDescent="0.25">
      <c r="A6353" s="78">
        <v>46267</v>
      </c>
      <c r="B6353" s="68">
        <v>8</v>
      </c>
      <c r="C6353" s="19" t="s">
        <v>1395</v>
      </c>
      <c r="D6353" s="30">
        <v>1</v>
      </c>
      <c r="E6353" s="30">
        <v>30</v>
      </c>
      <c r="F6353" s="30">
        <f t="shared" si="206"/>
        <v>30</v>
      </c>
      <c r="G6353" s="30" t="s">
        <v>9</v>
      </c>
      <c r="J6353" s="30" t="s">
        <v>391</v>
      </c>
    </row>
    <row r="6354" spans="1:10" x14ac:dyDescent="0.25">
      <c r="A6354" s="78">
        <v>46267</v>
      </c>
      <c r="B6354" s="68">
        <v>8</v>
      </c>
      <c r="C6354" s="205" t="s">
        <v>764</v>
      </c>
      <c r="D6354" s="30">
        <v>2</v>
      </c>
      <c r="E6354" s="30">
        <v>5</v>
      </c>
      <c r="F6354" s="30">
        <f t="shared" si="206"/>
        <v>10</v>
      </c>
      <c r="G6354" s="30" t="s">
        <v>9</v>
      </c>
      <c r="J6354" s="30" t="s">
        <v>391</v>
      </c>
    </row>
    <row r="6355" spans="1:10" x14ac:dyDescent="0.25">
      <c r="A6355" s="78">
        <v>46267</v>
      </c>
      <c r="B6355" s="68">
        <v>8</v>
      </c>
      <c r="C6355" s="205" t="s">
        <v>1107</v>
      </c>
      <c r="D6355" s="30">
        <v>1</v>
      </c>
      <c r="E6355" s="30">
        <v>10</v>
      </c>
      <c r="F6355" s="30">
        <f t="shared" si="206"/>
        <v>10</v>
      </c>
      <c r="G6355" s="30" t="s">
        <v>9</v>
      </c>
      <c r="J6355" s="30" t="s">
        <v>391</v>
      </c>
    </row>
    <row r="6356" spans="1:10" x14ac:dyDescent="0.25">
      <c r="A6356" s="78">
        <v>46267</v>
      </c>
      <c r="B6356" s="68">
        <v>9</v>
      </c>
      <c r="C6356" s="205" t="s">
        <v>381</v>
      </c>
      <c r="D6356" s="30">
        <v>1</v>
      </c>
      <c r="E6356" s="30">
        <v>20</v>
      </c>
      <c r="F6356" s="30">
        <f t="shared" si="206"/>
        <v>20</v>
      </c>
      <c r="G6356" s="30" t="s">
        <v>9</v>
      </c>
      <c r="J6356" s="30" t="s">
        <v>391</v>
      </c>
    </row>
    <row r="6357" spans="1:10" ht="30" x14ac:dyDescent="0.25">
      <c r="A6357" s="78">
        <v>46267</v>
      </c>
      <c r="B6357" s="68">
        <v>10</v>
      </c>
      <c r="C6357" s="204" t="s">
        <v>361</v>
      </c>
      <c r="D6357" s="30">
        <v>1</v>
      </c>
      <c r="E6357" s="30">
        <v>10</v>
      </c>
      <c r="F6357" s="30">
        <f t="shared" si="206"/>
        <v>10</v>
      </c>
      <c r="G6357" s="30" t="s">
        <v>9</v>
      </c>
      <c r="J6357" s="30" t="s">
        <v>391</v>
      </c>
    </row>
    <row r="6358" spans="1:10" x14ac:dyDescent="0.25">
      <c r="A6358" s="78">
        <v>46267</v>
      </c>
      <c r="B6358" s="68">
        <v>10</v>
      </c>
      <c r="C6358" s="205" t="s">
        <v>1257</v>
      </c>
      <c r="D6358" s="30">
        <v>1</v>
      </c>
      <c r="E6358" s="30">
        <v>50</v>
      </c>
      <c r="F6358" s="30">
        <f t="shared" si="206"/>
        <v>50</v>
      </c>
      <c r="G6358" s="30" t="s">
        <v>9</v>
      </c>
      <c r="J6358" s="30" t="s">
        <v>391</v>
      </c>
    </row>
    <row r="6359" spans="1:10" x14ac:dyDescent="0.25">
      <c r="A6359" s="78">
        <v>46267</v>
      </c>
      <c r="B6359" s="68">
        <v>10</v>
      </c>
      <c r="C6359" s="19" t="s">
        <v>1380</v>
      </c>
      <c r="D6359" s="30">
        <v>1</v>
      </c>
      <c r="E6359" s="30">
        <v>10</v>
      </c>
      <c r="F6359" s="30">
        <f t="shared" si="206"/>
        <v>10</v>
      </c>
      <c r="G6359" s="30" t="s">
        <v>9</v>
      </c>
      <c r="J6359" s="30" t="s">
        <v>391</v>
      </c>
    </row>
    <row r="6360" spans="1:10" x14ac:dyDescent="0.25">
      <c r="A6360" s="78">
        <v>46267</v>
      </c>
      <c r="B6360" s="68">
        <v>11</v>
      </c>
      <c r="C6360" s="204" t="s">
        <v>1396</v>
      </c>
      <c r="D6360" s="30">
        <v>2</v>
      </c>
      <c r="E6360" s="30">
        <v>10</v>
      </c>
      <c r="F6360" s="30">
        <f t="shared" si="206"/>
        <v>20</v>
      </c>
      <c r="G6360" s="30" t="s">
        <v>10</v>
      </c>
      <c r="J6360" s="30" t="s">
        <v>391</v>
      </c>
    </row>
    <row r="6361" spans="1:10" x14ac:dyDescent="0.25">
      <c r="A6361" s="78">
        <v>46267</v>
      </c>
      <c r="B6361" s="68">
        <v>11</v>
      </c>
      <c r="C6361" s="19" t="s">
        <v>1381</v>
      </c>
      <c r="D6361" s="30">
        <v>1</v>
      </c>
      <c r="E6361" s="30">
        <v>20</v>
      </c>
      <c r="F6361" s="30">
        <f t="shared" si="206"/>
        <v>20</v>
      </c>
      <c r="G6361" s="30" t="s">
        <v>10</v>
      </c>
      <c r="J6361" s="30" t="s">
        <v>391</v>
      </c>
    </row>
    <row r="6362" spans="1:10" x14ac:dyDescent="0.25">
      <c r="A6362" s="78">
        <v>46267</v>
      </c>
      <c r="B6362" s="68">
        <v>12</v>
      </c>
      <c r="C6362" s="19" t="s">
        <v>1387</v>
      </c>
      <c r="D6362" s="30">
        <v>2</v>
      </c>
      <c r="E6362" s="30">
        <v>10</v>
      </c>
      <c r="F6362" s="30">
        <f t="shared" si="206"/>
        <v>20</v>
      </c>
      <c r="G6362" s="30" t="s">
        <v>9</v>
      </c>
      <c r="J6362" s="30" t="s">
        <v>391</v>
      </c>
    </row>
    <row r="6363" spans="1:10" x14ac:dyDescent="0.25">
      <c r="A6363" s="78">
        <v>46267</v>
      </c>
      <c r="B6363" s="68">
        <v>13</v>
      </c>
      <c r="C6363" s="19" t="s">
        <v>1347</v>
      </c>
      <c r="D6363" s="30">
        <v>1</v>
      </c>
      <c r="E6363" s="30">
        <v>52</v>
      </c>
      <c r="F6363" s="30">
        <f t="shared" si="206"/>
        <v>52</v>
      </c>
      <c r="G6363" s="30" t="s">
        <v>9</v>
      </c>
      <c r="J6363" s="30" t="s">
        <v>391</v>
      </c>
    </row>
    <row r="6364" spans="1:10" x14ac:dyDescent="0.25">
      <c r="A6364" s="78">
        <v>46267</v>
      </c>
      <c r="B6364" s="68">
        <v>14</v>
      </c>
      <c r="C6364" s="205" t="s">
        <v>578</v>
      </c>
      <c r="D6364" s="30">
        <v>2</v>
      </c>
      <c r="E6364" s="30">
        <v>5</v>
      </c>
      <c r="F6364" s="30">
        <f t="shared" si="206"/>
        <v>10</v>
      </c>
      <c r="G6364" s="30" t="s">
        <v>9</v>
      </c>
      <c r="J6364" s="30" t="s">
        <v>391</v>
      </c>
    </row>
    <row r="6365" spans="1:10" s="199" customFormat="1" ht="31.5" x14ac:dyDescent="0.25">
      <c r="A6365" s="196">
        <v>46267</v>
      </c>
      <c r="B6365" s="197" t="s">
        <v>1245</v>
      </c>
      <c r="C6365" s="198">
        <f>MAX(B6340:B6365)</f>
        <v>14</v>
      </c>
      <c r="D6365" s="197" t="s">
        <v>1246</v>
      </c>
      <c r="E6365" s="199">
        <f>SUMIF(G6340:G6345,"UPI",F6340:F6345)</f>
        <v>20</v>
      </c>
      <c r="H6365" s="200" t="s">
        <v>1247</v>
      </c>
      <c r="I6365" s="200">
        <f>SUMIF(G6340:G6364, "&lt;&gt;UPI",F6340:F6364)</f>
        <v>629.5</v>
      </c>
    </row>
    <row r="6366" spans="1:10" x14ac:dyDescent="0.25">
      <c r="A6366" s="78">
        <v>46267</v>
      </c>
      <c r="B6366" s="68">
        <v>15</v>
      </c>
      <c r="C6366" s="205" t="s">
        <v>1181</v>
      </c>
      <c r="D6366" s="30">
        <v>0.09</v>
      </c>
      <c r="E6366" s="30">
        <v>110</v>
      </c>
      <c r="F6366" s="30">
        <f t="shared" ref="F6366:F6373" si="207">E6366*D6366</f>
        <v>9.9</v>
      </c>
      <c r="G6366" s="30" t="s">
        <v>9</v>
      </c>
      <c r="J6366" s="30" t="s">
        <v>392</v>
      </c>
    </row>
    <row r="6367" spans="1:10" ht="30" x14ac:dyDescent="0.25">
      <c r="A6367" s="78">
        <v>46267</v>
      </c>
      <c r="B6367" s="68">
        <v>16</v>
      </c>
      <c r="C6367" s="19" t="s">
        <v>1388</v>
      </c>
      <c r="D6367" s="30">
        <v>1</v>
      </c>
      <c r="E6367" s="30">
        <v>130</v>
      </c>
      <c r="F6367" s="30">
        <f t="shared" si="207"/>
        <v>130</v>
      </c>
      <c r="G6367" s="30" t="s">
        <v>9</v>
      </c>
      <c r="J6367" s="30" t="s">
        <v>392</v>
      </c>
    </row>
    <row r="6368" spans="1:10" x14ac:dyDescent="0.25">
      <c r="A6368" s="78">
        <v>46267</v>
      </c>
      <c r="B6368" s="68">
        <v>16</v>
      </c>
      <c r="C6368" s="205" t="s">
        <v>816</v>
      </c>
      <c r="D6368" s="30">
        <v>12</v>
      </c>
      <c r="E6368" s="30">
        <v>10.9</v>
      </c>
      <c r="F6368" s="30">
        <f t="shared" si="207"/>
        <v>130.80000000000001</v>
      </c>
      <c r="G6368" s="30" t="s">
        <v>9</v>
      </c>
      <c r="J6368" s="30" t="s">
        <v>392</v>
      </c>
    </row>
    <row r="6369" spans="1:12" x14ac:dyDescent="0.25">
      <c r="A6369" s="78">
        <v>46267</v>
      </c>
      <c r="B6369" s="68">
        <v>16</v>
      </c>
      <c r="C6369" s="205" t="s">
        <v>908</v>
      </c>
      <c r="D6369" s="30">
        <v>1</v>
      </c>
      <c r="E6369" s="30">
        <v>55</v>
      </c>
      <c r="F6369" s="30">
        <f t="shared" si="207"/>
        <v>55</v>
      </c>
      <c r="G6369" s="30" t="s">
        <v>9</v>
      </c>
      <c r="J6369" s="30" t="s">
        <v>392</v>
      </c>
    </row>
    <row r="6370" spans="1:12" ht="30" x14ac:dyDescent="0.25">
      <c r="A6370" s="78">
        <v>46267</v>
      </c>
      <c r="B6370" s="68">
        <v>17</v>
      </c>
      <c r="C6370" s="19" t="s">
        <v>1394</v>
      </c>
      <c r="D6370" s="30">
        <v>2</v>
      </c>
      <c r="E6370" s="30">
        <v>10</v>
      </c>
      <c r="F6370" s="30">
        <f t="shared" si="207"/>
        <v>20</v>
      </c>
      <c r="G6370" s="30" t="s">
        <v>9</v>
      </c>
      <c r="J6370" s="30" t="s">
        <v>392</v>
      </c>
    </row>
    <row r="6371" spans="1:12" x14ac:dyDescent="0.25">
      <c r="A6371" s="78">
        <v>46267</v>
      </c>
      <c r="B6371" s="68">
        <v>18</v>
      </c>
      <c r="C6371" s="205" t="s">
        <v>639</v>
      </c>
      <c r="D6371" s="30">
        <v>5</v>
      </c>
      <c r="E6371" s="30">
        <v>2</v>
      </c>
      <c r="F6371" s="30">
        <f t="shared" si="207"/>
        <v>10</v>
      </c>
      <c r="G6371" s="30" t="s">
        <v>9</v>
      </c>
      <c r="J6371" s="30" t="s">
        <v>392</v>
      </c>
    </row>
    <row r="6372" spans="1:12" x14ac:dyDescent="0.25">
      <c r="A6372" s="78">
        <v>46267</v>
      </c>
      <c r="B6372" s="68">
        <v>19</v>
      </c>
      <c r="C6372" s="204" t="s">
        <v>1396</v>
      </c>
      <c r="D6372" s="30">
        <v>2</v>
      </c>
      <c r="E6372" s="30">
        <v>10</v>
      </c>
      <c r="F6372" s="30">
        <f t="shared" si="207"/>
        <v>20</v>
      </c>
      <c r="G6372" s="30" t="s">
        <v>9</v>
      </c>
      <c r="J6372" s="30" t="s">
        <v>392</v>
      </c>
    </row>
    <row r="6373" spans="1:12" x14ac:dyDescent="0.25">
      <c r="A6373" s="78">
        <v>46267</v>
      </c>
      <c r="B6373" s="68">
        <v>19</v>
      </c>
      <c r="C6373" s="204" t="s">
        <v>1396</v>
      </c>
      <c r="D6373" s="30">
        <v>1</v>
      </c>
      <c r="E6373" s="30">
        <v>10</v>
      </c>
      <c r="F6373" s="30">
        <f t="shared" si="207"/>
        <v>10</v>
      </c>
      <c r="G6373" s="30" t="s">
        <v>9</v>
      </c>
      <c r="J6373" s="30" t="s">
        <v>392</v>
      </c>
    </row>
    <row r="6374" spans="1:12" s="199" customFormat="1" ht="31.5" x14ac:dyDescent="0.25">
      <c r="A6374" s="196">
        <v>46267</v>
      </c>
      <c r="B6374" s="197" t="s">
        <v>1248</v>
      </c>
      <c r="C6374" s="198">
        <f>MAX(B6366:B6374)</f>
        <v>19</v>
      </c>
      <c r="D6374" s="197" t="s">
        <v>1249</v>
      </c>
      <c r="E6374" s="199">
        <f>SUMIF(G6366:G6374,"UPI",F6366:F6374)</f>
        <v>0</v>
      </c>
      <c r="H6374" s="200" t="s">
        <v>1251</v>
      </c>
      <c r="I6374" s="200">
        <f>SUMIF(G6366:G6374, "&lt;&gt;UPI",F6366:F6374)</f>
        <v>385.70000000000005</v>
      </c>
    </row>
    <row r="6375" spans="1:12" s="5" customFormat="1" ht="15.75" x14ac:dyDescent="0.25">
      <c r="A6375" s="201">
        <v>46267</v>
      </c>
      <c r="B6375" s="2"/>
      <c r="C6375" s="14"/>
      <c r="H6375" s="2" t="s">
        <v>1250</v>
      </c>
      <c r="I6375" s="2">
        <f>SUMIF(G6340:G6374, "&lt;&gt;UPI",F6340:F6374)</f>
        <v>1015.2</v>
      </c>
    </row>
    <row r="6376" spans="1:12" s="202" customFormat="1" ht="18.75" customHeight="1" x14ac:dyDescent="0.3">
      <c r="A6376" s="146">
        <v>46267</v>
      </c>
      <c r="B6376" s="147" t="s">
        <v>987</v>
      </c>
      <c r="C6376" s="148">
        <f>MAX(B6340:B6375)</f>
        <v>19</v>
      </c>
      <c r="D6376" s="147" t="s">
        <v>988</v>
      </c>
      <c r="E6376" s="202">
        <f>SUMIF(G6340:G6374,"UPI",F6340:F6374)</f>
        <v>60</v>
      </c>
      <c r="F6376" s="227" t="s">
        <v>437</v>
      </c>
      <c r="G6376" s="228"/>
      <c r="H6376" s="229"/>
      <c r="I6376" s="227">
        <f>SUM(F6340:F6375)</f>
        <v>1075.2</v>
      </c>
      <c r="J6376" s="228"/>
      <c r="K6376" s="228"/>
      <c r="L6376" s="229"/>
    </row>
    <row r="6377" spans="1:12" x14ac:dyDescent="0.25">
      <c r="A6377" s="78">
        <v>46268</v>
      </c>
      <c r="B6377" s="68">
        <v>1</v>
      </c>
      <c r="C6377" s="205" t="s">
        <v>1171</v>
      </c>
      <c r="D6377" s="30">
        <v>1</v>
      </c>
      <c r="E6377" s="30">
        <v>60</v>
      </c>
      <c r="F6377" s="30">
        <f>E6377*D6377</f>
        <v>60</v>
      </c>
      <c r="G6377" s="30" t="s">
        <v>9</v>
      </c>
      <c r="J6377" s="30" t="s">
        <v>392</v>
      </c>
    </row>
    <row r="6378" spans="1:12" x14ac:dyDescent="0.25">
      <c r="A6378" s="78">
        <v>46268</v>
      </c>
      <c r="B6378" s="68">
        <v>2</v>
      </c>
      <c r="C6378" s="205" t="s">
        <v>948</v>
      </c>
      <c r="D6378" s="30">
        <v>2</v>
      </c>
      <c r="E6378" s="30">
        <v>210</v>
      </c>
      <c r="F6378" s="30">
        <f t="shared" ref="F6378:F6409" si="208">E6378*D6378</f>
        <v>420</v>
      </c>
      <c r="G6378" s="30" t="s">
        <v>9</v>
      </c>
      <c r="J6378" s="30" t="s">
        <v>392</v>
      </c>
    </row>
    <row r="6379" spans="1:12" ht="30" x14ac:dyDescent="0.25">
      <c r="A6379" s="78">
        <v>46268</v>
      </c>
      <c r="B6379" s="68">
        <v>2</v>
      </c>
      <c r="C6379" s="19" t="s">
        <v>1420</v>
      </c>
      <c r="D6379" s="30">
        <v>2</v>
      </c>
      <c r="E6379" s="30">
        <v>160</v>
      </c>
      <c r="F6379" s="30">
        <f t="shared" si="208"/>
        <v>320</v>
      </c>
      <c r="G6379" s="30" t="s">
        <v>9</v>
      </c>
      <c r="J6379" s="30" t="s">
        <v>392</v>
      </c>
    </row>
    <row r="6380" spans="1:12" x14ac:dyDescent="0.25">
      <c r="A6380" s="78">
        <v>46268</v>
      </c>
      <c r="B6380" s="68">
        <v>2</v>
      </c>
      <c r="C6380" s="19" t="s">
        <v>1422</v>
      </c>
      <c r="D6380" s="30">
        <v>2</v>
      </c>
      <c r="E6380" s="30">
        <v>160</v>
      </c>
      <c r="F6380" s="30">
        <f t="shared" si="208"/>
        <v>320</v>
      </c>
      <c r="G6380" s="30" t="s">
        <v>9</v>
      </c>
      <c r="J6380" s="30" t="s">
        <v>392</v>
      </c>
    </row>
    <row r="6381" spans="1:12" x14ac:dyDescent="0.25">
      <c r="A6381" s="78">
        <v>46268</v>
      </c>
      <c r="B6381" s="68">
        <v>2</v>
      </c>
      <c r="C6381" s="33" t="s">
        <v>1433</v>
      </c>
      <c r="F6381" s="30">
        <f t="shared" si="208"/>
        <v>0</v>
      </c>
      <c r="G6381" s="30" t="s">
        <v>9</v>
      </c>
      <c r="J6381" s="30" t="s">
        <v>392</v>
      </c>
    </row>
    <row r="6382" spans="1:12" x14ac:dyDescent="0.25">
      <c r="A6382" s="78">
        <v>46268</v>
      </c>
      <c r="B6382" s="68">
        <v>2</v>
      </c>
      <c r="C6382" s="19" t="s">
        <v>1426</v>
      </c>
      <c r="D6382" s="30">
        <v>2</v>
      </c>
      <c r="E6382" s="30">
        <v>75</v>
      </c>
      <c r="F6382" s="30">
        <f t="shared" si="208"/>
        <v>150</v>
      </c>
      <c r="G6382" s="30" t="s">
        <v>9</v>
      </c>
      <c r="J6382" s="30" t="s">
        <v>392</v>
      </c>
    </row>
    <row r="6383" spans="1:12" x14ac:dyDescent="0.25">
      <c r="A6383" s="78">
        <v>46268</v>
      </c>
      <c r="B6383" s="68">
        <v>2</v>
      </c>
      <c r="C6383" s="205" t="s">
        <v>523</v>
      </c>
      <c r="D6383" s="30">
        <v>1</v>
      </c>
      <c r="E6383" s="30">
        <v>280</v>
      </c>
      <c r="F6383" s="30">
        <f t="shared" si="208"/>
        <v>280</v>
      </c>
      <c r="G6383" s="30" t="s">
        <v>9</v>
      </c>
      <c r="J6383" s="30" t="s">
        <v>392</v>
      </c>
    </row>
    <row r="6384" spans="1:12" x14ac:dyDescent="0.25">
      <c r="A6384" s="78">
        <v>46268</v>
      </c>
      <c r="B6384" s="68">
        <v>2</v>
      </c>
      <c r="C6384" s="19" t="s">
        <v>1427</v>
      </c>
      <c r="D6384" s="30">
        <v>1</v>
      </c>
      <c r="E6384" s="30">
        <v>30</v>
      </c>
      <c r="F6384" s="30">
        <f t="shared" si="208"/>
        <v>30</v>
      </c>
      <c r="G6384" s="30" t="s">
        <v>9</v>
      </c>
      <c r="J6384" s="30" t="s">
        <v>392</v>
      </c>
    </row>
    <row r="6385" spans="1:10" x14ac:dyDescent="0.25">
      <c r="A6385" s="78">
        <v>46268</v>
      </c>
      <c r="B6385" s="68">
        <v>2</v>
      </c>
      <c r="C6385" s="205" t="s">
        <v>723</v>
      </c>
      <c r="D6385" s="30">
        <v>0.05</v>
      </c>
      <c r="E6385" s="30">
        <v>300</v>
      </c>
      <c r="F6385" s="30">
        <f t="shared" si="208"/>
        <v>15</v>
      </c>
      <c r="G6385" s="30" t="s">
        <v>9</v>
      </c>
      <c r="J6385" s="30" t="s">
        <v>392</v>
      </c>
    </row>
    <row r="6386" spans="1:10" x14ac:dyDescent="0.25">
      <c r="A6386" s="78">
        <v>46268</v>
      </c>
      <c r="B6386" s="68">
        <v>2</v>
      </c>
      <c r="C6386" s="33" t="s">
        <v>1434</v>
      </c>
      <c r="F6386" s="30">
        <f t="shared" si="208"/>
        <v>0</v>
      </c>
      <c r="G6386" s="30" t="s">
        <v>9</v>
      </c>
      <c r="J6386" s="30" t="s">
        <v>392</v>
      </c>
    </row>
    <row r="6387" spans="1:10" x14ac:dyDescent="0.25">
      <c r="A6387" s="78">
        <v>46268</v>
      </c>
      <c r="B6387" s="68">
        <v>2</v>
      </c>
      <c r="C6387" s="33" t="s">
        <v>1435</v>
      </c>
      <c r="F6387" s="30">
        <f t="shared" si="208"/>
        <v>0</v>
      </c>
      <c r="G6387" s="30" t="s">
        <v>9</v>
      </c>
      <c r="J6387" s="30" t="s">
        <v>392</v>
      </c>
    </row>
    <row r="6388" spans="1:10" x14ac:dyDescent="0.25">
      <c r="A6388" s="78">
        <v>46268</v>
      </c>
      <c r="B6388" s="68">
        <v>2</v>
      </c>
      <c r="C6388" s="205" t="s">
        <v>918</v>
      </c>
      <c r="D6388" s="30">
        <v>1</v>
      </c>
      <c r="E6388" s="30">
        <v>50</v>
      </c>
      <c r="F6388" s="30">
        <f t="shared" si="208"/>
        <v>50</v>
      </c>
      <c r="G6388" s="30" t="s">
        <v>9</v>
      </c>
      <c r="J6388" s="30" t="s">
        <v>392</v>
      </c>
    </row>
    <row r="6389" spans="1:10" x14ac:dyDescent="0.25">
      <c r="A6389" s="78">
        <v>46268</v>
      </c>
      <c r="B6389" s="68">
        <v>2</v>
      </c>
      <c r="C6389" s="33" t="s">
        <v>515</v>
      </c>
      <c r="F6389" s="30">
        <f t="shared" si="208"/>
        <v>0</v>
      </c>
      <c r="G6389" s="30" t="s">
        <v>9</v>
      </c>
      <c r="J6389" s="30" t="s">
        <v>392</v>
      </c>
    </row>
    <row r="6390" spans="1:10" x14ac:dyDescent="0.25">
      <c r="A6390" s="78">
        <v>46268</v>
      </c>
      <c r="B6390" s="68">
        <v>2</v>
      </c>
      <c r="C6390" s="205" t="s">
        <v>615</v>
      </c>
      <c r="D6390" s="30">
        <v>3</v>
      </c>
      <c r="E6390" s="30">
        <v>50</v>
      </c>
      <c r="F6390" s="30">
        <f t="shared" si="208"/>
        <v>150</v>
      </c>
      <c r="G6390" s="30" t="s">
        <v>9</v>
      </c>
      <c r="J6390" s="30" t="s">
        <v>392</v>
      </c>
    </row>
    <row r="6391" spans="1:10" x14ac:dyDescent="0.25">
      <c r="A6391" s="78">
        <v>46268</v>
      </c>
      <c r="B6391" s="68">
        <v>2</v>
      </c>
      <c r="C6391" s="33" t="s">
        <v>1436</v>
      </c>
      <c r="D6391" s="30">
        <v>1</v>
      </c>
      <c r="E6391" s="30">
        <v>48</v>
      </c>
      <c r="F6391" s="30">
        <f t="shared" si="208"/>
        <v>48</v>
      </c>
      <c r="G6391" s="30" t="s">
        <v>9</v>
      </c>
      <c r="J6391" s="30" t="s">
        <v>392</v>
      </c>
    </row>
    <row r="6392" spans="1:10" x14ac:dyDescent="0.25">
      <c r="A6392" s="78">
        <v>46268</v>
      </c>
      <c r="B6392" s="68">
        <v>2</v>
      </c>
      <c r="F6392" s="30">
        <f t="shared" si="208"/>
        <v>0</v>
      </c>
      <c r="G6392" s="30" t="s">
        <v>9</v>
      </c>
      <c r="J6392" s="30" t="s">
        <v>392</v>
      </c>
    </row>
    <row r="6393" spans="1:10" ht="30" x14ac:dyDescent="0.25">
      <c r="A6393" s="78">
        <v>46268</v>
      </c>
      <c r="B6393" s="68">
        <v>2</v>
      </c>
      <c r="C6393" s="205" t="s">
        <v>1100</v>
      </c>
      <c r="D6393" s="30">
        <v>1</v>
      </c>
      <c r="E6393" s="30">
        <v>200</v>
      </c>
      <c r="F6393" s="30">
        <f t="shared" si="208"/>
        <v>200</v>
      </c>
      <c r="G6393" s="30" t="s">
        <v>9</v>
      </c>
      <c r="J6393" s="30" t="s">
        <v>392</v>
      </c>
    </row>
    <row r="6394" spans="1:10" x14ac:dyDescent="0.25">
      <c r="A6394" s="78">
        <v>46268</v>
      </c>
      <c r="B6394" s="68">
        <v>2</v>
      </c>
      <c r="C6394" s="205" t="s">
        <v>1243</v>
      </c>
      <c r="D6394" s="30">
        <v>2</v>
      </c>
      <c r="E6394" s="30">
        <v>10</v>
      </c>
      <c r="F6394" s="30">
        <f t="shared" si="208"/>
        <v>20</v>
      </c>
      <c r="G6394" s="30" t="s">
        <v>9</v>
      </c>
      <c r="J6394" s="30" t="s">
        <v>392</v>
      </c>
    </row>
    <row r="6395" spans="1:10" x14ac:dyDescent="0.25">
      <c r="A6395" s="78">
        <v>46268</v>
      </c>
      <c r="B6395" s="68">
        <v>2</v>
      </c>
      <c r="C6395" s="205" t="s">
        <v>1132</v>
      </c>
      <c r="D6395" s="30">
        <v>1</v>
      </c>
      <c r="E6395" s="30">
        <v>60</v>
      </c>
      <c r="F6395" s="30">
        <f t="shared" si="208"/>
        <v>60</v>
      </c>
      <c r="G6395" s="30" t="s">
        <v>9</v>
      </c>
      <c r="J6395" s="30" t="s">
        <v>392</v>
      </c>
    </row>
    <row r="6396" spans="1:10" x14ac:dyDescent="0.25">
      <c r="A6396" s="78">
        <v>46268</v>
      </c>
      <c r="B6396" s="68">
        <v>2</v>
      </c>
      <c r="F6396" s="30">
        <f t="shared" si="208"/>
        <v>0</v>
      </c>
      <c r="G6396" s="30" t="s">
        <v>9</v>
      </c>
      <c r="J6396" s="30" t="s">
        <v>392</v>
      </c>
    </row>
    <row r="6397" spans="1:10" x14ac:dyDescent="0.25">
      <c r="A6397" s="78">
        <v>46268</v>
      </c>
      <c r="B6397" s="68">
        <v>2</v>
      </c>
      <c r="F6397" s="30">
        <f t="shared" si="208"/>
        <v>0</v>
      </c>
      <c r="G6397" s="30" t="s">
        <v>9</v>
      </c>
      <c r="J6397" s="30" t="s">
        <v>392</v>
      </c>
    </row>
    <row r="6398" spans="1:10" x14ac:dyDescent="0.25">
      <c r="A6398" s="78">
        <v>46268</v>
      </c>
      <c r="B6398" s="68">
        <v>3</v>
      </c>
      <c r="C6398" s="205" t="s">
        <v>588</v>
      </c>
      <c r="D6398" s="30">
        <v>0.26</v>
      </c>
      <c r="E6398" s="30">
        <v>190</v>
      </c>
      <c r="F6398" s="30">
        <f t="shared" si="208"/>
        <v>49.4</v>
      </c>
      <c r="G6398" s="30" t="s">
        <v>9</v>
      </c>
      <c r="J6398" s="30" t="s">
        <v>392</v>
      </c>
    </row>
    <row r="6399" spans="1:10" x14ac:dyDescent="0.25">
      <c r="A6399" s="78">
        <v>46268</v>
      </c>
      <c r="B6399" s="68">
        <v>3</v>
      </c>
      <c r="C6399" s="205" t="s">
        <v>1117</v>
      </c>
      <c r="D6399" s="30">
        <v>3.4000000000000002E-2</v>
      </c>
      <c r="E6399" s="30">
        <v>300</v>
      </c>
      <c r="F6399" s="30">
        <f t="shared" si="208"/>
        <v>10.200000000000001</v>
      </c>
      <c r="G6399" s="30" t="s">
        <v>9</v>
      </c>
      <c r="J6399" s="30" t="s">
        <v>392</v>
      </c>
    </row>
    <row r="6400" spans="1:10" x14ac:dyDescent="0.25">
      <c r="A6400" s="78">
        <v>46268</v>
      </c>
      <c r="B6400" s="68">
        <v>3</v>
      </c>
      <c r="C6400" s="205" t="s">
        <v>395</v>
      </c>
      <c r="D6400" s="30">
        <v>1</v>
      </c>
      <c r="E6400" s="30">
        <v>10</v>
      </c>
      <c r="F6400" s="30">
        <f t="shared" si="208"/>
        <v>10</v>
      </c>
      <c r="G6400" s="30" t="s">
        <v>9</v>
      </c>
      <c r="J6400" s="30" t="s">
        <v>392</v>
      </c>
    </row>
    <row r="6401" spans="1:12" ht="30" x14ac:dyDescent="0.25">
      <c r="A6401" s="78">
        <v>46268</v>
      </c>
      <c r="B6401" s="68">
        <v>3</v>
      </c>
      <c r="C6401" s="205" t="s">
        <v>882</v>
      </c>
      <c r="D6401" s="30">
        <v>1</v>
      </c>
      <c r="E6401" s="30">
        <v>20</v>
      </c>
      <c r="F6401" s="30">
        <f t="shared" si="208"/>
        <v>20</v>
      </c>
      <c r="G6401" s="30" t="s">
        <v>9</v>
      </c>
      <c r="J6401" s="30" t="s">
        <v>392</v>
      </c>
    </row>
    <row r="6402" spans="1:12" ht="30" x14ac:dyDescent="0.25">
      <c r="A6402" s="78">
        <v>46268</v>
      </c>
      <c r="B6402" s="68">
        <v>3</v>
      </c>
      <c r="C6402" s="205" t="s">
        <v>883</v>
      </c>
      <c r="D6402" s="30">
        <v>1</v>
      </c>
      <c r="E6402" s="30">
        <v>15</v>
      </c>
      <c r="F6402" s="30">
        <f t="shared" si="208"/>
        <v>15</v>
      </c>
      <c r="G6402" s="30" t="s">
        <v>9</v>
      </c>
      <c r="J6402" s="30" t="s">
        <v>392</v>
      </c>
    </row>
    <row r="6403" spans="1:12" ht="30" x14ac:dyDescent="0.25">
      <c r="A6403" s="78">
        <v>46268</v>
      </c>
      <c r="B6403" s="68">
        <v>3</v>
      </c>
      <c r="C6403" s="205" t="s">
        <v>1195</v>
      </c>
      <c r="D6403" s="30">
        <v>1</v>
      </c>
      <c r="E6403" s="30">
        <v>30</v>
      </c>
      <c r="F6403" s="30">
        <f t="shared" si="208"/>
        <v>30</v>
      </c>
      <c r="G6403" s="30" t="s">
        <v>9</v>
      </c>
      <c r="J6403" s="30" t="s">
        <v>392</v>
      </c>
    </row>
    <row r="6404" spans="1:12" x14ac:dyDescent="0.25">
      <c r="A6404" s="78">
        <v>46268</v>
      </c>
      <c r="B6404" s="68">
        <v>4</v>
      </c>
      <c r="C6404" s="19" t="s">
        <v>1379</v>
      </c>
      <c r="D6404" s="30">
        <v>1</v>
      </c>
      <c r="E6404" s="30">
        <v>40</v>
      </c>
      <c r="F6404" s="30">
        <f t="shared" si="208"/>
        <v>40</v>
      </c>
      <c r="G6404" s="30" t="s">
        <v>9</v>
      </c>
      <c r="J6404" s="30" t="s">
        <v>392</v>
      </c>
    </row>
    <row r="6405" spans="1:12" ht="30" x14ac:dyDescent="0.25">
      <c r="A6405" s="78">
        <v>46268</v>
      </c>
      <c r="B6405" s="68">
        <v>4</v>
      </c>
      <c r="C6405" s="19" t="s">
        <v>1425</v>
      </c>
      <c r="D6405" s="30">
        <v>1</v>
      </c>
      <c r="E6405" s="30">
        <v>120</v>
      </c>
      <c r="F6405" s="30">
        <f t="shared" si="208"/>
        <v>120</v>
      </c>
      <c r="G6405" s="30" t="s">
        <v>9</v>
      </c>
      <c r="J6405" s="30" t="s">
        <v>392</v>
      </c>
    </row>
    <row r="6406" spans="1:12" x14ac:dyDescent="0.25">
      <c r="A6406" s="78">
        <v>46268</v>
      </c>
      <c r="B6406" s="68">
        <v>4</v>
      </c>
      <c r="C6406" s="19" t="s">
        <v>1383</v>
      </c>
      <c r="D6406" s="30">
        <v>2</v>
      </c>
      <c r="E6406" s="30">
        <v>15</v>
      </c>
      <c r="F6406" s="30">
        <f t="shared" si="208"/>
        <v>30</v>
      </c>
      <c r="G6406" s="30" t="s">
        <v>9</v>
      </c>
      <c r="J6406" s="30" t="s">
        <v>392</v>
      </c>
    </row>
    <row r="6407" spans="1:12" x14ac:dyDescent="0.25">
      <c r="A6407" s="78">
        <v>46268</v>
      </c>
      <c r="B6407" s="68">
        <v>4</v>
      </c>
      <c r="C6407" s="19" t="s">
        <v>1326</v>
      </c>
      <c r="D6407" s="30">
        <v>4</v>
      </c>
      <c r="E6407" s="30">
        <v>10</v>
      </c>
      <c r="F6407" s="30">
        <f t="shared" si="208"/>
        <v>40</v>
      </c>
      <c r="G6407" s="30" t="s">
        <v>9</v>
      </c>
      <c r="J6407" s="30" t="s">
        <v>392</v>
      </c>
    </row>
    <row r="6408" spans="1:12" x14ac:dyDescent="0.25">
      <c r="A6408" s="78">
        <v>46268</v>
      </c>
      <c r="B6408" s="68">
        <v>4</v>
      </c>
      <c r="C6408" s="205" t="s">
        <v>1135</v>
      </c>
      <c r="D6408" s="30">
        <v>2</v>
      </c>
      <c r="E6408" s="30">
        <v>10</v>
      </c>
      <c r="F6408" s="30">
        <f t="shared" si="208"/>
        <v>20</v>
      </c>
      <c r="G6408" s="30" t="s">
        <v>9</v>
      </c>
      <c r="J6408" s="30" t="s">
        <v>392</v>
      </c>
    </row>
    <row r="6409" spans="1:12" x14ac:dyDescent="0.25">
      <c r="A6409" s="78">
        <v>46268</v>
      </c>
      <c r="B6409" s="68">
        <v>5</v>
      </c>
      <c r="C6409" s="205" t="s">
        <v>1165</v>
      </c>
      <c r="D6409" s="30">
        <v>10</v>
      </c>
      <c r="E6409" s="30">
        <v>1</v>
      </c>
      <c r="F6409" s="30">
        <f t="shared" si="208"/>
        <v>10</v>
      </c>
      <c r="G6409" s="30" t="s">
        <v>9</v>
      </c>
      <c r="J6409" s="30" t="s">
        <v>392</v>
      </c>
    </row>
    <row r="6410" spans="1:12" s="199" customFormat="1" ht="31.5" x14ac:dyDescent="0.25">
      <c r="A6410" s="196">
        <v>46268</v>
      </c>
      <c r="B6410" s="197" t="s">
        <v>1248</v>
      </c>
      <c r="C6410" s="198">
        <f>MAX(B6377:B6410)</f>
        <v>5</v>
      </c>
      <c r="D6410" s="197" t="s">
        <v>1249</v>
      </c>
      <c r="E6410" s="199">
        <f>SUMIF(G6377:G6410,"UPI",F6377:F6410)</f>
        <v>0</v>
      </c>
      <c r="H6410" s="200" t="s">
        <v>1251</v>
      </c>
      <c r="I6410" s="200">
        <f>SUMIF(G6377:G6410, "&lt;&gt;UPI",F6377:F6410)</f>
        <v>2517.6</v>
      </c>
    </row>
    <row r="6411" spans="1:12" s="5" customFormat="1" ht="15.75" x14ac:dyDescent="0.25">
      <c r="A6411" s="201">
        <v>46268</v>
      </c>
      <c r="B6411" s="2"/>
      <c r="C6411" s="14"/>
      <c r="H6411" s="2" t="s">
        <v>1250</v>
      </c>
      <c r="I6411" s="2">
        <f>SUMIF(G6377:G6410, "&lt;&gt;UPI",F6377:F6410)</f>
        <v>2517.6</v>
      </c>
    </row>
    <row r="6412" spans="1:12" s="202" customFormat="1" ht="18.75" customHeight="1" x14ac:dyDescent="0.3">
      <c r="A6412" s="146">
        <v>46268</v>
      </c>
      <c r="B6412" s="147" t="s">
        <v>987</v>
      </c>
      <c r="C6412" s="148">
        <f>MAX(B6377:B6411)</f>
        <v>5</v>
      </c>
      <c r="D6412" s="147" t="s">
        <v>988</v>
      </c>
      <c r="E6412" s="202">
        <f>SUMIF(G6377:G6410,"UPI",F6377:F6410)</f>
        <v>0</v>
      </c>
      <c r="F6412" s="227" t="s">
        <v>437</v>
      </c>
      <c r="G6412" s="228"/>
      <c r="H6412" s="229"/>
      <c r="I6412" s="227">
        <f>SUM(F6377:F6411)</f>
        <v>2517.6</v>
      </c>
      <c r="J6412" s="228"/>
      <c r="K6412" s="228"/>
      <c r="L6412" s="229"/>
    </row>
    <row r="6413" spans="1:12" x14ac:dyDescent="0.25">
      <c r="A6413" s="78">
        <v>46269</v>
      </c>
      <c r="B6413" s="68">
        <v>1</v>
      </c>
      <c r="C6413" s="205" t="s">
        <v>588</v>
      </c>
      <c r="D6413" s="30">
        <v>0.105</v>
      </c>
      <c r="E6413" s="30">
        <v>190</v>
      </c>
      <c r="F6413" s="30">
        <f>E6413*D6413</f>
        <v>19.95</v>
      </c>
      <c r="G6413" s="30" t="s">
        <v>9</v>
      </c>
      <c r="J6413" s="30" t="s">
        <v>391</v>
      </c>
    </row>
    <row r="6414" spans="1:12" x14ac:dyDescent="0.25">
      <c r="A6414" s="78">
        <v>46269</v>
      </c>
      <c r="B6414" s="68">
        <v>2</v>
      </c>
      <c r="C6414" s="205" t="s">
        <v>1127</v>
      </c>
      <c r="D6414" s="30">
        <v>1</v>
      </c>
      <c r="E6414" s="30">
        <v>10</v>
      </c>
      <c r="F6414" s="30">
        <f t="shared" ref="F6414:F6456" si="209">E6414*D6414</f>
        <v>10</v>
      </c>
      <c r="G6414" s="30" t="s">
        <v>9</v>
      </c>
      <c r="J6414" s="30" t="s">
        <v>391</v>
      </c>
    </row>
    <row r="6415" spans="1:12" x14ac:dyDescent="0.25">
      <c r="A6415" s="78">
        <v>46269</v>
      </c>
      <c r="B6415" s="68">
        <v>2</v>
      </c>
      <c r="C6415" s="204" t="s">
        <v>970</v>
      </c>
      <c r="D6415" s="30">
        <v>2</v>
      </c>
      <c r="E6415" s="30">
        <v>10</v>
      </c>
      <c r="F6415" s="30">
        <f t="shared" si="209"/>
        <v>20</v>
      </c>
      <c r="G6415" s="30" t="s">
        <v>9</v>
      </c>
      <c r="J6415" s="30" t="s">
        <v>391</v>
      </c>
    </row>
    <row r="6416" spans="1:12" x14ac:dyDescent="0.25">
      <c r="A6416" s="78">
        <v>46269</v>
      </c>
      <c r="B6416" s="68">
        <v>3</v>
      </c>
      <c r="C6416" s="205" t="s">
        <v>845</v>
      </c>
      <c r="D6416" s="30">
        <v>1.2999999999999999E-2</v>
      </c>
      <c r="E6416" s="30">
        <v>420</v>
      </c>
      <c r="F6416" s="30">
        <f t="shared" si="209"/>
        <v>5.46</v>
      </c>
      <c r="G6416" s="30" t="s">
        <v>9</v>
      </c>
      <c r="J6416" s="30" t="s">
        <v>391</v>
      </c>
    </row>
    <row r="6417" spans="1:10" x14ac:dyDescent="0.25">
      <c r="A6417" s="78">
        <v>46269</v>
      </c>
      <c r="B6417" s="68">
        <v>3</v>
      </c>
      <c r="C6417" s="205" t="s">
        <v>966</v>
      </c>
      <c r="D6417" s="30">
        <v>5</v>
      </c>
      <c r="E6417" s="30">
        <v>1</v>
      </c>
      <c r="F6417" s="30">
        <f t="shared" si="209"/>
        <v>5</v>
      </c>
      <c r="G6417" s="30" t="s">
        <v>9</v>
      </c>
      <c r="J6417" s="30" t="s">
        <v>391</v>
      </c>
    </row>
    <row r="6418" spans="1:10" ht="30" x14ac:dyDescent="0.25">
      <c r="A6418" s="78">
        <v>46269</v>
      </c>
      <c r="B6418" s="68">
        <v>4</v>
      </c>
      <c r="C6418" s="19" t="s">
        <v>1420</v>
      </c>
      <c r="D6418" s="30">
        <v>1</v>
      </c>
      <c r="E6418" s="30">
        <v>160</v>
      </c>
      <c r="F6418" s="30">
        <f t="shared" si="209"/>
        <v>160</v>
      </c>
      <c r="G6418" s="30" t="s">
        <v>9</v>
      </c>
      <c r="J6418" s="30" t="s">
        <v>391</v>
      </c>
    </row>
    <row r="6419" spans="1:10" x14ac:dyDescent="0.25">
      <c r="A6419" s="78">
        <v>46269</v>
      </c>
      <c r="B6419" s="68">
        <v>4</v>
      </c>
      <c r="C6419" s="33" t="s">
        <v>1358</v>
      </c>
      <c r="D6419" s="30">
        <v>0.5</v>
      </c>
      <c r="E6419" s="30">
        <v>70</v>
      </c>
      <c r="F6419" s="30">
        <f t="shared" si="209"/>
        <v>35</v>
      </c>
      <c r="G6419" s="30" t="s">
        <v>9</v>
      </c>
      <c r="J6419" s="30" t="s">
        <v>391</v>
      </c>
    </row>
    <row r="6420" spans="1:10" x14ac:dyDescent="0.25">
      <c r="A6420" s="78">
        <v>46269</v>
      </c>
      <c r="B6420" s="68">
        <v>4</v>
      </c>
      <c r="C6420" s="205" t="s">
        <v>615</v>
      </c>
      <c r="D6420" s="30">
        <v>1</v>
      </c>
      <c r="E6420" s="30">
        <v>30</v>
      </c>
      <c r="F6420" s="30">
        <f t="shared" si="209"/>
        <v>30</v>
      </c>
      <c r="G6420" s="30" t="s">
        <v>9</v>
      </c>
      <c r="J6420" s="30" t="s">
        <v>391</v>
      </c>
    </row>
    <row r="6421" spans="1:10" x14ac:dyDescent="0.25">
      <c r="A6421" s="78">
        <v>46269</v>
      </c>
      <c r="B6421" s="68">
        <v>4</v>
      </c>
      <c r="C6421" s="205" t="s">
        <v>1127</v>
      </c>
      <c r="D6421" s="30">
        <v>3</v>
      </c>
      <c r="E6421" s="30">
        <v>10</v>
      </c>
      <c r="F6421" s="30">
        <f t="shared" si="209"/>
        <v>30</v>
      </c>
      <c r="G6421" s="30" t="s">
        <v>9</v>
      </c>
      <c r="J6421" s="30" t="s">
        <v>391</v>
      </c>
    </row>
    <row r="6422" spans="1:10" x14ac:dyDescent="0.25">
      <c r="A6422" s="78">
        <v>46269</v>
      </c>
      <c r="B6422" s="68">
        <v>5</v>
      </c>
      <c r="C6422" s="205" t="s">
        <v>1198</v>
      </c>
      <c r="D6422" s="30">
        <v>1</v>
      </c>
      <c r="E6422" s="30">
        <v>10</v>
      </c>
      <c r="F6422" s="30">
        <f t="shared" si="209"/>
        <v>10</v>
      </c>
      <c r="G6422" s="30" t="s">
        <v>9</v>
      </c>
      <c r="J6422" s="30" t="s">
        <v>391</v>
      </c>
    </row>
    <row r="6423" spans="1:10" ht="30" x14ac:dyDescent="0.25">
      <c r="A6423" s="78">
        <v>46269</v>
      </c>
      <c r="B6423" s="68">
        <v>6</v>
      </c>
      <c r="C6423" s="205" t="s">
        <v>109</v>
      </c>
      <c r="D6423" s="30">
        <v>1</v>
      </c>
      <c r="E6423" s="30">
        <v>15</v>
      </c>
      <c r="F6423" s="30">
        <f t="shared" si="209"/>
        <v>15</v>
      </c>
      <c r="G6423" s="30" t="s">
        <v>9</v>
      </c>
      <c r="J6423" s="30" t="s">
        <v>391</v>
      </c>
    </row>
    <row r="6424" spans="1:10" x14ac:dyDescent="0.25">
      <c r="A6424" s="78">
        <v>46269</v>
      </c>
      <c r="B6424" s="68">
        <v>6</v>
      </c>
      <c r="C6424" s="205" t="s">
        <v>764</v>
      </c>
      <c r="D6424" s="30">
        <v>1</v>
      </c>
      <c r="E6424" s="30">
        <v>5</v>
      </c>
      <c r="F6424" s="30">
        <f t="shared" si="209"/>
        <v>5</v>
      </c>
      <c r="G6424" s="30" t="s">
        <v>9</v>
      </c>
      <c r="J6424" s="30" t="s">
        <v>391</v>
      </c>
    </row>
    <row r="6425" spans="1:10" x14ac:dyDescent="0.25">
      <c r="A6425" s="78">
        <v>46269</v>
      </c>
      <c r="B6425" s="68">
        <v>7</v>
      </c>
      <c r="C6425" s="205" t="s">
        <v>723</v>
      </c>
      <c r="D6425" s="30">
        <v>0.1</v>
      </c>
      <c r="E6425" s="30">
        <v>300</v>
      </c>
      <c r="F6425" s="30">
        <f t="shared" si="209"/>
        <v>30</v>
      </c>
      <c r="G6425" s="30" t="s">
        <v>9</v>
      </c>
      <c r="J6425" s="30" t="s">
        <v>391</v>
      </c>
    </row>
    <row r="6426" spans="1:10" x14ac:dyDescent="0.25">
      <c r="A6426" s="78">
        <v>46269</v>
      </c>
      <c r="B6426" s="68">
        <v>8</v>
      </c>
      <c r="C6426" s="204" t="s">
        <v>1396</v>
      </c>
      <c r="D6426" s="30">
        <v>1</v>
      </c>
      <c r="E6426" s="30">
        <v>10</v>
      </c>
      <c r="F6426" s="30">
        <f t="shared" si="209"/>
        <v>10</v>
      </c>
      <c r="G6426" s="30" t="s">
        <v>9</v>
      </c>
      <c r="J6426" s="30" t="s">
        <v>391</v>
      </c>
    </row>
    <row r="6427" spans="1:10" x14ac:dyDescent="0.25">
      <c r="A6427" s="78">
        <v>46269</v>
      </c>
      <c r="B6427" s="68">
        <v>8</v>
      </c>
      <c r="C6427" s="205" t="s">
        <v>1127</v>
      </c>
      <c r="D6427" s="30">
        <v>1</v>
      </c>
      <c r="E6427" s="30">
        <v>10</v>
      </c>
      <c r="F6427" s="30">
        <f t="shared" si="209"/>
        <v>10</v>
      </c>
      <c r="G6427" s="30" t="s">
        <v>9</v>
      </c>
      <c r="J6427" s="30" t="s">
        <v>391</v>
      </c>
    </row>
    <row r="6428" spans="1:10" x14ac:dyDescent="0.25">
      <c r="A6428" s="78">
        <v>46269</v>
      </c>
      <c r="B6428" s="68">
        <v>8</v>
      </c>
      <c r="C6428" s="19" t="s">
        <v>1326</v>
      </c>
      <c r="D6428" s="30">
        <v>4</v>
      </c>
      <c r="E6428" s="30">
        <v>10</v>
      </c>
      <c r="F6428" s="30">
        <f t="shared" si="209"/>
        <v>40</v>
      </c>
      <c r="G6428" s="30" t="s">
        <v>9</v>
      </c>
      <c r="J6428" s="30" t="s">
        <v>391</v>
      </c>
    </row>
    <row r="6429" spans="1:10" x14ac:dyDescent="0.25">
      <c r="A6429" s="78">
        <v>46269</v>
      </c>
      <c r="B6429" s="68">
        <v>8</v>
      </c>
      <c r="C6429" s="205" t="s">
        <v>568</v>
      </c>
      <c r="D6429" s="30">
        <v>10</v>
      </c>
      <c r="E6429" s="30">
        <v>1</v>
      </c>
      <c r="F6429" s="30">
        <f t="shared" si="209"/>
        <v>10</v>
      </c>
      <c r="G6429" s="30" t="s">
        <v>9</v>
      </c>
      <c r="J6429" s="30" t="s">
        <v>391</v>
      </c>
    </row>
    <row r="6430" spans="1:10" x14ac:dyDescent="0.25">
      <c r="A6430" s="78">
        <v>46269</v>
      </c>
      <c r="B6430" s="68">
        <v>9</v>
      </c>
      <c r="C6430" s="19" t="s">
        <v>1383</v>
      </c>
      <c r="D6430" s="30">
        <v>2</v>
      </c>
      <c r="E6430" s="30">
        <v>15</v>
      </c>
      <c r="F6430" s="30">
        <f t="shared" si="209"/>
        <v>30</v>
      </c>
      <c r="G6430" s="30" t="s">
        <v>10</v>
      </c>
      <c r="J6430" s="30" t="s">
        <v>391</v>
      </c>
    </row>
    <row r="6431" spans="1:10" x14ac:dyDescent="0.25">
      <c r="A6431" s="78">
        <v>46269</v>
      </c>
      <c r="B6431" s="68">
        <v>9</v>
      </c>
      <c r="C6431" s="76" t="s">
        <v>1329</v>
      </c>
      <c r="D6431" s="30">
        <v>1</v>
      </c>
      <c r="E6431" s="30">
        <v>20</v>
      </c>
      <c r="F6431" s="30">
        <f t="shared" si="209"/>
        <v>20</v>
      </c>
      <c r="G6431" s="30" t="s">
        <v>10</v>
      </c>
      <c r="J6431" s="30" t="s">
        <v>391</v>
      </c>
    </row>
    <row r="6432" spans="1:10" x14ac:dyDescent="0.25">
      <c r="A6432" s="78">
        <v>46269</v>
      </c>
      <c r="B6432" s="68">
        <v>10</v>
      </c>
      <c r="C6432" s="19" t="s">
        <v>1377</v>
      </c>
      <c r="D6432" s="30">
        <v>1</v>
      </c>
      <c r="E6432" s="30">
        <v>10</v>
      </c>
      <c r="F6432" s="30">
        <f t="shared" si="209"/>
        <v>10</v>
      </c>
      <c r="G6432" s="30" t="s">
        <v>10</v>
      </c>
      <c r="J6432" s="30" t="s">
        <v>391</v>
      </c>
    </row>
    <row r="6433" spans="1:10" x14ac:dyDescent="0.25">
      <c r="A6433" s="78">
        <v>46269</v>
      </c>
      <c r="B6433" s="68">
        <v>10</v>
      </c>
      <c r="C6433" s="205" t="s">
        <v>1289</v>
      </c>
      <c r="D6433" s="30">
        <v>2</v>
      </c>
      <c r="E6433" s="30">
        <v>5</v>
      </c>
      <c r="F6433" s="30">
        <f t="shared" si="209"/>
        <v>10</v>
      </c>
      <c r="G6433" s="30" t="s">
        <v>10</v>
      </c>
      <c r="J6433" s="30" t="s">
        <v>391</v>
      </c>
    </row>
    <row r="6434" spans="1:10" x14ac:dyDescent="0.25">
      <c r="A6434" s="78">
        <v>46269</v>
      </c>
      <c r="B6434" s="68">
        <v>10</v>
      </c>
      <c r="C6434" s="33" t="s">
        <v>1472</v>
      </c>
      <c r="D6434" s="30">
        <v>1</v>
      </c>
      <c r="E6434" s="30">
        <v>5</v>
      </c>
      <c r="F6434" s="30">
        <f t="shared" si="209"/>
        <v>5</v>
      </c>
      <c r="G6434" s="30" t="s">
        <v>9</v>
      </c>
      <c r="J6434" s="30" t="s">
        <v>391</v>
      </c>
    </row>
    <row r="6435" spans="1:10" x14ac:dyDescent="0.25">
      <c r="A6435" s="78">
        <v>46269</v>
      </c>
      <c r="B6435" s="68">
        <v>10</v>
      </c>
      <c r="C6435" s="19" t="s">
        <v>1326</v>
      </c>
      <c r="D6435" s="30">
        <v>30</v>
      </c>
      <c r="E6435" s="30">
        <v>8.3000000000000007</v>
      </c>
      <c r="F6435" s="30">
        <f t="shared" si="209"/>
        <v>249.00000000000003</v>
      </c>
      <c r="G6435" s="30" t="s">
        <v>10</v>
      </c>
      <c r="J6435" s="30" t="s">
        <v>391</v>
      </c>
    </row>
    <row r="6436" spans="1:10" x14ac:dyDescent="0.25">
      <c r="A6436" s="78">
        <v>46269</v>
      </c>
      <c r="B6436" s="68">
        <v>10</v>
      </c>
      <c r="C6436" s="205" t="s">
        <v>540</v>
      </c>
      <c r="D6436" s="30">
        <v>1</v>
      </c>
      <c r="E6436" s="30">
        <v>15</v>
      </c>
      <c r="F6436" s="30">
        <f t="shared" si="209"/>
        <v>15</v>
      </c>
      <c r="G6436" s="30" t="s">
        <v>10</v>
      </c>
      <c r="J6436" s="30" t="s">
        <v>391</v>
      </c>
    </row>
    <row r="6437" spans="1:10" x14ac:dyDescent="0.25">
      <c r="A6437" s="78">
        <v>46269</v>
      </c>
      <c r="B6437" s="68">
        <v>11</v>
      </c>
      <c r="C6437" s="205" t="s">
        <v>1257</v>
      </c>
      <c r="D6437" s="30">
        <v>1</v>
      </c>
      <c r="E6437" s="30">
        <v>50</v>
      </c>
      <c r="F6437" s="30">
        <f t="shared" si="209"/>
        <v>50</v>
      </c>
      <c r="G6437" s="30" t="s">
        <v>9</v>
      </c>
      <c r="J6437" s="30" t="s">
        <v>391</v>
      </c>
    </row>
    <row r="6438" spans="1:10" x14ac:dyDescent="0.25">
      <c r="A6438" s="78">
        <v>46269</v>
      </c>
      <c r="B6438" s="68">
        <v>11</v>
      </c>
      <c r="C6438" s="19" t="s">
        <v>1422</v>
      </c>
      <c r="D6438" s="30">
        <v>0.5</v>
      </c>
      <c r="E6438" s="30">
        <v>160</v>
      </c>
      <c r="F6438" s="30">
        <f t="shared" si="209"/>
        <v>80</v>
      </c>
      <c r="G6438" s="30" t="s">
        <v>9</v>
      </c>
      <c r="J6438" s="30" t="s">
        <v>391</v>
      </c>
    </row>
    <row r="6439" spans="1:10" ht="30" x14ac:dyDescent="0.25">
      <c r="A6439" s="78">
        <v>46269</v>
      </c>
      <c r="B6439" s="68">
        <v>11</v>
      </c>
      <c r="C6439" s="19" t="s">
        <v>1406</v>
      </c>
      <c r="D6439" s="30">
        <v>1</v>
      </c>
      <c r="E6439" s="30">
        <v>50</v>
      </c>
      <c r="F6439" s="30">
        <f t="shared" si="209"/>
        <v>50</v>
      </c>
      <c r="G6439" s="30" t="s">
        <v>9</v>
      </c>
      <c r="J6439" s="30" t="s">
        <v>391</v>
      </c>
    </row>
    <row r="6440" spans="1:10" x14ac:dyDescent="0.25">
      <c r="A6440" s="78">
        <v>46269</v>
      </c>
      <c r="B6440" s="68">
        <v>12</v>
      </c>
      <c r="C6440" s="19" t="s">
        <v>1326</v>
      </c>
      <c r="D6440" s="30">
        <v>30</v>
      </c>
      <c r="E6440" s="30">
        <v>8.3000000000000007</v>
      </c>
      <c r="F6440" s="30">
        <f t="shared" si="209"/>
        <v>249.00000000000003</v>
      </c>
      <c r="G6440" s="30" t="s">
        <v>16</v>
      </c>
      <c r="I6440" s="68" t="s">
        <v>1200</v>
      </c>
      <c r="J6440" s="30" t="s">
        <v>391</v>
      </c>
    </row>
    <row r="6441" spans="1:10" x14ac:dyDescent="0.25">
      <c r="A6441" s="78">
        <v>46269</v>
      </c>
      <c r="B6441" s="68">
        <v>12</v>
      </c>
      <c r="C6441" s="19" t="s">
        <v>1376</v>
      </c>
      <c r="D6441" s="30">
        <v>1</v>
      </c>
      <c r="E6441" s="30">
        <v>80</v>
      </c>
      <c r="F6441" s="30">
        <f t="shared" si="209"/>
        <v>80</v>
      </c>
      <c r="G6441" s="30" t="s">
        <v>16</v>
      </c>
      <c r="I6441" s="68" t="s">
        <v>1200</v>
      </c>
      <c r="J6441" s="30" t="s">
        <v>391</v>
      </c>
    </row>
    <row r="6442" spans="1:10" x14ac:dyDescent="0.25">
      <c r="A6442" s="78">
        <v>46269</v>
      </c>
      <c r="B6442" s="68">
        <v>12</v>
      </c>
      <c r="C6442" s="19" t="s">
        <v>1383</v>
      </c>
      <c r="D6442" s="30">
        <v>1</v>
      </c>
      <c r="E6442" s="30">
        <v>20</v>
      </c>
      <c r="F6442" s="30">
        <f t="shared" si="209"/>
        <v>20</v>
      </c>
      <c r="G6442" s="30" t="s">
        <v>16</v>
      </c>
      <c r="I6442" s="68" t="s">
        <v>1200</v>
      </c>
      <c r="J6442" s="30" t="s">
        <v>391</v>
      </c>
    </row>
    <row r="6443" spans="1:10" x14ac:dyDescent="0.25">
      <c r="A6443" s="78">
        <v>46269</v>
      </c>
      <c r="B6443" s="68">
        <v>13</v>
      </c>
      <c r="C6443" s="204" t="s">
        <v>1396</v>
      </c>
      <c r="D6443" s="30">
        <v>5</v>
      </c>
      <c r="E6443" s="30">
        <v>10</v>
      </c>
      <c r="F6443" s="30">
        <f t="shared" si="209"/>
        <v>50</v>
      </c>
      <c r="G6443" s="30" t="s">
        <v>9</v>
      </c>
      <c r="J6443" s="30" t="s">
        <v>391</v>
      </c>
    </row>
    <row r="6444" spans="1:10" x14ac:dyDescent="0.25">
      <c r="A6444" s="78">
        <v>46269</v>
      </c>
      <c r="B6444" s="68">
        <v>13</v>
      </c>
      <c r="C6444" s="19" t="s">
        <v>1378</v>
      </c>
      <c r="D6444" s="30">
        <v>5</v>
      </c>
      <c r="E6444" s="30">
        <v>10</v>
      </c>
      <c r="F6444" s="30">
        <f t="shared" si="209"/>
        <v>50</v>
      </c>
      <c r="G6444" s="30" t="s">
        <v>9</v>
      </c>
      <c r="J6444" s="30" t="s">
        <v>391</v>
      </c>
    </row>
    <row r="6445" spans="1:10" x14ac:dyDescent="0.25">
      <c r="A6445" s="78">
        <v>46269</v>
      </c>
      <c r="B6445" s="68">
        <v>14</v>
      </c>
      <c r="C6445" s="19" t="s">
        <v>1379</v>
      </c>
      <c r="D6445" s="30">
        <v>1</v>
      </c>
      <c r="E6445" s="30">
        <v>40</v>
      </c>
      <c r="F6445" s="30">
        <f t="shared" si="209"/>
        <v>40</v>
      </c>
      <c r="G6445" s="30" t="s">
        <v>10</v>
      </c>
      <c r="J6445" s="30" t="s">
        <v>391</v>
      </c>
    </row>
    <row r="6446" spans="1:10" x14ac:dyDescent="0.25">
      <c r="A6446" s="78">
        <v>46269</v>
      </c>
      <c r="B6446" s="68">
        <v>12</v>
      </c>
      <c r="C6446" s="33" t="s">
        <v>1373</v>
      </c>
      <c r="D6446" s="30">
        <v>0.5</v>
      </c>
      <c r="E6446" s="30">
        <v>150</v>
      </c>
      <c r="F6446" s="30">
        <f t="shared" si="209"/>
        <v>75</v>
      </c>
      <c r="G6446" s="30" t="s">
        <v>9</v>
      </c>
      <c r="J6446" s="30" t="s">
        <v>391</v>
      </c>
    </row>
    <row r="6447" spans="1:10" x14ac:dyDescent="0.25">
      <c r="A6447" s="78">
        <v>46269</v>
      </c>
      <c r="B6447" s="68">
        <v>12</v>
      </c>
      <c r="C6447" s="205" t="s">
        <v>1156</v>
      </c>
      <c r="D6447" s="30">
        <v>0.18</v>
      </c>
      <c r="E6447" s="30">
        <v>200</v>
      </c>
      <c r="F6447" s="30">
        <f t="shared" si="209"/>
        <v>36</v>
      </c>
      <c r="G6447" s="30" t="s">
        <v>9</v>
      </c>
      <c r="J6447" s="30" t="s">
        <v>391</v>
      </c>
    </row>
    <row r="6448" spans="1:10" ht="30" x14ac:dyDescent="0.25">
      <c r="A6448" s="78">
        <v>46269</v>
      </c>
      <c r="B6448" s="68">
        <v>12</v>
      </c>
      <c r="C6448" s="19" t="s">
        <v>1391</v>
      </c>
      <c r="D6448" s="30">
        <v>1</v>
      </c>
      <c r="E6448" s="30">
        <v>50</v>
      </c>
      <c r="F6448" s="30">
        <f t="shared" si="209"/>
        <v>50</v>
      </c>
      <c r="G6448" s="30" t="s">
        <v>9</v>
      </c>
      <c r="J6448" s="30" t="s">
        <v>391</v>
      </c>
    </row>
    <row r="6449" spans="1:12" x14ac:dyDescent="0.25">
      <c r="A6449" s="78">
        <v>46269</v>
      </c>
      <c r="B6449" s="68">
        <v>15</v>
      </c>
      <c r="C6449" s="19" t="s">
        <v>1384</v>
      </c>
      <c r="D6449" s="30">
        <v>2</v>
      </c>
      <c r="E6449" s="30">
        <v>10</v>
      </c>
      <c r="F6449" s="30">
        <f t="shared" si="209"/>
        <v>20</v>
      </c>
      <c r="G6449" s="30" t="s">
        <v>9</v>
      </c>
      <c r="J6449" s="30" t="s">
        <v>391</v>
      </c>
    </row>
    <row r="6450" spans="1:12" x14ac:dyDescent="0.25">
      <c r="A6450" s="78">
        <v>46269</v>
      </c>
      <c r="B6450" s="68">
        <v>15</v>
      </c>
      <c r="C6450" s="205" t="s">
        <v>1117</v>
      </c>
      <c r="D6450" s="30">
        <v>8.5000000000000006E-2</v>
      </c>
      <c r="E6450" s="30">
        <v>300</v>
      </c>
      <c r="F6450" s="30">
        <f t="shared" si="209"/>
        <v>25.500000000000004</v>
      </c>
      <c r="G6450" s="30" t="s">
        <v>9</v>
      </c>
      <c r="J6450" s="30" t="s">
        <v>391</v>
      </c>
    </row>
    <row r="6451" spans="1:12" ht="30" x14ac:dyDescent="0.25">
      <c r="A6451" s="78">
        <v>46269</v>
      </c>
      <c r="B6451" s="68">
        <v>15</v>
      </c>
      <c r="C6451" s="205" t="s">
        <v>897</v>
      </c>
      <c r="D6451" s="30">
        <v>5</v>
      </c>
      <c r="E6451" s="30">
        <v>1</v>
      </c>
      <c r="F6451" s="30">
        <f t="shared" si="209"/>
        <v>5</v>
      </c>
      <c r="G6451" s="30" t="s">
        <v>9</v>
      </c>
      <c r="J6451" s="30" t="s">
        <v>391</v>
      </c>
    </row>
    <row r="6452" spans="1:12" ht="30" x14ac:dyDescent="0.25">
      <c r="A6452" s="78">
        <v>46269</v>
      </c>
      <c r="B6452" s="68">
        <v>14</v>
      </c>
      <c r="C6452" s="19" t="s">
        <v>1420</v>
      </c>
      <c r="D6452" s="30">
        <v>1</v>
      </c>
      <c r="E6452" s="30">
        <v>160</v>
      </c>
      <c r="F6452" s="30">
        <f t="shared" si="209"/>
        <v>160</v>
      </c>
      <c r="G6452" s="30" t="s">
        <v>9</v>
      </c>
      <c r="J6452" s="30" t="s">
        <v>391</v>
      </c>
    </row>
    <row r="6453" spans="1:12" x14ac:dyDescent="0.25">
      <c r="A6453" s="78">
        <v>46269</v>
      </c>
      <c r="B6453" s="68">
        <v>15</v>
      </c>
      <c r="C6453" s="19" t="s">
        <v>1449</v>
      </c>
      <c r="D6453" s="30">
        <v>1</v>
      </c>
      <c r="E6453" s="30">
        <v>10</v>
      </c>
      <c r="F6453" s="30">
        <f t="shared" si="209"/>
        <v>10</v>
      </c>
      <c r="G6453" s="30" t="s">
        <v>16</v>
      </c>
      <c r="I6453" s="68" t="s">
        <v>1021</v>
      </c>
      <c r="J6453" s="30" t="s">
        <v>391</v>
      </c>
    </row>
    <row r="6454" spans="1:12" x14ac:dyDescent="0.25">
      <c r="A6454" s="78">
        <v>46269</v>
      </c>
      <c r="B6454" s="68">
        <v>16</v>
      </c>
      <c r="C6454" s="19" t="s">
        <v>1304</v>
      </c>
      <c r="D6454" s="30">
        <v>1</v>
      </c>
      <c r="E6454" s="30">
        <v>100</v>
      </c>
      <c r="F6454" s="30">
        <f t="shared" si="209"/>
        <v>100</v>
      </c>
      <c r="G6454" s="30" t="s">
        <v>9</v>
      </c>
      <c r="J6454" s="30" t="s">
        <v>391</v>
      </c>
    </row>
    <row r="6455" spans="1:12" x14ac:dyDescent="0.25">
      <c r="A6455" s="78">
        <v>46269</v>
      </c>
      <c r="B6455" s="68">
        <v>17</v>
      </c>
      <c r="C6455" s="19" t="s">
        <v>1415</v>
      </c>
      <c r="D6455" s="30">
        <v>1</v>
      </c>
      <c r="E6455" s="30">
        <v>100</v>
      </c>
      <c r="F6455" s="30">
        <f t="shared" si="209"/>
        <v>100</v>
      </c>
      <c r="G6455" s="30" t="s">
        <v>9</v>
      </c>
      <c r="J6455" s="30" t="s">
        <v>391</v>
      </c>
    </row>
    <row r="6456" spans="1:12" x14ac:dyDescent="0.25">
      <c r="A6456" s="78">
        <v>46269</v>
      </c>
      <c r="B6456" s="68">
        <v>17</v>
      </c>
      <c r="C6456" s="204" t="s">
        <v>1396</v>
      </c>
      <c r="D6456" s="30">
        <v>8</v>
      </c>
      <c r="E6456" s="30">
        <v>10</v>
      </c>
      <c r="F6456" s="30">
        <f t="shared" si="209"/>
        <v>80</v>
      </c>
      <c r="G6456" s="30" t="s">
        <v>9</v>
      </c>
      <c r="J6456" s="30" t="s">
        <v>391</v>
      </c>
    </row>
    <row r="6457" spans="1:12" s="199" customFormat="1" ht="31.5" x14ac:dyDescent="0.25">
      <c r="A6457" s="196">
        <v>46269</v>
      </c>
      <c r="B6457" s="197" t="s">
        <v>1245</v>
      </c>
      <c r="C6457" s="198">
        <f>MAX(B6413:B6457)</f>
        <v>17</v>
      </c>
      <c r="D6457" s="197" t="s">
        <v>1246</v>
      </c>
      <c r="E6457" s="199">
        <f>SUMIF(G6413:G6457,"UPI",F6413:F6457)</f>
        <v>374</v>
      </c>
      <c r="H6457" s="200" t="s">
        <v>1247</v>
      </c>
      <c r="I6457" s="200">
        <f>SUMIF(G6413:G6425, "&lt;&gt;UPI",F6413:F6425)</f>
        <v>375.40999999999997</v>
      </c>
    </row>
    <row r="6458" spans="1:12" s="5" customFormat="1" ht="15.75" x14ac:dyDescent="0.25">
      <c r="A6458" s="201">
        <v>46269</v>
      </c>
      <c r="B6458" s="2"/>
      <c r="C6458" s="14"/>
      <c r="H6458" s="2" t="s">
        <v>1250</v>
      </c>
      <c r="I6458" s="2">
        <f>SUMIF(G6413:G6457, "&lt;&gt;UPI",F6413:F6457)</f>
        <v>1740.9099999999999</v>
      </c>
    </row>
    <row r="6459" spans="1:12" s="202" customFormat="1" ht="18.75" customHeight="1" x14ac:dyDescent="0.3">
      <c r="A6459" s="146">
        <v>46269</v>
      </c>
      <c r="B6459" s="147" t="s">
        <v>987</v>
      </c>
      <c r="C6459" s="148">
        <f>MAX(B6413:B6458)</f>
        <v>17</v>
      </c>
      <c r="D6459" s="147" t="s">
        <v>988</v>
      </c>
      <c r="E6459" s="202">
        <f>SUMIF(G6413:G6457,"UPI",F6413:F6457)</f>
        <v>374</v>
      </c>
      <c r="F6459" s="227" t="s">
        <v>437</v>
      </c>
      <c r="G6459" s="228"/>
      <c r="H6459" s="229"/>
      <c r="I6459" s="227">
        <f>SUM(F6413:F6458)</f>
        <v>2114.91</v>
      </c>
      <c r="J6459" s="228"/>
      <c r="K6459" s="228"/>
      <c r="L6459" s="229"/>
    </row>
    <row r="6460" spans="1:12" x14ac:dyDescent="0.25">
      <c r="A6460" s="78">
        <v>46270</v>
      </c>
      <c r="B6460" s="68">
        <v>1</v>
      </c>
      <c r="C6460" s="205" t="s">
        <v>640</v>
      </c>
      <c r="D6460" s="30">
        <v>1</v>
      </c>
      <c r="E6460" s="30">
        <v>5</v>
      </c>
      <c r="F6460" s="30">
        <f>E6460*D6460</f>
        <v>5</v>
      </c>
      <c r="G6460" s="30" t="s">
        <v>9</v>
      </c>
      <c r="J6460" s="30" t="s">
        <v>392</v>
      </c>
    </row>
    <row r="6461" spans="1:12" x14ac:dyDescent="0.25">
      <c r="A6461" s="78">
        <v>46270</v>
      </c>
      <c r="B6461" s="68">
        <v>2</v>
      </c>
      <c r="C6461" s="205" t="s">
        <v>1174</v>
      </c>
      <c r="D6461" s="30">
        <v>1</v>
      </c>
      <c r="E6461" s="30">
        <v>37</v>
      </c>
      <c r="F6461" s="30">
        <f t="shared" ref="F6461:F6496" si="210">E6461*D6461</f>
        <v>37</v>
      </c>
      <c r="G6461" s="30" t="s">
        <v>10</v>
      </c>
      <c r="J6461" s="30" t="s">
        <v>392</v>
      </c>
    </row>
    <row r="6462" spans="1:12" x14ac:dyDescent="0.25">
      <c r="A6462" s="78">
        <v>46270</v>
      </c>
      <c r="B6462" s="68">
        <v>3</v>
      </c>
      <c r="C6462" s="33" t="s">
        <v>1358</v>
      </c>
      <c r="D6462" s="30">
        <v>0.13</v>
      </c>
      <c r="E6462" s="30">
        <v>70</v>
      </c>
      <c r="F6462" s="30">
        <f t="shared" si="210"/>
        <v>9.1</v>
      </c>
      <c r="G6462" s="30" t="s">
        <v>9</v>
      </c>
      <c r="J6462" s="30" t="s">
        <v>392</v>
      </c>
    </row>
    <row r="6463" spans="1:12" x14ac:dyDescent="0.25">
      <c r="A6463" s="78">
        <v>46270</v>
      </c>
      <c r="B6463" s="68">
        <v>3</v>
      </c>
      <c r="C6463" s="19" t="s">
        <v>1426</v>
      </c>
      <c r="D6463" s="30">
        <v>0.125</v>
      </c>
      <c r="E6463" s="30">
        <v>80</v>
      </c>
      <c r="F6463" s="30">
        <f t="shared" si="210"/>
        <v>10</v>
      </c>
      <c r="G6463" s="30" t="s">
        <v>9</v>
      </c>
      <c r="J6463" s="30" t="s">
        <v>392</v>
      </c>
    </row>
    <row r="6464" spans="1:12" x14ac:dyDescent="0.25">
      <c r="A6464" s="78">
        <v>46270</v>
      </c>
      <c r="B6464" s="68">
        <v>3</v>
      </c>
      <c r="C6464" s="205" t="s">
        <v>1184</v>
      </c>
      <c r="D6464" s="30">
        <v>1</v>
      </c>
      <c r="E6464" s="30">
        <v>10</v>
      </c>
      <c r="F6464" s="30">
        <f t="shared" si="210"/>
        <v>10</v>
      </c>
      <c r="G6464" s="30" t="s">
        <v>9</v>
      </c>
      <c r="J6464" s="30" t="s">
        <v>392</v>
      </c>
    </row>
    <row r="6465" spans="1:10" x14ac:dyDescent="0.25">
      <c r="A6465" s="78">
        <v>46270</v>
      </c>
      <c r="B6465" s="68">
        <v>4</v>
      </c>
      <c r="C6465" s="205" t="s">
        <v>1291</v>
      </c>
      <c r="D6465" s="30">
        <v>26</v>
      </c>
      <c r="E6465" s="30">
        <v>61.2</v>
      </c>
      <c r="F6465" s="30">
        <f t="shared" si="210"/>
        <v>1591.2</v>
      </c>
      <c r="G6465" s="30" t="s">
        <v>16</v>
      </c>
      <c r="I6465" s="68" t="s">
        <v>1069</v>
      </c>
      <c r="J6465" s="30" t="s">
        <v>392</v>
      </c>
    </row>
    <row r="6466" spans="1:10" x14ac:dyDescent="0.25">
      <c r="A6466" s="78">
        <v>46270</v>
      </c>
      <c r="B6466" s="68">
        <v>5</v>
      </c>
      <c r="C6466" s="33" t="s">
        <v>1474</v>
      </c>
      <c r="D6466" s="30">
        <v>1</v>
      </c>
      <c r="E6466" s="30">
        <v>10</v>
      </c>
      <c r="F6466" s="30">
        <f t="shared" si="210"/>
        <v>10</v>
      </c>
      <c r="G6466" s="30" t="s">
        <v>9</v>
      </c>
      <c r="J6466" s="30" t="s">
        <v>392</v>
      </c>
    </row>
    <row r="6467" spans="1:10" x14ac:dyDescent="0.25">
      <c r="A6467" s="78">
        <v>46270</v>
      </c>
      <c r="B6467" s="68">
        <v>6</v>
      </c>
      <c r="C6467" s="19" t="s">
        <v>1387</v>
      </c>
      <c r="D6467" s="30">
        <v>3</v>
      </c>
      <c r="E6467" s="30">
        <v>10</v>
      </c>
      <c r="F6467" s="30">
        <f t="shared" si="210"/>
        <v>30</v>
      </c>
      <c r="G6467" s="30" t="s">
        <v>10</v>
      </c>
      <c r="J6467" s="30" t="s">
        <v>392</v>
      </c>
    </row>
    <row r="6468" spans="1:10" x14ac:dyDescent="0.25">
      <c r="A6468" s="78">
        <v>46270</v>
      </c>
      <c r="B6468" s="68">
        <v>6</v>
      </c>
      <c r="C6468" s="205" t="s">
        <v>348</v>
      </c>
      <c r="D6468" s="30">
        <v>10</v>
      </c>
      <c r="E6468" s="30">
        <v>1</v>
      </c>
      <c r="F6468" s="30">
        <f t="shared" si="210"/>
        <v>10</v>
      </c>
      <c r="G6468" s="30" t="s">
        <v>10</v>
      </c>
      <c r="J6468" s="30" t="s">
        <v>392</v>
      </c>
    </row>
    <row r="6469" spans="1:10" x14ac:dyDescent="0.25">
      <c r="A6469" s="78">
        <v>46270</v>
      </c>
      <c r="B6469" s="68">
        <v>7</v>
      </c>
      <c r="C6469" s="19" t="s">
        <v>1379</v>
      </c>
      <c r="D6469" s="30">
        <v>1</v>
      </c>
      <c r="E6469" s="30">
        <v>40</v>
      </c>
      <c r="F6469" s="30">
        <f t="shared" si="210"/>
        <v>40</v>
      </c>
      <c r="G6469" s="30" t="s">
        <v>9</v>
      </c>
      <c r="J6469" s="30" t="s">
        <v>392</v>
      </c>
    </row>
    <row r="6470" spans="1:10" x14ac:dyDescent="0.25">
      <c r="A6470" s="78">
        <v>46270</v>
      </c>
      <c r="B6470" s="68">
        <v>8</v>
      </c>
      <c r="C6470" s="19" t="s">
        <v>1379</v>
      </c>
      <c r="D6470" s="30">
        <v>1</v>
      </c>
      <c r="E6470" s="30">
        <v>40</v>
      </c>
      <c r="F6470" s="30">
        <f t="shared" si="210"/>
        <v>40</v>
      </c>
      <c r="G6470" s="30" t="s">
        <v>9</v>
      </c>
      <c r="J6470" s="30" t="s">
        <v>392</v>
      </c>
    </row>
    <row r="6471" spans="1:10" x14ac:dyDescent="0.25">
      <c r="A6471" s="78">
        <v>46270</v>
      </c>
      <c r="B6471" s="68">
        <v>9</v>
      </c>
      <c r="C6471" s="204" t="s">
        <v>1078</v>
      </c>
      <c r="D6471" s="30">
        <v>1</v>
      </c>
      <c r="E6471" s="30">
        <v>20</v>
      </c>
      <c r="F6471" s="30">
        <f t="shared" si="210"/>
        <v>20</v>
      </c>
      <c r="G6471" s="30" t="s">
        <v>9</v>
      </c>
      <c r="J6471" s="30" t="s">
        <v>392</v>
      </c>
    </row>
    <row r="6472" spans="1:10" x14ac:dyDescent="0.25">
      <c r="A6472" s="78">
        <v>46270</v>
      </c>
      <c r="B6472" s="68">
        <v>10</v>
      </c>
      <c r="C6472" s="19" t="s">
        <v>1447</v>
      </c>
      <c r="D6472" s="30">
        <v>1</v>
      </c>
      <c r="E6472" s="30">
        <v>20</v>
      </c>
      <c r="F6472" s="30">
        <f t="shared" si="210"/>
        <v>20</v>
      </c>
      <c r="G6472" s="30" t="s">
        <v>9</v>
      </c>
      <c r="J6472" s="30" t="s">
        <v>392</v>
      </c>
    </row>
    <row r="6473" spans="1:10" x14ac:dyDescent="0.25">
      <c r="A6473" s="78">
        <v>46270</v>
      </c>
      <c r="B6473" s="68">
        <v>10</v>
      </c>
      <c r="C6473" s="19" t="s">
        <v>1445</v>
      </c>
      <c r="D6473" s="30">
        <v>1</v>
      </c>
      <c r="E6473" s="30">
        <v>10</v>
      </c>
      <c r="F6473" s="30">
        <f t="shared" si="210"/>
        <v>10</v>
      </c>
      <c r="G6473" s="30" t="s">
        <v>9</v>
      </c>
      <c r="J6473" s="30" t="s">
        <v>392</v>
      </c>
    </row>
    <row r="6474" spans="1:10" ht="30" x14ac:dyDescent="0.25">
      <c r="A6474" s="78">
        <v>46270</v>
      </c>
      <c r="B6474" s="68">
        <v>11</v>
      </c>
      <c r="C6474" s="19" t="s">
        <v>1394</v>
      </c>
      <c r="D6474" s="30">
        <v>2</v>
      </c>
      <c r="E6474" s="30">
        <v>10</v>
      </c>
      <c r="F6474" s="30">
        <f t="shared" si="210"/>
        <v>20</v>
      </c>
      <c r="G6474" s="30" t="s">
        <v>9</v>
      </c>
      <c r="J6474" s="30" t="s">
        <v>392</v>
      </c>
    </row>
    <row r="6475" spans="1:10" x14ac:dyDescent="0.25">
      <c r="A6475" s="78">
        <v>46270</v>
      </c>
      <c r="B6475" s="68">
        <v>12</v>
      </c>
      <c r="C6475" s="205" t="s">
        <v>884</v>
      </c>
      <c r="D6475" s="30">
        <v>1</v>
      </c>
      <c r="E6475" s="30">
        <v>10</v>
      </c>
      <c r="F6475" s="30">
        <f t="shared" si="210"/>
        <v>10</v>
      </c>
      <c r="G6475" s="30" t="s">
        <v>9</v>
      </c>
      <c r="J6475" s="30" t="s">
        <v>392</v>
      </c>
    </row>
    <row r="6476" spans="1:10" x14ac:dyDescent="0.25">
      <c r="A6476" s="78">
        <v>46270</v>
      </c>
      <c r="B6476" s="68">
        <v>12</v>
      </c>
      <c r="C6476" s="205" t="s">
        <v>1147</v>
      </c>
      <c r="D6476" s="30">
        <v>1</v>
      </c>
      <c r="E6476" s="30">
        <v>10</v>
      </c>
      <c r="F6476" s="30">
        <f t="shared" si="210"/>
        <v>10</v>
      </c>
      <c r="G6476" s="30" t="s">
        <v>9</v>
      </c>
      <c r="J6476" s="30" t="s">
        <v>392</v>
      </c>
    </row>
    <row r="6477" spans="1:10" x14ac:dyDescent="0.25">
      <c r="A6477" s="78">
        <v>46270</v>
      </c>
      <c r="B6477" s="68">
        <v>13</v>
      </c>
      <c r="C6477" s="19" t="s">
        <v>1326</v>
      </c>
      <c r="D6477" s="30">
        <v>8</v>
      </c>
      <c r="E6477" s="30">
        <v>8.8000000000000007</v>
      </c>
      <c r="F6477" s="30">
        <f t="shared" si="210"/>
        <v>70.400000000000006</v>
      </c>
      <c r="G6477" s="30" t="s">
        <v>16</v>
      </c>
      <c r="I6477" s="68" t="s">
        <v>1046</v>
      </c>
      <c r="J6477" s="30" t="s">
        <v>392</v>
      </c>
    </row>
    <row r="6478" spans="1:10" ht="30" x14ac:dyDescent="0.25">
      <c r="A6478" s="78">
        <v>46270</v>
      </c>
      <c r="B6478" s="68">
        <v>13</v>
      </c>
      <c r="C6478" s="205" t="s">
        <v>1122</v>
      </c>
      <c r="D6478" s="30">
        <v>1</v>
      </c>
      <c r="E6478" s="30">
        <v>95</v>
      </c>
      <c r="F6478" s="30">
        <f t="shared" si="210"/>
        <v>95</v>
      </c>
      <c r="G6478" s="30" t="s">
        <v>16</v>
      </c>
      <c r="I6478" s="68" t="s">
        <v>1046</v>
      </c>
      <c r="J6478" s="30" t="s">
        <v>392</v>
      </c>
    </row>
    <row r="6479" spans="1:10" x14ac:dyDescent="0.25">
      <c r="A6479" s="78">
        <v>46270</v>
      </c>
      <c r="B6479" s="68">
        <v>13</v>
      </c>
      <c r="C6479" s="205" t="s">
        <v>948</v>
      </c>
      <c r="D6479" s="30">
        <v>1</v>
      </c>
      <c r="E6479" s="30">
        <v>210</v>
      </c>
      <c r="F6479" s="30">
        <f t="shared" si="210"/>
        <v>210</v>
      </c>
      <c r="G6479" s="30" t="s">
        <v>16</v>
      </c>
      <c r="I6479" s="68" t="s">
        <v>1046</v>
      </c>
      <c r="J6479" s="30" t="s">
        <v>392</v>
      </c>
    </row>
    <row r="6480" spans="1:10" x14ac:dyDescent="0.25">
      <c r="A6480" s="78">
        <v>46270</v>
      </c>
      <c r="B6480" s="68">
        <v>14</v>
      </c>
      <c r="C6480" s="19" t="s">
        <v>1377</v>
      </c>
      <c r="D6480" s="30">
        <v>1</v>
      </c>
      <c r="E6480" s="30">
        <v>10</v>
      </c>
      <c r="F6480" s="30">
        <f t="shared" si="210"/>
        <v>10</v>
      </c>
      <c r="G6480" s="30" t="s">
        <v>9</v>
      </c>
      <c r="J6480" s="30" t="s">
        <v>392</v>
      </c>
    </row>
    <row r="6481" spans="1:10" x14ac:dyDescent="0.25">
      <c r="A6481" s="78">
        <v>46270</v>
      </c>
      <c r="B6481" s="68">
        <v>15</v>
      </c>
      <c r="C6481" s="33" t="s">
        <v>1473</v>
      </c>
      <c r="D6481" s="30">
        <v>1</v>
      </c>
      <c r="E6481" s="30">
        <v>20</v>
      </c>
      <c r="F6481" s="30">
        <f t="shared" si="210"/>
        <v>20</v>
      </c>
      <c r="G6481" s="30" t="s">
        <v>9</v>
      </c>
      <c r="J6481" s="30" t="s">
        <v>392</v>
      </c>
    </row>
    <row r="6482" spans="1:10" x14ac:dyDescent="0.25">
      <c r="A6482" s="78">
        <v>46270</v>
      </c>
      <c r="B6482" s="68">
        <v>15</v>
      </c>
      <c r="C6482" s="205" t="s">
        <v>1260</v>
      </c>
      <c r="D6482" s="30">
        <v>4</v>
      </c>
      <c r="E6482" s="30">
        <v>5</v>
      </c>
      <c r="F6482" s="30">
        <f t="shared" si="210"/>
        <v>20</v>
      </c>
      <c r="G6482" s="30" t="s">
        <v>9</v>
      </c>
      <c r="J6482" s="30" t="s">
        <v>392</v>
      </c>
    </row>
    <row r="6483" spans="1:10" x14ac:dyDescent="0.25">
      <c r="A6483" s="78">
        <v>46270</v>
      </c>
      <c r="B6483" s="68">
        <v>15</v>
      </c>
      <c r="C6483" s="204" t="s">
        <v>1396</v>
      </c>
      <c r="D6483" s="30">
        <v>1</v>
      </c>
      <c r="E6483" s="30">
        <v>10</v>
      </c>
      <c r="F6483" s="30">
        <f t="shared" si="210"/>
        <v>10</v>
      </c>
      <c r="G6483" s="30" t="s">
        <v>9</v>
      </c>
      <c r="J6483" s="30" t="s">
        <v>392</v>
      </c>
    </row>
    <row r="6484" spans="1:10" x14ac:dyDescent="0.25">
      <c r="A6484" s="78">
        <v>46270</v>
      </c>
      <c r="B6484" s="68">
        <v>16</v>
      </c>
      <c r="C6484" s="19" t="s">
        <v>1467</v>
      </c>
      <c r="D6484" s="30">
        <v>1</v>
      </c>
      <c r="E6484" s="30">
        <v>20</v>
      </c>
      <c r="F6484" s="30">
        <f t="shared" si="210"/>
        <v>20</v>
      </c>
      <c r="G6484" s="30" t="s">
        <v>9</v>
      </c>
      <c r="J6484" s="30" t="s">
        <v>392</v>
      </c>
    </row>
    <row r="6485" spans="1:10" x14ac:dyDescent="0.25">
      <c r="A6485" s="78">
        <v>46270</v>
      </c>
      <c r="B6485" s="68">
        <v>15</v>
      </c>
      <c r="C6485" s="204" t="s">
        <v>1396</v>
      </c>
      <c r="D6485" s="30">
        <v>1</v>
      </c>
      <c r="E6485" s="30">
        <v>10</v>
      </c>
      <c r="F6485" s="30">
        <f t="shared" si="210"/>
        <v>10</v>
      </c>
      <c r="G6485" s="30" t="s">
        <v>9</v>
      </c>
      <c r="J6485" s="30" t="s">
        <v>392</v>
      </c>
    </row>
    <row r="6486" spans="1:10" x14ac:dyDescent="0.25">
      <c r="A6486" s="78">
        <v>46270</v>
      </c>
      <c r="B6486" s="68">
        <v>15</v>
      </c>
      <c r="C6486" s="205" t="s">
        <v>1260</v>
      </c>
      <c r="D6486" s="30">
        <v>6</v>
      </c>
      <c r="E6486" s="30">
        <v>5</v>
      </c>
      <c r="F6486" s="30">
        <f t="shared" si="210"/>
        <v>30</v>
      </c>
      <c r="G6486" s="30" t="s">
        <v>9</v>
      </c>
      <c r="J6486" s="30" t="s">
        <v>392</v>
      </c>
    </row>
    <row r="6487" spans="1:10" x14ac:dyDescent="0.25">
      <c r="A6487" s="78">
        <v>46270</v>
      </c>
      <c r="B6487" s="68">
        <v>17</v>
      </c>
      <c r="C6487" s="204" t="s">
        <v>1396</v>
      </c>
      <c r="D6487" s="30">
        <v>2</v>
      </c>
      <c r="E6487" s="30">
        <v>10</v>
      </c>
      <c r="F6487" s="30">
        <f t="shared" si="210"/>
        <v>20</v>
      </c>
      <c r="G6487" s="30" t="s">
        <v>9</v>
      </c>
      <c r="J6487" s="30" t="s">
        <v>392</v>
      </c>
    </row>
    <row r="6488" spans="1:10" x14ac:dyDescent="0.25">
      <c r="A6488" s="78">
        <v>46270</v>
      </c>
      <c r="B6488" s="68">
        <v>17</v>
      </c>
      <c r="C6488" s="33" t="s">
        <v>1475</v>
      </c>
      <c r="D6488" s="30">
        <v>2</v>
      </c>
      <c r="E6488" s="30">
        <v>10</v>
      </c>
      <c r="F6488" s="30">
        <f t="shared" si="210"/>
        <v>20</v>
      </c>
      <c r="G6488" s="30" t="s">
        <v>9</v>
      </c>
      <c r="J6488" s="30" t="s">
        <v>392</v>
      </c>
    </row>
    <row r="6489" spans="1:10" x14ac:dyDescent="0.25">
      <c r="A6489" s="78">
        <v>46270</v>
      </c>
      <c r="B6489" s="68">
        <v>18</v>
      </c>
      <c r="C6489" s="205" t="s">
        <v>1147</v>
      </c>
      <c r="D6489" s="30">
        <v>2</v>
      </c>
      <c r="E6489" s="30">
        <v>10</v>
      </c>
      <c r="F6489" s="30">
        <f t="shared" si="210"/>
        <v>20</v>
      </c>
      <c r="G6489" s="30" t="s">
        <v>9</v>
      </c>
      <c r="J6489" s="30" t="s">
        <v>392</v>
      </c>
    </row>
    <row r="6490" spans="1:10" x14ac:dyDescent="0.25">
      <c r="A6490" s="78">
        <v>46270</v>
      </c>
      <c r="B6490" s="68">
        <v>18</v>
      </c>
      <c r="C6490" s="205" t="s">
        <v>549</v>
      </c>
      <c r="D6490" s="30">
        <v>1</v>
      </c>
      <c r="E6490" s="30">
        <v>20</v>
      </c>
      <c r="F6490" s="30">
        <f t="shared" si="210"/>
        <v>20</v>
      </c>
      <c r="G6490" s="30" t="s">
        <v>9</v>
      </c>
      <c r="J6490" s="30" t="s">
        <v>392</v>
      </c>
    </row>
    <row r="6491" spans="1:10" x14ac:dyDescent="0.25">
      <c r="A6491" s="78">
        <v>46270</v>
      </c>
      <c r="B6491" s="68">
        <v>19</v>
      </c>
      <c r="C6491" s="205" t="s">
        <v>792</v>
      </c>
      <c r="D6491" s="30">
        <v>1</v>
      </c>
      <c r="E6491" s="30">
        <v>160</v>
      </c>
      <c r="F6491" s="30">
        <f t="shared" si="210"/>
        <v>160</v>
      </c>
      <c r="G6491" s="30" t="s">
        <v>9</v>
      </c>
      <c r="J6491" s="30" t="s">
        <v>392</v>
      </c>
    </row>
    <row r="6492" spans="1:10" x14ac:dyDescent="0.25">
      <c r="A6492" s="78">
        <v>46270</v>
      </c>
      <c r="B6492" s="68">
        <v>20</v>
      </c>
      <c r="C6492" s="19" t="s">
        <v>1387</v>
      </c>
      <c r="D6492" s="30">
        <v>2</v>
      </c>
      <c r="E6492" s="30">
        <v>10</v>
      </c>
      <c r="F6492" s="30">
        <f t="shared" si="210"/>
        <v>20</v>
      </c>
      <c r="G6492" s="30" t="s">
        <v>10</v>
      </c>
      <c r="J6492" s="30" t="s">
        <v>392</v>
      </c>
    </row>
    <row r="6493" spans="1:10" x14ac:dyDescent="0.25">
      <c r="A6493" s="78">
        <v>46270</v>
      </c>
      <c r="B6493" s="68">
        <v>20</v>
      </c>
      <c r="C6493" s="205" t="s">
        <v>1273</v>
      </c>
      <c r="D6493" s="30">
        <v>2</v>
      </c>
      <c r="E6493" s="30">
        <v>5</v>
      </c>
      <c r="F6493" s="30">
        <f t="shared" si="210"/>
        <v>10</v>
      </c>
      <c r="G6493" s="30" t="s">
        <v>10</v>
      </c>
      <c r="J6493" s="30" t="s">
        <v>392</v>
      </c>
    </row>
    <row r="6494" spans="1:10" x14ac:dyDescent="0.25">
      <c r="A6494" s="78">
        <v>46270</v>
      </c>
      <c r="B6494" s="68">
        <v>20</v>
      </c>
      <c r="C6494" s="204" t="s">
        <v>1396</v>
      </c>
      <c r="D6494" s="30">
        <v>2</v>
      </c>
      <c r="E6494" s="30">
        <v>10</v>
      </c>
      <c r="F6494" s="30">
        <f t="shared" si="210"/>
        <v>20</v>
      </c>
      <c r="G6494" s="30" t="s">
        <v>10</v>
      </c>
      <c r="J6494" s="30" t="s">
        <v>392</v>
      </c>
    </row>
    <row r="6495" spans="1:10" x14ac:dyDescent="0.25">
      <c r="A6495" s="78">
        <v>46270</v>
      </c>
      <c r="B6495" s="68">
        <v>20</v>
      </c>
      <c r="F6495" s="30">
        <f t="shared" si="210"/>
        <v>0</v>
      </c>
      <c r="G6495" s="30" t="s">
        <v>10</v>
      </c>
      <c r="J6495" s="30" t="s">
        <v>392</v>
      </c>
    </row>
    <row r="6496" spans="1:10" x14ac:dyDescent="0.25">
      <c r="A6496" s="78">
        <v>46270</v>
      </c>
      <c r="B6496" s="68">
        <v>20</v>
      </c>
      <c r="F6496" s="30">
        <f t="shared" si="210"/>
        <v>0</v>
      </c>
      <c r="G6496" s="30" t="s">
        <v>10</v>
      </c>
      <c r="J6496" s="30" t="s">
        <v>392</v>
      </c>
    </row>
    <row r="6497" spans="1:12" s="199" customFormat="1" ht="31.5" x14ac:dyDescent="0.25">
      <c r="A6497" s="196">
        <v>46270</v>
      </c>
      <c r="B6497" s="197" t="s">
        <v>1248</v>
      </c>
      <c r="C6497" s="198">
        <f>MAX(B6460:B6497)</f>
        <v>20</v>
      </c>
      <c r="D6497" s="197" t="s">
        <v>1249</v>
      </c>
      <c r="E6497" s="199">
        <f>SUMIF(G6460:G6497,"UPI",F6460:F6497)</f>
        <v>127</v>
      </c>
      <c r="H6497" s="200" t="s">
        <v>1251</v>
      </c>
      <c r="I6497" s="200">
        <f>SUMIF(G6460:G6497, "&lt;&gt;UPI",F6460:F6497)</f>
        <v>2540.6999999999998</v>
      </c>
    </row>
    <row r="6498" spans="1:12" s="5" customFormat="1" ht="15.75" x14ac:dyDescent="0.25">
      <c r="A6498" s="201">
        <v>46270</v>
      </c>
      <c r="B6498" s="2"/>
      <c r="C6498" s="14"/>
      <c r="H6498" s="2" t="s">
        <v>1250</v>
      </c>
      <c r="I6498" s="2">
        <f>SUMIF(G6460:G6497, "&lt;&gt;UPI",F6460:F6497)</f>
        <v>2540.6999999999998</v>
      </c>
    </row>
    <row r="6499" spans="1:12" s="202" customFormat="1" ht="18.75" customHeight="1" x14ac:dyDescent="0.3">
      <c r="A6499" s="146">
        <v>46270</v>
      </c>
      <c r="B6499" s="147" t="s">
        <v>987</v>
      </c>
      <c r="C6499" s="148">
        <f>MAX(B6460:B6498)</f>
        <v>20</v>
      </c>
      <c r="D6499" s="147" t="s">
        <v>988</v>
      </c>
      <c r="E6499" s="202">
        <f>SUMIF(G6460:G6497,"UPI",F6460:F6497)</f>
        <v>127</v>
      </c>
      <c r="F6499" s="227" t="s">
        <v>437</v>
      </c>
      <c r="G6499" s="228"/>
      <c r="H6499" s="229"/>
      <c r="I6499" s="227">
        <f>SUM(F6460:F6498)</f>
        <v>2667.7</v>
      </c>
      <c r="J6499" s="228"/>
      <c r="K6499" s="228"/>
      <c r="L6499" s="229"/>
    </row>
    <row r="6500" spans="1:12" x14ac:dyDescent="0.25">
      <c r="A6500" s="78">
        <v>46271</v>
      </c>
      <c r="B6500" s="68">
        <v>1</v>
      </c>
      <c r="C6500" s="205" t="s">
        <v>1291</v>
      </c>
      <c r="D6500" s="30">
        <v>5</v>
      </c>
      <c r="E6500" s="30">
        <v>55</v>
      </c>
      <c r="F6500" s="30">
        <f>E6500*D6500</f>
        <v>275</v>
      </c>
      <c r="G6500" s="30" t="s">
        <v>16</v>
      </c>
      <c r="I6500" s="68" t="s">
        <v>1200</v>
      </c>
      <c r="J6500" s="30" t="s">
        <v>392</v>
      </c>
    </row>
    <row r="6501" spans="1:12" x14ac:dyDescent="0.25">
      <c r="A6501" s="78">
        <v>46271</v>
      </c>
      <c r="B6501" s="68">
        <v>1</v>
      </c>
      <c r="C6501" s="205" t="s">
        <v>694</v>
      </c>
      <c r="D6501" s="30">
        <v>1</v>
      </c>
      <c r="E6501" s="30">
        <v>25</v>
      </c>
      <c r="F6501" s="30">
        <f t="shared" ref="F6501:F6511" si="211">E6501*D6501</f>
        <v>25</v>
      </c>
      <c r="G6501" s="30" t="s">
        <v>16</v>
      </c>
      <c r="I6501" s="68" t="s">
        <v>1200</v>
      </c>
      <c r="J6501" s="30" t="s">
        <v>392</v>
      </c>
    </row>
    <row r="6502" spans="1:12" x14ac:dyDescent="0.25">
      <c r="A6502" s="78">
        <v>46271</v>
      </c>
      <c r="B6502" s="68">
        <v>1</v>
      </c>
      <c r="C6502" s="205" t="s">
        <v>725</v>
      </c>
      <c r="D6502" s="30">
        <v>7.0000000000000007E-2</v>
      </c>
      <c r="E6502" s="30">
        <v>150</v>
      </c>
      <c r="F6502" s="30">
        <f t="shared" si="211"/>
        <v>10.500000000000002</v>
      </c>
      <c r="G6502" s="30" t="s">
        <v>16</v>
      </c>
      <c r="I6502" s="68" t="s">
        <v>1200</v>
      </c>
      <c r="J6502" s="30" t="s">
        <v>392</v>
      </c>
    </row>
    <row r="6503" spans="1:12" x14ac:dyDescent="0.25">
      <c r="A6503" s="78">
        <v>46271</v>
      </c>
      <c r="B6503" s="68">
        <v>1</v>
      </c>
      <c r="C6503" s="205" t="s">
        <v>728</v>
      </c>
      <c r="D6503" s="30">
        <v>0.06</v>
      </c>
      <c r="E6503" s="30">
        <v>170</v>
      </c>
      <c r="F6503" s="30">
        <f t="shared" si="211"/>
        <v>10.199999999999999</v>
      </c>
      <c r="G6503" s="30" t="s">
        <v>16</v>
      </c>
      <c r="I6503" s="68" t="s">
        <v>1200</v>
      </c>
      <c r="J6503" s="30" t="s">
        <v>392</v>
      </c>
    </row>
    <row r="6504" spans="1:12" x14ac:dyDescent="0.25">
      <c r="A6504" s="78">
        <v>46271</v>
      </c>
      <c r="B6504" s="68">
        <v>1</v>
      </c>
      <c r="C6504" s="205" t="s">
        <v>1171</v>
      </c>
      <c r="D6504" s="30">
        <v>1</v>
      </c>
      <c r="E6504" s="30">
        <v>60</v>
      </c>
      <c r="F6504" s="30">
        <f t="shared" si="211"/>
        <v>60</v>
      </c>
      <c r="G6504" s="30" t="s">
        <v>16</v>
      </c>
      <c r="I6504" s="68" t="s">
        <v>1200</v>
      </c>
      <c r="J6504" s="30" t="s">
        <v>392</v>
      </c>
    </row>
    <row r="6505" spans="1:12" x14ac:dyDescent="0.25">
      <c r="A6505" s="78">
        <v>46271</v>
      </c>
      <c r="B6505" s="68">
        <v>1</v>
      </c>
      <c r="C6505" s="205" t="s">
        <v>1117</v>
      </c>
      <c r="D6505" s="30">
        <v>6.8000000000000005E-2</v>
      </c>
      <c r="E6505" s="30">
        <v>300</v>
      </c>
      <c r="F6505" s="30">
        <f t="shared" si="211"/>
        <v>20.400000000000002</v>
      </c>
      <c r="G6505" s="30" t="s">
        <v>16</v>
      </c>
      <c r="I6505" s="68" t="s">
        <v>1200</v>
      </c>
      <c r="J6505" s="30" t="s">
        <v>392</v>
      </c>
    </row>
    <row r="6506" spans="1:12" x14ac:dyDescent="0.25">
      <c r="A6506" s="78">
        <v>46271</v>
      </c>
      <c r="B6506" s="68">
        <v>1</v>
      </c>
      <c r="C6506" s="205" t="s">
        <v>1041</v>
      </c>
      <c r="D6506" s="30">
        <v>1</v>
      </c>
      <c r="E6506" s="30">
        <v>75</v>
      </c>
      <c r="F6506" s="30">
        <f t="shared" si="211"/>
        <v>75</v>
      </c>
      <c r="G6506" s="30" t="s">
        <v>16</v>
      </c>
      <c r="I6506" s="68" t="s">
        <v>1200</v>
      </c>
      <c r="J6506" s="30" t="s">
        <v>392</v>
      </c>
    </row>
    <row r="6507" spans="1:12" x14ac:dyDescent="0.25">
      <c r="A6507" s="78">
        <v>46271</v>
      </c>
      <c r="B6507" s="68">
        <v>1</v>
      </c>
      <c r="C6507" s="205" t="s">
        <v>722</v>
      </c>
      <c r="D6507" s="30">
        <v>2.5000000000000001E-2</v>
      </c>
      <c r="E6507" s="30">
        <v>380</v>
      </c>
      <c r="F6507" s="30">
        <f t="shared" si="211"/>
        <v>9.5</v>
      </c>
      <c r="G6507" s="30" t="s">
        <v>16</v>
      </c>
      <c r="I6507" s="68" t="s">
        <v>1200</v>
      </c>
      <c r="J6507" s="30" t="s">
        <v>392</v>
      </c>
    </row>
    <row r="6508" spans="1:12" x14ac:dyDescent="0.25">
      <c r="A6508" s="78">
        <v>46271</v>
      </c>
      <c r="B6508" s="68">
        <v>2</v>
      </c>
      <c r="C6508" s="205" t="s">
        <v>120</v>
      </c>
      <c r="D6508" s="30">
        <v>1</v>
      </c>
      <c r="E6508" s="30">
        <v>5</v>
      </c>
      <c r="F6508" s="30">
        <f t="shared" si="211"/>
        <v>5</v>
      </c>
      <c r="G6508" s="30" t="s">
        <v>9</v>
      </c>
      <c r="I6508" s="68" t="s">
        <v>1200</v>
      </c>
      <c r="J6508" s="30" t="s">
        <v>392</v>
      </c>
    </row>
    <row r="6509" spans="1:12" x14ac:dyDescent="0.25">
      <c r="A6509" s="78">
        <v>46271</v>
      </c>
      <c r="B6509" s="68">
        <v>3</v>
      </c>
      <c r="C6509" s="205" t="s">
        <v>953</v>
      </c>
      <c r="D6509" s="30">
        <v>2</v>
      </c>
      <c r="E6509" s="30">
        <v>10</v>
      </c>
      <c r="F6509" s="30">
        <f t="shared" si="211"/>
        <v>20</v>
      </c>
      <c r="G6509" s="30" t="s">
        <v>9</v>
      </c>
      <c r="J6509" s="30" t="s">
        <v>392</v>
      </c>
    </row>
    <row r="6510" spans="1:12" x14ac:dyDescent="0.25">
      <c r="A6510" s="78">
        <v>46271</v>
      </c>
      <c r="B6510" s="68">
        <v>4</v>
      </c>
      <c r="C6510" s="205" t="s">
        <v>1165</v>
      </c>
      <c r="D6510" s="30">
        <v>20</v>
      </c>
      <c r="E6510" s="30">
        <v>1</v>
      </c>
      <c r="F6510" s="30">
        <f t="shared" si="211"/>
        <v>20</v>
      </c>
      <c r="G6510" s="30" t="s">
        <v>9</v>
      </c>
      <c r="J6510" s="30" t="s">
        <v>392</v>
      </c>
    </row>
    <row r="6511" spans="1:12" x14ac:dyDescent="0.25">
      <c r="A6511" s="78">
        <v>46271</v>
      </c>
      <c r="B6511" s="68">
        <v>4</v>
      </c>
      <c r="F6511" s="30">
        <f t="shared" si="211"/>
        <v>0</v>
      </c>
      <c r="J6511" s="30" t="s">
        <v>392</v>
      </c>
    </row>
    <row r="6512" spans="1:12" s="199" customFormat="1" ht="31.5" x14ac:dyDescent="0.25">
      <c r="A6512" s="196">
        <v>46268</v>
      </c>
      <c r="B6512" s="197" t="s">
        <v>1248</v>
      </c>
      <c r="C6512" s="198">
        <f>MAX(B6454:B6512)</f>
        <v>20</v>
      </c>
      <c r="D6512" s="197" t="s">
        <v>1249</v>
      </c>
      <c r="E6512" s="199">
        <f>SUMIF(G6454:G6512,"UPI",F6454:F6512)</f>
        <v>127</v>
      </c>
      <c r="H6512" s="200" t="s">
        <v>1251</v>
      </c>
      <c r="I6512" s="200">
        <f>SUMIF(G6454:G6512, "&lt;&gt;UPI",F6454:F6512)</f>
        <v>3351.3</v>
      </c>
    </row>
    <row r="6513" spans="1:12" s="5" customFormat="1" ht="15.75" x14ac:dyDescent="0.25">
      <c r="A6513" s="201">
        <v>46268</v>
      </c>
      <c r="B6513" s="2"/>
      <c r="C6513" s="14"/>
      <c r="H6513" s="2" t="s">
        <v>1250</v>
      </c>
      <c r="I6513" s="2">
        <f>SUMIF(G6454:G6512, "&lt;&gt;UPI",F6454:F6512)</f>
        <v>3351.3</v>
      </c>
    </row>
    <row r="6514" spans="1:12" s="202" customFormat="1" ht="18.75" customHeight="1" x14ac:dyDescent="0.3">
      <c r="A6514" s="146">
        <v>46268</v>
      </c>
      <c r="B6514" s="147" t="s">
        <v>987</v>
      </c>
      <c r="C6514" s="148">
        <f>MAX(B6454:B6513)</f>
        <v>20</v>
      </c>
      <c r="D6514" s="147" t="s">
        <v>988</v>
      </c>
      <c r="E6514" s="202">
        <f>SUMIF(G6454:G6512,"UPI",F6454:F6512)</f>
        <v>127</v>
      </c>
      <c r="F6514" s="227" t="s">
        <v>437</v>
      </c>
      <c r="G6514" s="228"/>
      <c r="H6514" s="229"/>
      <c r="I6514" s="227">
        <f>SUM(F6454:F6513)</f>
        <v>3478.3</v>
      </c>
      <c r="J6514" s="228"/>
      <c r="K6514" s="228"/>
      <c r="L6514" s="229"/>
    </row>
    <row r="6515" spans="1:12" x14ac:dyDescent="0.25">
      <c r="A6515" s="78">
        <v>46272</v>
      </c>
      <c r="B6515" s="68">
        <v>1</v>
      </c>
      <c r="C6515" s="19" t="s">
        <v>1383</v>
      </c>
      <c r="D6515" s="30">
        <v>2</v>
      </c>
      <c r="E6515" s="30">
        <v>15</v>
      </c>
      <c r="F6515" s="30">
        <f>E6515*D6515</f>
        <v>30</v>
      </c>
      <c r="G6515" s="30" t="s">
        <v>9</v>
      </c>
      <c r="J6515" s="30" t="s">
        <v>391</v>
      </c>
    </row>
    <row r="6516" spans="1:12" x14ac:dyDescent="0.25">
      <c r="A6516" s="78">
        <v>46272</v>
      </c>
      <c r="B6516" s="68">
        <v>2</v>
      </c>
      <c r="C6516" s="204" t="s">
        <v>970</v>
      </c>
      <c r="D6516" s="30">
        <v>2</v>
      </c>
      <c r="E6516" s="30">
        <v>10</v>
      </c>
      <c r="F6516" s="30">
        <f t="shared" ref="F6516:F6548" si="212">E6516*D6516</f>
        <v>20</v>
      </c>
      <c r="G6516" s="30" t="s">
        <v>9</v>
      </c>
      <c r="J6516" s="30" t="s">
        <v>391</v>
      </c>
    </row>
    <row r="6517" spans="1:12" x14ac:dyDescent="0.25">
      <c r="A6517" s="78">
        <v>46272</v>
      </c>
      <c r="B6517" s="68">
        <v>2</v>
      </c>
      <c r="C6517" s="205" t="s">
        <v>1146</v>
      </c>
      <c r="D6517" s="30">
        <v>1</v>
      </c>
      <c r="E6517" s="30">
        <v>10</v>
      </c>
      <c r="F6517" s="30">
        <f t="shared" si="212"/>
        <v>10</v>
      </c>
      <c r="G6517" s="30" t="s">
        <v>9</v>
      </c>
      <c r="J6517" s="30" t="s">
        <v>391</v>
      </c>
    </row>
    <row r="6518" spans="1:12" x14ac:dyDescent="0.25">
      <c r="A6518" s="78">
        <v>46272</v>
      </c>
      <c r="B6518" s="68">
        <v>2</v>
      </c>
      <c r="C6518" s="19" t="s">
        <v>1448</v>
      </c>
      <c r="D6518" s="30">
        <v>1</v>
      </c>
      <c r="E6518" s="30">
        <v>10</v>
      </c>
      <c r="F6518" s="30">
        <f t="shared" si="212"/>
        <v>10</v>
      </c>
      <c r="G6518" s="30" t="s">
        <v>9</v>
      </c>
      <c r="J6518" s="30" t="s">
        <v>391</v>
      </c>
    </row>
    <row r="6519" spans="1:12" x14ac:dyDescent="0.25">
      <c r="A6519" s="78">
        <v>46272</v>
      </c>
      <c r="B6519" s="68">
        <v>2</v>
      </c>
      <c r="C6519" s="205" t="s">
        <v>1288</v>
      </c>
      <c r="D6519" s="30">
        <v>2</v>
      </c>
      <c r="E6519" s="30">
        <v>5</v>
      </c>
      <c r="F6519" s="30">
        <f t="shared" si="212"/>
        <v>10</v>
      </c>
      <c r="G6519" s="30" t="s">
        <v>9</v>
      </c>
      <c r="J6519" s="30" t="s">
        <v>391</v>
      </c>
    </row>
    <row r="6520" spans="1:12" x14ac:dyDescent="0.25">
      <c r="A6520" s="78">
        <v>46272</v>
      </c>
      <c r="B6520" s="68">
        <v>3</v>
      </c>
      <c r="C6520" s="205" t="s">
        <v>948</v>
      </c>
      <c r="D6520" s="30">
        <v>1</v>
      </c>
      <c r="E6520" s="30">
        <v>205</v>
      </c>
      <c r="F6520" s="30">
        <f t="shared" si="212"/>
        <v>205</v>
      </c>
      <c r="G6520" s="30" t="s">
        <v>9</v>
      </c>
      <c r="J6520" s="30" t="s">
        <v>391</v>
      </c>
    </row>
    <row r="6521" spans="1:12" x14ac:dyDescent="0.25">
      <c r="A6521" s="78">
        <v>46272</v>
      </c>
      <c r="B6521" s="68">
        <v>4</v>
      </c>
      <c r="C6521" s="19" t="s">
        <v>1326</v>
      </c>
      <c r="D6521" s="30">
        <v>4</v>
      </c>
      <c r="E6521" s="30">
        <v>10</v>
      </c>
      <c r="F6521" s="30">
        <f t="shared" si="212"/>
        <v>40</v>
      </c>
      <c r="G6521" s="30" t="s">
        <v>9</v>
      </c>
      <c r="J6521" s="30" t="s">
        <v>391</v>
      </c>
    </row>
    <row r="6522" spans="1:12" x14ac:dyDescent="0.25">
      <c r="A6522" s="78">
        <v>46272</v>
      </c>
      <c r="B6522" s="68">
        <v>5</v>
      </c>
      <c r="C6522" s="19" t="s">
        <v>1383</v>
      </c>
      <c r="D6522" s="30">
        <v>1</v>
      </c>
      <c r="E6522" s="30">
        <v>20</v>
      </c>
      <c r="F6522" s="30">
        <f t="shared" si="212"/>
        <v>20</v>
      </c>
      <c r="G6522" s="30" t="s">
        <v>9</v>
      </c>
      <c r="J6522" s="30" t="s">
        <v>391</v>
      </c>
    </row>
    <row r="6523" spans="1:12" x14ac:dyDescent="0.25">
      <c r="A6523" s="78">
        <v>46272</v>
      </c>
      <c r="B6523" s="68">
        <v>5</v>
      </c>
      <c r="C6523" s="19" t="s">
        <v>1376</v>
      </c>
      <c r="D6523" s="30">
        <v>0.38</v>
      </c>
      <c r="E6523" s="30">
        <v>80</v>
      </c>
      <c r="F6523" s="30">
        <f t="shared" si="212"/>
        <v>30.4</v>
      </c>
      <c r="G6523" s="30" t="s">
        <v>9</v>
      </c>
      <c r="J6523" s="30" t="s">
        <v>391</v>
      </c>
    </row>
    <row r="6524" spans="1:12" x14ac:dyDescent="0.25">
      <c r="A6524" s="78">
        <v>46272</v>
      </c>
      <c r="B6524" s="68">
        <v>5</v>
      </c>
      <c r="C6524" s="19" t="s">
        <v>1380</v>
      </c>
      <c r="D6524" s="30">
        <v>3</v>
      </c>
      <c r="E6524" s="30">
        <v>10</v>
      </c>
      <c r="F6524" s="30">
        <f t="shared" si="212"/>
        <v>30</v>
      </c>
      <c r="G6524" s="30" t="s">
        <v>9</v>
      </c>
      <c r="J6524" s="30" t="s">
        <v>391</v>
      </c>
    </row>
    <row r="6525" spans="1:12" x14ac:dyDescent="0.25">
      <c r="A6525" s="78">
        <v>46272</v>
      </c>
      <c r="B6525" s="68">
        <v>5</v>
      </c>
      <c r="C6525" s="19" t="s">
        <v>1387</v>
      </c>
      <c r="D6525" s="30">
        <v>2</v>
      </c>
      <c r="E6525" s="30">
        <v>10</v>
      </c>
      <c r="F6525" s="30">
        <f t="shared" si="212"/>
        <v>20</v>
      </c>
      <c r="G6525" s="30" t="s">
        <v>9</v>
      </c>
      <c r="J6525" s="30" t="s">
        <v>391</v>
      </c>
    </row>
    <row r="6526" spans="1:12" x14ac:dyDescent="0.25">
      <c r="A6526" s="78">
        <v>46272</v>
      </c>
      <c r="B6526" s="68">
        <v>5</v>
      </c>
      <c r="C6526" s="205" t="s">
        <v>699</v>
      </c>
      <c r="D6526" s="30">
        <v>1</v>
      </c>
      <c r="E6526" s="30">
        <v>15</v>
      </c>
      <c r="F6526" s="30">
        <f t="shared" si="212"/>
        <v>15</v>
      </c>
      <c r="G6526" s="30" t="s">
        <v>9</v>
      </c>
      <c r="J6526" s="30" t="s">
        <v>391</v>
      </c>
    </row>
    <row r="6527" spans="1:12" x14ac:dyDescent="0.25">
      <c r="A6527" s="78">
        <v>46272</v>
      </c>
      <c r="B6527" s="68">
        <v>5</v>
      </c>
      <c r="C6527" s="205" t="s">
        <v>785</v>
      </c>
      <c r="D6527" s="30">
        <v>5</v>
      </c>
      <c r="E6527" s="30">
        <v>1</v>
      </c>
      <c r="F6527" s="30">
        <f t="shared" si="212"/>
        <v>5</v>
      </c>
      <c r="G6527" s="30" t="s">
        <v>9</v>
      </c>
      <c r="J6527" s="30" t="s">
        <v>391</v>
      </c>
    </row>
    <row r="6528" spans="1:12" x14ac:dyDescent="0.25">
      <c r="A6528" s="78">
        <v>46272</v>
      </c>
      <c r="B6528" s="68">
        <v>6</v>
      </c>
      <c r="C6528" s="19" t="s">
        <v>1326</v>
      </c>
      <c r="D6528" s="30">
        <v>2</v>
      </c>
      <c r="E6528" s="30">
        <v>10</v>
      </c>
      <c r="F6528" s="30">
        <f t="shared" si="212"/>
        <v>20</v>
      </c>
      <c r="G6528" s="30" t="s">
        <v>9</v>
      </c>
      <c r="J6528" s="30" t="s">
        <v>391</v>
      </c>
    </row>
    <row r="6529" spans="1:10" x14ac:dyDescent="0.25">
      <c r="A6529" s="78">
        <v>46272</v>
      </c>
      <c r="B6529" s="68">
        <v>7</v>
      </c>
      <c r="C6529" s="19" t="s">
        <v>1383</v>
      </c>
      <c r="D6529" s="30">
        <v>2</v>
      </c>
      <c r="E6529" s="30">
        <v>15</v>
      </c>
      <c r="F6529" s="30">
        <f t="shared" si="212"/>
        <v>30</v>
      </c>
      <c r="G6529" s="30" t="s">
        <v>16</v>
      </c>
      <c r="I6529" s="68" t="s">
        <v>1200</v>
      </c>
      <c r="J6529" s="30" t="s">
        <v>391</v>
      </c>
    </row>
    <row r="6530" spans="1:10" x14ac:dyDescent="0.25">
      <c r="A6530" s="78">
        <v>46272</v>
      </c>
      <c r="B6530" s="68">
        <v>8</v>
      </c>
      <c r="C6530" s="19" t="s">
        <v>1438</v>
      </c>
      <c r="D6530" s="30">
        <v>3.4000000000000002E-2</v>
      </c>
      <c r="E6530" s="30">
        <v>320</v>
      </c>
      <c r="F6530" s="30">
        <f t="shared" si="212"/>
        <v>10.88</v>
      </c>
      <c r="G6530" s="30" t="s">
        <v>10</v>
      </c>
      <c r="J6530" s="30" t="s">
        <v>391</v>
      </c>
    </row>
    <row r="6531" spans="1:10" x14ac:dyDescent="0.25">
      <c r="A6531" s="78">
        <v>46272</v>
      </c>
      <c r="B6531" s="68">
        <v>8</v>
      </c>
      <c r="C6531" s="205" t="s">
        <v>1147</v>
      </c>
      <c r="D6531" s="30">
        <v>1</v>
      </c>
      <c r="E6531" s="30">
        <v>10</v>
      </c>
      <c r="F6531" s="30">
        <f t="shared" si="212"/>
        <v>10</v>
      </c>
      <c r="G6531" s="30" t="s">
        <v>10</v>
      </c>
      <c r="J6531" s="30" t="s">
        <v>391</v>
      </c>
    </row>
    <row r="6532" spans="1:10" x14ac:dyDescent="0.25">
      <c r="A6532" s="78">
        <v>46272</v>
      </c>
      <c r="B6532" s="68">
        <v>8</v>
      </c>
      <c r="C6532" s="205" t="s">
        <v>1254</v>
      </c>
      <c r="D6532" s="30">
        <v>1</v>
      </c>
      <c r="E6532" s="30">
        <v>10</v>
      </c>
      <c r="F6532" s="30">
        <f t="shared" si="212"/>
        <v>10</v>
      </c>
      <c r="G6532" s="30" t="s">
        <v>10</v>
      </c>
      <c r="J6532" s="30" t="s">
        <v>391</v>
      </c>
    </row>
    <row r="6533" spans="1:10" ht="30" x14ac:dyDescent="0.25">
      <c r="A6533" s="78">
        <v>46272</v>
      </c>
      <c r="B6533" s="68">
        <v>8</v>
      </c>
      <c r="C6533" s="204" t="s">
        <v>377</v>
      </c>
      <c r="D6533" s="30">
        <v>1</v>
      </c>
      <c r="E6533" s="30">
        <v>10</v>
      </c>
      <c r="F6533" s="30">
        <f t="shared" si="212"/>
        <v>10</v>
      </c>
      <c r="G6533" s="30" t="s">
        <v>10</v>
      </c>
      <c r="J6533" s="30" t="s">
        <v>391</v>
      </c>
    </row>
    <row r="6534" spans="1:10" x14ac:dyDescent="0.25">
      <c r="A6534" s="78">
        <v>46272</v>
      </c>
      <c r="B6534" s="68">
        <v>8</v>
      </c>
      <c r="C6534" s="205" t="s">
        <v>1126</v>
      </c>
      <c r="D6534" s="30">
        <v>1</v>
      </c>
      <c r="E6534" s="30">
        <v>10</v>
      </c>
      <c r="F6534" s="30">
        <f t="shared" si="212"/>
        <v>10</v>
      </c>
      <c r="G6534" s="30" t="s">
        <v>10</v>
      </c>
      <c r="J6534" s="30" t="s">
        <v>391</v>
      </c>
    </row>
    <row r="6535" spans="1:10" x14ac:dyDescent="0.25">
      <c r="A6535" s="78">
        <v>46272</v>
      </c>
      <c r="B6535" s="68">
        <v>9</v>
      </c>
      <c r="C6535" s="19" t="s">
        <v>1376</v>
      </c>
      <c r="D6535" s="30">
        <v>0.5</v>
      </c>
      <c r="E6535" s="30">
        <v>80</v>
      </c>
      <c r="F6535" s="30">
        <f t="shared" si="212"/>
        <v>40</v>
      </c>
      <c r="G6535" s="30" t="s">
        <v>9</v>
      </c>
      <c r="J6535" s="30" t="s">
        <v>391</v>
      </c>
    </row>
    <row r="6536" spans="1:10" x14ac:dyDescent="0.25">
      <c r="A6536" s="78">
        <v>46272</v>
      </c>
      <c r="B6536" s="68">
        <v>10</v>
      </c>
      <c r="C6536" s="19" t="s">
        <v>1384</v>
      </c>
      <c r="D6536" s="30">
        <v>2</v>
      </c>
      <c r="E6536" s="30">
        <v>10</v>
      </c>
      <c r="F6536" s="30">
        <f t="shared" si="212"/>
        <v>20</v>
      </c>
      <c r="G6536" s="30" t="s">
        <v>9</v>
      </c>
      <c r="J6536" s="30" t="s">
        <v>391</v>
      </c>
    </row>
    <row r="6537" spans="1:10" x14ac:dyDescent="0.25">
      <c r="A6537" s="78">
        <v>46272</v>
      </c>
      <c r="B6537" s="68">
        <v>10</v>
      </c>
      <c r="C6537" s="19" t="s">
        <v>1419</v>
      </c>
      <c r="D6537" s="30">
        <v>2</v>
      </c>
      <c r="E6537" s="30">
        <v>10</v>
      </c>
      <c r="F6537" s="30">
        <f t="shared" si="212"/>
        <v>20</v>
      </c>
      <c r="G6537" s="30" t="s">
        <v>9</v>
      </c>
      <c r="J6537" s="30" t="s">
        <v>391</v>
      </c>
    </row>
    <row r="6538" spans="1:10" x14ac:dyDescent="0.25">
      <c r="A6538" s="78">
        <v>46272</v>
      </c>
      <c r="B6538" s="68">
        <v>10</v>
      </c>
      <c r="C6538" s="205" t="s">
        <v>1147</v>
      </c>
      <c r="D6538" s="30">
        <v>1</v>
      </c>
      <c r="E6538" s="30">
        <v>10</v>
      </c>
      <c r="F6538" s="30">
        <f t="shared" si="212"/>
        <v>10</v>
      </c>
      <c r="G6538" s="30" t="s">
        <v>9</v>
      </c>
      <c r="J6538" s="30" t="s">
        <v>391</v>
      </c>
    </row>
    <row r="6539" spans="1:10" x14ac:dyDescent="0.25">
      <c r="A6539" s="78">
        <v>46272</v>
      </c>
      <c r="B6539" s="68">
        <v>10</v>
      </c>
      <c r="C6539" s="19" t="s">
        <v>1445</v>
      </c>
      <c r="D6539" s="30">
        <v>2</v>
      </c>
      <c r="E6539" s="30">
        <v>10</v>
      </c>
      <c r="F6539" s="30">
        <f t="shared" si="212"/>
        <v>20</v>
      </c>
      <c r="G6539" s="30" t="s">
        <v>9</v>
      </c>
      <c r="J6539" s="30" t="s">
        <v>391</v>
      </c>
    </row>
    <row r="6540" spans="1:10" x14ac:dyDescent="0.25">
      <c r="A6540" s="78">
        <v>46272</v>
      </c>
      <c r="B6540" s="68">
        <v>11</v>
      </c>
      <c r="C6540" s="204" t="s">
        <v>970</v>
      </c>
      <c r="D6540" s="30">
        <v>1</v>
      </c>
      <c r="E6540" s="30">
        <v>10</v>
      </c>
      <c r="F6540" s="30">
        <f t="shared" si="212"/>
        <v>10</v>
      </c>
      <c r="G6540" s="30" t="s">
        <v>9</v>
      </c>
      <c r="J6540" s="30" t="s">
        <v>391</v>
      </c>
    </row>
    <row r="6541" spans="1:10" x14ac:dyDescent="0.25">
      <c r="A6541" s="78">
        <v>46272</v>
      </c>
      <c r="B6541" s="68">
        <v>12</v>
      </c>
      <c r="C6541" s="205" t="s">
        <v>750</v>
      </c>
      <c r="D6541" s="30">
        <v>1</v>
      </c>
      <c r="E6541" s="30">
        <v>50</v>
      </c>
      <c r="F6541" s="30">
        <f t="shared" si="212"/>
        <v>50</v>
      </c>
      <c r="G6541" s="30" t="s">
        <v>9</v>
      </c>
      <c r="J6541" s="30" t="s">
        <v>391</v>
      </c>
    </row>
    <row r="6542" spans="1:10" x14ac:dyDescent="0.25">
      <c r="A6542" s="78">
        <v>46272</v>
      </c>
      <c r="B6542" s="68">
        <v>13</v>
      </c>
      <c r="C6542" s="19" t="s">
        <v>1344</v>
      </c>
      <c r="D6542" s="30">
        <v>2</v>
      </c>
      <c r="E6542" s="30">
        <v>20</v>
      </c>
      <c r="F6542" s="30">
        <f t="shared" si="212"/>
        <v>40</v>
      </c>
      <c r="G6542" s="30" t="s">
        <v>9</v>
      </c>
      <c r="J6542" s="30" t="s">
        <v>391</v>
      </c>
    </row>
    <row r="6543" spans="1:10" x14ac:dyDescent="0.25">
      <c r="A6543" s="78">
        <v>46272</v>
      </c>
      <c r="B6543" s="68">
        <v>13</v>
      </c>
      <c r="C6543" s="204" t="s">
        <v>1396</v>
      </c>
      <c r="D6543" s="30">
        <v>1</v>
      </c>
      <c r="E6543" s="30">
        <v>10</v>
      </c>
      <c r="F6543" s="30">
        <f t="shared" si="212"/>
        <v>10</v>
      </c>
      <c r="G6543" s="30" t="s">
        <v>9</v>
      </c>
      <c r="J6543" s="30" t="s">
        <v>391</v>
      </c>
    </row>
    <row r="6544" spans="1:10" x14ac:dyDescent="0.25">
      <c r="A6544" s="78">
        <v>46272</v>
      </c>
      <c r="B6544" s="68">
        <v>13</v>
      </c>
      <c r="C6544" s="19" t="s">
        <v>1381</v>
      </c>
      <c r="D6544" s="30">
        <v>1</v>
      </c>
      <c r="E6544" s="30">
        <v>20</v>
      </c>
      <c r="F6544" s="30">
        <f t="shared" si="212"/>
        <v>20</v>
      </c>
      <c r="G6544" s="30" t="s">
        <v>9</v>
      </c>
      <c r="J6544" s="30" t="s">
        <v>391</v>
      </c>
    </row>
    <row r="6545" spans="1:10" x14ac:dyDescent="0.25">
      <c r="A6545" s="78">
        <v>46272</v>
      </c>
      <c r="B6545" s="68">
        <v>13</v>
      </c>
      <c r="C6545" s="19" t="s">
        <v>1374</v>
      </c>
      <c r="D6545" s="30">
        <v>1</v>
      </c>
      <c r="E6545" s="30">
        <v>20</v>
      </c>
      <c r="F6545" s="30">
        <f t="shared" si="212"/>
        <v>20</v>
      </c>
      <c r="G6545" s="30" t="s">
        <v>9</v>
      </c>
      <c r="J6545" s="30" t="s">
        <v>391</v>
      </c>
    </row>
    <row r="6546" spans="1:10" x14ac:dyDescent="0.25">
      <c r="A6546" s="78">
        <v>46272</v>
      </c>
      <c r="B6546" s="68">
        <v>14</v>
      </c>
      <c r="C6546" s="19" t="s">
        <v>1381</v>
      </c>
      <c r="D6546" s="30">
        <v>1</v>
      </c>
      <c r="E6546" s="30">
        <v>20</v>
      </c>
      <c r="F6546" s="30">
        <f t="shared" si="212"/>
        <v>20</v>
      </c>
      <c r="G6546" s="30" t="s">
        <v>16</v>
      </c>
      <c r="I6546" s="68" t="s">
        <v>1203</v>
      </c>
      <c r="J6546" s="30" t="s">
        <v>391</v>
      </c>
    </row>
    <row r="6547" spans="1:10" x14ac:dyDescent="0.25">
      <c r="A6547" s="78">
        <v>46272</v>
      </c>
      <c r="B6547" s="68">
        <v>14</v>
      </c>
      <c r="C6547" s="19" t="s">
        <v>1377</v>
      </c>
      <c r="D6547" s="30">
        <v>1</v>
      </c>
      <c r="E6547" s="30">
        <v>10</v>
      </c>
      <c r="F6547" s="30">
        <f t="shared" si="212"/>
        <v>10</v>
      </c>
      <c r="G6547" s="30" t="s">
        <v>16</v>
      </c>
      <c r="I6547" s="68" t="s">
        <v>1203</v>
      </c>
      <c r="J6547" s="30" t="s">
        <v>391</v>
      </c>
    </row>
    <row r="6548" spans="1:10" ht="30" x14ac:dyDescent="0.25">
      <c r="A6548" s="78">
        <v>46272</v>
      </c>
      <c r="B6548" s="68">
        <v>14</v>
      </c>
      <c r="C6548" s="19" t="s">
        <v>1420</v>
      </c>
      <c r="D6548" s="30">
        <v>1</v>
      </c>
      <c r="E6548" s="30">
        <v>160</v>
      </c>
      <c r="F6548" s="30">
        <f t="shared" si="212"/>
        <v>160</v>
      </c>
      <c r="G6548" s="30" t="s">
        <v>16</v>
      </c>
      <c r="I6548" s="68" t="s">
        <v>1203</v>
      </c>
      <c r="J6548" s="30" t="s">
        <v>391</v>
      </c>
    </row>
    <row r="6549" spans="1:10" s="199" customFormat="1" ht="31.5" x14ac:dyDescent="0.25">
      <c r="A6549" s="196">
        <v>46272</v>
      </c>
      <c r="B6549" s="197" t="s">
        <v>1245</v>
      </c>
      <c r="C6549" s="198">
        <f>MAX(B6515:B6549)</f>
        <v>14</v>
      </c>
      <c r="D6549" s="197" t="s">
        <v>1246</v>
      </c>
      <c r="E6549" s="199">
        <f>SUMIF(G6515:G6549,"UPI",F6515:F6549)</f>
        <v>50.88</v>
      </c>
      <c r="H6549" s="200" t="s">
        <v>1247</v>
      </c>
      <c r="I6549" s="200">
        <f>SUMIF(G6515:G6549, "&lt;&gt;UPI",F6515:F6549)</f>
        <v>945.4</v>
      </c>
    </row>
    <row r="6550" spans="1:10" ht="30" x14ac:dyDescent="0.25">
      <c r="A6550" s="78">
        <v>46272</v>
      </c>
      <c r="B6550" s="68">
        <v>15</v>
      </c>
      <c r="C6550" s="19" t="s">
        <v>1394</v>
      </c>
      <c r="D6550" s="30">
        <v>3</v>
      </c>
      <c r="E6550" s="30">
        <v>10</v>
      </c>
      <c r="F6550" s="30">
        <f t="shared" ref="F6550:F6579" si="213">E6550*D6550</f>
        <v>30</v>
      </c>
      <c r="G6550" s="30" t="s">
        <v>9</v>
      </c>
      <c r="J6550" s="30" t="s">
        <v>392</v>
      </c>
    </row>
    <row r="6551" spans="1:10" x14ac:dyDescent="0.25">
      <c r="A6551" s="78">
        <v>46272</v>
      </c>
      <c r="B6551" s="68">
        <v>16</v>
      </c>
      <c r="C6551" s="19" t="s">
        <v>1384</v>
      </c>
      <c r="D6551" s="30">
        <v>1</v>
      </c>
      <c r="E6551" s="30">
        <v>10</v>
      </c>
      <c r="F6551" s="30">
        <f t="shared" si="213"/>
        <v>10</v>
      </c>
      <c r="G6551" s="30" t="s">
        <v>9</v>
      </c>
      <c r="J6551" s="30" t="s">
        <v>392</v>
      </c>
    </row>
    <row r="6552" spans="1:10" x14ac:dyDescent="0.25">
      <c r="A6552" s="78">
        <v>46272</v>
      </c>
      <c r="B6552" s="68">
        <v>16</v>
      </c>
      <c r="C6552" s="205" t="s">
        <v>1074</v>
      </c>
      <c r="D6552" s="30">
        <v>1</v>
      </c>
      <c r="E6552" s="30">
        <v>10</v>
      </c>
      <c r="F6552" s="30">
        <f t="shared" si="213"/>
        <v>10</v>
      </c>
      <c r="G6552" s="30" t="s">
        <v>9</v>
      </c>
      <c r="J6552" s="30" t="s">
        <v>392</v>
      </c>
    </row>
    <row r="6553" spans="1:10" ht="30" x14ac:dyDescent="0.25">
      <c r="A6553" s="78">
        <v>46272</v>
      </c>
      <c r="B6553" s="68">
        <v>17</v>
      </c>
      <c r="C6553" s="19" t="s">
        <v>1394</v>
      </c>
      <c r="D6553" s="30">
        <v>2</v>
      </c>
      <c r="E6553" s="30">
        <v>10</v>
      </c>
      <c r="F6553" s="30">
        <f t="shared" si="213"/>
        <v>20</v>
      </c>
      <c r="G6553" s="30" t="s">
        <v>9</v>
      </c>
      <c r="J6553" s="30" t="s">
        <v>392</v>
      </c>
    </row>
    <row r="6554" spans="1:10" x14ac:dyDescent="0.25">
      <c r="A6554" s="78">
        <v>46272</v>
      </c>
      <c r="B6554" s="68">
        <v>17</v>
      </c>
      <c r="C6554" s="19" t="s">
        <v>1381</v>
      </c>
      <c r="D6554" s="30">
        <v>1</v>
      </c>
      <c r="E6554" s="30">
        <v>20</v>
      </c>
      <c r="F6554" s="30">
        <f t="shared" si="213"/>
        <v>20</v>
      </c>
      <c r="G6554" s="30" t="s">
        <v>9</v>
      </c>
      <c r="J6554" s="30" t="s">
        <v>392</v>
      </c>
    </row>
    <row r="6555" spans="1:10" x14ac:dyDescent="0.25">
      <c r="A6555" s="78">
        <v>46272</v>
      </c>
      <c r="B6555" s="68">
        <v>17</v>
      </c>
      <c r="C6555" s="205" t="s">
        <v>578</v>
      </c>
      <c r="D6555" s="30">
        <v>2</v>
      </c>
      <c r="E6555" s="30">
        <v>5</v>
      </c>
      <c r="F6555" s="30">
        <f t="shared" si="213"/>
        <v>10</v>
      </c>
      <c r="G6555" s="30" t="s">
        <v>9</v>
      </c>
      <c r="J6555" s="30" t="s">
        <v>392</v>
      </c>
    </row>
    <row r="6556" spans="1:10" x14ac:dyDescent="0.25">
      <c r="A6556" s="78">
        <v>46272</v>
      </c>
      <c r="B6556" s="68">
        <v>18</v>
      </c>
      <c r="C6556" s="19" t="s">
        <v>1387</v>
      </c>
      <c r="D6556" s="30">
        <v>9</v>
      </c>
      <c r="E6556" s="30">
        <v>10</v>
      </c>
      <c r="F6556" s="30">
        <f t="shared" si="213"/>
        <v>90</v>
      </c>
      <c r="G6556" s="30" t="s">
        <v>9</v>
      </c>
      <c r="J6556" s="30" t="s">
        <v>392</v>
      </c>
    </row>
    <row r="6557" spans="1:10" x14ac:dyDescent="0.25">
      <c r="A6557" s="78">
        <v>46272</v>
      </c>
      <c r="B6557" s="68">
        <v>19</v>
      </c>
      <c r="C6557" s="19" t="s">
        <v>1381</v>
      </c>
      <c r="D6557" s="30">
        <v>1</v>
      </c>
      <c r="E6557" s="30">
        <v>20</v>
      </c>
      <c r="F6557" s="30">
        <f t="shared" si="213"/>
        <v>20</v>
      </c>
      <c r="G6557" s="30" t="s">
        <v>10</v>
      </c>
      <c r="J6557" s="30" t="s">
        <v>392</v>
      </c>
    </row>
    <row r="6558" spans="1:10" x14ac:dyDescent="0.25">
      <c r="A6558" s="78">
        <v>46272</v>
      </c>
      <c r="B6558" s="68">
        <v>19</v>
      </c>
      <c r="C6558" s="205" t="s">
        <v>1254</v>
      </c>
      <c r="D6558" s="30">
        <v>1</v>
      </c>
      <c r="E6558" s="30">
        <v>10</v>
      </c>
      <c r="F6558" s="30">
        <f t="shared" si="213"/>
        <v>10</v>
      </c>
      <c r="G6558" s="30" t="s">
        <v>10</v>
      </c>
      <c r="J6558" s="30" t="s">
        <v>392</v>
      </c>
    </row>
    <row r="6559" spans="1:10" x14ac:dyDescent="0.25">
      <c r="A6559" s="78">
        <v>46272</v>
      </c>
      <c r="B6559" s="68">
        <v>19</v>
      </c>
      <c r="C6559" s="205" t="s">
        <v>1273</v>
      </c>
      <c r="D6559" s="30">
        <v>2</v>
      </c>
      <c r="E6559" s="30">
        <v>5</v>
      </c>
      <c r="F6559" s="30">
        <f t="shared" si="213"/>
        <v>10</v>
      </c>
      <c r="G6559" s="30" t="s">
        <v>10</v>
      </c>
      <c r="J6559" s="30" t="s">
        <v>392</v>
      </c>
    </row>
    <row r="6560" spans="1:10" x14ac:dyDescent="0.25">
      <c r="A6560" s="78">
        <v>46272</v>
      </c>
      <c r="B6560" s="68">
        <v>20</v>
      </c>
      <c r="C6560" s="205" t="s">
        <v>590</v>
      </c>
      <c r="D6560" s="30">
        <v>1</v>
      </c>
      <c r="E6560" s="30">
        <v>44</v>
      </c>
      <c r="F6560" s="30">
        <f t="shared" si="213"/>
        <v>44</v>
      </c>
      <c r="G6560" s="30" t="s">
        <v>9</v>
      </c>
      <c r="J6560" s="30" t="s">
        <v>392</v>
      </c>
    </row>
    <row r="6561" spans="1:10" x14ac:dyDescent="0.25">
      <c r="A6561" s="78">
        <v>46272</v>
      </c>
      <c r="B6561" s="68">
        <v>21</v>
      </c>
      <c r="C6561" s="19" t="s">
        <v>1377</v>
      </c>
      <c r="D6561" s="30">
        <v>2</v>
      </c>
      <c r="E6561" s="30">
        <v>10</v>
      </c>
      <c r="F6561" s="30">
        <f t="shared" si="213"/>
        <v>20</v>
      </c>
      <c r="G6561" s="30" t="s">
        <v>9</v>
      </c>
      <c r="J6561" s="30" t="s">
        <v>392</v>
      </c>
    </row>
    <row r="6562" spans="1:10" x14ac:dyDescent="0.25">
      <c r="A6562" s="78">
        <v>46272</v>
      </c>
      <c r="B6562" s="68">
        <v>22</v>
      </c>
      <c r="C6562" s="205" t="s">
        <v>1254</v>
      </c>
      <c r="D6562" s="30">
        <v>1</v>
      </c>
      <c r="E6562" s="30">
        <v>10</v>
      </c>
      <c r="F6562" s="30">
        <f t="shared" si="213"/>
        <v>10</v>
      </c>
      <c r="G6562" s="30" t="s">
        <v>10</v>
      </c>
      <c r="J6562" s="30" t="s">
        <v>392</v>
      </c>
    </row>
    <row r="6563" spans="1:10" x14ac:dyDescent="0.25">
      <c r="A6563" s="78">
        <v>46272</v>
      </c>
      <c r="B6563" s="68">
        <v>22</v>
      </c>
      <c r="C6563" s="205" t="s">
        <v>1273</v>
      </c>
      <c r="D6563" s="30">
        <v>2</v>
      </c>
      <c r="E6563" s="30">
        <v>5</v>
      </c>
      <c r="F6563" s="30">
        <f t="shared" si="213"/>
        <v>10</v>
      </c>
      <c r="G6563" s="30" t="s">
        <v>10</v>
      </c>
      <c r="J6563" s="30" t="s">
        <v>392</v>
      </c>
    </row>
    <row r="6564" spans="1:10" x14ac:dyDescent="0.25">
      <c r="A6564" s="78">
        <v>46272</v>
      </c>
      <c r="B6564" s="68">
        <v>22</v>
      </c>
      <c r="C6564" s="205" t="s">
        <v>874</v>
      </c>
      <c r="D6564" s="30">
        <v>1</v>
      </c>
      <c r="E6564" s="30">
        <v>35</v>
      </c>
      <c r="F6564" s="30">
        <f t="shared" si="213"/>
        <v>35</v>
      </c>
      <c r="G6564" s="30" t="s">
        <v>10</v>
      </c>
      <c r="J6564" s="30" t="s">
        <v>392</v>
      </c>
    </row>
    <row r="6565" spans="1:10" x14ac:dyDescent="0.25">
      <c r="A6565" s="78">
        <v>46272</v>
      </c>
      <c r="B6565" s="68">
        <v>23</v>
      </c>
      <c r="C6565" s="205" t="s">
        <v>590</v>
      </c>
      <c r="D6565" s="30">
        <v>0.45</v>
      </c>
      <c r="E6565" s="30">
        <v>44</v>
      </c>
      <c r="F6565" s="30">
        <f t="shared" si="213"/>
        <v>19.8</v>
      </c>
      <c r="G6565" s="30" t="s">
        <v>9</v>
      </c>
      <c r="J6565" s="30" t="s">
        <v>392</v>
      </c>
    </row>
    <row r="6566" spans="1:10" x14ac:dyDescent="0.25">
      <c r="A6566" s="78">
        <v>46272</v>
      </c>
      <c r="B6566" s="68">
        <v>23</v>
      </c>
      <c r="C6566" s="205" t="s">
        <v>1146</v>
      </c>
      <c r="D6566" s="30">
        <v>1</v>
      </c>
      <c r="E6566" s="30">
        <v>10</v>
      </c>
      <c r="F6566" s="30">
        <f t="shared" si="213"/>
        <v>10</v>
      </c>
      <c r="G6566" s="30" t="s">
        <v>9</v>
      </c>
      <c r="J6566" s="30" t="s">
        <v>392</v>
      </c>
    </row>
    <row r="6567" spans="1:10" x14ac:dyDescent="0.25">
      <c r="A6567" s="78">
        <v>46272</v>
      </c>
      <c r="B6567" s="68">
        <v>24</v>
      </c>
      <c r="C6567" s="205" t="s">
        <v>590</v>
      </c>
      <c r="D6567" s="30">
        <v>0.45</v>
      </c>
      <c r="E6567" s="30">
        <v>44</v>
      </c>
      <c r="F6567" s="30">
        <f t="shared" si="213"/>
        <v>19.8</v>
      </c>
      <c r="G6567" s="30" t="s">
        <v>16</v>
      </c>
      <c r="I6567" s="68" t="s">
        <v>1203</v>
      </c>
      <c r="J6567" s="30" t="s">
        <v>392</v>
      </c>
    </row>
    <row r="6568" spans="1:10" x14ac:dyDescent="0.25">
      <c r="A6568" s="78">
        <v>46272</v>
      </c>
      <c r="B6568" s="68">
        <v>24</v>
      </c>
      <c r="C6568" s="205" t="s">
        <v>1473</v>
      </c>
      <c r="D6568" s="30">
        <v>1</v>
      </c>
      <c r="E6568" s="30">
        <v>20</v>
      </c>
      <c r="F6568" s="30">
        <f t="shared" si="213"/>
        <v>20</v>
      </c>
      <c r="G6568" s="30" t="s">
        <v>16</v>
      </c>
      <c r="I6568" s="68" t="s">
        <v>1203</v>
      </c>
      <c r="J6568" s="30" t="s">
        <v>392</v>
      </c>
    </row>
    <row r="6569" spans="1:10" x14ac:dyDescent="0.25">
      <c r="A6569" s="78">
        <v>46272</v>
      </c>
      <c r="B6569" s="68">
        <v>24</v>
      </c>
      <c r="C6569" s="204" t="s">
        <v>1396</v>
      </c>
      <c r="D6569" s="30">
        <v>2</v>
      </c>
      <c r="E6569" s="30">
        <v>10</v>
      </c>
      <c r="F6569" s="30">
        <f t="shared" si="213"/>
        <v>20</v>
      </c>
      <c r="G6569" s="30" t="s">
        <v>16</v>
      </c>
      <c r="I6569" s="68" t="s">
        <v>1203</v>
      </c>
      <c r="J6569" s="30" t="s">
        <v>392</v>
      </c>
    </row>
    <row r="6570" spans="1:10" x14ac:dyDescent="0.25">
      <c r="A6570" s="78">
        <v>46272</v>
      </c>
      <c r="B6570" s="68">
        <v>25</v>
      </c>
      <c r="C6570" s="204" t="s">
        <v>1285</v>
      </c>
      <c r="D6570" s="30">
        <v>1</v>
      </c>
      <c r="E6570" s="30">
        <v>60</v>
      </c>
      <c r="F6570" s="30">
        <f t="shared" si="213"/>
        <v>60</v>
      </c>
      <c r="G6570" s="30" t="s">
        <v>9</v>
      </c>
      <c r="J6570" s="30" t="s">
        <v>392</v>
      </c>
    </row>
    <row r="6571" spans="1:10" x14ac:dyDescent="0.25">
      <c r="A6571" s="78">
        <v>46272</v>
      </c>
      <c r="B6571" s="68">
        <v>26</v>
      </c>
      <c r="C6571" s="205" t="s">
        <v>381</v>
      </c>
      <c r="D6571" s="30">
        <v>1</v>
      </c>
      <c r="E6571" s="30">
        <v>20</v>
      </c>
      <c r="F6571" s="30">
        <f t="shared" si="213"/>
        <v>20</v>
      </c>
      <c r="G6571" s="30" t="s">
        <v>9</v>
      </c>
      <c r="J6571" s="30" t="s">
        <v>392</v>
      </c>
    </row>
    <row r="6572" spans="1:10" x14ac:dyDescent="0.25">
      <c r="A6572" s="78">
        <v>46272</v>
      </c>
      <c r="B6572" s="68">
        <v>26</v>
      </c>
      <c r="C6572" s="19" t="s">
        <v>1344</v>
      </c>
      <c r="D6572" s="30">
        <v>1</v>
      </c>
      <c r="E6572" s="30">
        <v>20</v>
      </c>
      <c r="F6572" s="30">
        <f t="shared" si="213"/>
        <v>20</v>
      </c>
      <c r="G6572" s="30" t="s">
        <v>9</v>
      </c>
      <c r="J6572" s="30" t="s">
        <v>392</v>
      </c>
    </row>
    <row r="6573" spans="1:10" x14ac:dyDescent="0.25">
      <c r="A6573" s="78">
        <v>46272</v>
      </c>
      <c r="B6573" s="68">
        <v>26</v>
      </c>
      <c r="C6573" s="19" t="s">
        <v>1449</v>
      </c>
      <c r="D6573" s="30">
        <v>1</v>
      </c>
      <c r="E6573" s="30">
        <v>10</v>
      </c>
      <c r="F6573" s="30">
        <f t="shared" si="213"/>
        <v>10</v>
      </c>
      <c r="G6573" s="30" t="s">
        <v>9</v>
      </c>
      <c r="J6573" s="30" t="s">
        <v>392</v>
      </c>
    </row>
    <row r="6574" spans="1:10" x14ac:dyDescent="0.25">
      <c r="A6574" s="78">
        <v>46272</v>
      </c>
      <c r="B6574" s="68">
        <v>26</v>
      </c>
      <c r="C6574" s="205" t="s">
        <v>1146</v>
      </c>
      <c r="D6574" s="30">
        <v>1</v>
      </c>
      <c r="E6574" s="30">
        <v>10</v>
      </c>
      <c r="F6574" s="30">
        <f t="shared" si="213"/>
        <v>10</v>
      </c>
      <c r="G6574" s="30" t="s">
        <v>9</v>
      </c>
      <c r="J6574" s="30" t="s">
        <v>392</v>
      </c>
    </row>
    <row r="6575" spans="1:10" x14ac:dyDescent="0.25">
      <c r="A6575" s="78">
        <v>46272</v>
      </c>
      <c r="B6575" s="68">
        <v>27</v>
      </c>
      <c r="C6575" s="19" t="s">
        <v>1378</v>
      </c>
      <c r="D6575" s="30">
        <v>1</v>
      </c>
      <c r="E6575" s="30">
        <v>10</v>
      </c>
      <c r="F6575" s="30">
        <f t="shared" si="213"/>
        <v>10</v>
      </c>
      <c r="G6575" s="30" t="s">
        <v>10</v>
      </c>
      <c r="J6575" s="30" t="s">
        <v>392</v>
      </c>
    </row>
    <row r="6576" spans="1:10" ht="30" x14ac:dyDescent="0.25">
      <c r="A6576" s="78">
        <v>46272</v>
      </c>
      <c r="B6576" s="68">
        <v>27</v>
      </c>
      <c r="C6576" s="19" t="s">
        <v>1394</v>
      </c>
      <c r="D6576" s="30">
        <v>1</v>
      </c>
      <c r="E6576" s="30">
        <v>10</v>
      </c>
      <c r="F6576" s="30">
        <f t="shared" si="213"/>
        <v>10</v>
      </c>
      <c r="G6576" s="30" t="s">
        <v>10</v>
      </c>
      <c r="J6576" s="30" t="s">
        <v>392</v>
      </c>
    </row>
    <row r="6577" spans="1:12" ht="30" x14ac:dyDescent="0.25">
      <c r="A6577" s="78">
        <v>46272</v>
      </c>
      <c r="B6577" s="68">
        <v>28</v>
      </c>
      <c r="C6577" s="19" t="s">
        <v>1410</v>
      </c>
      <c r="D6577" s="30">
        <v>1</v>
      </c>
      <c r="E6577" s="30">
        <v>40</v>
      </c>
      <c r="F6577" s="30">
        <f t="shared" si="213"/>
        <v>40</v>
      </c>
      <c r="G6577" s="30" t="s">
        <v>9</v>
      </c>
      <c r="J6577" s="30" t="s">
        <v>392</v>
      </c>
    </row>
    <row r="6578" spans="1:12" ht="30" x14ac:dyDescent="0.25">
      <c r="A6578" s="78">
        <v>46272</v>
      </c>
      <c r="B6578" s="68">
        <v>28</v>
      </c>
      <c r="C6578" s="19" t="s">
        <v>1389</v>
      </c>
      <c r="D6578" s="30">
        <v>1</v>
      </c>
      <c r="E6578" s="30">
        <v>70</v>
      </c>
      <c r="F6578" s="30">
        <f t="shared" si="213"/>
        <v>70</v>
      </c>
      <c r="G6578" s="30" t="s">
        <v>9</v>
      </c>
      <c r="J6578" s="30" t="s">
        <v>392</v>
      </c>
    </row>
    <row r="6579" spans="1:12" x14ac:dyDescent="0.25">
      <c r="A6579" s="78">
        <v>46272</v>
      </c>
      <c r="B6579" s="68">
        <v>28</v>
      </c>
      <c r="C6579" s="19" t="s">
        <v>1395</v>
      </c>
      <c r="D6579" s="30">
        <v>1</v>
      </c>
      <c r="E6579" s="30">
        <v>30</v>
      </c>
      <c r="F6579" s="30">
        <f t="shared" si="213"/>
        <v>30</v>
      </c>
      <c r="G6579" s="30" t="s">
        <v>9</v>
      </c>
      <c r="J6579" s="30" t="s">
        <v>392</v>
      </c>
    </row>
    <row r="6580" spans="1:12" s="199" customFormat="1" ht="31.5" x14ac:dyDescent="0.25">
      <c r="A6580" s="196">
        <v>46272</v>
      </c>
      <c r="B6580" s="197" t="s">
        <v>1248</v>
      </c>
      <c r="C6580" s="198">
        <f>MAX(B6550:B6580)</f>
        <v>28</v>
      </c>
      <c r="D6580" s="197" t="s">
        <v>1249</v>
      </c>
      <c r="E6580" s="199">
        <f>SUMIF(G6550:G6580,"UPI",F6550:F6580)</f>
        <v>115</v>
      </c>
      <c r="H6580" s="200" t="s">
        <v>1251</v>
      </c>
      <c r="I6580" s="200">
        <f>SUMIF(G6550:G6580, "&lt;&gt;UPI",F6550:F6580)</f>
        <v>603.6</v>
      </c>
    </row>
    <row r="6581" spans="1:12" s="5" customFormat="1" ht="15.75" x14ac:dyDescent="0.25">
      <c r="A6581" s="201">
        <v>46272</v>
      </c>
      <c r="B6581" s="2"/>
      <c r="C6581" s="14"/>
      <c r="H6581" s="2" t="s">
        <v>1250</v>
      </c>
      <c r="I6581" s="2">
        <f>SUMIF(G6515:G6580, "&lt;&gt;UPI",F6515:F6580)</f>
        <v>1549</v>
      </c>
    </row>
    <row r="6582" spans="1:12" s="202" customFormat="1" ht="18.75" customHeight="1" x14ac:dyDescent="0.3">
      <c r="A6582" s="146">
        <v>46272</v>
      </c>
      <c r="B6582" s="147" t="s">
        <v>987</v>
      </c>
      <c r="C6582" s="148">
        <f>MAX(B6515:B6581)</f>
        <v>28</v>
      </c>
      <c r="D6582" s="147" t="s">
        <v>988</v>
      </c>
      <c r="E6582" s="202">
        <f>SUMIF(G6515:G6580,"UPI",F6515:F6580)</f>
        <v>165.88</v>
      </c>
      <c r="F6582" s="227" t="s">
        <v>437</v>
      </c>
      <c r="G6582" s="228"/>
      <c r="H6582" s="229"/>
      <c r="I6582" s="227">
        <f>SUM(F6515:F6581)</f>
        <v>1714.8799999999999</v>
      </c>
      <c r="J6582" s="228"/>
      <c r="K6582" s="228"/>
      <c r="L6582" s="229"/>
    </row>
    <row r="6583" spans="1:12" x14ac:dyDescent="0.25">
      <c r="A6583" s="78">
        <v>46273</v>
      </c>
      <c r="B6583" s="68">
        <v>1</v>
      </c>
      <c r="C6583" s="19" t="s">
        <v>1426</v>
      </c>
      <c r="D6583" s="30">
        <v>0.5</v>
      </c>
      <c r="E6583" s="30">
        <v>80</v>
      </c>
      <c r="F6583" s="30">
        <f>E6583*D6583</f>
        <v>40</v>
      </c>
      <c r="G6583" s="30" t="s">
        <v>9</v>
      </c>
      <c r="J6583" s="30" t="s">
        <v>391</v>
      </c>
    </row>
    <row r="6584" spans="1:12" x14ac:dyDescent="0.25">
      <c r="A6584" s="78">
        <v>46273</v>
      </c>
      <c r="B6584" s="68">
        <v>1</v>
      </c>
      <c r="C6584" s="205" t="s">
        <v>1268</v>
      </c>
      <c r="D6584" s="30">
        <v>1</v>
      </c>
      <c r="E6584" s="30">
        <v>20</v>
      </c>
      <c r="F6584" s="30">
        <f t="shared" ref="F6584:F6610" si="214">E6584*D6584</f>
        <v>20</v>
      </c>
      <c r="G6584" s="30" t="s">
        <v>9</v>
      </c>
      <c r="J6584" s="30" t="s">
        <v>391</v>
      </c>
    </row>
    <row r="6585" spans="1:12" ht="30" x14ac:dyDescent="0.25">
      <c r="A6585" s="78">
        <v>46273</v>
      </c>
      <c r="B6585" s="68">
        <v>2</v>
      </c>
      <c r="C6585" s="205" t="s">
        <v>642</v>
      </c>
      <c r="D6585" s="30">
        <v>1</v>
      </c>
      <c r="E6585" s="30">
        <v>90</v>
      </c>
      <c r="F6585" s="30">
        <f t="shared" si="214"/>
        <v>90</v>
      </c>
      <c r="G6585" s="30" t="s">
        <v>9</v>
      </c>
      <c r="J6585" s="30" t="s">
        <v>391</v>
      </c>
    </row>
    <row r="6586" spans="1:12" x14ac:dyDescent="0.25">
      <c r="A6586" s="78">
        <v>46273</v>
      </c>
      <c r="B6586" s="68">
        <v>3</v>
      </c>
      <c r="C6586" s="205" t="s">
        <v>1129</v>
      </c>
      <c r="D6586" s="30">
        <v>1</v>
      </c>
      <c r="E6586" s="30">
        <v>40</v>
      </c>
      <c r="F6586" s="30">
        <f t="shared" si="214"/>
        <v>40</v>
      </c>
      <c r="G6586" s="30" t="s">
        <v>9</v>
      </c>
      <c r="J6586" s="30" t="s">
        <v>391</v>
      </c>
    </row>
    <row r="6587" spans="1:12" x14ac:dyDescent="0.25">
      <c r="A6587" s="78">
        <v>46273</v>
      </c>
      <c r="B6587" s="68">
        <v>3</v>
      </c>
      <c r="C6587" s="19" t="s">
        <v>1326</v>
      </c>
      <c r="D6587" s="30">
        <v>3</v>
      </c>
      <c r="E6587" s="30">
        <v>10</v>
      </c>
      <c r="F6587" s="30">
        <f t="shared" si="214"/>
        <v>30</v>
      </c>
      <c r="G6587" s="30" t="s">
        <v>9</v>
      </c>
      <c r="J6587" s="30" t="s">
        <v>391</v>
      </c>
    </row>
    <row r="6588" spans="1:12" x14ac:dyDescent="0.25">
      <c r="A6588" s="78">
        <v>46273</v>
      </c>
      <c r="B6588" s="68">
        <v>3</v>
      </c>
      <c r="C6588" s="205" t="s">
        <v>1146</v>
      </c>
      <c r="D6588" s="30">
        <v>1</v>
      </c>
      <c r="E6588" s="30">
        <v>10</v>
      </c>
      <c r="F6588" s="30">
        <f t="shared" si="214"/>
        <v>10</v>
      </c>
      <c r="G6588" s="30" t="s">
        <v>9</v>
      </c>
      <c r="J6588" s="30" t="s">
        <v>391</v>
      </c>
    </row>
    <row r="6589" spans="1:12" x14ac:dyDescent="0.25">
      <c r="A6589" s="78">
        <v>46273</v>
      </c>
      <c r="B6589" s="68">
        <v>4</v>
      </c>
      <c r="C6589" s="19" t="s">
        <v>1377</v>
      </c>
      <c r="D6589" s="30">
        <v>1</v>
      </c>
      <c r="E6589" s="30">
        <v>10</v>
      </c>
      <c r="F6589" s="30">
        <f t="shared" si="214"/>
        <v>10</v>
      </c>
      <c r="G6589" s="30" t="s">
        <v>9</v>
      </c>
      <c r="J6589" s="30" t="s">
        <v>391</v>
      </c>
    </row>
    <row r="6590" spans="1:12" ht="30" x14ac:dyDescent="0.25">
      <c r="A6590" s="78">
        <v>46273</v>
      </c>
      <c r="B6590" s="68">
        <v>5</v>
      </c>
      <c r="C6590" s="19" t="s">
        <v>1425</v>
      </c>
      <c r="D6590" s="30">
        <v>1</v>
      </c>
      <c r="E6590" s="30">
        <v>120</v>
      </c>
      <c r="F6590" s="30">
        <f t="shared" si="214"/>
        <v>120</v>
      </c>
      <c r="G6590" s="30" t="s">
        <v>10</v>
      </c>
      <c r="J6590" s="30" t="s">
        <v>391</v>
      </c>
    </row>
    <row r="6591" spans="1:12" x14ac:dyDescent="0.25">
      <c r="A6591" s="78">
        <v>46273</v>
      </c>
      <c r="B6591" s="68">
        <v>6</v>
      </c>
      <c r="C6591" s="205" t="s">
        <v>375</v>
      </c>
      <c r="D6591" s="30">
        <v>10</v>
      </c>
      <c r="E6591" s="30">
        <v>1</v>
      </c>
      <c r="F6591" s="30">
        <f t="shared" si="214"/>
        <v>10</v>
      </c>
      <c r="G6591" s="30" t="s">
        <v>9</v>
      </c>
      <c r="J6591" s="30" t="s">
        <v>391</v>
      </c>
    </row>
    <row r="6592" spans="1:12" x14ac:dyDescent="0.25">
      <c r="A6592" s="78">
        <v>46273</v>
      </c>
      <c r="B6592" s="68">
        <v>7</v>
      </c>
      <c r="C6592" s="204" t="s">
        <v>1396</v>
      </c>
      <c r="D6592" s="30">
        <v>1</v>
      </c>
      <c r="E6592" s="30">
        <v>10</v>
      </c>
      <c r="F6592" s="30">
        <f t="shared" si="214"/>
        <v>10</v>
      </c>
      <c r="G6592" s="30" t="s">
        <v>9</v>
      </c>
      <c r="J6592" s="30" t="s">
        <v>391</v>
      </c>
    </row>
    <row r="6593" spans="1:10" x14ac:dyDescent="0.25">
      <c r="A6593" s="78">
        <v>46273</v>
      </c>
      <c r="B6593" s="68">
        <v>7</v>
      </c>
      <c r="C6593" s="19" t="s">
        <v>1446</v>
      </c>
      <c r="D6593" s="30">
        <v>1</v>
      </c>
      <c r="E6593" s="30">
        <v>10</v>
      </c>
      <c r="F6593" s="30">
        <f t="shared" si="214"/>
        <v>10</v>
      </c>
      <c r="G6593" s="30" t="s">
        <v>9</v>
      </c>
      <c r="J6593" s="30" t="s">
        <v>391</v>
      </c>
    </row>
    <row r="6594" spans="1:10" x14ac:dyDescent="0.25">
      <c r="A6594" s="78">
        <v>46273</v>
      </c>
      <c r="B6594" s="68">
        <v>8</v>
      </c>
      <c r="C6594" s="19" t="s">
        <v>1384</v>
      </c>
      <c r="D6594" s="30">
        <v>1</v>
      </c>
      <c r="E6594" s="30">
        <v>10</v>
      </c>
      <c r="F6594" s="30">
        <f t="shared" si="214"/>
        <v>10</v>
      </c>
      <c r="G6594" s="30" t="s">
        <v>9</v>
      </c>
      <c r="J6594" s="30" t="s">
        <v>391</v>
      </c>
    </row>
    <row r="6595" spans="1:10" x14ac:dyDescent="0.25">
      <c r="A6595" s="78">
        <v>46273</v>
      </c>
      <c r="B6595" s="68">
        <v>9</v>
      </c>
      <c r="C6595" s="205" t="s">
        <v>1268</v>
      </c>
      <c r="D6595" s="30">
        <v>1</v>
      </c>
      <c r="E6595" s="30">
        <v>20</v>
      </c>
      <c r="F6595" s="30">
        <f t="shared" si="214"/>
        <v>20</v>
      </c>
      <c r="G6595" s="30" t="s">
        <v>9</v>
      </c>
      <c r="J6595" s="30" t="s">
        <v>391</v>
      </c>
    </row>
    <row r="6596" spans="1:10" x14ac:dyDescent="0.25">
      <c r="A6596" s="78">
        <v>46273</v>
      </c>
      <c r="B6596" s="68">
        <v>10</v>
      </c>
      <c r="C6596" s="19" t="s">
        <v>1441</v>
      </c>
      <c r="D6596" s="30">
        <v>1</v>
      </c>
      <c r="E6596" s="30">
        <v>75</v>
      </c>
      <c r="F6596" s="30">
        <f t="shared" si="214"/>
        <v>75</v>
      </c>
      <c r="G6596" s="30" t="s">
        <v>9</v>
      </c>
      <c r="J6596" s="30" t="s">
        <v>391</v>
      </c>
    </row>
    <row r="6597" spans="1:10" x14ac:dyDescent="0.25">
      <c r="A6597" s="78">
        <v>46273</v>
      </c>
      <c r="B6597" s="68">
        <v>10</v>
      </c>
      <c r="C6597" s="205" t="s">
        <v>746</v>
      </c>
      <c r="D6597" s="30">
        <v>1</v>
      </c>
      <c r="E6597" s="30">
        <v>55</v>
      </c>
      <c r="F6597" s="30">
        <f t="shared" si="214"/>
        <v>55</v>
      </c>
      <c r="G6597" s="30" t="s">
        <v>9</v>
      </c>
      <c r="J6597" s="30" t="s">
        <v>391</v>
      </c>
    </row>
    <row r="6598" spans="1:10" x14ac:dyDescent="0.25">
      <c r="A6598" s="78">
        <v>46273</v>
      </c>
      <c r="B6598" s="68">
        <v>11</v>
      </c>
      <c r="C6598" s="19" t="s">
        <v>1440</v>
      </c>
      <c r="D6598" s="30">
        <v>1</v>
      </c>
      <c r="E6598" s="30">
        <v>50</v>
      </c>
      <c r="F6598" s="30">
        <f t="shared" si="214"/>
        <v>50</v>
      </c>
      <c r="G6598" s="30" t="s">
        <v>16</v>
      </c>
      <c r="I6598" s="68" t="s">
        <v>1200</v>
      </c>
      <c r="J6598" s="30" t="s">
        <v>391</v>
      </c>
    </row>
    <row r="6599" spans="1:10" x14ac:dyDescent="0.25">
      <c r="A6599" s="78">
        <v>46273</v>
      </c>
      <c r="B6599" s="68">
        <v>11</v>
      </c>
      <c r="C6599" s="205" t="s">
        <v>1125</v>
      </c>
      <c r="D6599" s="30">
        <v>1</v>
      </c>
      <c r="E6599" s="30">
        <v>55</v>
      </c>
      <c r="F6599" s="30">
        <f t="shared" si="214"/>
        <v>55</v>
      </c>
      <c r="G6599" s="30" t="s">
        <v>16</v>
      </c>
      <c r="I6599" s="68" t="s">
        <v>1200</v>
      </c>
      <c r="J6599" s="30" t="s">
        <v>391</v>
      </c>
    </row>
    <row r="6600" spans="1:10" ht="30" x14ac:dyDescent="0.25">
      <c r="A6600" s="78">
        <v>46273</v>
      </c>
      <c r="B6600" s="68">
        <v>12</v>
      </c>
      <c r="C6600" s="19" t="s">
        <v>1394</v>
      </c>
      <c r="D6600" s="30">
        <v>1</v>
      </c>
      <c r="E6600" s="30">
        <v>10</v>
      </c>
      <c r="F6600" s="30">
        <f t="shared" si="214"/>
        <v>10</v>
      </c>
      <c r="G6600" s="30" t="s">
        <v>10</v>
      </c>
      <c r="J6600" s="30" t="s">
        <v>391</v>
      </c>
    </row>
    <row r="6601" spans="1:10" x14ac:dyDescent="0.25">
      <c r="A6601" s="78">
        <v>46273</v>
      </c>
      <c r="B6601" s="68">
        <v>12</v>
      </c>
      <c r="C6601" s="204" t="s">
        <v>1396</v>
      </c>
      <c r="D6601" s="30">
        <v>1</v>
      </c>
      <c r="E6601" s="30">
        <v>10</v>
      </c>
      <c r="F6601" s="30">
        <f t="shared" si="214"/>
        <v>10</v>
      </c>
      <c r="G6601" s="30" t="s">
        <v>10</v>
      </c>
      <c r="J6601" s="30" t="s">
        <v>391</v>
      </c>
    </row>
    <row r="6602" spans="1:10" x14ac:dyDescent="0.25">
      <c r="A6602" s="78">
        <v>46273</v>
      </c>
      <c r="B6602" s="68">
        <v>12</v>
      </c>
      <c r="C6602" s="19" t="s">
        <v>1378</v>
      </c>
      <c r="D6602" s="30">
        <v>1</v>
      </c>
      <c r="E6602" s="30">
        <v>10</v>
      </c>
      <c r="F6602" s="30">
        <f t="shared" si="214"/>
        <v>10</v>
      </c>
      <c r="G6602" s="30" t="s">
        <v>10</v>
      </c>
      <c r="J6602" s="30" t="s">
        <v>391</v>
      </c>
    </row>
    <row r="6603" spans="1:10" x14ac:dyDescent="0.25">
      <c r="A6603" s="78">
        <v>46273</v>
      </c>
      <c r="B6603" s="68">
        <v>12</v>
      </c>
      <c r="C6603" s="19" t="s">
        <v>1468</v>
      </c>
      <c r="D6603" s="30">
        <v>1</v>
      </c>
      <c r="E6603" s="30">
        <v>10</v>
      </c>
      <c r="F6603" s="30">
        <f t="shared" si="214"/>
        <v>10</v>
      </c>
      <c r="G6603" s="30" t="s">
        <v>10</v>
      </c>
      <c r="J6603" s="30" t="s">
        <v>391</v>
      </c>
    </row>
    <row r="6604" spans="1:10" x14ac:dyDescent="0.25">
      <c r="A6604" s="78">
        <v>46273</v>
      </c>
      <c r="B6604" s="68">
        <v>12</v>
      </c>
      <c r="C6604" s="19" t="s">
        <v>1344</v>
      </c>
      <c r="D6604" s="30">
        <v>1</v>
      </c>
      <c r="E6604" s="30">
        <v>20</v>
      </c>
      <c r="F6604" s="30">
        <f t="shared" si="214"/>
        <v>20</v>
      </c>
      <c r="G6604" s="30" t="s">
        <v>10</v>
      </c>
      <c r="J6604" s="30" t="s">
        <v>391</v>
      </c>
    </row>
    <row r="6605" spans="1:10" x14ac:dyDescent="0.25">
      <c r="A6605" s="78">
        <v>46273</v>
      </c>
      <c r="B6605" s="68">
        <v>12</v>
      </c>
      <c r="C6605" s="205" t="s">
        <v>1260</v>
      </c>
      <c r="D6605" s="30">
        <v>1</v>
      </c>
      <c r="E6605" s="30">
        <v>5</v>
      </c>
      <c r="F6605" s="30">
        <f t="shared" si="214"/>
        <v>5</v>
      </c>
      <c r="G6605" s="30" t="s">
        <v>10</v>
      </c>
      <c r="J6605" s="30" t="s">
        <v>391</v>
      </c>
    </row>
    <row r="6606" spans="1:10" x14ac:dyDescent="0.25">
      <c r="A6606" s="78">
        <v>46273</v>
      </c>
      <c r="B6606" s="68">
        <v>13</v>
      </c>
      <c r="C6606" s="205" t="s">
        <v>958</v>
      </c>
      <c r="D6606" s="30">
        <v>1</v>
      </c>
      <c r="E6606" s="30">
        <v>10</v>
      </c>
      <c r="F6606" s="30">
        <f t="shared" si="214"/>
        <v>10</v>
      </c>
      <c r="G6606" s="30" t="s">
        <v>10</v>
      </c>
      <c r="J6606" s="30" t="s">
        <v>391</v>
      </c>
    </row>
    <row r="6607" spans="1:10" x14ac:dyDescent="0.25">
      <c r="A6607" s="78">
        <v>46273</v>
      </c>
      <c r="B6607" s="68">
        <v>13</v>
      </c>
      <c r="C6607" s="205" t="s">
        <v>66</v>
      </c>
      <c r="D6607" s="30">
        <v>1</v>
      </c>
      <c r="E6607" s="30">
        <v>20</v>
      </c>
      <c r="F6607" s="30">
        <f t="shared" si="214"/>
        <v>20</v>
      </c>
      <c r="G6607" s="30" t="s">
        <v>10</v>
      </c>
      <c r="J6607" s="30" t="s">
        <v>391</v>
      </c>
    </row>
    <row r="6608" spans="1:10" x14ac:dyDescent="0.25">
      <c r="A6608" s="78">
        <v>46273</v>
      </c>
      <c r="B6608" s="68">
        <v>14</v>
      </c>
      <c r="C6608" s="19" t="s">
        <v>1327</v>
      </c>
      <c r="D6608" s="30">
        <v>0.5</v>
      </c>
      <c r="E6608" s="30">
        <v>70</v>
      </c>
      <c r="F6608" s="30">
        <f t="shared" si="214"/>
        <v>35</v>
      </c>
      <c r="G6608" s="30" t="s">
        <v>9</v>
      </c>
      <c r="J6608" s="30" t="s">
        <v>391</v>
      </c>
    </row>
    <row r="6609" spans="1:10" x14ac:dyDescent="0.25">
      <c r="A6609" s="78">
        <v>46273</v>
      </c>
      <c r="B6609" s="68">
        <v>15</v>
      </c>
      <c r="C6609" s="19" t="s">
        <v>1467</v>
      </c>
      <c r="D6609" s="30">
        <v>1</v>
      </c>
      <c r="E6609" s="30">
        <v>20</v>
      </c>
      <c r="F6609" s="30">
        <f t="shared" si="214"/>
        <v>20</v>
      </c>
      <c r="G6609" s="30" t="s">
        <v>9</v>
      </c>
      <c r="J6609" s="30" t="s">
        <v>391</v>
      </c>
    </row>
    <row r="6610" spans="1:10" x14ac:dyDescent="0.25">
      <c r="A6610" s="78">
        <v>46273</v>
      </c>
      <c r="B6610" s="68">
        <v>16</v>
      </c>
      <c r="C6610" s="19" t="s">
        <v>1378</v>
      </c>
      <c r="D6610" s="30">
        <v>1</v>
      </c>
      <c r="E6610" s="30">
        <v>10</v>
      </c>
      <c r="F6610" s="30">
        <f t="shared" si="214"/>
        <v>10</v>
      </c>
      <c r="G6610" s="30" t="s">
        <v>9</v>
      </c>
      <c r="J6610" s="30" t="s">
        <v>391</v>
      </c>
    </row>
    <row r="6611" spans="1:10" s="199" customFormat="1" ht="31.5" x14ac:dyDescent="0.25">
      <c r="A6611" s="196">
        <v>46273</v>
      </c>
      <c r="B6611" s="197" t="s">
        <v>1245</v>
      </c>
      <c r="C6611" s="198">
        <f>MAX(B6583:B6611)</f>
        <v>16</v>
      </c>
      <c r="D6611" s="197" t="s">
        <v>1246</v>
      </c>
      <c r="E6611" s="199">
        <f>SUMIF(G6583:G6611,"UPI",F6583:F6611)</f>
        <v>215</v>
      </c>
      <c r="H6611" s="200" t="s">
        <v>1247</v>
      </c>
      <c r="I6611" s="200">
        <f>SUMIF(G6583:G6611, "&lt;&gt;UPI",F6583:F6611)</f>
        <v>600</v>
      </c>
    </row>
    <row r="6612" spans="1:10" x14ac:dyDescent="0.25">
      <c r="A6612" s="78">
        <v>46273</v>
      </c>
      <c r="B6612" s="68">
        <v>11</v>
      </c>
      <c r="C6612" s="205" t="s">
        <v>1273</v>
      </c>
      <c r="D6612" s="30">
        <v>2</v>
      </c>
      <c r="E6612" s="30">
        <v>5</v>
      </c>
      <c r="F6612" s="30">
        <f t="shared" ref="F6612:F6636" si="215">E6612*D6612</f>
        <v>10</v>
      </c>
      <c r="G6612" s="30" t="s">
        <v>9</v>
      </c>
      <c r="J6612" s="30" t="s">
        <v>392</v>
      </c>
    </row>
    <row r="6613" spans="1:10" x14ac:dyDescent="0.25">
      <c r="A6613" s="78">
        <v>46273</v>
      </c>
      <c r="B6613" s="68">
        <v>17</v>
      </c>
      <c r="C6613" s="19" t="s">
        <v>1327</v>
      </c>
      <c r="D6613" s="30">
        <v>0.14299999999999999</v>
      </c>
      <c r="E6613" s="30">
        <v>70</v>
      </c>
      <c r="F6613" s="30">
        <f t="shared" si="215"/>
        <v>10.01</v>
      </c>
      <c r="G6613" s="30" t="s">
        <v>9</v>
      </c>
      <c r="J6613" s="30" t="s">
        <v>392</v>
      </c>
    </row>
    <row r="6614" spans="1:10" x14ac:dyDescent="0.25">
      <c r="A6614" s="78">
        <v>46273</v>
      </c>
      <c r="B6614" s="68">
        <v>18</v>
      </c>
      <c r="C6614" s="205" t="s">
        <v>375</v>
      </c>
      <c r="D6614" s="30">
        <v>10</v>
      </c>
      <c r="E6614" s="30">
        <v>1</v>
      </c>
      <c r="F6614" s="30">
        <f t="shared" si="215"/>
        <v>10</v>
      </c>
      <c r="G6614" s="30" t="s">
        <v>9</v>
      </c>
      <c r="J6614" s="30" t="s">
        <v>392</v>
      </c>
    </row>
    <row r="6615" spans="1:10" x14ac:dyDescent="0.25">
      <c r="A6615" s="78">
        <v>46273</v>
      </c>
      <c r="B6615" s="68">
        <v>19</v>
      </c>
      <c r="C6615" s="19" t="s">
        <v>1377</v>
      </c>
      <c r="D6615" s="30">
        <v>4</v>
      </c>
      <c r="E6615" s="30">
        <v>10</v>
      </c>
      <c r="F6615" s="30">
        <f t="shared" si="215"/>
        <v>40</v>
      </c>
      <c r="G6615" s="30" t="s">
        <v>9</v>
      </c>
      <c r="J6615" s="30" t="s">
        <v>392</v>
      </c>
    </row>
    <row r="6616" spans="1:10" x14ac:dyDescent="0.25">
      <c r="A6616" s="78">
        <v>46273</v>
      </c>
      <c r="B6616" s="68">
        <v>20</v>
      </c>
      <c r="C6616" s="19" t="s">
        <v>1327</v>
      </c>
      <c r="D6616" s="30">
        <v>0.28599999999999998</v>
      </c>
      <c r="E6616" s="30">
        <v>70</v>
      </c>
      <c r="F6616" s="30">
        <f t="shared" si="215"/>
        <v>20.02</v>
      </c>
      <c r="G6616" s="30" t="s">
        <v>9</v>
      </c>
      <c r="J6616" s="30" t="s">
        <v>392</v>
      </c>
    </row>
    <row r="6617" spans="1:10" x14ac:dyDescent="0.25">
      <c r="A6617" s="78">
        <v>46273</v>
      </c>
      <c r="B6617" s="68">
        <v>21</v>
      </c>
      <c r="C6617" s="204" t="s">
        <v>1078</v>
      </c>
      <c r="D6617" s="30">
        <v>1</v>
      </c>
      <c r="E6617" s="30">
        <v>20</v>
      </c>
      <c r="F6617" s="30">
        <f t="shared" si="215"/>
        <v>20</v>
      </c>
      <c r="G6617" s="30" t="s">
        <v>9</v>
      </c>
      <c r="J6617" s="30" t="s">
        <v>392</v>
      </c>
    </row>
    <row r="6618" spans="1:10" x14ac:dyDescent="0.25">
      <c r="A6618" s="78">
        <v>46273</v>
      </c>
      <c r="B6618" s="68">
        <v>22</v>
      </c>
      <c r="C6618" s="19" t="s">
        <v>1326</v>
      </c>
      <c r="D6618" s="30">
        <v>30</v>
      </c>
      <c r="E6618" s="30">
        <v>8.3000000000000007</v>
      </c>
      <c r="F6618" s="30">
        <f t="shared" si="215"/>
        <v>249.00000000000003</v>
      </c>
      <c r="G6618" s="30" t="s">
        <v>10</v>
      </c>
      <c r="J6618" s="30" t="s">
        <v>392</v>
      </c>
    </row>
    <row r="6619" spans="1:10" x14ac:dyDescent="0.25">
      <c r="A6619" s="78">
        <v>46273</v>
      </c>
      <c r="B6619" s="68">
        <v>22</v>
      </c>
      <c r="C6619" s="19" t="s">
        <v>1376</v>
      </c>
      <c r="D6619" s="30">
        <v>0.25</v>
      </c>
      <c r="E6619" s="30">
        <v>80</v>
      </c>
      <c r="F6619" s="30">
        <f t="shared" si="215"/>
        <v>20</v>
      </c>
      <c r="G6619" s="30" t="s">
        <v>10</v>
      </c>
      <c r="J6619" s="30" t="s">
        <v>392</v>
      </c>
    </row>
    <row r="6620" spans="1:10" x14ac:dyDescent="0.25">
      <c r="A6620" s="78">
        <v>46273</v>
      </c>
      <c r="B6620" s="68">
        <v>23</v>
      </c>
      <c r="C6620" s="19" t="s">
        <v>1445</v>
      </c>
      <c r="D6620" s="30">
        <v>1</v>
      </c>
      <c r="E6620" s="30">
        <v>10</v>
      </c>
      <c r="F6620" s="30">
        <f t="shared" si="215"/>
        <v>10</v>
      </c>
      <c r="G6620" s="30" t="s">
        <v>10</v>
      </c>
      <c r="J6620" s="30" t="s">
        <v>392</v>
      </c>
    </row>
    <row r="6621" spans="1:10" x14ac:dyDescent="0.25">
      <c r="A6621" s="78">
        <v>46273</v>
      </c>
      <c r="B6621" s="68">
        <v>23</v>
      </c>
      <c r="C6621" s="204" t="s">
        <v>1396</v>
      </c>
      <c r="D6621" s="30">
        <v>1</v>
      </c>
      <c r="E6621" s="30">
        <v>10</v>
      </c>
      <c r="F6621" s="30">
        <f t="shared" si="215"/>
        <v>10</v>
      </c>
      <c r="G6621" s="30" t="s">
        <v>10</v>
      </c>
      <c r="J6621" s="30" t="s">
        <v>392</v>
      </c>
    </row>
    <row r="6622" spans="1:10" x14ac:dyDescent="0.25">
      <c r="A6622" s="78">
        <v>46273</v>
      </c>
      <c r="B6622" s="68">
        <v>24</v>
      </c>
      <c r="C6622" s="205" t="s">
        <v>1254</v>
      </c>
      <c r="D6622" s="30">
        <v>1</v>
      </c>
      <c r="E6622" s="30">
        <v>10</v>
      </c>
      <c r="F6622" s="30">
        <f t="shared" si="215"/>
        <v>10</v>
      </c>
      <c r="G6622" s="30" t="s">
        <v>9</v>
      </c>
      <c r="J6622" s="30" t="s">
        <v>392</v>
      </c>
    </row>
    <row r="6623" spans="1:10" x14ac:dyDescent="0.25">
      <c r="A6623" s="78">
        <v>46273</v>
      </c>
      <c r="B6623" s="68">
        <v>24</v>
      </c>
      <c r="C6623" s="204" t="s">
        <v>1396</v>
      </c>
      <c r="D6623" s="30">
        <v>1</v>
      </c>
      <c r="E6623" s="30">
        <v>10</v>
      </c>
      <c r="F6623" s="30">
        <f t="shared" si="215"/>
        <v>10</v>
      </c>
      <c r="G6623" s="30" t="s">
        <v>9</v>
      </c>
      <c r="J6623" s="30" t="s">
        <v>392</v>
      </c>
    </row>
    <row r="6624" spans="1:10" x14ac:dyDescent="0.25">
      <c r="A6624" s="78">
        <v>46273</v>
      </c>
      <c r="B6624" s="68">
        <v>25</v>
      </c>
      <c r="C6624" s="205" t="s">
        <v>533</v>
      </c>
      <c r="D6624" s="30">
        <v>1</v>
      </c>
      <c r="E6624" s="30">
        <v>10</v>
      </c>
      <c r="F6624" s="30">
        <f t="shared" si="215"/>
        <v>10</v>
      </c>
      <c r="G6624" s="30" t="s">
        <v>9</v>
      </c>
      <c r="J6624" s="30" t="s">
        <v>392</v>
      </c>
    </row>
    <row r="6625" spans="1:12" x14ac:dyDescent="0.25">
      <c r="A6625" s="78">
        <v>46273</v>
      </c>
      <c r="B6625" s="68">
        <v>26</v>
      </c>
      <c r="C6625" s="205" t="s">
        <v>1253</v>
      </c>
      <c r="D6625" s="30">
        <v>2</v>
      </c>
      <c r="E6625" s="30">
        <v>5</v>
      </c>
      <c r="F6625" s="30">
        <f t="shared" si="215"/>
        <v>10</v>
      </c>
      <c r="G6625" s="30" t="s">
        <v>9</v>
      </c>
      <c r="J6625" s="30" t="s">
        <v>392</v>
      </c>
    </row>
    <row r="6626" spans="1:12" x14ac:dyDescent="0.25">
      <c r="A6626" s="78">
        <v>46273</v>
      </c>
      <c r="B6626" s="68">
        <v>27</v>
      </c>
      <c r="C6626" s="204" t="s">
        <v>1396</v>
      </c>
      <c r="D6626" s="30">
        <v>1</v>
      </c>
      <c r="E6626" s="30">
        <v>10</v>
      </c>
      <c r="F6626" s="30">
        <f t="shared" si="215"/>
        <v>10</v>
      </c>
      <c r="G6626" s="30" t="s">
        <v>9</v>
      </c>
      <c r="J6626" s="30" t="s">
        <v>392</v>
      </c>
    </row>
    <row r="6627" spans="1:12" x14ac:dyDescent="0.25">
      <c r="A6627" s="78">
        <v>46273</v>
      </c>
      <c r="B6627" s="68">
        <v>28</v>
      </c>
      <c r="C6627" s="205" t="s">
        <v>590</v>
      </c>
      <c r="D6627" s="30">
        <v>0.5</v>
      </c>
      <c r="E6627" s="30">
        <v>44</v>
      </c>
      <c r="F6627" s="30">
        <f t="shared" si="215"/>
        <v>22</v>
      </c>
      <c r="G6627" s="30" t="s">
        <v>10</v>
      </c>
      <c r="J6627" s="30" t="s">
        <v>392</v>
      </c>
    </row>
    <row r="6628" spans="1:12" x14ac:dyDescent="0.25">
      <c r="A6628" s="78">
        <v>46273</v>
      </c>
      <c r="B6628" s="68">
        <v>29</v>
      </c>
      <c r="C6628" s="19" t="s">
        <v>1379</v>
      </c>
      <c r="D6628" s="30">
        <v>1</v>
      </c>
      <c r="E6628" s="30">
        <v>40</v>
      </c>
      <c r="F6628" s="30">
        <f t="shared" si="215"/>
        <v>40</v>
      </c>
      <c r="G6628" s="30" t="s">
        <v>9</v>
      </c>
      <c r="J6628" s="30" t="s">
        <v>392</v>
      </c>
    </row>
    <row r="6629" spans="1:12" ht="30" x14ac:dyDescent="0.25">
      <c r="A6629" s="78">
        <v>46273</v>
      </c>
      <c r="B6629" s="68">
        <v>29</v>
      </c>
      <c r="C6629" s="19" t="s">
        <v>1394</v>
      </c>
      <c r="D6629" s="30">
        <v>1</v>
      </c>
      <c r="E6629" s="30">
        <v>10</v>
      </c>
      <c r="F6629" s="30">
        <f t="shared" si="215"/>
        <v>10</v>
      </c>
      <c r="G6629" s="30" t="s">
        <v>9</v>
      </c>
      <c r="J6629" s="30" t="s">
        <v>392</v>
      </c>
    </row>
    <row r="6630" spans="1:12" x14ac:dyDescent="0.25">
      <c r="A6630" s="78">
        <v>46273</v>
      </c>
      <c r="B6630" s="68">
        <v>30</v>
      </c>
      <c r="C6630" s="19" t="s">
        <v>1339</v>
      </c>
      <c r="D6630" s="30">
        <v>1</v>
      </c>
      <c r="E6630" s="30">
        <v>10</v>
      </c>
      <c r="F6630" s="30">
        <f t="shared" si="215"/>
        <v>10</v>
      </c>
      <c r="G6630" s="30" t="s">
        <v>9</v>
      </c>
      <c r="J6630" s="30" t="s">
        <v>392</v>
      </c>
    </row>
    <row r="6631" spans="1:12" x14ac:dyDescent="0.25">
      <c r="A6631" s="78">
        <v>46273</v>
      </c>
      <c r="B6631" s="68">
        <v>31</v>
      </c>
      <c r="C6631" s="205" t="s">
        <v>117</v>
      </c>
      <c r="D6631" s="30">
        <v>1</v>
      </c>
      <c r="E6631" s="30">
        <v>10</v>
      </c>
      <c r="F6631" s="30">
        <f t="shared" si="215"/>
        <v>10</v>
      </c>
      <c r="G6631" s="30" t="s">
        <v>9</v>
      </c>
      <c r="J6631" s="30" t="s">
        <v>392</v>
      </c>
    </row>
    <row r="6632" spans="1:12" ht="30" x14ac:dyDescent="0.25">
      <c r="A6632" s="78">
        <v>46273</v>
      </c>
      <c r="B6632" s="68">
        <v>32</v>
      </c>
      <c r="C6632" s="19" t="s">
        <v>1425</v>
      </c>
      <c r="D6632" s="30">
        <v>1</v>
      </c>
      <c r="E6632" s="30">
        <v>120</v>
      </c>
      <c r="F6632" s="30">
        <f t="shared" si="215"/>
        <v>120</v>
      </c>
      <c r="G6632" s="30" t="s">
        <v>9</v>
      </c>
      <c r="J6632" s="30" t="s">
        <v>392</v>
      </c>
    </row>
    <row r="6633" spans="1:12" ht="30" x14ac:dyDescent="0.25">
      <c r="A6633" s="78">
        <v>46273</v>
      </c>
      <c r="B6633" s="68">
        <v>32</v>
      </c>
      <c r="C6633" s="205" t="s">
        <v>1188</v>
      </c>
      <c r="D6633" s="30">
        <v>2</v>
      </c>
      <c r="E6633" s="30">
        <v>15</v>
      </c>
      <c r="F6633" s="30">
        <f t="shared" si="215"/>
        <v>30</v>
      </c>
      <c r="G6633" s="30" t="s">
        <v>9</v>
      </c>
      <c r="J6633" s="30" t="s">
        <v>392</v>
      </c>
    </row>
    <row r="6634" spans="1:12" x14ac:dyDescent="0.25">
      <c r="A6634" s="78">
        <v>46273</v>
      </c>
      <c r="B6634" s="68">
        <v>33</v>
      </c>
      <c r="C6634" s="19" t="s">
        <v>1378</v>
      </c>
      <c r="D6634" s="30">
        <v>1</v>
      </c>
      <c r="E6634" s="30">
        <v>10</v>
      </c>
      <c r="F6634" s="30">
        <f t="shared" si="215"/>
        <v>10</v>
      </c>
      <c r="G6634" s="30" t="s">
        <v>9</v>
      </c>
      <c r="J6634" s="30" t="s">
        <v>392</v>
      </c>
    </row>
    <row r="6635" spans="1:12" x14ac:dyDescent="0.25">
      <c r="A6635" s="78">
        <v>46273</v>
      </c>
      <c r="B6635" s="68">
        <v>33</v>
      </c>
      <c r="C6635" s="19" t="s">
        <v>1380</v>
      </c>
      <c r="D6635" s="30">
        <v>2</v>
      </c>
      <c r="E6635" s="30">
        <v>10</v>
      </c>
      <c r="F6635" s="30">
        <f t="shared" si="215"/>
        <v>20</v>
      </c>
      <c r="G6635" s="30" t="s">
        <v>10</v>
      </c>
      <c r="J6635" s="30" t="s">
        <v>392</v>
      </c>
    </row>
    <row r="6636" spans="1:12" x14ac:dyDescent="0.25">
      <c r="A6636" s="78">
        <v>46273</v>
      </c>
      <c r="B6636" s="68">
        <v>34</v>
      </c>
      <c r="C6636" s="205" t="s">
        <v>569</v>
      </c>
      <c r="D6636" s="30">
        <v>1</v>
      </c>
      <c r="E6636" s="30">
        <v>10</v>
      </c>
      <c r="F6636" s="30">
        <f t="shared" si="215"/>
        <v>10</v>
      </c>
      <c r="G6636" s="30" t="s">
        <v>9</v>
      </c>
      <c r="J6636" s="30" t="s">
        <v>392</v>
      </c>
    </row>
    <row r="6637" spans="1:12" s="199" customFormat="1" ht="31.5" x14ac:dyDescent="0.25">
      <c r="A6637" s="196">
        <v>46273</v>
      </c>
      <c r="B6637" s="197" t="s">
        <v>1248</v>
      </c>
      <c r="C6637" s="198">
        <f>MAX(B6612:B6637)</f>
        <v>34</v>
      </c>
      <c r="D6637" s="197" t="s">
        <v>1249</v>
      </c>
      <c r="E6637" s="199">
        <f>SUMIF(G6612:G6637,"UPI",F6612:F6637)</f>
        <v>331</v>
      </c>
      <c r="H6637" s="200" t="s">
        <v>1251</v>
      </c>
      <c r="I6637" s="200">
        <f>SUMIF(G6612:G6637, "&lt;&gt;UPI",F6612:F6637)</f>
        <v>400.03</v>
      </c>
    </row>
    <row r="6638" spans="1:12" s="5" customFormat="1" ht="15.75" x14ac:dyDescent="0.25">
      <c r="A6638" s="201">
        <v>46273</v>
      </c>
      <c r="B6638" s="2"/>
      <c r="C6638" s="14"/>
      <c r="H6638" s="2" t="s">
        <v>1250</v>
      </c>
      <c r="I6638" s="2">
        <f>SUMIF(G6583:G6637, "&lt;&gt;UPI",F6583:F6637)</f>
        <v>1000.03</v>
      </c>
    </row>
    <row r="6639" spans="1:12" s="202" customFormat="1" ht="18.75" customHeight="1" x14ac:dyDescent="0.3">
      <c r="A6639" s="146">
        <v>46273</v>
      </c>
      <c r="B6639" s="147" t="s">
        <v>987</v>
      </c>
      <c r="C6639" s="148">
        <f>MAX(B6583:B6638)</f>
        <v>34</v>
      </c>
      <c r="D6639" s="147" t="s">
        <v>988</v>
      </c>
      <c r="E6639" s="202">
        <f>SUMIF(G6583:G6637,"UPI",F6583:F6637)</f>
        <v>546</v>
      </c>
      <c r="F6639" s="227" t="s">
        <v>437</v>
      </c>
      <c r="G6639" s="228"/>
      <c r="H6639" s="229"/>
      <c r="I6639" s="227">
        <f>SUM(F6583:F6638)</f>
        <v>1546.03</v>
      </c>
      <c r="J6639" s="228"/>
      <c r="K6639" s="228"/>
      <c r="L6639" s="229"/>
    </row>
    <row r="6640" spans="1:12" x14ac:dyDescent="0.25">
      <c r="A6640" s="78">
        <v>46274</v>
      </c>
      <c r="B6640" s="68">
        <v>1</v>
      </c>
      <c r="C6640" s="205" t="s">
        <v>1291</v>
      </c>
      <c r="D6640" s="30">
        <v>2</v>
      </c>
      <c r="E6640" s="30">
        <v>65</v>
      </c>
      <c r="F6640" s="30">
        <f>E6640*D6640</f>
        <v>130</v>
      </c>
      <c r="G6640" s="30" t="s">
        <v>9</v>
      </c>
      <c r="I6640" s="68" t="s">
        <v>1476</v>
      </c>
      <c r="J6640" s="30" t="s">
        <v>391</v>
      </c>
    </row>
    <row r="6641" spans="1:10" x14ac:dyDescent="0.25">
      <c r="A6641" s="78">
        <v>46274</v>
      </c>
      <c r="B6641" s="68">
        <v>2</v>
      </c>
      <c r="C6641" s="19" t="s">
        <v>1326</v>
      </c>
      <c r="D6641" s="30">
        <v>5</v>
      </c>
      <c r="E6641" s="30">
        <v>10</v>
      </c>
      <c r="F6641" s="30">
        <f t="shared" ref="F6641:F6679" si="216">E6641*D6641</f>
        <v>50</v>
      </c>
      <c r="G6641" s="30" t="s">
        <v>9</v>
      </c>
      <c r="J6641" s="30" t="s">
        <v>391</v>
      </c>
    </row>
    <row r="6642" spans="1:10" x14ac:dyDescent="0.25">
      <c r="A6642" s="78">
        <v>46274</v>
      </c>
      <c r="B6642" s="68">
        <v>3</v>
      </c>
      <c r="C6642" s="19" t="s">
        <v>1304</v>
      </c>
      <c r="D6642" s="30">
        <v>1</v>
      </c>
      <c r="E6642" s="30">
        <v>100</v>
      </c>
      <c r="F6642" s="30">
        <f t="shared" si="216"/>
        <v>100</v>
      </c>
      <c r="G6642" s="30" t="s">
        <v>9</v>
      </c>
      <c r="J6642" s="30" t="s">
        <v>391</v>
      </c>
    </row>
    <row r="6643" spans="1:10" x14ac:dyDescent="0.25">
      <c r="A6643" s="78">
        <v>46274</v>
      </c>
      <c r="B6643" s="68">
        <v>4</v>
      </c>
      <c r="C6643" s="205" t="s">
        <v>1243</v>
      </c>
      <c r="D6643" s="30">
        <v>2</v>
      </c>
      <c r="E6643" s="30">
        <v>10</v>
      </c>
      <c r="F6643" s="30">
        <f t="shared" si="216"/>
        <v>20</v>
      </c>
      <c r="G6643" s="30" t="s">
        <v>9</v>
      </c>
      <c r="J6643" s="30" t="s">
        <v>391</v>
      </c>
    </row>
    <row r="6644" spans="1:10" ht="30" x14ac:dyDescent="0.25">
      <c r="A6644" s="78">
        <v>46274</v>
      </c>
      <c r="B6644" s="68">
        <v>4</v>
      </c>
      <c r="C6644" s="204" t="s">
        <v>377</v>
      </c>
      <c r="D6644" s="30">
        <v>1</v>
      </c>
      <c r="E6644" s="30">
        <v>10</v>
      </c>
      <c r="F6644" s="30">
        <f t="shared" si="216"/>
        <v>10</v>
      </c>
      <c r="G6644" s="30" t="s">
        <v>9</v>
      </c>
      <c r="J6644" s="30" t="s">
        <v>391</v>
      </c>
    </row>
    <row r="6645" spans="1:10" x14ac:dyDescent="0.25">
      <c r="A6645" s="78">
        <v>46274</v>
      </c>
      <c r="B6645" s="68">
        <v>4</v>
      </c>
      <c r="C6645" s="19" t="s">
        <v>1442</v>
      </c>
      <c r="D6645" s="30">
        <v>1</v>
      </c>
      <c r="E6645" s="30">
        <v>10</v>
      </c>
      <c r="F6645" s="30">
        <f t="shared" si="216"/>
        <v>10</v>
      </c>
      <c r="G6645" s="30" t="s">
        <v>9</v>
      </c>
      <c r="J6645" s="30" t="s">
        <v>391</v>
      </c>
    </row>
    <row r="6646" spans="1:10" x14ac:dyDescent="0.25">
      <c r="A6646" s="78">
        <v>46274</v>
      </c>
      <c r="B6646" s="68">
        <v>4</v>
      </c>
      <c r="C6646" s="19" t="s">
        <v>1327</v>
      </c>
      <c r="D6646" s="30">
        <v>0.14299999999999999</v>
      </c>
      <c r="E6646" s="30">
        <v>70</v>
      </c>
      <c r="F6646" s="30">
        <f t="shared" si="216"/>
        <v>10.01</v>
      </c>
      <c r="G6646" s="30" t="s">
        <v>9</v>
      </c>
      <c r="J6646" s="30" t="s">
        <v>391</v>
      </c>
    </row>
    <row r="6647" spans="1:10" x14ac:dyDescent="0.25">
      <c r="A6647" s="78">
        <v>46274</v>
      </c>
      <c r="B6647" s="68">
        <v>4</v>
      </c>
      <c r="C6647" s="205" t="s">
        <v>1146</v>
      </c>
      <c r="D6647" s="30">
        <v>1</v>
      </c>
      <c r="E6647" s="30">
        <v>10</v>
      </c>
      <c r="F6647" s="30">
        <f t="shared" si="216"/>
        <v>10</v>
      </c>
      <c r="G6647" s="30" t="s">
        <v>9</v>
      </c>
      <c r="J6647" s="30" t="s">
        <v>391</v>
      </c>
    </row>
    <row r="6648" spans="1:10" ht="30" x14ac:dyDescent="0.25">
      <c r="A6648" s="78">
        <v>46274</v>
      </c>
      <c r="B6648" s="68">
        <v>5</v>
      </c>
      <c r="C6648" s="205" t="s">
        <v>83</v>
      </c>
      <c r="D6648" s="30">
        <v>2</v>
      </c>
      <c r="E6648" s="30">
        <v>10</v>
      </c>
      <c r="F6648" s="30">
        <f t="shared" si="216"/>
        <v>20</v>
      </c>
      <c r="G6648" s="30" t="s">
        <v>9</v>
      </c>
      <c r="J6648" s="30" t="s">
        <v>391</v>
      </c>
    </row>
    <row r="6649" spans="1:10" x14ac:dyDescent="0.25">
      <c r="A6649" s="78">
        <v>46274</v>
      </c>
      <c r="B6649" s="68">
        <v>5</v>
      </c>
      <c r="C6649" s="205" t="s">
        <v>649</v>
      </c>
      <c r="D6649" s="30">
        <v>3</v>
      </c>
      <c r="E6649" s="30">
        <v>5</v>
      </c>
      <c r="F6649" s="30">
        <f t="shared" si="216"/>
        <v>15</v>
      </c>
      <c r="G6649" s="30" t="s">
        <v>9</v>
      </c>
      <c r="J6649" s="30" t="s">
        <v>391</v>
      </c>
    </row>
    <row r="6650" spans="1:10" x14ac:dyDescent="0.25">
      <c r="A6650" s="78">
        <v>46274</v>
      </c>
      <c r="B6650" s="68">
        <v>5</v>
      </c>
      <c r="C6650" s="205" t="s">
        <v>1166</v>
      </c>
      <c r="D6650" s="30">
        <v>5</v>
      </c>
      <c r="E6650" s="30">
        <v>1</v>
      </c>
      <c r="F6650" s="30">
        <f t="shared" si="216"/>
        <v>5</v>
      </c>
      <c r="G6650" s="30" t="s">
        <v>9</v>
      </c>
      <c r="J6650" s="30" t="s">
        <v>391</v>
      </c>
    </row>
    <row r="6651" spans="1:10" x14ac:dyDescent="0.25">
      <c r="A6651" s="78">
        <v>46274</v>
      </c>
      <c r="B6651" s="68">
        <v>6</v>
      </c>
      <c r="C6651" s="205" t="s">
        <v>948</v>
      </c>
      <c r="D6651" s="30">
        <v>1</v>
      </c>
      <c r="E6651" s="30">
        <v>205</v>
      </c>
      <c r="F6651" s="30">
        <f t="shared" si="216"/>
        <v>205</v>
      </c>
      <c r="G6651" s="30" t="s">
        <v>16</v>
      </c>
      <c r="I6651" s="68" t="s">
        <v>1200</v>
      </c>
      <c r="J6651" s="30" t="s">
        <v>391</v>
      </c>
    </row>
    <row r="6652" spans="1:10" x14ac:dyDescent="0.25">
      <c r="A6652" s="78">
        <v>46274</v>
      </c>
      <c r="B6652" s="68">
        <v>6</v>
      </c>
      <c r="C6652" s="19" t="s">
        <v>1427</v>
      </c>
      <c r="D6652" s="30">
        <v>2</v>
      </c>
      <c r="E6652" s="30">
        <v>30</v>
      </c>
      <c r="F6652" s="30">
        <f t="shared" si="216"/>
        <v>60</v>
      </c>
      <c r="G6652" s="30" t="s">
        <v>16</v>
      </c>
      <c r="I6652" s="68" t="s">
        <v>1200</v>
      </c>
      <c r="J6652" s="30" t="s">
        <v>391</v>
      </c>
    </row>
    <row r="6653" spans="1:10" ht="30" x14ac:dyDescent="0.25">
      <c r="A6653" s="78">
        <v>46274</v>
      </c>
      <c r="B6653" s="68">
        <v>6</v>
      </c>
      <c r="C6653" s="205" t="s">
        <v>974</v>
      </c>
      <c r="D6653" s="30">
        <v>1</v>
      </c>
      <c r="E6653" s="30">
        <v>65</v>
      </c>
      <c r="F6653" s="30">
        <f t="shared" si="216"/>
        <v>65</v>
      </c>
      <c r="G6653" s="30" t="s">
        <v>16</v>
      </c>
      <c r="I6653" s="68" t="s">
        <v>1200</v>
      </c>
      <c r="J6653" s="30" t="s">
        <v>391</v>
      </c>
    </row>
    <row r="6654" spans="1:10" ht="30" x14ac:dyDescent="0.25">
      <c r="A6654" s="78">
        <v>46274</v>
      </c>
      <c r="B6654" s="68">
        <v>6</v>
      </c>
      <c r="C6654" s="204" t="s">
        <v>377</v>
      </c>
      <c r="D6654" s="30">
        <v>3</v>
      </c>
      <c r="E6654" s="30">
        <v>10</v>
      </c>
      <c r="F6654" s="30">
        <f t="shared" si="216"/>
        <v>30</v>
      </c>
      <c r="G6654" s="30" t="s">
        <v>16</v>
      </c>
      <c r="I6654" s="68" t="s">
        <v>1200</v>
      </c>
      <c r="J6654" s="30" t="s">
        <v>391</v>
      </c>
    </row>
    <row r="6655" spans="1:10" x14ac:dyDescent="0.25">
      <c r="A6655" s="78">
        <v>46274</v>
      </c>
      <c r="B6655" s="68">
        <v>6</v>
      </c>
      <c r="C6655" s="33" t="s">
        <v>1373</v>
      </c>
      <c r="D6655" s="30">
        <v>1</v>
      </c>
      <c r="E6655" s="30">
        <v>150</v>
      </c>
      <c r="F6655" s="30">
        <f t="shared" si="216"/>
        <v>150</v>
      </c>
      <c r="G6655" s="30" t="s">
        <v>16</v>
      </c>
      <c r="I6655" s="68" t="s">
        <v>1200</v>
      </c>
      <c r="J6655" s="30" t="s">
        <v>391</v>
      </c>
    </row>
    <row r="6656" spans="1:10" x14ac:dyDescent="0.25">
      <c r="A6656" s="78">
        <v>46274</v>
      </c>
      <c r="B6656" s="68">
        <v>6</v>
      </c>
      <c r="C6656" s="205" t="s">
        <v>1116</v>
      </c>
      <c r="D6656" s="30">
        <v>1</v>
      </c>
      <c r="E6656" s="30">
        <v>10</v>
      </c>
      <c r="F6656" s="30">
        <f t="shared" si="216"/>
        <v>10</v>
      </c>
      <c r="G6656" s="30" t="s">
        <v>16</v>
      </c>
      <c r="I6656" s="68" t="s">
        <v>1200</v>
      </c>
      <c r="J6656" s="30" t="s">
        <v>391</v>
      </c>
    </row>
    <row r="6657" spans="1:10" ht="30" x14ac:dyDescent="0.25">
      <c r="A6657" s="78">
        <v>46274</v>
      </c>
      <c r="B6657" s="68">
        <v>7</v>
      </c>
      <c r="C6657" s="205" t="s">
        <v>975</v>
      </c>
      <c r="D6657" s="30">
        <v>1</v>
      </c>
      <c r="E6657" s="30">
        <v>90</v>
      </c>
      <c r="F6657" s="30">
        <f t="shared" si="216"/>
        <v>90</v>
      </c>
      <c r="G6657" s="30" t="s">
        <v>16</v>
      </c>
      <c r="I6657" s="68" t="s">
        <v>1477</v>
      </c>
      <c r="J6657" s="30" t="s">
        <v>391</v>
      </c>
    </row>
    <row r="6658" spans="1:10" x14ac:dyDescent="0.25">
      <c r="A6658" s="78">
        <v>46274</v>
      </c>
      <c r="B6658" s="68">
        <v>7</v>
      </c>
      <c r="C6658" s="205" t="s">
        <v>101</v>
      </c>
      <c r="D6658" s="30">
        <v>1</v>
      </c>
      <c r="E6658" s="30">
        <v>58</v>
      </c>
      <c r="F6658" s="30">
        <f t="shared" si="216"/>
        <v>58</v>
      </c>
      <c r="G6658" s="30" t="s">
        <v>16</v>
      </c>
      <c r="I6658" s="68" t="s">
        <v>1477</v>
      </c>
      <c r="J6658" s="30" t="s">
        <v>391</v>
      </c>
    </row>
    <row r="6659" spans="1:10" ht="30" x14ac:dyDescent="0.25">
      <c r="A6659" s="78">
        <v>46274</v>
      </c>
      <c r="B6659" s="68">
        <v>7</v>
      </c>
      <c r="C6659" s="205" t="s">
        <v>526</v>
      </c>
      <c r="D6659" s="30">
        <v>1</v>
      </c>
      <c r="E6659" s="30">
        <v>65</v>
      </c>
      <c r="F6659" s="30">
        <f t="shared" si="216"/>
        <v>65</v>
      </c>
      <c r="G6659" s="30" t="s">
        <v>16</v>
      </c>
      <c r="I6659" s="68" t="s">
        <v>1477</v>
      </c>
      <c r="J6659" s="30" t="s">
        <v>391</v>
      </c>
    </row>
    <row r="6660" spans="1:10" x14ac:dyDescent="0.25">
      <c r="A6660" s="78">
        <v>46274</v>
      </c>
      <c r="B6660" s="68">
        <v>7</v>
      </c>
      <c r="C6660" s="19" t="s">
        <v>1441</v>
      </c>
      <c r="D6660" s="30">
        <v>1</v>
      </c>
      <c r="E6660" s="30">
        <v>76</v>
      </c>
      <c r="F6660" s="30">
        <f t="shared" si="216"/>
        <v>76</v>
      </c>
      <c r="G6660" s="30" t="s">
        <v>16</v>
      </c>
      <c r="I6660" s="68" t="s">
        <v>1477</v>
      </c>
      <c r="J6660" s="30" t="s">
        <v>391</v>
      </c>
    </row>
    <row r="6661" spans="1:10" ht="30" x14ac:dyDescent="0.25">
      <c r="A6661" s="78">
        <v>46274</v>
      </c>
      <c r="B6661" s="68">
        <v>7</v>
      </c>
      <c r="C6661" s="205" t="s">
        <v>97</v>
      </c>
      <c r="D6661" s="30">
        <v>1</v>
      </c>
      <c r="E6661" s="30">
        <v>35</v>
      </c>
      <c r="F6661" s="30">
        <f t="shared" si="216"/>
        <v>35</v>
      </c>
      <c r="G6661" s="30" t="s">
        <v>16</v>
      </c>
      <c r="I6661" s="68" t="s">
        <v>1477</v>
      </c>
      <c r="J6661" s="30" t="s">
        <v>391</v>
      </c>
    </row>
    <row r="6662" spans="1:10" x14ac:dyDescent="0.25">
      <c r="A6662" s="78">
        <v>46274</v>
      </c>
      <c r="B6662" s="68">
        <v>8</v>
      </c>
      <c r="C6662" s="19" t="s">
        <v>1374</v>
      </c>
      <c r="D6662" s="30">
        <v>1</v>
      </c>
      <c r="E6662" s="30">
        <v>20</v>
      </c>
      <c r="F6662" s="30">
        <f t="shared" si="216"/>
        <v>20</v>
      </c>
      <c r="G6662" s="30" t="s">
        <v>10</v>
      </c>
      <c r="J6662" s="30" t="s">
        <v>391</v>
      </c>
    </row>
    <row r="6663" spans="1:10" x14ac:dyDescent="0.25">
      <c r="A6663" s="78">
        <v>46274</v>
      </c>
      <c r="B6663" s="68">
        <v>8</v>
      </c>
      <c r="C6663" s="33" t="s">
        <v>1473</v>
      </c>
      <c r="D6663" s="30">
        <v>1</v>
      </c>
      <c r="E6663" s="30">
        <v>20</v>
      </c>
      <c r="F6663" s="30">
        <f t="shared" si="216"/>
        <v>20</v>
      </c>
      <c r="G6663" s="30" t="s">
        <v>10</v>
      </c>
      <c r="J6663" s="30" t="s">
        <v>391</v>
      </c>
    </row>
    <row r="6664" spans="1:10" x14ac:dyDescent="0.25">
      <c r="A6664" s="78">
        <v>46274</v>
      </c>
      <c r="B6664" s="68">
        <v>8</v>
      </c>
      <c r="C6664" s="19" t="s">
        <v>1380</v>
      </c>
      <c r="D6664" s="30">
        <v>1</v>
      </c>
      <c r="E6664" s="30">
        <v>10</v>
      </c>
      <c r="F6664" s="30">
        <f t="shared" si="216"/>
        <v>10</v>
      </c>
      <c r="G6664" s="30" t="s">
        <v>10</v>
      </c>
      <c r="J6664" s="30" t="s">
        <v>391</v>
      </c>
    </row>
    <row r="6665" spans="1:10" x14ac:dyDescent="0.25">
      <c r="A6665" s="78">
        <v>46274</v>
      </c>
      <c r="B6665" s="68">
        <v>8</v>
      </c>
      <c r="C6665" s="19" t="s">
        <v>1381</v>
      </c>
      <c r="D6665" s="30">
        <v>1</v>
      </c>
      <c r="E6665" s="30">
        <v>20</v>
      </c>
      <c r="F6665" s="30">
        <f t="shared" si="216"/>
        <v>20</v>
      </c>
      <c r="G6665" s="30" t="s">
        <v>10</v>
      </c>
      <c r="J6665" s="30" t="s">
        <v>391</v>
      </c>
    </row>
    <row r="6666" spans="1:10" x14ac:dyDescent="0.25">
      <c r="A6666" s="78">
        <v>46274</v>
      </c>
      <c r="B6666" s="68">
        <v>8</v>
      </c>
      <c r="C6666" s="205" t="s">
        <v>1146</v>
      </c>
      <c r="D6666" s="30">
        <v>1</v>
      </c>
      <c r="E6666" s="30">
        <v>10</v>
      </c>
      <c r="F6666" s="30">
        <f t="shared" si="216"/>
        <v>10</v>
      </c>
      <c r="G6666" s="30" t="s">
        <v>10</v>
      </c>
      <c r="J6666" s="30" t="s">
        <v>391</v>
      </c>
    </row>
    <row r="6667" spans="1:10" x14ac:dyDescent="0.25">
      <c r="A6667" s="78">
        <v>46274</v>
      </c>
      <c r="B6667" s="68">
        <v>8</v>
      </c>
      <c r="C6667" s="19" t="s">
        <v>1326</v>
      </c>
      <c r="D6667" s="30">
        <v>2</v>
      </c>
      <c r="E6667" s="30">
        <v>10</v>
      </c>
      <c r="F6667" s="30">
        <f t="shared" si="216"/>
        <v>20</v>
      </c>
      <c r="G6667" s="30" t="s">
        <v>10</v>
      </c>
      <c r="J6667" s="30" t="s">
        <v>391</v>
      </c>
    </row>
    <row r="6668" spans="1:10" x14ac:dyDescent="0.25">
      <c r="A6668" s="78">
        <v>46274</v>
      </c>
      <c r="B6668" s="68">
        <v>9</v>
      </c>
      <c r="C6668" s="205" t="s">
        <v>1146</v>
      </c>
      <c r="D6668" s="30">
        <v>1</v>
      </c>
      <c r="E6668" s="30">
        <v>10</v>
      </c>
      <c r="F6668" s="30">
        <f t="shared" si="216"/>
        <v>10</v>
      </c>
      <c r="G6668" s="30" t="s">
        <v>9</v>
      </c>
      <c r="J6668" s="30" t="s">
        <v>391</v>
      </c>
    </row>
    <row r="6669" spans="1:10" x14ac:dyDescent="0.25">
      <c r="A6669" s="78">
        <v>46274</v>
      </c>
      <c r="B6669" s="68">
        <v>10</v>
      </c>
      <c r="C6669" s="204" t="s">
        <v>1396</v>
      </c>
      <c r="D6669" s="30">
        <v>1</v>
      </c>
      <c r="E6669" s="30">
        <v>10</v>
      </c>
      <c r="F6669" s="30">
        <f t="shared" si="216"/>
        <v>10</v>
      </c>
      <c r="G6669" s="30" t="s">
        <v>9</v>
      </c>
      <c r="J6669" s="30" t="s">
        <v>391</v>
      </c>
    </row>
    <row r="6670" spans="1:10" x14ac:dyDescent="0.25">
      <c r="A6670" s="78">
        <v>46274</v>
      </c>
      <c r="B6670" s="68">
        <v>11</v>
      </c>
      <c r="C6670" s="19" t="s">
        <v>1376</v>
      </c>
      <c r="D6670" s="30">
        <v>0.125</v>
      </c>
      <c r="E6670" s="30">
        <v>80</v>
      </c>
      <c r="F6670" s="30">
        <f t="shared" si="216"/>
        <v>10</v>
      </c>
      <c r="G6670" s="30" t="s">
        <v>9</v>
      </c>
      <c r="J6670" s="30" t="s">
        <v>391</v>
      </c>
    </row>
    <row r="6671" spans="1:10" x14ac:dyDescent="0.25">
      <c r="A6671" s="78">
        <v>46274</v>
      </c>
      <c r="B6671" s="68">
        <v>12</v>
      </c>
      <c r="C6671" s="205" t="s">
        <v>1129</v>
      </c>
      <c r="D6671" s="30">
        <v>1</v>
      </c>
      <c r="E6671" s="30">
        <v>40</v>
      </c>
      <c r="F6671" s="30">
        <f t="shared" si="216"/>
        <v>40</v>
      </c>
      <c r="G6671" s="30" t="s">
        <v>10</v>
      </c>
      <c r="J6671" s="30" t="s">
        <v>391</v>
      </c>
    </row>
    <row r="6672" spans="1:10" x14ac:dyDescent="0.25">
      <c r="A6672" s="78">
        <v>46274</v>
      </c>
      <c r="B6672" s="68">
        <v>12</v>
      </c>
      <c r="C6672" s="205" t="s">
        <v>1282</v>
      </c>
      <c r="D6672" s="30">
        <v>2</v>
      </c>
      <c r="E6672" s="30">
        <v>15</v>
      </c>
      <c r="F6672" s="30">
        <f t="shared" si="216"/>
        <v>30</v>
      </c>
      <c r="G6672" s="30" t="s">
        <v>10</v>
      </c>
      <c r="J6672" s="30" t="s">
        <v>391</v>
      </c>
    </row>
    <row r="6673" spans="1:10" x14ac:dyDescent="0.25">
      <c r="A6673" s="78">
        <v>46274</v>
      </c>
      <c r="B6673" s="68">
        <v>7</v>
      </c>
      <c r="C6673" s="19" t="s">
        <v>1326</v>
      </c>
      <c r="D6673" s="30">
        <v>30</v>
      </c>
      <c r="E6673" s="30">
        <v>8.3000000000000007</v>
      </c>
      <c r="F6673" s="30">
        <f t="shared" si="216"/>
        <v>249.00000000000003</v>
      </c>
      <c r="G6673" s="30" t="s">
        <v>16</v>
      </c>
      <c r="I6673" s="68" t="s">
        <v>1477</v>
      </c>
      <c r="J6673" s="30" t="s">
        <v>391</v>
      </c>
    </row>
    <row r="6674" spans="1:10" x14ac:dyDescent="0.25">
      <c r="A6674" s="78">
        <v>46274</v>
      </c>
      <c r="B6674" s="68">
        <v>13</v>
      </c>
      <c r="C6674" s="19" t="s">
        <v>1380</v>
      </c>
      <c r="D6674" s="30">
        <v>2</v>
      </c>
      <c r="E6674" s="30">
        <v>10</v>
      </c>
      <c r="F6674" s="30">
        <f t="shared" si="216"/>
        <v>20</v>
      </c>
      <c r="G6674" s="30" t="s">
        <v>10</v>
      </c>
      <c r="J6674" s="30" t="s">
        <v>391</v>
      </c>
    </row>
    <row r="6675" spans="1:10" ht="30" x14ac:dyDescent="0.25">
      <c r="A6675" s="78">
        <v>46274</v>
      </c>
      <c r="B6675" s="68">
        <v>14</v>
      </c>
      <c r="C6675" s="205" t="s">
        <v>1256</v>
      </c>
      <c r="D6675" s="30">
        <v>1</v>
      </c>
      <c r="E6675" s="30">
        <v>10</v>
      </c>
      <c r="F6675" s="30">
        <f t="shared" si="216"/>
        <v>10</v>
      </c>
      <c r="G6675" s="30" t="s">
        <v>16</v>
      </c>
      <c r="I6675" s="68" t="s">
        <v>1226</v>
      </c>
      <c r="J6675" s="30" t="s">
        <v>391</v>
      </c>
    </row>
    <row r="6676" spans="1:10" x14ac:dyDescent="0.25">
      <c r="A6676" s="78">
        <v>46274</v>
      </c>
      <c r="B6676" s="68">
        <v>15</v>
      </c>
      <c r="C6676" s="19" t="s">
        <v>1378</v>
      </c>
      <c r="D6676" s="30">
        <v>1</v>
      </c>
      <c r="E6676" s="30">
        <v>10</v>
      </c>
      <c r="F6676" s="30">
        <f t="shared" si="216"/>
        <v>10</v>
      </c>
      <c r="G6676" s="30" t="s">
        <v>9</v>
      </c>
      <c r="J6676" s="30" t="s">
        <v>391</v>
      </c>
    </row>
    <row r="6677" spans="1:10" x14ac:dyDescent="0.25">
      <c r="A6677" s="78">
        <v>46274</v>
      </c>
      <c r="B6677" s="68">
        <v>16</v>
      </c>
      <c r="C6677" s="19" t="s">
        <v>1468</v>
      </c>
      <c r="D6677" s="30">
        <v>2</v>
      </c>
      <c r="E6677" s="30">
        <v>10</v>
      </c>
      <c r="F6677" s="30">
        <f t="shared" si="216"/>
        <v>20</v>
      </c>
      <c r="G6677" s="30" t="s">
        <v>9</v>
      </c>
      <c r="J6677" s="30" t="s">
        <v>391</v>
      </c>
    </row>
    <row r="6678" spans="1:10" x14ac:dyDescent="0.25">
      <c r="A6678" s="78">
        <v>46274</v>
      </c>
      <c r="B6678" s="68">
        <v>17</v>
      </c>
      <c r="C6678" s="205" t="s">
        <v>1263</v>
      </c>
      <c r="D6678" s="30">
        <v>3</v>
      </c>
      <c r="E6678" s="30">
        <v>2</v>
      </c>
      <c r="F6678" s="30">
        <f t="shared" si="216"/>
        <v>6</v>
      </c>
      <c r="G6678" s="30" t="s">
        <v>9</v>
      </c>
      <c r="J6678" s="30" t="s">
        <v>391</v>
      </c>
    </row>
    <row r="6679" spans="1:10" x14ac:dyDescent="0.25">
      <c r="A6679" s="78">
        <v>46274</v>
      </c>
      <c r="B6679" s="68">
        <v>14</v>
      </c>
      <c r="C6679" s="19" t="s">
        <v>1326</v>
      </c>
      <c r="D6679" s="30">
        <v>4</v>
      </c>
      <c r="E6679" s="30">
        <v>8.5</v>
      </c>
      <c r="F6679" s="30">
        <f t="shared" si="216"/>
        <v>34</v>
      </c>
      <c r="G6679" s="30" t="s">
        <v>16</v>
      </c>
      <c r="I6679" s="68" t="s">
        <v>1226</v>
      </c>
      <c r="J6679" s="30" t="s">
        <v>391</v>
      </c>
    </row>
    <row r="6680" spans="1:10" s="199" customFormat="1" ht="31.5" x14ac:dyDescent="0.25">
      <c r="A6680" s="196">
        <v>46274</v>
      </c>
      <c r="B6680" s="197" t="s">
        <v>1245</v>
      </c>
      <c r="C6680" s="198">
        <f>MAX(B6640:B6680)</f>
        <v>17</v>
      </c>
      <c r="D6680" s="197" t="s">
        <v>1246</v>
      </c>
      <c r="E6680" s="199">
        <f>SUMIF(G6640:G6680,"UPI",F6640:F6680)</f>
        <v>190</v>
      </c>
      <c r="H6680" s="200" t="s">
        <v>1247</v>
      </c>
      <c r="I6680" s="200">
        <f>SUMIF(G6640:G6680, "&lt;&gt;UPI",F6640:F6680)</f>
        <v>1583.01</v>
      </c>
    </row>
    <row r="6681" spans="1:10" x14ac:dyDescent="0.25">
      <c r="A6681" s="78">
        <v>46274</v>
      </c>
      <c r="B6681" s="68">
        <v>20</v>
      </c>
      <c r="C6681" s="205" t="s">
        <v>1129</v>
      </c>
      <c r="D6681" s="30">
        <v>1</v>
      </c>
      <c r="E6681" s="30">
        <v>40</v>
      </c>
      <c r="F6681" s="30">
        <f>E6681*D6681</f>
        <v>40</v>
      </c>
      <c r="G6681" s="30" t="s">
        <v>9</v>
      </c>
      <c r="J6681" s="30" t="s">
        <v>392</v>
      </c>
    </row>
    <row r="6682" spans="1:10" x14ac:dyDescent="0.25">
      <c r="A6682" s="78">
        <v>46274</v>
      </c>
      <c r="B6682" s="68">
        <v>21</v>
      </c>
      <c r="C6682" s="19" t="s">
        <v>1327</v>
      </c>
      <c r="D6682" s="30">
        <v>1</v>
      </c>
      <c r="E6682" s="30">
        <v>70</v>
      </c>
      <c r="F6682" s="30">
        <f t="shared" ref="F6682:F6708" si="217">E6682*D6682</f>
        <v>70</v>
      </c>
      <c r="G6682" s="30" t="s">
        <v>9</v>
      </c>
      <c r="J6682" s="30" t="s">
        <v>392</v>
      </c>
    </row>
    <row r="6683" spans="1:10" x14ac:dyDescent="0.25">
      <c r="A6683" s="78">
        <v>46274</v>
      </c>
      <c r="B6683" s="68">
        <v>22</v>
      </c>
      <c r="C6683" s="19" t="s">
        <v>1374</v>
      </c>
      <c r="D6683" s="30">
        <v>1</v>
      </c>
      <c r="E6683" s="30">
        <v>20</v>
      </c>
      <c r="F6683" s="30">
        <f t="shared" si="217"/>
        <v>20</v>
      </c>
      <c r="G6683" s="30" t="s">
        <v>9</v>
      </c>
      <c r="J6683" s="30" t="s">
        <v>392</v>
      </c>
    </row>
    <row r="6684" spans="1:10" x14ac:dyDescent="0.25">
      <c r="A6684" s="78">
        <v>46274</v>
      </c>
      <c r="B6684" s="68">
        <v>23</v>
      </c>
      <c r="C6684" s="19" t="s">
        <v>1446</v>
      </c>
      <c r="D6684" s="30">
        <v>1</v>
      </c>
      <c r="E6684" s="30">
        <v>10</v>
      </c>
      <c r="F6684" s="30">
        <f t="shared" si="217"/>
        <v>10</v>
      </c>
      <c r="G6684" s="30" t="s">
        <v>9</v>
      </c>
      <c r="J6684" s="30" t="s">
        <v>392</v>
      </c>
    </row>
    <row r="6685" spans="1:10" x14ac:dyDescent="0.25">
      <c r="A6685" s="78">
        <v>46274</v>
      </c>
      <c r="B6685" s="68">
        <v>24</v>
      </c>
      <c r="C6685" s="19" t="s">
        <v>1326</v>
      </c>
      <c r="D6685" s="30">
        <v>2</v>
      </c>
      <c r="E6685" s="30">
        <v>10</v>
      </c>
      <c r="F6685" s="30">
        <f t="shared" si="217"/>
        <v>20</v>
      </c>
      <c r="G6685" s="30" t="s">
        <v>9</v>
      </c>
      <c r="J6685" s="30" t="s">
        <v>392</v>
      </c>
    </row>
    <row r="6686" spans="1:10" x14ac:dyDescent="0.25">
      <c r="A6686" s="78">
        <v>46274</v>
      </c>
      <c r="B6686" s="68">
        <v>24</v>
      </c>
      <c r="C6686" s="205" t="s">
        <v>1243</v>
      </c>
      <c r="D6686" s="30">
        <v>2</v>
      </c>
      <c r="E6686" s="30">
        <v>10</v>
      </c>
      <c r="F6686" s="30">
        <f t="shared" si="217"/>
        <v>20</v>
      </c>
      <c r="G6686" s="30" t="s">
        <v>9</v>
      </c>
      <c r="J6686" s="30" t="s">
        <v>392</v>
      </c>
    </row>
    <row r="6687" spans="1:10" x14ac:dyDescent="0.25">
      <c r="A6687" s="78">
        <v>46274</v>
      </c>
      <c r="B6687" s="68">
        <v>24</v>
      </c>
      <c r="C6687" s="205" t="s">
        <v>1233</v>
      </c>
      <c r="D6687" s="30">
        <v>0.125</v>
      </c>
      <c r="E6687" s="30">
        <v>80</v>
      </c>
      <c r="F6687" s="30">
        <f t="shared" si="217"/>
        <v>10</v>
      </c>
      <c r="G6687" s="30" t="s">
        <v>9</v>
      </c>
      <c r="J6687" s="30" t="s">
        <v>392</v>
      </c>
    </row>
    <row r="6688" spans="1:10" ht="30" x14ac:dyDescent="0.25">
      <c r="A6688" s="78">
        <v>46274</v>
      </c>
      <c r="B6688" s="68">
        <v>25</v>
      </c>
      <c r="C6688" s="19" t="s">
        <v>1394</v>
      </c>
      <c r="D6688" s="30">
        <v>1</v>
      </c>
      <c r="E6688" s="30">
        <v>10</v>
      </c>
      <c r="F6688" s="30">
        <f t="shared" si="217"/>
        <v>10</v>
      </c>
      <c r="G6688" s="30" t="s">
        <v>9</v>
      </c>
      <c r="J6688" s="30" t="s">
        <v>392</v>
      </c>
    </row>
    <row r="6689" spans="1:10" x14ac:dyDescent="0.25">
      <c r="A6689" s="78">
        <v>46274</v>
      </c>
      <c r="B6689" s="68">
        <v>26</v>
      </c>
      <c r="C6689" s="204" t="s">
        <v>970</v>
      </c>
      <c r="D6689" s="30">
        <v>2</v>
      </c>
      <c r="E6689" s="30">
        <v>10</v>
      </c>
      <c r="F6689" s="30">
        <f t="shared" si="217"/>
        <v>20</v>
      </c>
      <c r="G6689" s="30" t="s">
        <v>9</v>
      </c>
      <c r="J6689" s="30" t="s">
        <v>392</v>
      </c>
    </row>
    <row r="6690" spans="1:10" x14ac:dyDescent="0.25">
      <c r="A6690" s="78">
        <v>46274</v>
      </c>
      <c r="B6690" s="68">
        <v>27</v>
      </c>
      <c r="C6690" s="205" t="s">
        <v>1129</v>
      </c>
      <c r="D6690" s="30">
        <v>1</v>
      </c>
      <c r="E6690" s="30">
        <v>40</v>
      </c>
      <c r="F6690" s="30">
        <f t="shared" si="217"/>
        <v>40</v>
      </c>
      <c r="G6690" s="30" t="s">
        <v>9</v>
      </c>
      <c r="J6690" s="30" t="s">
        <v>392</v>
      </c>
    </row>
    <row r="6691" spans="1:10" x14ac:dyDescent="0.25">
      <c r="A6691" s="78">
        <v>46274</v>
      </c>
      <c r="B6691" s="68">
        <v>27</v>
      </c>
      <c r="C6691" s="205" t="s">
        <v>924</v>
      </c>
      <c r="D6691" s="30">
        <v>1</v>
      </c>
      <c r="E6691" s="30">
        <v>60</v>
      </c>
      <c r="F6691" s="30">
        <f t="shared" si="217"/>
        <v>60</v>
      </c>
      <c r="G6691" s="30" t="s">
        <v>9</v>
      </c>
      <c r="J6691" s="30" t="s">
        <v>392</v>
      </c>
    </row>
    <row r="6692" spans="1:10" x14ac:dyDescent="0.25">
      <c r="A6692" s="78">
        <v>46274</v>
      </c>
      <c r="B6692" s="68">
        <v>27</v>
      </c>
      <c r="C6692" s="19" t="s">
        <v>1381</v>
      </c>
      <c r="D6692" s="30">
        <v>1</v>
      </c>
      <c r="E6692" s="30">
        <v>20</v>
      </c>
      <c r="F6692" s="30">
        <f t="shared" si="217"/>
        <v>20</v>
      </c>
      <c r="G6692" s="30" t="s">
        <v>9</v>
      </c>
      <c r="J6692" s="30" t="s">
        <v>392</v>
      </c>
    </row>
    <row r="6693" spans="1:10" ht="30" x14ac:dyDescent="0.25">
      <c r="A6693" s="78">
        <v>46274</v>
      </c>
      <c r="B6693" s="68">
        <v>28</v>
      </c>
      <c r="C6693" s="19" t="s">
        <v>1394</v>
      </c>
      <c r="D6693" s="30">
        <v>1</v>
      </c>
      <c r="E6693" s="30">
        <v>10</v>
      </c>
      <c r="F6693" s="30">
        <f t="shared" si="217"/>
        <v>10</v>
      </c>
      <c r="G6693" s="30" t="s">
        <v>9</v>
      </c>
      <c r="J6693" s="30" t="s">
        <v>392</v>
      </c>
    </row>
    <row r="6694" spans="1:10" x14ac:dyDescent="0.25">
      <c r="A6694" s="78">
        <v>46274</v>
      </c>
      <c r="B6694" s="68">
        <v>28</v>
      </c>
      <c r="C6694" s="205" t="s">
        <v>1253</v>
      </c>
      <c r="D6694" s="30">
        <v>2</v>
      </c>
      <c r="E6694" s="30">
        <v>5</v>
      </c>
      <c r="F6694" s="30">
        <f t="shared" si="217"/>
        <v>10</v>
      </c>
      <c r="G6694" s="30" t="s">
        <v>9</v>
      </c>
      <c r="J6694" s="30" t="s">
        <v>392</v>
      </c>
    </row>
    <row r="6695" spans="1:10" x14ac:dyDescent="0.25">
      <c r="A6695" s="78">
        <v>46274</v>
      </c>
      <c r="B6695" s="68">
        <v>29</v>
      </c>
      <c r="C6695" s="204" t="s">
        <v>1316</v>
      </c>
      <c r="D6695" s="30">
        <v>1</v>
      </c>
      <c r="E6695" s="30">
        <v>10</v>
      </c>
      <c r="F6695" s="30">
        <f t="shared" si="217"/>
        <v>10</v>
      </c>
      <c r="G6695" s="30" t="s">
        <v>9</v>
      </c>
      <c r="J6695" s="30" t="s">
        <v>392</v>
      </c>
    </row>
    <row r="6696" spans="1:10" x14ac:dyDescent="0.25">
      <c r="A6696" s="78">
        <v>46274</v>
      </c>
      <c r="B6696" s="68">
        <v>30</v>
      </c>
      <c r="C6696" s="204" t="s">
        <v>970</v>
      </c>
      <c r="D6696" s="30">
        <v>1</v>
      </c>
      <c r="E6696" s="30">
        <v>10</v>
      </c>
      <c r="F6696" s="30">
        <f t="shared" si="217"/>
        <v>10</v>
      </c>
      <c r="G6696" s="30" t="s">
        <v>9</v>
      </c>
      <c r="J6696" s="30" t="s">
        <v>392</v>
      </c>
    </row>
    <row r="6697" spans="1:10" x14ac:dyDescent="0.25">
      <c r="A6697" s="78">
        <v>46274</v>
      </c>
      <c r="B6697" s="68">
        <v>31</v>
      </c>
      <c r="C6697" s="205" t="s">
        <v>1252</v>
      </c>
      <c r="D6697" s="30">
        <v>1</v>
      </c>
      <c r="E6697" s="30">
        <v>5</v>
      </c>
      <c r="F6697" s="30">
        <f t="shared" si="217"/>
        <v>5</v>
      </c>
      <c r="G6697" s="30" t="s">
        <v>9</v>
      </c>
      <c r="J6697" s="30" t="s">
        <v>392</v>
      </c>
    </row>
    <row r="6698" spans="1:10" x14ac:dyDescent="0.25">
      <c r="A6698" s="78">
        <v>46274</v>
      </c>
      <c r="B6698" s="68">
        <v>31</v>
      </c>
      <c r="C6698" s="205" t="s">
        <v>1253</v>
      </c>
      <c r="D6698" s="30">
        <v>1</v>
      </c>
      <c r="E6698" s="30">
        <v>5</v>
      </c>
      <c r="F6698" s="30">
        <f t="shared" si="217"/>
        <v>5</v>
      </c>
      <c r="G6698" s="30" t="s">
        <v>9</v>
      </c>
      <c r="J6698" s="30" t="s">
        <v>392</v>
      </c>
    </row>
    <row r="6699" spans="1:10" x14ac:dyDescent="0.25">
      <c r="A6699" s="78">
        <v>46274</v>
      </c>
      <c r="B6699" s="68">
        <v>7</v>
      </c>
      <c r="C6699" s="19" t="s">
        <v>1426</v>
      </c>
      <c r="D6699" s="30">
        <v>0.25</v>
      </c>
      <c r="E6699" s="30">
        <v>80</v>
      </c>
      <c r="F6699" s="30">
        <f t="shared" si="217"/>
        <v>20</v>
      </c>
      <c r="G6699" s="30" t="s">
        <v>16</v>
      </c>
      <c r="I6699" s="68" t="s">
        <v>1492</v>
      </c>
      <c r="J6699" s="30" t="s">
        <v>392</v>
      </c>
    </row>
    <row r="6700" spans="1:10" x14ac:dyDescent="0.25">
      <c r="A6700" s="78">
        <v>46274</v>
      </c>
      <c r="B6700" s="68">
        <v>14</v>
      </c>
      <c r="C6700" s="19" t="s">
        <v>1383</v>
      </c>
      <c r="D6700" s="30">
        <v>1</v>
      </c>
      <c r="E6700" s="30">
        <v>15</v>
      </c>
      <c r="F6700" s="30">
        <f t="shared" si="217"/>
        <v>15</v>
      </c>
      <c r="G6700" s="30" t="s">
        <v>16</v>
      </c>
      <c r="I6700" s="68" t="s">
        <v>1226</v>
      </c>
      <c r="J6700" s="30" t="s">
        <v>392</v>
      </c>
    </row>
    <row r="6701" spans="1:10" x14ac:dyDescent="0.25">
      <c r="A6701" s="78">
        <v>46274</v>
      </c>
      <c r="B6701" s="68">
        <v>14</v>
      </c>
      <c r="C6701" s="19" t="s">
        <v>1326</v>
      </c>
      <c r="D6701" s="30">
        <v>4</v>
      </c>
      <c r="E6701" s="30">
        <v>8.5</v>
      </c>
      <c r="F6701" s="30">
        <f t="shared" si="217"/>
        <v>34</v>
      </c>
      <c r="G6701" s="30" t="s">
        <v>16</v>
      </c>
      <c r="I6701" s="68" t="s">
        <v>1226</v>
      </c>
      <c r="J6701" s="30" t="s">
        <v>392</v>
      </c>
    </row>
    <row r="6702" spans="1:10" ht="30" x14ac:dyDescent="0.25">
      <c r="A6702" s="78">
        <v>46274</v>
      </c>
      <c r="B6702" s="68">
        <v>14</v>
      </c>
      <c r="C6702" s="19" t="s">
        <v>1394</v>
      </c>
      <c r="D6702" s="30">
        <v>2</v>
      </c>
      <c r="E6702" s="30">
        <v>10</v>
      </c>
      <c r="F6702" s="30">
        <f t="shared" si="217"/>
        <v>20</v>
      </c>
      <c r="G6702" s="30" t="s">
        <v>16</v>
      </c>
      <c r="I6702" s="68" t="s">
        <v>1226</v>
      </c>
      <c r="J6702" s="30" t="s">
        <v>392</v>
      </c>
    </row>
    <row r="6703" spans="1:10" x14ac:dyDescent="0.25">
      <c r="A6703" s="78">
        <v>46274</v>
      </c>
      <c r="B6703" s="68">
        <v>14</v>
      </c>
      <c r="C6703" s="205" t="s">
        <v>629</v>
      </c>
      <c r="D6703" s="30">
        <v>1</v>
      </c>
      <c r="E6703" s="30">
        <v>50</v>
      </c>
      <c r="F6703" s="30">
        <f t="shared" si="217"/>
        <v>50</v>
      </c>
      <c r="G6703" s="30" t="s">
        <v>16</v>
      </c>
      <c r="I6703" s="68" t="s">
        <v>1226</v>
      </c>
      <c r="J6703" s="30" t="s">
        <v>392</v>
      </c>
    </row>
    <row r="6704" spans="1:10" x14ac:dyDescent="0.25">
      <c r="A6704" s="78">
        <v>46274</v>
      </c>
      <c r="B6704" s="68">
        <v>32</v>
      </c>
      <c r="C6704" s="19" t="s">
        <v>1383</v>
      </c>
      <c r="D6704" s="30">
        <v>2</v>
      </c>
      <c r="E6704" s="30">
        <v>15</v>
      </c>
      <c r="F6704" s="30">
        <f t="shared" si="217"/>
        <v>30</v>
      </c>
      <c r="G6704" s="30" t="s">
        <v>9</v>
      </c>
      <c r="J6704" s="30" t="s">
        <v>392</v>
      </c>
    </row>
    <row r="6705" spans="1:12" x14ac:dyDescent="0.25">
      <c r="A6705" s="78">
        <v>46274</v>
      </c>
      <c r="B6705" s="68">
        <v>33</v>
      </c>
      <c r="C6705" s="205" t="s">
        <v>1272</v>
      </c>
      <c r="D6705" s="30">
        <v>2</v>
      </c>
      <c r="E6705" s="30">
        <v>10</v>
      </c>
      <c r="F6705" s="30">
        <f t="shared" si="217"/>
        <v>20</v>
      </c>
      <c r="G6705" s="30" t="s">
        <v>9</v>
      </c>
      <c r="J6705" s="30" t="s">
        <v>392</v>
      </c>
    </row>
    <row r="6706" spans="1:12" x14ac:dyDescent="0.25">
      <c r="A6706" s="78">
        <v>46274</v>
      </c>
      <c r="B6706" s="68">
        <v>33</v>
      </c>
      <c r="C6706" s="19" t="s">
        <v>1444</v>
      </c>
      <c r="D6706" s="30">
        <v>2</v>
      </c>
      <c r="E6706" s="30">
        <v>10</v>
      </c>
      <c r="F6706" s="30">
        <f t="shared" si="217"/>
        <v>20</v>
      </c>
      <c r="G6706" s="30" t="s">
        <v>9</v>
      </c>
      <c r="J6706" s="30" t="s">
        <v>392</v>
      </c>
    </row>
    <row r="6707" spans="1:12" x14ac:dyDescent="0.25">
      <c r="A6707" s="78">
        <v>46274</v>
      </c>
      <c r="B6707" s="68">
        <v>33</v>
      </c>
      <c r="C6707" s="205" t="s">
        <v>880</v>
      </c>
      <c r="D6707" s="30">
        <v>1</v>
      </c>
      <c r="E6707" s="30">
        <v>45</v>
      </c>
      <c r="F6707" s="30">
        <f t="shared" si="217"/>
        <v>45</v>
      </c>
      <c r="G6707" s="30" t="s">
        <v>9</v>
      </c>
      <c r="J6707" s="30" t="s">
        <v>392</v>
      </c>
    </row>
    <row r="6708" spans="1:12" x14ac:dyDescent="0.25">
      <c r="A6708" s="78">
        <v>46274</v>
      </c>
      <c r="B6708" s="68">
        <v>33</v>
      </c>
      <c r="C6708" s="205" t="s">
        <v>1166</v>
      </c>
      <c r="D6708" s="30">
        <v>5</v>
      </c>
      <c r="E6708" s="30">
        <v>1</v>
      </c>
      <c r="F6708" s="30">
        <f t="shared" si="217"/>
        <v>5</v>
      </c>
      <c r="G6708" s="30" t="s">
        <v>9</v>
      </c>
      <c r="J6708" s="30" t="s">
        <v>392</v>
      </c>
    </row>
    <row r="6709" spans="1:12" s="199" customFormat="1" ht="31.5" x14ac:dyDescent="0.25">
      <c r="A6709" s="196">
        <v>46274</v>
      </c>
      <c r="B6709" s="197" t="s">
        <v>1248</v>
      </c>
      <c r="C6709" s="198">
        <f>MAX(B6681:B6709)</f>
        <v>33</v>
      </c>
      <c r="D6709" s="197" t="s">
        <v>1249</v>
      </c>
      <c r="E6709" s="199">
        <f>SUMIF(G6681:G6709,"UPI",F6681:F6709)</f>
        <v>0</v>
      </c>
      <c r="H6709" s="200" t="s">
        <v>1251</v>
      </c>
      <c r="I6709" s="200">
        <f>SUMIF(G6681:G6709, "&lt;&gt;UPI",F6681:F6709)</f>
        <v>649</v>
      </c>
    </row>
    <row r="6710" spans="1:12" s="5" customFormat="1" ht="15.75" x14ac:dyDescent="0.25">
      <c r="A6710" s="201">
        <v>46274</v>
      </c>
      <c r="B6710" s="2"/>
      <c r="C6710" s="14"/>
      <c r="H6710" s="2" t="s">
        <v>1250</v>
      </c>
      <c r="I6710" s="2">
        <f>SUMIF(G6640:G6709, "&lt;&gt;UPI",F6640:F6709)</f>
        <v>2232.0100000000002</v>
      </c>
    </row>
    <row r="6711" spans="1:12" s="202" customFormat="1" ht="18.75" customHeight="1" x14ac:dyDescent="0.3">
      <c r="A6711" s="146">
        <v>46274</v>
      </c>
      <c r="B6711" s="147" t="s">
        <v>987</v>
      </c>
      <c r="C6711" s="148">
        <f>MAX(B6640:B6710)</f>
        <v>33</v>
      </c>
      <c r="D6711" s="147" t="s">
        <v>988</v>
      </c>
      <c r="E6711" s="202">
        <f>SUMIF(G6640:G6709,"UPI",F6640:F6709)</f>
        <v>190</v>
      </c>
      <c r="F6711" s="227" t="s">
        <v>437</v>
      </c>
      <c r="G6711" s="228"/>
      <c r="H6711" s="229"/>
      <c r="I6711" s="227">
        <f>SUM(F6640:F6710)</f>
        <v>2422.0100000000002</v>
      </c>
      <c r="J6711" s="228"/>
      <c r="K6711" s="228"/>
      <c r="L6711" s="229"/>
    </row>
    <row r="6712" spans="1:12" x14ac:dyDescent="0.25">
      <c r="A6712" s="78">
        <v>46275</v>
      </c>
      <c r="B6712" s="68">
        <v>1</v>
      </c>
      <c r="C6712" s="205" t="s">
        <v>1123</v>
      </c>
      <c r="D6712" s="30">
        <v>1</v>
      </c>
      <c r="E6712" s="30">
        <v>35</v>
      </c>
      <c r="F6712" s="30">
        <f>E6712*D6712</f>
        <v>35</v>
      </c>
      <c r="G6712" s="30" t="s">
        <v>9</v>
      </c>
      <c r="J6712" s="30" t="s">
        <v>391</v>
      </c>
    </row>
    <row r="6713" spans="1:12" x14ac:dyDescent="0.25">
      <c r="A6713" s="78">
        <v>46275</v>
      </c>
      <c r="B6713" s="68">
        <v>1</v>
      </c>
      <c r="C6713" s="205" t="s">
        <v>1039</v>
      </c>
      <c r="D6713" s="30">
        <v>1</v>
      </c>
      <c r="E6713" s="30">
        <v>35</v>
      </c>
      <c r="F6713" s="30">
        <f t="shared" ref="F6713:F6744" si="218">E6713*D6713</f>
        <v>35</v>
      </c>
      <c r="G6713" s="30" t="s">
        <v>9</v>
      </c>
      <c r="J6713" s="30" t="s">
        <v>391</v>
      </c>
    </row>
    <row r="6714" spans="1:12" x14ac:dyDescent="0.25">
      <c r="A6714" s="78">
        <v>46275</v>
      </c>
      <c r="B6714" s="68">
        <v>1</v>
      </c>
      <c r="C6714" s="205" t="s">
        <v>1243</v>
      </c>
      <c r="D6714" s="30">
        <v>2</v>
      </c>
      <c r="E6714" s="30">
        <v>10</v>
      </c>
      <c r="F6714" s="30">
        <f t="shared" si="218"/>
        <v>20</v>
      </c>
      <c r="G6714" s="30" t="s">
        <v>9</v>
      </c>
      <c r="J6714" s="30" t="s">
        <v>391</v>
      </c>
    </row>
    <row r="6715" spans="1:12" x14ac:dyDescent="0.25">
      <c r="A6715" s="78">
        <v>46275</v>
      </c>
      <c r="B6715" s="68">
        <v>2</v>
      </c>
      <c r="C6715" s="19" t="s">
        <v>1326</v>
      </c>
      <c r="D6715" s="30">
        <v>8</v>
      </c>
      <c r="E6715" s="30">
        <v>8.8000000000000007</v>
      </c>
      <c r="F6715" s="30">
        <f t="shared" si="218"/>
        <v>70.400000000000006</v>
      </c>
      <c r="G6715" s="30" t="s">
        <v>10</v>
      </c>
      <c r="J6715" s="30" t="s">
        <v>391</v>
      </c>
    </row>
    <row r="6716" spans="1:12" ht="30" x14ac:dyDescent="0.25">
      <c r="A6716" s="78">
        <v>46275</v>
      </c>
      <c r="B6716" s="68">
        <v>3</v>
      </c>
      <c r="C6716" s="19" t="s">
        <v>1388</v>
      </c>
      <c r="D6716" s="30">
        <v>1</v>
      </c>
      <c r="E6716" s="30">
        <v>120</v>
      </c>
      <c r="F6716" s="30">
        <f t="shared" si="218"/>
        <v>120</v>
      </c>
      <c r="G6716" s="30" t="s">
        <v>16</v>
      </c>
      <c r="I6716" s="68" t="s">
        <v>1200</v>
      </c>
      <c r="J6716" s="30" t="s">
        <v>391</v>
      </c>
    </row>
    <row r="6717" spans="1:12" x14ac:dyDescent="0.25">
      <c r="A6717" s="78">
        <v>46275</v>
      </c>
      <c r="B6717" s="68">
        <v>4</v>
      </c>
      <c r="C6717" s="19" t="s">
        <v>1377</v>
      </c>
      <c r="D6717" s="30">
        <v>3</v>
      </c>
      <c r="E6717" s="30">
        <v>10</v>
      </c>
      <c r="F6717" s="30">
        <f t="shared" si="218"/>
        <v>30</v>
      </c>
      <c r="G6717" s="30" t="s">
        <v>9</v>
      </c>
      <c r="J6717" s="30" t="s">
        <v>391</v>
      </c>
    </row>
    <row r="6718" spans="1:12" ht="30" x14ac:dyDescent="0.25">
      <c r="A6718" s="78">
        <v>46275</v>
      </c>
      <c r="B6718" s="68">
        <v>5</v>
      </c>
      <c r="C6718" s="19" t="s">
        <v>1389</v>
      </c>
      <c r="D6718" s="30">
        <v>1</v>
      </c>
      <c r="E6718" s="30">
        <v>70</v>
      </c>
      <c r="F6718" s="30">
        <f t="shared" si="218"/>
        <v>70</v>
      </c>
      <c r="G6718" s="30" t="s">
        <v>9</v>
      </c>
      <c r="J6718" s="30" t="s">
        <v>391</v>
      </c>
    </row>
    <row r="6719" spans="1:12" x14ac:dyDescent="0.25">
      <c r="A6719" s="78">
        <v>46275</v>
      </c>
      <c r="B6719" s="68">
        <v>6</v>
      </c>
      <c r="C6719" s="19" t="s">
        <v>1383</v>
      </c>
      <c r="D6719" s="30">
        <v>1</v>
      </c>
      <c r="E6719" s="30">
        <v>20</v>
      </c>
      <c r="F6719" s="30">
        <f t="shared" si="218"/>
        <v>20</v>
      </c>
      <c r="G6719" s="30" t="s">
        <v>9</v>
      </c>
      <c r="J6719" s="30" t="s">
        <v>391</v>
      </c>
    </row>
    <row r="6720" spans="1:12" x14ac:dyDescent="0.25">
      <c r="A6720" s="78">
        <v>46275</v>
      </c>
      <c r="B6720" s="68">
        <v>6</v>
      </c>
      <c r="C6720" s="204" t="s">
        <v>970</v>
      </c>
      <c r="D6720" s="30">
        <v>2</v>
      </c>
      <c r="E6720" s="30">
        <v>10</v>
      </c>
      <c r="F6720" s="30">
        <f t="shared" si="218"/>
        <v>20</v>
      </c>
      <c r="G6720" s="30" t="s">
        <v>9</v>
      </c>
      <c r="J6720" s="30" t="s">
        <v>391</v>
      </c>
    </row>
    <row r="6721" spans="1:10" x14ac:dyDescent="0.25">
      <c r="A6721" s="78">
        <v>46275</v>
      </c>
      <c r="B6721" s="68">
        <v>7</v>
      </c>
      <c r="C6721" s="19" t="s">
        <v>1496</v>
      </c>
      <c r="D6721" s="30">
        <v>1</v>
      </c>
      <c r="E6721" s="30">
        <v>50</v>
      </c>
      <c r="F6721" s="30">
        <f t="shared" si="218"/>
        <v>50</v>
      </c>
      <c r="G6721" s="30" t="s">
        <v>9</v>
      </c>
      <c r="I6721" s="68" t="s">
        <v>1505</v>
      </c>
      <c r="J6721" s="30" t="s">
        <v>391</v>
      </c>
    </row>
    <row r="6722" spans="1:10" x14ac:dyDescent="0.25">
      <c r="A6722" s="78">
        <v>46275</v>
      </c>
      <c r="B6722" s="68">
        <v>8</v>
      </c>
      <c r="C6722" s="19" t="s">
        <v>1326</v>
      </c>
      <c r="D6722" s="30">
        <v>4</v>
      </c>
      <c r="E6722" s="30">
        <v>10</v>
      </c>
      <c r="F6722" s="30">
        <f t="shared" si="218"/>
        <v>40</v>
      </c>
      <c r="G6722" s="30" t="s">
        <v>9</v>
      </c>
      <c r="J6722" s="30" t="s">
        <v>391</v>
      </c>
    </row>
    <row r="6723" spans="1:10" x14ac:dyDescent="0.25">
      <c r="A6723" s="78">
        <v>46275</v>
      </c>
      <c r="B6723" s="68">
        <v>8</v>
      </c>
      <c r="F6723" s="30">
        <f t="shared" si="218"/>
        <v>0</v>
      </c>
      <c r="G6723" s="30" t="s">
        <v>9</v>
      </c>
      <c r="J6723" s="30" t="s">
        <v>391</v>
      </c>
    </row>
    <row r="6724" spans="1:10" x14ac:dyDescent="0.25">
      <c r="A6724" s="78">
        <v>46275</v>
      </c>
      <c r="B6724" s="68">
        <v>9</v>
      </c>
      <c r="C6724" s="205" t="s">
        <v>728</v>
      </c>
      <c r="D6724" s="30">
        <v>0.06</v>
      </c>
      <c r="E6724" s="30">
        <v>170</v>
      </c>
      <c r="F6724" s="30">
        <f t="shared" si="218"/>
        <v>10.199999999999999</v>
      </c>
      <c r="G6724" s="30" t="s">
        <v>9</v>
      </c>
      <c r="J6724" s="30" t="s">
        <v>391</v>
      </c>
    </row>
    <row r="6725" spans="1:10" ht="30" x14ac:dyDescent="0.25">
      <c r="A6725" s="78">
        <v>46275</v>
      </c>
      <c r="B6725" s="68">
        <v>10</v>
      </c>
      <c r="C6725" s="19" t="s">
        <v>1391</v>
      </c>
      <c r="D6725" s="30">
        <v>1</v>
      </c>
      <c r="E6725" s="30">
        <v>50</v>
      </c>
      <c r="F6725" s="30">
        <f t="shared" si="218"/>
        <v>50</v>
      </c>
      <c r="G6725" s="30" t="s">
        <v>9</v>
      </c>
      <c r="J6725" s="30" t="s">
        <v>391</v>
      </c>
    </row>
    <row r="6726" spans="1:10" x14ac:dyDescent="0.25">
      <c r="A6726" s="78">
        <v>46275</v>
      </c>
      <c r="B6726" s="68">
        <v>10</v>
      </c>
      <c r="C6726" s="19" t="s">
        <v>1441</v>
      </c>
      <c r="D6726" s="30">
        <v>1</v>
      </c>
      <c r="E6726" s="30">
        <v>75</v>
      </c>
      <c r="F6726" s="30">
        <f t="shared" si="218"/>
        <v>75</v>
      </c>
      <c r="G6726" s="30" t="s">
        <v>9</v>
      </c>
      <c r="J6726" s="30" t="s">
        <v>391</v>
      </c>
    </row>
    <row r="6727" spans="1:10" x14ac:dyDescent="0.25">
      <c r="A6727" s="78">
        <v>46275</v>
      </c>
      <c r="B6727" s="68">
        <v>10</v>
      </c>
      <c r="C6727" s="19" t="s">
        <v>1326</v>
      </c>
      <c r="D6727" s="30">
        <v>12</v>
      </c>
      <c r="E6727" s="30">
        <v>8.3000000000000007</v>
      </c>
      <c r="F6727" s="30">
        <f t="shared" si="218"/>
        <v>99.600000000000009</v>
      </c>
      <c r="G6727" s="30" t="s">
        <v>9</v>
      </c>
      <c r="J6727" s="30" t="s">
        <v>391</v>
      </c>
    </row>
    <row r="6728" spans="1:10" x14ac:dyDescent="0.25">
      <c r="A6728" s="78">
        <v>46275</v>
      </c>
      <c r="B6728" s="68">
        <v>10</v>
      </c>
      <c r="C6728" s="205" t="s">
        <v>837</v>
      </c>
      <c r="D6728" s="30">
        <v>1</v>
      </c>
      <c r="E6728" s="30">
        <v>50</v>
      </c>
      <c r="F6728" s="30">
        <f t="shared" si="218"/>
        <v>50</v>
      </c>
      <c r="G6728" s="30" t="s">
        <v>9</v>
      </c>
      <c r="J6728" s="30" t="s">
        <v>391</v>
      </c>
    </row>
    <row r="6729" spans="1:10" x14ac:dyDescent="0.25">
      <c r="A6729" s="78">
        <v>46275</v>
      </c>
      <c r="B6729" s="68">
        <v>10</v>
      </c>
      <c r="C6729" s="205" t="s">
        <v>1269</v>
      </c>
      <c r="D6729" s="30">
        <v>1</v>
      </c>
      <c r="E6729" s="30">
        <v>30</v>
      </c>
      <c r="F6729" s="30">
        <f t="shared" si="218"/>
        <v>30</v>
      </c>
      <c r="G6729" s="30" t="s">
        <v>9</v>
      </c>
      <c r="J6729" s="30" t="s">
        <v>391</v>
      </c>
    </row>
    <row r="6730" spans="1:10" x14ac:dyDescent="0.25">
      <c r="A6730" s="78">
        <v>46275</v>
      </c>
      <c r="B6730" s="68">
        <v>10</v>
      </c>
      <c r="C6730" s="205" t="s">
        <v>1108</v>
      </c>
      <c r="D6730" s="30">
        <v>1</v>
      </c>
      <c r="E6730" s="30">
        <v>20</v>
      </c>
      <c r="F6730" s="30">
        <f t="shared" si="218"/>
        <v>20</v>
      </c>
      <c r="G6730" s="30" t="s">
        <v>9</v>
      </c>
      <c r="J6730" s="30" t="s">
        <v>391</v>
      </c>
    </row>
    <row r="6731" spans="1:10" x14ac:dyDescent="0.25">
      <c r="A6731" s="78">
        <v>46275</v>
      </c>
      <c r="B6731" s="68">
        <v>10</v>
      </c>
      <c r="C6731" s="205" t="s">
        <v>588</v>
      </c>
      <c r="D6731" s="30">
        <v>0.16</v>
      </c>
      <c r="E6731" s="30">
        <v>190</v>
      </c>
      <c r="F6731" s="30">
        <f t="shared" si="218"/>
        <v>30.400000000000002</v>
      </c>
      <c r="G6731" s="30" t="s">
        <v>9</v>
      </c>
      <c r="J6731" s="30" t="s">
        <v>391</v>
      </c>
    </row>
    <row r="6732" spans="1:10" ht="30" x14ac:dyDescent="0.25">
      <c r="A6732" s="78">
        <v>46275</v>
      </c>
      <c r="B6732" s="68">
        <v>10</v>
      </c>
      <c r="C6732" s="19" t="s">
        <v>1413</v>
      </c>
      <c r="D6732" s="30">
        <v>1</v>
      </c>
      <c r="E6732" s="30">
        <v>30</v>
      </c>
      <c r="F6732" s="30">
        <f t="shared" si="218"/>
        <v>30</v>
      </c>
      <c r="G6732" s="30" t="s">
        <v>9</v>
      </c>
      <c r="J6732" s="30" t="s">
        <v>391</v>
      </c>
    </row>
    <row r="6733" spans="1:10" x14ac:dyDescent="0.25">
      <c r="A6733" s="78">
        <v>46275</v>
      </c>
      <c r="B6733" s="68">
        <v>11</v>
      </c>
      <c r="C6733" s="205" t="s">
        <v>588</v>
      </c>
      <c r="D6733" s="30">
        <v>0.105</v>
      </c>
      <c r="E6733" s="30">
        <v>190</v>
      </c>
      <c r="F6733" s="30">
        <f t="shared" si="218"/>
        <v>19.95</v>
      </c>
      <c r="G6733" s="30" t="s">
        <v>10</v>
      </c>
      <c r="J6733" s="30" t="s">
        <v>391</v>
      </c>
    </row>
    <row r="6734" spans="1:10" x14ac:dyDescent="0.25">
      <c r="A6734" s="78">
        <v>46275</v>
      </c>
      <c r="B6734" s="68">
        <v>11</v>
      </c>
      <c r="C6734" s="205" t="s">
        <v>1116</v>
      </c>
      <c r="D6734" s="30">
        <v>1</v>
      </c>
      <c r="E6734" s="30">
        <v>10</v>
      </c>
      <c r="F6734" s="30">
        <f t="shared" si="218"/>
        <v>10</v>
      </c>
      <c r="G6734" s="30" t="s">
        <v>10</v>
      </c>
      <c r="J6734" s="30" t="s">
        <v>391</v>
      </c>
    </row>
    <row r="6735" spans="1:10" x14ac:dyDescent="0.25">
      <c r="A6735" s="78">
        <v>46275</v>
      </c>
      <c r="B6735" s="68">
        <v>12</v>
      </c>
      <c r="C6735" s="19" t="s">
        <v>1381</v>
      </c>
      <c r="D6735" s="30">
        <v>1</v>
      </c>
      <c r="E6735" s="30">
        <v>20</v>
      </c>
      <c r="F6735" s="30">
        <f t="shared" si="218"/>
        <v>20</v>
      </c>
      <c r="G6735" s="30" t="s">
        <v>9</v>
      </c>
      <c r="J6735" s="30" t="s">
        <v>391</v>
      </c>
    </row>
    <row r="6736" spans="1:10" x14ac:dyDescent="0.25">
      <c r="A6736" s="78">
        <v>46275</v>
      </c>
      <c r="B6736" s="68">
        <v>13</v>
      </c>
      <c r="C6736" s="205" t="s">
        <v>769</v>
      </c>
      <c r="D6736" s="30">
        <v>1</v>
      </c>
      <c r="E6736" s="30">
        <v>20</v>
      </c>
      <c r="F6736" s="30">
        <f t="shared" si="218"/>
        <v>20</v>
      </c>
      <c r="G6736" s="30" t="s">
        <v>10</v>
      </c>
      <c r="J6736" s="30" t="s">
        <v>391</v>
      </c>
    </row>
    <row r="6737" spans="1:10" ht="30" x14ac:dyDescent="0.25">
      <c r="A6737" s="78">
        <v>46275</v>
      </c>
      <c r="B6737" s="68">
        <v>13</v>
      </c>
      <c r="C6737" s="205" t="s">
        <v>977</v>
      </c>
      <c r="D6737" s="30">
        <v>1</v>
      </c>
      <c r="E6737" s="30">
        <v>10</v>
      </c>
      <c r="F6737" s="30">
        <f t="shared" si="218"/>
        <v>10</v>
      </c>
      <c r="G6737" s="30" t="s">
        <v>10</v>
      </c>
      <c r="J6737" s="30" t="s">
        <v>391</v>
      </c>
    </row>
    <row r="6738" spans="1:10" x14ac:dyDescent="0.25">
      <c r="A6738" s="78">
        <v>46275</v>
      </c>
      <c r="B6738" s="68">
        <v>14</v>
      </c>
      <c r="C6738" s="19" t="s">
        <v>1374</v>
      </c>
      <c r="D6738" s="30">
        <v>1</v>
      </c>
      <c r="E6738" s="30">
        <v>20</v>
      </c>
      <c r="F6738" s="30">
        <f t="shared" si="218"/>
        <v>20</v>
      </c>
      <c r="G6738" s="30" t="s">
        <v>9</v>
      </c>
      <c r="J6738" s="30" t="s">
        <v>391</v>
      </c>
    </row>
    <row r="6739" spans="1:10" x14ac:dyDescent="0.25">
      <c r="A6739" s="78">
        <v>46275</v>
      </c>
      <c r="B6739" s="68">
        <v>15</v>
      </c>
      <c r="C6739" s="205" t="s">
        <v>925</v>
      </c>
      <c r="D6739" s="30">
        <v>1</v>
      </c>
      <c r="E6739" s="30">
        <v>15</v>
      </c>
      <c r="F6739" s="30">
        <f t="shared" si="218"/>
        <v>15</v>
      </c>
      <c r="G6739" s="30" t="s">
        <v>9</v>
      </c>
      <c r="J6739" s="30" t="s">
        <v>391</v>
      </c>
    </row>
    <row r="6740" spans="1:10" ht="30" x14ac:dyDescent="0.25">
      <c r="A6740" s="78">
        <v>46275</v>
      </c>
      <c r="B6740" s="68">
        <v>16</v>
      </c>
      <c r="C6740" s="19" t="s">
        <v>1388</v>
      </c>
      <c r="D6740" s="30">
        <v>1</v>
      </c>
      <c r="E6740" s="30">
        <v>120</v>
      </c>
      <c r="F6740" s="30">
        <f t="shared" si="218"/>
        <v>120</v>
      </c>
      <c r="G6740" s="30" t="s">
        <v>9</v>
      </c>
      <c r="J6740" s="30" t="s">
        <v>391</v>
      </c>
    </row>
    <row r="6741" spans="1:10" x14ac:dyDescent="0.25">
      <c r="A6741" s="78">
        <v>46275</v>
      </c>
      <c r="B6741" s="68">
        <v>16</v>
      </c>
      <c r="C6741" s="204" t="s">
        <v>1396</v>
      </c>
      <c r="D6741" s="30">
        <v>1</v>
      </c>
      <c r="E6741" s="30">
        <v>10</v>
      </c>
      <c r="F6741" s="30">
        <f t="shared" si="218"/>
        <v>10</v>
      </c>
      <c r="G6741" s="30" t="s">
        <v>9</v>
      </c>
      <c r="J6741" s="30" t="s">
        <v>391</v>
      </c>
    </row>
    <row r="6742" spans="1:10" x14ac:dyDescent="0.25">
      <c r="A6742" s="78">
        <v>46275</v>
      </c>
      <c r="B6742" s="68">
        <v>17</v>
      </c>
      <c r="C6742" s="19" t="s">
        <v>1378</v>
      </c>
      <c r="D6742" s="30">
        <v>1</v>
      </c>
      <c r="E6742" s="30">
        <v>10</v>
      </c>
      <c r="F6742" s="30">
        <f t="shared" si="218"/>
        <v>10</v>
      </c>
      <c r="G6742" s="30" t="s">
        <v>9</v>
      </c>
      <c r="J6742" s="30" t="s">
        <v>391</v>
      </c>
    </row>
    <row r="6743" spans="1:10" x14ac:dyDescent="0.25">
      <c r="A6743" s="78">
        <v>46275</v>
      </c>
      <c r="B6743" s="68">
        <v>18</v>
      </c>
      <c r="C6743" s="204" t="s">
        <v>1396</v>
      </c>
      <c r="D6743" s="30">
        <v>1</v>
      </c>
      <c r="E6743" s="30">
        <v>10</v>
      </c>
      <c r="F6743" s="30">
        <f t="shared" si="218"/>
        <v>10</v>
      </c>
      <c r="G6743" s="30" t="s">
        <v>9</v>
      </c>
      <c r="J6743" s="30" t="s">
        <v>391</v>
      </c>
    </row>
    <row r="6744" spans="1:10" x14ac:dyDescent="0.25">
      <c r="A6744" s="78">
        <v>46275</v>
      </c>
      <c r="B6744" s="68">
        <v>19</v>
      </c>
      <c r="C6744" s="19" t="s">
        <v>1374</v>
      </c>
      <c r="D6744" s="30">
        <v>2</v>
      </c>
      <c r="E6744" s="30">
        <v>20</v>
      </c>
      <c r="F6744" s="30">
        <f t="shared" si="218"/>
        <v>40</v>
      </c>
      <c r="G6744" s="30" t="s">
        <v>16</v>
      </c>
      <c r="I6744" s="68" t="s">
        <v>1226</v>
      </c>
      <c r="J6744" s="30" t="s">
        <v>391</v>
      </c>
    </row>
    <row r="6745" spans="1:10" s="199" customFormat="1" ht="31.5" x14ac:dyDescent="0.25">
      <c r="A6745" s="196">
        <v>46275</v>
      </c>
      <c r="B6745" s="197" t="s">
        <v>1245</v>
      </c>
      <c r="C6745" s="198">
        <f>MAX(B6712:B6745)</f>
        <v>19</v>
      </c>
      <c r="D6745" s="197" t="s">
        <v>1246</v>
      </c>
      <c r="E6745" s="199">
        <f>SUMIF(G6712:G6745,"UPI",F6712:F6745)</f>
        <v>130.35000000000002</v>
      </c>
      <c r="H6745" s="200" t="s">
        <v>1247</v>
      </c>
      <c r="I6745" s="200">
        <f>SUMIF(G6712:G6745, "&lt;&gt;UPI",F6712:F6745)</f>
        <v>1080.2</v>
      </c>
    </row>
    <row r="6746" spans="1:10" ht="30" x14ac:dyDescent="0.25">
      <c r="A6746" s="78">
        <v>46275</v>
      </c>
      <c r="B6746" s="68">
        <v>17</v>
      </c>
      <c r="C6746" s="19" t="s">
        <v>1394</v>
      </c>
      <c r="D6746" s="30">
        <v>1</v>
      </c>
      <c r="E6746" s="30">
        <v>10</v>
      </c>
      <c r="F6746" s="30">
        <f t="shared" ref="F6746:F6773" si="219">E6746*D6746</f>
        <v>10</v>
      </c>
      <c r="G6746" s="30" t="s">
        <v>9</v>
      </c>
      <c r="J6746" s="30" t="s">
        <v>392</v>
      </c>
    </row>
    <row r="6747" spans="1:10" x14ac:dyDescent="0.25">
      <c r="A6747" s="78">
        <v>46275</v>
      </c>
      <c r="B6747" s="68">
        <v>18</v>
      </c>
      <c r="C6747" s="19" t="s">
        <v>1379</v>
      </c>
      <c r="D6747" s="30">
        <v>1</v>
      </c>
      <c r="E6747" s="30">
        <v>40</v>
      </c>
      <c r="F6747" s="30">
        <f t="shared" si="219"/>
        <v>40</v>
      </c>
      <c r="G6747" s="30" t="s">
        <v>9</v>
      </c>
      <c r="J6747" s="30" t="s">
        <v>392</v>
      </c>
    </row>
    <row r="6748" spans="1:10" x14ac:dyDescent="0.25">
      <c r="A6748" s="78">
        <v>46275</v>
      </c>
      <c r="B6748" s="68">
        <v>19</v>
      </c>
      <c r="C6748" s="19" t="s">
        <v>1383</v>
      </c>
      <c r="D6748" s="30">
        <v>1</v>
      </c>
      <c r="E6748" s="30">
        <v>20</v>
      </c>
      <c r="F6748" s="30">
        <f t="shared" si="219"/>
        <v>20</v>
      </c>
      <c r="G6748" s="30" t="s">
        <v>9</v>
      </c>
      <c r="J6748" s="30" t="s">
        <v>392</v>
      </c>
    </row>
    <row r="6749" spans="1:10" x14ac:dyDescent="0.25">
      <c r="A6749" s="78">
        <v>46275</v>
      </c>
      <c r="B6749" s="68">
        <v>20</v>
      </c>
      <c r="C6749" s="19" t="s">
        <v>1502</v>
      </c>
      <c r="D6749" s="30">
        <v>1</v>
      </c>
      <c r="E6749" s="30">
        <v>10</v>
      </c>
      <c r="F6749" s="30">
        <f t="shared" si="219"/>
        <v>10</v>
      </c>
      <c r="G6749" s="30" t="s">
        <v>9</v>
      </c>
      <c r="J6749" s="30" t="s">
        <v>392</v>
      </c>
    </row>
    <row r="6750" spans="1:10" x14ac:dyDescent="0.25">
      <c r="A6750" s="78">
        <v>46275</v>
      </c>
      <c r="B6750" s="68">
        <v>21</v>
      </c>
      <c r="C6750" s="205" t="s">
        <v>948</v>
      </c>
      <c r="D6750" s="30">
        <v>1</v>
      </c>
      <c r="E6750" s="30">
        <v>210</v>
      </c>
      <c r="F6750" s="30">
        <f t="shared" si="219"/>
        <v>210</v>
      </c>
      <c r="G6750" s="30" t="s">
        <v>9</v>
      </c>
      <c r="J6750" s="30" t="s">
        <v>392</v>
      </c>
    </row>
    <row r="6751" spans="1:10" ht="30" x14ac:dyDescent="0.25">
      <c r="A6751" s="78">
        <v>46275</v>
      </c>
      <c r="B6751" s="68">
        <v>21</v>
      </c>
      <c r="C6751" s="33" t="s">
        <v>1485</v>
      </c>
      <c r="D6751" s="30">
        <v>1</v>
      </c>
      <c r="E6751" s="30">
        <v>100</v>
      </c>
      <c r="F6751" s="30">
        <f t="shared" si="219"/>
        <v>100</v>
      </c>
      <c r="G6751" s="30" t="s">
        <v>9</v>
      </c>
      <c r="J6751" s="30" t="s">
        <v>392</v>
      </c>
    </row>
    <row r="6752" spans="1:10" x14ac:dyDescent="0.25">
      <c r="A6752" s="78">
        <v>46275</v>
      </c>
      <c r="B6752" s="68">
        <v>23</v>
      </c>
      <c r="C6752" s="205" t="s">
        <v>1287</v>
      </c>
      <c r="D6752" s="30">
        <v>2</v>
      </c>
      <c r="E6752" s="30">
        <v>10</v>
      </c>
      <c r="F6752" s="30">
        <f t="shared" si="219"/>
        <v>20</v>
      </c>
      <c r="G6752" s="30" t="s">
        <v>9</v>
      </c>
      <c r="J6752" s="30" t="s">
        <v>392</v>
      </c>
    </row>
    <row r="6753" spans="1:10" x14ac:dyDescent="0.25">
      <c r="A6753" s="78">
        <v>46275</v>
      </c>
      <c r="B6753" s="68">
        <v>24</v>
      </c>
      <c r="C6753" s="205" t="s">
        <v>1041</v>
      </c>
      <c r="D6753" s="30">
        <v>1</v>
      </c>
      <c r="E6753" s="30">
        <v>80</v>
      </c>
      <c r="F6753" s="30">
        <f t="shared" si="219"/>
        <v>80</v>
      </c>
      <c r="G6753" s="30" t="s">
        <v>10</v>
      </c>
      <c r="J6753" s="30" t="s">
        <v>392</v>
      </c>
    </row>
    <row r="6754" spans="1:10" x14ac:dyDescent="0.25">
      <c r="A6754" s="78">
        <v>46275</v>
      </c>
      <c r="B6754" s="68">
        <v>24</v>
      </c>
      <c r="C6754" s="205" t="s">
        <v>1269</v>
      </c>
      <c r="D6754" s="30">
        <v>1</v>
      </c>
      <c r="E6754" s="30">
        <v>30</v>
      </c>
      <c r="F6754" s="30">
        <f t="shared" si="219"/>
        <v>30</v>
      </c>
      <c r="G6754" s="30" t="s">
        <v>10</v>
      </c>
      <c r="J6754" s="30" t="s">
        <v>392</v>
      </c>
    </row>
    <row r="6755" spans="1:10" ht="30" x14ac:dyDescent="0.25">
      <c r="A6755" s="78">
        <v>46275</v>
      </c>
      <c r="B6755" s="68">
        <v>24</v>
      </c>
      <c r="C6755" s="19" t="s">
        <v>1400</v>
      </c>
      <c r="D6755" s="30">
        <v>1</v>
      </c>
      <c r="E6755" s="30">
        <v>40</v>
      </c>
      <c r="F6755" s="30">
        <f t="shared" si="219"/>
        <v>40</v>
      </c>
      <c r="G6755" s="30" t="s">
        <v>10</v>
      </c>
      <c r="J6755" s="30" t="s">
        <v>392</v>
      </c>
    </row>
    <row r="6756" spans="1:10" x14ac:dyDescent="0.25">
      <c r="A6756" s="78">
        <v>46275</v>
      </c>
      <c r="B6756" s="68">
        <v>24</v>
      </c>
      <c r="C6756" s="205" t="s">
        <v>561</v>
      </c>
      <c r="D6756" s="30">
        <v>2</v>
      </c>
      <c r="E6756" s="30">
        <v>10</v>
      </c>
      <c r="F6756" s="30">
        <f t="shared" si="219"/>
        <v>20</v>
      </c>
      <c r="G6756" s="30" t="s">
        <v>10</v>
      </c>
      <c r="J6756" s="30" t="s">
        <v>392</v>
      </c>
    </row>
    <row r="6757" spans="1:10" x14ac:dyDescent="0.25">
      <c r="A6757" s="78">
        <v>46275</v>
      </c>
      <c r="B6757" s="68">
        <v>25</v>
      </c>
      <c r="C6757" s="19" t="s">
        <v>1380</v>
      </c>
      <c r="D6757" s="30">
        <v>2</v>
      </c>
      <c r="E6757" s="30">
        <v>10</v>
      </c>
      <c r="F6757" s="30">
        <f t="shared" si="219"/>
        <v>20</v>
      </c>
      <c r="G6757" s="30" t="s">
        <v>10</v>
      </c>
      <c r="J6757" s="30" t="s">
        <v>392</v>
      </c>
    </row>
    <row r="6758" spans="1:10" x14ac:dyDescent="0.25">
      <c r="A6758" s="78">
        <v>46275</v>
      </c>
      <c r="B6758" s="68">
        <v>26</v>
      </c>
      <c r="C6758" s="205" t="s">
        <v>1288</v>
      </c>
      <c r="D6758" s="30">
        <v>1</v>
      </c>
      <c r="E6758" s="30">
        <v>5</v>
      </c>
      <c r="F6758" s="30">
        <f t="shared" si="219"/>
        <v>5</v>
      </c>
      <c r="G6758" s="30" t="s">
        <v>10</v>
      </c>
      <c r="J6758" s="30" t="s">
        <v>392</v>
      </c>
    </row>
    <row r="6759" spans="1:10" x14ac:dyDescent="0.25">
      <c r="A6759" s="78">
        <v>46275</v>
      </c>
      <c r="B6759" s="68">
        <v>27</v>
      </c>
      <c r="C6759" s="19" t="s">
        <v>1374</v>
      </c>
      <c r="D6759" s="30">
        <v>2</v>
      </c>
      <c r="E6759" s="30">
        <v>20</v>
      </c>
      <c r="F6759" s="30">
        <f t="shared" si="219"/>
        <v>40</v>
      </c>
      <c r="G6759" s="30" t="s">
        <v>9</v>
      </c>
      <c r="J6759" s="30" t="s">
        <v>392</v>
      </c>
    </row>
    <row r="6760" spans="1:10" x14ac:dyDescent="0.25">
      <c r="A6760" s="78">
        <v>46275</v>
      </c>
      <c r="B6760" s="68">
        <v>28</v>
      </c>
      <c r="C6760" s="19" t="s">
        <v>1449</v>
      </c>
      <c r="D6760" s="30">
        <v>1</v>
      </c>
      <c r="E6760" s="30">
        <v>10</v>
      </c>
      <c r="F6760" s="30">
        <f t="shared" si="219"/>
        <v>10</v>
      </c>
      <c r="G6760" s="30" t="s">
        <v>9</v>
      </c>
      <c r="J6760" s="30" t="s">
        <v>392</v>
      </c>
    </row>
    <row r="6761" spans="1:10" x14ac:dyDescent="0.25">
      <c r="A6761" s="78">
        <v>46275</v>
      </c>
      <c r="B6761" s="68">
        <v>28</v>
      </c>
      <c r="C6761" s="19" t="s">
        <v>1453</v>
      </c>
      <c r="D6761" s="30">
        <v>1</v>
      </c>
      <c r="E6761" s="30">
        <v>10</v>
      </c>
      <c r="F6761" s="30">
        <f t="shared" si="219"/>
        <v>10</v>
      </c>
      <c r="G6761" s="30" t="s">
        <v>9</v>
      </c>
      <c r="J6761" s="30" t="s">
        <v>392</v>
      </c>
    </row>
    <row r="6762" spans="1:10" x14ac:dyDescent="0.25">
      <c r="A6762" s="78">
        <v>46275</v>
      </c>
      <c r="B6762" s="68">
        <v>28</v>
      </c>
      <c r="C6762" s="19" t="s">
        <v>1503</v>
      </c>
      <c r="D6762" s="30">
        <v>2</v>
      </c>
      <c r="E6762" s="30">
        <v>2.5</v>
      </c>
      <c r="F6762" s="30">
        <f t="shared" si="219"/>
        <v>5</v>
      </c>
      <c r="G6762" s="30" t="s">
        <v>9</v>
      </c>
      <c r="J6762" s="30" t="s">
        <v>392</v>
      </c>
    </row>
    <row r="6763" spans="1:10" x14ac:dyDescent="0.25">
      <c r="A6763" s="78">
        <v>46275</v>
      </c>
      <c r="B6763" s="68">
        <v>20</v>
      </c>
      <c r="C6763" s="33" t="s">
        <v>1473</v>
      </c>
      <c r="D6763" s="30">
        <v>2</v>
      </c>
      <c r="E6763" s="30">
        <v>20</v>
      </c>
      <c r="F6763" s="30">
        <f t="shared" si="219"/>
        <v>40</v>
      </c>
      <c r="G6763" s="30" t="s">
        <v>9</v>
      </c>
      <c r="J6763" s="30" t="s">
        <v>392</v>
      </c>
    </row>
    <row r="6764" spans="1:10" x14ac:dyDescent="0.25">
      <c r="A6764" s="78">
        <v>46275</v>
      </c>
      <c r="B6764" s="68">
        <v>29</v>
      </c>
      <c r="C6764" s="209" t="s">
        <v>1380</v>
      </c>
      <c r="D6764" s="30">
        <v>15</v>
      </c>
      <c r="E6764" s="30">
        <v>10</v>
      </c>
      <c r="F6764" s="30">
        <f t="shared" si="219"/>
        <v>150</v>
      </c>
      <c r="G6764" s="30" t="s">
        <v>10</v>
      </c>
      <c r="J6764" s="30" t="s">
        <v>392</v>
      </c>
    </row>
    <row r="6765" spans="1:10" x14ac:dyDescent="0.25">
      <c r="A6765" s="78">
        <v>46275</v>
      </c>
      <c r="B6765" s="68">
        <v>29</v>
      </c>
      <c r="C6765" s="33" t="s">
        <v>1506</v>
      </c>
      <c r="D6765" s="30">
        <v>1</v>
      </c>
      <c r="E6765" s="30">
        <v>30</v>
      </c>
      <c r="F6765" s="30">
        <f t="shared" si="219"/>
        <v>30</v>
      </c>
      <c r="G6765" s="30" t="s">
        <v>10</v>
      </c>
      <c r="J6765" s="30" t="s">
        <v>392</v>
      </c>
    </row>
    <row r="6766" spans="1:10" x14ac:dyDescent="0.25">
      <c r="A6766" s="78">
        <v>46275</v>
      </c>
      <c r="B6766" s="68">
        <v>29</v>
      </c>
      <c r="C6766" s="205" t="s">
        <v>1254</v>
      </c>
      <c r="D6766" s="30">
        <v>1</v>
      </c>
      <c r="E6766" s="30">
        <v>10</v>
      </c>
      <c r="F6766" s="30">
        <f t="shared" si="219"/>
        <v>10</v>
      </c>
      <c r="G6766" s="30" t="s">
        <v>10</v>
      </c>
      <c r="J6766" s="30" t="s">
        <v>392</v>
      </c>
    </row>
    <row r="6767" spans="1:10" x14ac:dyDescent="0.25">
      <c r="A6767" s="78">
        <v>46275</v>
      </c>
      <c r="B6767" s="68">
        <v>29</v>
      </c>
      <c r="C6767" s="19" t="s">
        <v>1377</v>
      </c>
      <c r="D6767" s="30">
        <v>3</v>
      </c>
      <c r="E6767" s="30">
        <v>10</v>
      </c>
      <c r="F6767" s="30">
        <f t="shared" si="219"/>
        <v>30</v>
      </c>
      <c r="G6767" s="30" t="s">
        <v>10</v>
      </c>
      <c r="J6767" s="30" t="s">
        <v>392</v>
      </c>
    </row>
    <row r="6768" spans="1:10" x14ac:dyDescent="0.25">
      <c r="A6768" s="78">
        <v>46275</v>
      </c>
      <c r="B6768" s="68">
        <v>29</v>
      </c>
      <c r="C6768" s="205" t="s">
        <v>874</v>
      </c>
      <c r="D6768" s="30">
        <v>1</v>
      </c>
      <c r="E6768" s="30">
        <v>40</v>
      </c>
      <c r="F6768" s="30">
        <f t="shared" si="219"/>
        <v>40</v>
      </c>
      <c r="G6768" s="30" t="s">
        <v>10</v>
      </c>
      <c r="J6768" s="30" t="s">
        <v>392</v>
      </c>
    </row>
    <row r="6769" spans="1:12" x14ac:dyDescent="0.25">
      <c r="A6769" s="78">
        <v>46275</v>
      </c>
      <c r="B6769" s="68">
        <v>30</v>
      </c>
      <c r="C6769" s="205" t="s">
        <v>745</v>
      </c>
      <c r="D6769" s="30">
        <v>2</v>
      </c>
      <c r="E6769" s="30">
        <v>5</v>
      </c>
      <c r="F6769" s="30">
        <f t="shared" si="219"/>
        <v>10</v>
      </c>
      <c r="G6769" s="30" t="s">
        <v>10</v>
      </c>
      <c r="J6769" s="30" t="s">
        <v>392</v>
      </c>
    </row>
    <row r="6770" spans="1:12" x14ac:dyDescent="0.25">
      <c r="A6770" s="78">
        <v>46275</v>
      </c>
      <c r="B6770" s="68">
        <v>31</v>
      </c>
      <c r="C6770" s="19" t="s">
        <v>1380</v>
      </c>
      <c r="D6770" s="30">
        <v>5</v>
      </c>
      <c r="E6770" s="30">
        <v>10</v>
      </c>
      <c r="F6770" s="30">
        <f t="shared" si="219"/>
        <v>50</v>
      </c>
      <c r="G6770" s="30" t="s">
        <v>10</v>
      </c>
      <c r="J6770" s="30" t="s">
        <v>392</v>
      </c>
    </row>
    <row r="6771" spans="1:12" x14ac:dyDescent="0.25">
      <c r="A6771" s="78">
        <v>46275</v>
      </c>
      <c r="B6771" s="68">
        <v>32</v>
      </c>
      <c r="C6771" s="19" t="s">
        <v>1381</v>
      </c>
      <c r="D6771" s="30">
        <v>3</v>
      </c>
      <c r="E6771" s="30">
        <v>20</v>
      </c>
      <c r="F6771" s="30">
        <f t="shared" si="219"/>
        <v>60</v>
      </c>
      <c r="G6771" s="30" t="s">
        <v>10</v>
      </c>
      <c r="J6771" s="30" t="s">
        <v>392</v>
      </c>
    </row>
    <row r="6772" spans="1:12" ht="30" x14ac:dyDescent="0.25">
      <c r="A6772" s="78">
        <v>46275</v>
      </c>
      <c r="B6772" s="68">
        <v>32</v>
      </c>
      <c r="C6772" s="19" t="s">
        <v>1403</v>
      </c>
      <c r="D6772" s="30">
        <v>1</v>
      </c>
      <c r="E6772" s="30">
        <v>50</v>
      </c>
      <c r="F6772" s="30">
        <f t="shared" si="219"/>
        <v>50</v>
      </c>
      <c r="G6772" s="30" t="s">
        <v>10</v>
      </c>
      <c r="J6772" s="30" t="s">
        <v>392</v>
      </c>
    </row>
    <row r="6773" spans="1:12" ht="30" x14ac:dyDescent="0.25">
      <c r="A6773" s="78">
        <v>46275</v>
      </c>
      <c r="B6773" s="68">
        <v>33</v>
      </c>
      <c r="C6773" s="19" t="s">
        <v>1425</v>
      </c>
      <c r="D6773" s="30">
        <v>1</v>
      </c>
      <c r="E6773" s="30">
        <v>120</v>
      </c>
      <c r="F6773" s="30">
        <f t="shared" si="219"/>
        <v>120</v>
      </c>
      <c r="G6773" s="30" t="s">
        <v>9</v>
      </c>
      <c r="J6773" s="30" t="s">
        <v>392</v>
      </c>
    </row>
    <row r="6774" spans="1:12" s="199" customFormat="1" ht="31.5" x14ac:dyDescent="0.25">
      <c r="A6774" s="196">
        <v>46275</v>
      </c>
      <c r="B6774" s="197" t="s">
        <v>1248</v>
      </c>
      <c r="C6774" s="198">
        <f>MAX(B6746:B6774)</f>
        <v>33</v>
      </c>
      <c r="D6774" s="197" t="s">
        <v>1249</v>
      </c>
      <c r="E6774" s="199">
        <f>SUMIF(G6746:G6774,"UPI",F6746:F6774)</f>
        <v>625</v>
      </c>
      <c r="H6774" s="200" t="s">
        <v>1251</v>
      </c>
      <c r="I6774" s="200">
        <f>SUMIF(G6746:G6774, "&lt;&gt;UPI",F6746:F6774)</f>
        <v>635</v>
      </c>
    </row>
    <row r="6775" spans="1:12" s="5" customFormat="1" ht="15.75" x14ac:dyDescent="0.25">
      <c r="A6775" s="201">
        <v>46275</v>
      </c>
      <c r="B6775" s="2"/>
      <c r="C6775" s="14"/>
      <c r="H6775" s="2" t="s">
        <v>1250</v>
      </c>
      <c r="I6775" s="2">
        <f>SUMIF(G6712:G6774, "&lt;&gt;UPI",F6712:F6774)</f>
        <v>1715.2</v>
      </c>
    </row>
    <row r="6776" spans="1:12" s="202" customFormat="1" ht="18.75" customHeight="1" x14ac:dyDescent="0.3">
      <c r="A6776" s="146">
        <v>46275</v>
      </c>
      <c r="B6776" s="147" t="s">
        <v>987</v>
      </c>
      <c r="C6776" s="148">
        <f>MAX(B6712:B6775)</f>
        <v>33</v>
      </c>
      <c r="D6776" s="147" t="s">
        <v>988</v>
      </c>
      <c r="E6776" s="202">
        <f>SUMIF(G6712:G6774,"UPI",F6712:F6774)</f>
        <v>755.35</v>
      </c>
      <c r="F6776" s="227" t="s">
        <v>437</v>
      </c>
      <c r="G6776" s="228"/>
      <c r="H6776" s="229"/>
      <c r="I6776" s="227">
        <f>SUM(F6712:F6775)</f>
        <v>2470.5500000000002</v>
      </c>
      <c r="J6776" s="228"/>
      <c r="K6776" s="228"/>
      <c r="L6776" s="229"/>
    </row>
    <row r="6777" spans="1:12" x14ac:dyDescent="0.25">
      <c r="A6777" s="78">
        <v>46276</v>
      </c>
      <c r="B6777" s="68">
        <v>1</v>
      </c>
      <c r="C6777" s="19" t="s">
        <v>1379</v>
      </c>
      <c r="D6777" s="30">
        <v>1</v>
      </c>
      <c r="E6777" s="30">
        <v>40</v>
      </c>
      <c r="F6777" s="30">
        <f>E6777*D6777</f>
        <v>40</v>
      </c>
      <c r="G6777" s="30" t="s">
        <v>10</v>
      </c>
      <c r="J6777" s="30" t="s">
        <v>391</v>
      </c>
    </row>
    <row r="6778" spans="1:12" x14ac:dyDescent="0.25">
      <c r="A6778" s="78">
        <v>46276</v>
      </c>
      <c r="B6778" s="68">
        <v>2</v>
      </c>
      <c r="C6778" s="19" t="s">
        <v>1383</v>
      </c>
      <c r="D6778" s="30">
        <v>1</v>
      </c>
      <c r="E6778" s="30">
        <v>20</v>
      </c>
      <c r="F6778" s="30">
        <f t="shared" ref="F6778:F6798" si="220">E6778*D6778</f>
        <v>20</v>
      </c>
      <c r="G6778" s="30" t="s">
        <v>9</v>
      </c>
      <c r="J6778" s="30" t="s">
        <v>391</v>
      </c>
    </row>
    <row r="6779" spans="1:12" x14ac:dyDescent="0.25">
      <c r="A6779" s="78">
        <v>46276</v>
      </c>
      <c r="B6779" s="68">
        <v>2</v>
      </c>
      <c r="C6779" s="19" t="s">
        <v>1326</v>
      </c>
      <c r="D6779" s="30">
        <v>4</v>
      </c>
      <c r="E6779" s="30">
        <v>10</v>
      </c>
      <c r="F6779" s="30">
        <f t="shared" si="220"/>
        <v>40</v>
      </c>
      <c r="G6779" s="30" t="s">
        <v>9</v>
      </c>
      <c r="J6779" s="30" t="s">
        <v>391</v>
      </c>
    </row>
    <row r="6780" spans="1:12" ht="30" x14ac:dyDescent="0.25">
      <c r="A6780" s="78">
        <v>46276</v>
      </c>
      <c r="B6780" s="68">
        <v>2</v>
      </c>
      <c r="C6780" s="19" t="s">
        <v>1424</v>
      </c>
      <c r="D6780" s="30">
        <v>1</v>
      </c>
      <c r="E6780" s="30">
        <v>60</v>
      </c>
      <c r="F6780" s="30">
        <f t="shared" si="220"/>
        <v>60</v>
      </c>
      <c r="G6780" s="30" t="s">
        <v>9</v>
      </c>
      <c r="J6780" s="30" t="s">
        <v>391</v>
      </c>
    </row>
    <row r="6781" spans="1:12" x14ac:dyDescent="0.25">
      <c r="A6781" s="78">
        <v>46276</v>
      </c>
      <c r="B6781" s="68">
        <v>3</v>
      </c>
      <c r="C6781" s="205" t="s">
        <v>640</v>
      </c>
      <c r="D6781" s="30">
        <v>2</v>
      </c>
      <c r="E6781" s="30">
        <v>5</v>
      </c>
      <c r="F6781" s="30">
        <f t="shared" si="220"/>
        <v>10</v>
      </c>
      <c r="G6781" s="30" t="s">
        <v>9</v>
      </c>
      <c r="J6781" s="30" t="s">
        <v>391</v>
      </c>
    </row>
    <row r="6782" spans="1:12" x14ac:dyDescent="0.25">
      <c r="A6782" s="78">
        <v>46276</v>
      </c>
      <c r="B6782" s="68">
        <v>4</v>
      </c>
      <c r="C6782" s="205" t="s">
        <v>1233</v>
      </c>
      <c r="D6782" s="30">
        <v>0.54</v>
      </c>
      <c r="E6782" s="30">
        <v>75</v>
      </c>
      <c r="F6782" s="30">
        <f t="shared" si="220"/>
        <v>40.5</v>
      </c>
      <c r="G6782" s="30" t="s">
        <v>9</v>
      </c>
      <c r="J6782" s="30" t="s">
        <v>391</v>
      </c>
    </row>
    <row r="6783" spans="1:12" x14ac:dyDescent="0.25">
      <c r="A6783" s="78">
        <v>46276</v>
      </c>
      <c r="B6783" s="68">
        <v>5</v>
      </c>
      <c r="C6783" s="19" t="s">
        <v>1486</v>
      </c>
      <c r="D6783" s="30">
        <v>1</v>
      </c>
      <c r="E6783" s="30">
        <v>60</v>
      </c>
      <c r="F6783" s="30">
        <f t="shared" si="220"/>
        <v>60</v>
      </c>
      <c r="G6783" s="30" t="s">
        <v>9</v>
      </c>
      <c r="J6783" s="30" t="s">
        <v>391</v>
      </c>
    </row>
    <row r="6784" spans="1:12" x14ac:dyDescent="0.25">
      <c r="A6784" s="78">
        <v>46276</v>
      </c>
      <c r="B6784" s="68">
        <v>5</v>
      </c>
      <c r="C6784" s="19" t="s">
        <v>1441</v>
      </c>
      <c r="D6784" s="30">
        <v>1</v>
      </c>
      <c r="E6784" s="30">
        <v>70</v>
      </c>
      <c r="F6784" s="30">
        <f t="shared" si="220"/>
        <v>70</v>
      </c>
      <c r="G6784" s="30" t="s">
        <v>9</v>
      </c>
      <c r="J6784" s="30" t="s">
        <v>391</v>
      </c>
    </row>
    <row r="6785" spans="1:10" x14ac:dyDescent="0.25">
      <c r="A6785" s="78">
        <v>46276</v>
      </c>
      <c r="B6785" s="68">
        <v>6</v>
      </c>
      <c r="C6785" s="205" t="s">
        <v>640</v>
      </c>
      <c r="D6785" s="30">
        <v>2</v>
      </c>
      <c r="E6785" s="30">
        <v>5</v>
      </c>
      <c r="F6785" s="30">
        <f t="shared" si="220"/>
        <v>10</v>
      </c>
      <c r="G6785" s="30" t="s">
        <v>9</v>
      </c>
      <c r="J6785" s="30" t="s">
        <v>391</v>
      </c>
    </row>
    <row r="6786" spans="1:10" x14ac:dyDescent="0.25">
      <c r="A6786" s="78">
        <v>46276</v>
      </c>
      <c r="B6786" s="68">
        <v>6</v>
      </c>
      <c r="C6786" s="19" t="s">
        <v>1326</v>
      </c>
      <c r="D6786" s="30">
        <v>4</v>
      </c>
      <c r="E6786" s="30">
        <v>10</v>
      </c>
      <c r="F6786" s="30">
        <f t="shared" si="220"/>
        <v>40</v>
      </c>
      <c r="G6786" s="30" t="s">
        <v>9</v>
      </c>
      <c r="J6786" s="30" t="s">
        <v>391</v>
      </c>
    </row>
    <row r="6787" spans="1:10" ht="30" x14ac:dyDescent="0.25">
      <c r="A6787" s="78">
        <v>46276</v>
      </c>
      <c r="B6787" s="68">
        <v>6</v>
      </c>
      <c r="C6787" s="19" t="s">
        <v>1489</v>
      </c>
      <c r="D6787" s="30">
        <v>10</v>
      </c>
      <c r="E6787" s="30">
        <v>1</v>
      </c>
      <c r="F6787" s="30">
        <f t="shared" si="220"/>
        <v>10</v>
      </c>
      <c r="G6787" s="30" t="s">
        <v>9</v>
      </c>
      <c r="J6787" s="30" t="s">
        <v>391</v>
      </c>
    </row>
    <row r="6788" spans="1:10" x14ac:dyDescent="0.25">
      <c r="A6788" s="78">
        <v>46276</v>
      </c>
      <c r="B6788" s="68">
        <v>6</v>
      </c>
      <c r="C6788" s="19" t="s">
        <v>1377</v>
      </c>
      <c r="D6788" s="30">
        <v>5</v>
      </c>
      <c r="E6788" s="30">
        <v>10</v>
      </c>
      <c r="F6788" s="30">
        <f t="shared" si="220"/>
        <v>50</v>
      </c>
      <c r="G6788" s="30" t="s">
        <v>9</v>
      </c>
      <c r="J6788" s="30" t="s">
        <v>391</v>
      </c>
    </row>
    <row r="6789" spans="1:10" x14ac:dyDescent="0.25">
      <c r="A6789" s="78">
        <v>46276</v>
      </c>
      <c r="B6789" s="68">
        <v>6</v>
      </c>
      <c r="C6789" s="19" t="s">
        <v>1378</v>
      </c>
      <c r="D6789" s="30">
        <v>1</v>
      </c>
      <c r="E6789" s="30">
        <v>10</v>
      </c>
      <c r="F6789" s="30">
        <f t="shared" si="220"/>
        <v>10</v>
      </c>
      <c r="G6789" s="30" t="s">
        <v>9</v>
      </c>
      <c r="J6789" s="30" t="s">
        <v>391</v>
      </c>
    </row>
    <row r="6790" spans="1:10" x14ac:dyDescent="0.25">
      <c r="A6790" s="78">
        <v>46276</v>
      </c>
      <c r="B6790" s="68">
        <v>6</v>
      </c>
      <c r="C6790" s="33" t="s">
        <v>1507</v>
      </c>
      <c r="D6790" s="30">
        <v>2</v>
      </c>
      <c r="E6790" s="30">
        <v>5</v>
      </c>
      <c r="F6790" s="30">
        <f t="shared" si="220"/>
        <v>10</v>
      </c>
      <c r="G6790" s="30" t="s">
        <v>9</v>
      </c>
      <c r="J6790" s="30" t="s">
        <v>391</v>
      </c>
    </row>
    <row r="6791" spans="1:10" ht="30" x14ac:dyDescent="0.25">
      <c r="A6791" s="78">
        <v>46276</v>
      </c>
      <c r="B6791" s="68">
        <v>7</v>
      </c>
      <c r="C6791" s="19" t="s">
        <v>1470</v>
      </c>
      <c r="D6791" s="30">
        <v>1</v>
      </c>
      <c r="E6791" s="30">
        <v>120</v>
      </c>
      <c r="F6791" s="30">
        <f t="shared" si="220"/>
        <v>120</v>
      </c>
      <c r="G6791" s="30" t="s">
        <v>9</v>
      </c>
      <c r="J6791" s="30" t="s">
        <v>391</v>
      </c>
    </row>
    <row r="6792" spans="1:10" x14ac:dyDescent="0.25">
      <c r="A6792" s="78">
        <v>46276</v>
      </c>
      <c r="B6792" s="68">
        <v>8</v>
      </c>
      <c r="C6792" s="19" t="s">
        <v>1498</v>
      </c>
      <c r="D6792" s="30">
        <v>2</v>
      </c>
      <c r="E6792" s="30">
        <v>5</v>
      </c>
      <c r="F6792" s="30">
        <f t="shared" si="220"/>
        <v>10</v>
      </c>
      <c r="G6792" s="30" t="s">
        <v>10</v>
      </c>
      <c r="J6792" s="30" t="s">
        <v>391</v>
      </c>
    </row>
    <row r="6793" spans="1:10" x14ac:dyDescent="0.25">
      <c r="A6793" s="78">
        <v>46276</v>
      </c>
      <c r="B6793" s="68">
        <v>8</v>
      </c>
      <c r="C6793" s="19" t="s">
        <v>1380</v>
      </c>
      <c r="D6793" s="30">
        <v>2</v>
      </c>
      <c r="E6793" s="30">
        <v>10</v>
      </c>
      <c r="F6793" s="30">
        <f t="shared" si="220"/>
        <v>20</v>
      </c>
      <c r="G6793" s="30" t="s">
        <v>10</v>
      </c>
      <c r="J6793" s="30" t="s">
        <v>391</v>
      </c>
    </row>
    <row r="6794" spans="1:10" ht="30" x14ac:dyDescent="0.25">
      <c r="A6794" s="78">
        <v>46276</v>
      </c>
      <c r="B6794" s="68">
        <v>9</v>
      </c>
      <c r="C6794" s="19" t="s">
        <v>1389</v>
      </c>
      <c r="D6794" s="30">
        <v>1</v>
      </c>
      <c r="E6794" s="30">
        <v>70</v>
      </c>
      <c r="F6794" s="30">
        <f t="shared" si="220"/>
        <v>70</v>
      </c>
      <c r="G6794" s="30" t="s">
        <v>9</v>
      </c>
      <c r="J6794" s="30" t="s">
        <v>391</v>
      </c>
    </row>
    <row r="6795" spans="1:10" x14ac:dyDescent="0.25">
      <c r="A6795" s="78">
        <v>46276</v>
      </c>
      <c r="B6795" s="68">
        <v>10</v>
      </c>
      <c r="C6795" s="209" t="s">
        <v>1380</v>
      </c>
      <c r="D6795" s="30">
        <v>10</v>
      </c>
      <c r="E6795" s="30">
        <v>10</v>
      </c>
      <c r="F6795" s="30">
        <f t="shared" si="220"/>
        <v>100</v>
      </c>
      <c r="G6795" s="30" t="s">
        <v>9</v>
      </c>
      <c r="J6795" s="30" t="s">
        <v>391</v>
      </c>
    </row>
    <row r="6796" spans="1:10" x14ac:dyDescent="0.25">
      <c r="A6796" s="78">
        <v>46276</v>
      </c>
      <c r="B6796" s="68">
        <v>11</v>
      </c>
      <c r="C6796" s="19" t="s">
        <v>1378</v>
      </c>
      <c r="D6796" s="30">
        <v>1</v>
      </c>
      <c r="E6796" s="30">
        <v>10</v>
      </c>
      <c r="F6796" s="30">
        <f t="shared" si="220"/>
        <v>10</v>
      </c>
      <c r="G6796" s="30" t="s">
        <v>9</v>
      </c>
      <c r="J6796" s="30" t="s">
        <v>391</v>
      </c>
    </row>
    <row r="6797" spans="1:10" ht="30" x14ac:dyDescent="0.25">
      <c r="A6797" s="78">
        <v>46276</v>
      </c>
      <c r="B6797" s="68">
        <v>12</v>
      </c>
      <c r="C6797" s="19" t="s">
        <v>1403</v>
      </c>
      <c r="D6797" s="30">
        <v>1</v>
      </c>
      <c r="E6797" s="30">
        <v>50</v>
      </c>
      <c r="F6797" s="30">
        <f t="shared" si="220"/>
        <v>50</v>
      </c>
      <c r="G6797" s="30" t="s">
        <v>10</v>
      </c>
      <c r="J6797" s="30" t="s">
        <v>391</v>
      </c>
    </row>
    <row r="6798" spans="1:10" ht="45" x14ac:dyDescent="0.25">
      <c r="A6798" s="78">
        <v>46276</v>
      </c>
      <c r="B6798" s="68">
        <v>12</v>
      </c>
      <c r="C6798" s="19" t="s">
        <v>1402</v>
      </c>
      <c r="D6798" s="30">
        <v>1</v>
      </c>
      <c r="E6798" s="30">
        <v>55</v>
      </c>
      <c r="F6798" s="30">
        <f t="shared" si="220"/>
        <v>55</v>
      </c>
      <c r="G6798" s="30" t="s">
        <v>10</v>
      </c>
      <c r="J6798" s="30" t="s">
        <v>391</v>
      </c>
    </row>
    <row r="6799" spans="1:10" s="199" customFormat="1" ht="31.5" x14ac:dyDescent="0.25">
      <c r="A6799" s="196">
        <v>46276</v>
      </c>
      <c r="B6799" s="197" t="s">
        <v>1245</v>
      </c>
      <c r="C6799" s="198">
        <f>MAX(B6777:B6799)</f>
        <v>12</v>
      </c>
      <c r="D6799" s="197" t="s">
        <v>1246</v>
      </c>
      <c r="E6799" s="199">
        <f>SUMIF(G6777:G6799,"UPI",F6777:F6799)</f>
        <v>175</v>
      </c>
      <c r="H6799" s="200" t="s">
        <v>1247</v>
      </c>
      <c r="I6799" s="200">
        <f>SUMIF(G6777:G6799, "&lt;&gt;UPI",F6777:F6799)</f>
        <v>730.5</v>
      </c>
    </row>
    <row r="6800" spans="1:10" x14ac:dyDescent="0.25">
      <c r="A6800" s="78">
        <v>46276</v>
      </c>
      <c r="B6800" s="68">
        <v>13</v>
      </c>
      <c r="C6800" s="19" t="s">
        <v>1428</v>
      </c>
      <c r="D6800" s="30">
        <v>1</v>
      </c>
      <c r="E6800" s="30">
        <v>60</v>
      </c>
      <c r="F6800" s="30">
        <f>E6800*D6800</f>
        <v>60</v>
      </c>
      <c r="G6800" s="30" t="s">
        <v>16</v>
      </c>
      <c r="I6800" s="68" t="s">
        <v>663</v>
      </c>
      <c r="J6800" s="30" t="s">
        <v>392</v>
      </c>
    </row>
    <row r="6801" spans="1:10" x14ac:dyDescent="0.25">
      <c r="A6801" s="78">
        <v>46276</v>
      </c>
      <c r="B6801" s="68">
        <v>14</v>
      </c>
      <c r="C6801" s="19" t="s">
        <v>1503</v>
      </c>
      <c r="D6801" s="30">
        <v>2</v>
      </c>
      <c r="E6801" s="30">
        <v>2</v>
      </c>
      <c r="F6801" s="30">
        <f t="shared" ref="F6801:F6830" si="221">E6801*D6801</f>
        <v>4</v>
      </c>
      <c r="G6801" s="30" t="s">
        <v>9</v>
      </c>
      <c r="J6801" s="30" t="s">
        <v>392</v>
      </c>
    </row>
    <row r="6802" spans="1:10" x14ac:dyDescent="0.25">
      <c r="A6802" s="78">
        <v>46276</v>
      </c>
      <c r="B6802" s="68">
        <v>14</v>
      </c>
      <c r="C6802" s="209" t="s">
        <v>1448</v>
      </c>
      <c r="D6802" s="30">
        <v>9</v>
      </c>
      <c r="E6802" s="30">
        <v>10</v>
      </c>
      <c r="F6802" s="30">
        <f t="shared" si="221"/>
        <v>90</v>
      </c>
      <c r="G6802" s="30" t="s">
        <v>9</v>
      </c>
      <c r="J6802" s="30" t="s">
        <v>392</v>
      </c>
    </row>
    <row r="6803" spans="1:10" x14ac:dyDescent="0.25">
      <c r="A6803" s="78">
        <v>46276</v>
      </c>
      <c r="B6803" s="68">
        <v>14</v>
      </c>
      <c r="C6803" s="205" t="s">
        <v>348</v>
      </c>
      <c r="D6803" s="30">
        <v>2</v>
      </c>
      <c r="E6803" s="30">
        <v>1</v>
      </c>
      <c r="F6803" s="30">
        <f t="shared" si="221"/>
        <v>2</v>
      </c>
      <c r="G6803" s="30" t="s">
        <v>9</v>
      </c>
      <c r="J6803" s="30" t="s">
        <v>392</v>
      </c>
    </row>
    <row r="6804" spans="1:10" x14ac:dyDescent="0.25">
      <c r="A6804" s="78">
        <v>46276</v>
      </c>
      <c r="B6804" s="68">
        <v>14</v>
      </c>
      <c r="C6804" s="205" t="s">
        <v>951</v>
      </c>
      <c r="D6804" s="30">
        <v>2</v>
      </c>
      <c r="E6804" s="30">
        <v>1</v>
      </c>
      <c r="F6804" s="30">
        <f t="shared" si="221"/>
        <v>2</v>
      </c>
      <c r="G6804" s="30" t="s">
        <v>9</v>
      </c>
      <c r="J6804" s="30" t="s">
        <v>392</v>
      </c>
    </row>
    <row r="6805" spans="1:10" x14ac:dyDescent="0.25">
      <c r="A6805" s="78">
        <v>46276</v>
      </c>
      <c r="B6805" s="68">
        <v>15</v>
      </c>
      <c r="C6805" s="19" t="s">
        <v>1498</v>
      </c>
      <c r="D6805" s="30">
        <v>2</v>
      </c>
      <c r="E6805" s="30">
        <v>5</v>
      </c>
      <c r="F6805" s="30">
        <f t="shared" si="221"/>
        <v>10</v>
      </c>
      <c r="G6805" s="30" t="s">
        <v>10</v>
      </c>
      <c r="J6805" s="30" t="s">
        <v>392</v>
      </c>
    </row>
    <row r="6806" spans="1:10" x14ac:dyDescent="0.25">
      <c r="A6806" s="78">
        <v>46276</v>
      </c>
      <c r="B6806" s="68">
        <v>16</v>
      </c>
      <c r="C6806" s="33" t="s">
        <v>1429</v>
      </c>
      <c r="D6806" s="30">
        <v>1</v>
      </c>
      <c r="E6806" s="30">
        <v>5</v>
      </c>
      <c r="F6806" s="30">
        <f t="shared" si="221"/>
        <v>5</v>
      </c>
      <c r="G6806" s="30" t="s">
        <v>9</v>
      </c>
      <c r="J6806" s="30" t="s">
        <v>392</v>
      </c>
    </row>
    <row r="6807" spans="1:10" x14ac:dyDescent="0.25">
      <c r="A6807" s="78">
        <v>46276</v>
      </c>
      <c r="B6807" s="68">
        <v>16</v>
      </c>
      <c r="C6807" s="205" t="s">
        <v>623</v>
      </c>
      <c r="D6807" s="30">
        <v>1</v>
      </c>
      <c r="E6807" s="30">
        <v>4</v>
      </c>
      <c r="F6807" s="30">
        <f t="shared" si="221"/>
        <v>4</v>
      </c>
      <c r="G6807" s="30" t="s">
        <v>9</v>
      </c>
      <c r="J6807" s="30" t="s">
        <v>392</v>
      </c>
    </row>
    <row r="6808" spans="1:10" x14ac:dyDescent="0.25">
      <c r="A6808" s="78">
        <v>46276</v>
      </c>
      <c r="B6808" s="68">
        <v>17</v>
      </c>
      <c r="C6808" s="19" t="s">
        <v>1448</v>
      </c>
      <c r="D6808" s="30">
        <v>1</v>
      </c>
      <c r="E6808" s="30">
        <v>10</v>
      </c>
      <c r="F6808" s="30">
        <f t="shared" si="221"/>
        <v>10</v>
      </c>
      <c r="G6808" s="30" t="s">
        <v>9</v>
      </c>
      <c r="J6808" s="30" t="s">
        <v>392</v>
      </c>
    </row>
    <row r="6809" spans="1:10" x14ac:dyDescent="0.25">
      <c r="A6809" s="78">
        <v>46276</v>
      </c>
      <c r="B6809" s="68">
        <v>18</v>
      </c>
      <c r="C6809" s="205" t="s">
        <v>1269</v>
      </c>
      <c r="D6809" s="30">
        <v>1</v>
      </c>
      <c r="E6809" s="30">
        <v>30</v>
      </c>
      <c r="F6809" s="30">
        <f t="shared" si="221"/>
        <v>30</v>
      </c>
      <c r="G6809" s="30" t="s">
        <v>10</v>
      </c>
      <c r="J6809" s="30" t="s">
        <v>392</v>
      </c>
    </row>
    <row r="6810" spans="1:10" x14ac:dyDescent="0.25">
      <c r="A6810" s="78">
        <v>46276</v>
      </c>
      <c r="B6810" s="68">
        <v>18</v>
      </c>
      <c r="C6810" s="19" t="s">
        <v>1392</v>
      </c>
      <c r="D6810" s="30">
        <v>1</v>
      </c>
      <c r="E6810" s="30">
        <v>10</v>
      </c>
      <c r="F6810" s="30">
        <f t="shared" si="221"/>
        <v>10</v>
      </c>
      <c r="G6810" s="30" t="s">
        <v>10</v>
      </c>
      <c r="J6810" s="30" t="s">
        <v>392</v>
      </c>
    </row>
    <row r="6811" spans="1:10" x14ac:dyDescent="0.25">
      <c r="A6811" s="78">
        <v>46276</v>
      </c>
      <c r="B6811" s="68">
        <v>19</v>
      </c>
      <c r="C6811" s="205" t="s">
        <v>1233</v>
      </c>
      <c r="D6811" s="30">
        <v>0.25</v>
      </c>
      <c r="E6811" s="30">
        <v>80</v>
      </c>
      <c r="F6811" s="30">
        <f t="shared" si="221"/>
        <v>20</v>
      </c>
      <c r="G6811" s="30" t="s">
        <v>10</v>
      </c>
      <c r="J6811" s="30" t="s">
        <v>392</v>
      </c>
    </row>
    <row r="6812" spans="1:10" x14ac:dyDescent="0.25">
      <c r="A6812" s="78">
        <v>46276</v>
      </c>
      <c r="B6812" s="68">
        <v>19</v>
      </c>
      <c r="C6812" s="204" t="s">
        <v>1396</v>
      </c>
      <c r="D6812" s="30">
        <v>2</v>
      </c>
      <c r="E6812" s="30">
        <v>10</v>
      </c>
      <c r="F6812" s="30">
        <f t="shared" si="221"/>
        <v>20</v>
      </c>
      <c r="G6812" s="30" t="s">
        <v>10</v>
      </c>
      <c r="J6812" s="30" t="s">
        <v>392</v>
      </c>
    </row>
    <row r="6813" spans="1:10" x14ac:dyDescent="0.25">
      <c r="A6813" s="78">
        <v>46276</v>
      </c>
      <c r="B6813" s="68">
        <v>20</v>
      </c>
      <c r="C6813" s="19" t="s">
        <v>1395</v>
      </c>
      <c r="D6813" s="30">
        <v>1</v>
      </c>
      <c r="E6813" s="30">
        <v>30</v>
      </c>
      <c r="F6813" s="30">
        <f t="shared" si="221"/>
        <v>30</v>
      </c>
      <c r="G6813" s="30" t="s">
        <v>9</v>
      </c>
      <c r="J6813" s="30" t="s">
        <v>392</v>
      </c>
    </row>
    <row r="6814" spans="1:10" x14ac:dyDescent="0.25">
      <c r="A6814" s="78">
        <v>46276</v>
      </c>
      <c r="B6814" s="68">
        <v>20</v>
      </c>
      <c r="C6814" s="19" t="s">
        <v>1399</v>
      </c>
      <c r="D6814" s="30">
        <v>1</v>
      </c>
      <c r="E6814" s="30">
        <v>35</v>
      </c>
      <c r="F6814" s="30">
        <f t="shared" si="221"/>
        <v>35</v>
      </c>
      <c r="G6814" s="30" t="s">
        <v>9</v>
      </c>
      <c r="J6814" s="30" t="s">
        <v>392</v>
      </c>
    </row>
    <row r="6815" spans="1:10" x14ac:dyDescent="0.25">
      <c r="A6815" s="78">
        <v>46276</v>
      </c>
      <c r="B6815" s="68">
        <v>21</v>
      </c>
      <c r="C6815" s="19" t="s">
        <v>1378</v>
      </c>
      <c r="D6815" s="30">
        <v>1</v>
      </c>
      <c r="E6815" s="30">
        <v>10</v>
      </c>
      <c r="F6815" s="30">
        <f t="shared" si="221"/>
        <v>10</v>
      </c>
      <c r="G6815" s="30" t="s">
        <v>9</v>
      </c>
      <c r="J6815" s="30" t="s">
        <v>392</v>
      </c>
    </row>
    <row r="6816" spans="1:10" x14ac:dyDescent="0.25">
      <c r="A6816" s="78">
        <v>46276</v>
      </c>
      <c r="B6816" s="68">
        <v>22</v>
      </c>
      <c r="C6816" s="204" t="s">
        <v>1078</v>
      </c>
      <c r="D6816" s="30">
        <v>1</v>
      </c>
      <c r="E6816" s="30">
        <v>20</v>
      </c>
      <c r="F6816" s="30">
        <f t="shared" si="221"/>
        <v>20</v>
      </c>
      <c r="G6816" s="30" t="s">
        <v>9</v>
      </c>
      <c r="J6816" s="30" t="s">
        <v>392</v>
      </c>
    </row>
    <row r="6817" spans="1:10" ht="30" x14ac:dyDescent="0.25">
      <c r="A6817" s="78">
        <v>46276</v>
      </c>
      <c r="B6817" s="68">
        <v>23</v>
      </c>
      <c r="C6817" s="19" t="s">
        <v>1394</v>
      </c>
      <c r="D6817" s="30">
        <v>1</v>
      </c>
      <c r="E6817" s="30">
        <v>10</v>
      </c>
      <c r="F6817" s="30">
        <f t="shared" si="221"/>
        <v>10</v>
      </c>
      <c r="G6817" s="30" t="s">
        <v>9</v>
      </c>
      <c r="J6817" s="30" t="s">
        <v>392</v>
      </c>
    </row>
    <row r="6818" spans="1:10" x14ac:dyDescent="0.25">
      <c r="A6818" s="78">
        <v>46276</v>
      </c>
      <c r="B6818" s="68">
        <v>24</v>
      </c>
      <c r="C6818" s="19" t="s">
        <v>1374</v>
      </c>
      <c r="D6818" s="30">
        <v>3</v>
      </c>
      <c r="E6818" s="30">
        <v>20</v>
      </c>
      <c r="F6818" s="30">
        <f t="shared" si="221"/>
        <v>60</v>
      </c>
      <c r="G6818" s="30" t="s">
        <v>10</v>
      </c>
      <c r="J6818" s="30" t="s">
        <v>392</v>
      </c>
    </row>
    <row r="6819" spans="1:10" x14ac:dyDescent="0.25">
      <c r="A6819" s="78">
        <v>46276</v>
      </c>
      <c r="B6819" s="68">
        <v>25</v>
      </c>
      <c r="C6819" s="19" t="s">
        <v>1473</v>
      </c>
      <c r="D6819" s="30">
        <v>1</v>
      </c>
      <c r="E6819" s="30">
        <v>20</v>
      </c>
      <c r="F6819" s="30">
        <f t="shared" si="221"/>
        <v>20</v>
      </c>
      <c r="G6819" s="30" t="s">
        <v>10</v>
      </c>
      <c r="J6819" s="30" t="s">
        <v>392</v>
      </c>
    </row>
    <row r="6820" spans="1:10" x14ac:dyDescent="0.25">
      <c r="A6820" s="78">
        <v>46276</v>
      </c>
      <c r="B6820" s="68">
        <v>25</v>
      </c>
      <c r="C6820" s="204" t="s">
        <v>970</v>
      </c>
      <c r="D6820" s="30">
        <v>1</v>
      </c>
      <c r="E6820" s="30">
        <v>10</v>
      </c>
      <c r="F6820" s="30">
        <f t="shared" si="221"/>
        <v>10</v>
      </c>
      <c r="G6820" s="30" t="s">
        <v>9</v>
      </c>
      <c r="J6820" s="30" t="s">
        <v>392</v>
      </c>
    </row>
    <row r="6821" spans="1:10" x14ac:dyDescent="0.25">
      <c r="A6821" s="78">
        <v>46276</v>
      </c>
      <c r="B6821" s="68">
        <v>26</v>
      </c>
      <c r="C6821" s="19" t="s">
        <v>1513</v>
      </c>
      <c r="D6821" s="30">
        <v>15</v>
      </c>
      <c r="E6821" s="30">
        <v>8.4</v>
      </c>
      <c r="F6821" s="30">
        <f t="shared" si="221"/>
        <v>126</v>
      </c>
      <c r="G6821" s="30" t="s">
        <v>9</v>
      </c>
      <c r="J6821" s="30" t="s">
        <v>392</v>
      </c>
    </row>
    <row r="6822" spans="1:10" x14ac:dyDescent="0.25">
      <c r="A6822" s="78">
        <v>46276</v>
      </c>
      <c r="B6822" s="68">
        <v>25</v>
      </c>
      <c r="C6822" s="19" t="s">
        <v>1379</v>
      </c>
      <c r="D6822" s="30">
        <v>1</v>
      </c>
      <c r="E6822" s="30">
        <v>40</v>
      </c>
      <c r="F6822" s="30">
        <f t="shared" si="221"/>
        <v>40</v>
      </c>
      <c r="G6822" s="30" t="s">
        <v>10</v>
      </c>
      <c r="J6822" s="30" t="s">
        <v>392</v>
      </c>
    </row>
    <row r="6823" spans="1:10" x14ac:dyDescent="0.25">
      <c r="A6823" s="78">
        <v>46276</v>
      </c>
      <c r="B6823" s="68">
        <v>25</v>
      </c>
      <c r="C6823" s="19" t="s">
        <v>1395</v>
      </c>
      <c r="D6823" s="30">
        <v>1</v>
      </c>
      <c r="E6823" s="30">
        <v>30</v>
      </c>
      <c r="F6823" s="30">
        <f t="shared" si="221"/>
        <v>30</v>
      </c>
      <c r="G6823" s="30" t="s">
        <v>10</v>
      </c>
      <c r="J6823" s="30" t="s">
        <v>392</v>
      </c>
    </row>
    <row r="6824" spans="1:10" x14ac:dyDescent="0.25">
      <c r="A6824" s="78">
        <v>46276</v>
      </c>
      <c r="B6824" s="68">
        <v>27</v>
      </c>
      <c r="C6824" s="19" t="s">
        <v>1483</v>
      </c>
      <c r="D6824" s="30">
        <v>1</v>
      </c>
      <c r="E6824" s="30">
        <v>50</v>
      </c>
      <c r="F6824" s="30">
        <f t="shared" si="221"/>
        <v>50</v>
      </c>
      <c r="G6824" s="30" t="s">
        <v>9</v>
      </c>
      <c r="J6824" s="30" t="s">
        <v>392</v>
      </c>
    </row>
    <row r="6825" spans="1:10" x14ac:dyDescent="0.25">
      <c r="A6825" s="78">
        <v>46276</v>
      </c>
      <c r="B6825" s="68">
        <v>27</v>
      </c>
      <c r="C6825" s="205" t="s">
        <v>750</v>
      </c>
      <c r="D6825" s="30">
        <v>1</v>
      </c>
      <c r="E6825" s="30">
        <v>50</v>
      </c>
      <c r="F6825" s="30">
        <f t="shared" si="221"/>
        <v>50</v>
      </c>
      <c r="G6825" s="30" t="s">
        <v>9</v>
      </c>
      <c r="J6825" s="30" t="s">
        <v>392</v>
      </c>
    </row>
    <row r="6826" spans="1:10" ht="30" x14ac:dyDescent="0.25">
      <c r="A6826" s="78">
        <v>46276</v>
      </c>
      <c r="B6826" s="68">
        <v>28</v>
      </c>
      <c r="C6826" s="19" t="s">
        <v>1394</v>
      </c>
      <c r="D6826" s="30">
        <v>1</v>
      </c>
      <c r="E6826" s="30">
        <v>10</v>
      </c>
      <c r="F6826" s="30">
        <f t="shared" si="221"/>
        <v>10</v>
      </c>
      <c r="G6826" s="30" t="s">
        <v>9</v>
      </c>
      <c r="J6826" s="30" t="s">
        <v>392</v>
      </c>
    </row>
    <row r="6827" spans="1:10" x14ac:dyDescent="0.25">
      <c r="A6827" s="78">
        <v>46276</v>
      </c>
      <c r="B6827" s="68">
        <v>29</v>
      </c>
      <c r="C6827" s="19" t="s">
        <v>1426</v>
      </c>
      <c r="D6827" s="30">
        <v>0.25</v>
      </c>
      <c r="E6827" s="30">
        <v>80</v>
      </c>
      <c r="F6827" s="30">
        <f t="shared" si="221"/>
        <v>20</v>
      </c>
      <c r="G6827" s="30" t="s">
        <v>16</v>
      </c>
      <c r="I6827" s="68" t="s">
        <v>1514</v>
      </c>
      <c r="J6827" s="30" t="s">
        <v>392</v>
      </c>
    </row>
    <row r="6828" spans="1:10" x14ac:dyDescent="0.25">
      <c r="A6828" s="78">
        <v>46276</v>
      </c>
      <c r="B6828" s="68">
        <v>29</v>
      </c>
      <c r="C6828" s="19" t="s">
        <v>1392</v>
      </c>
      <c r="D6828" s="30">
        <v>1</v>
      </c>
      <c r="E6828" s="30">
        <v>10</v>
      </c>
      <c r="F6828" s="30">
        <f t="shared" si="221"/>
        <v>10</v>
      </c>
      <c r="G6828" s="30" t="s">
        <v>16</v>
      </c>
      <c r="I6828" s="68" t="s">
        <v>1514</v>
      </c>
      <c r="J6828" s="30" t="s">
        <v>392</v>
      </c>
    </row>
    <row r="6829" spans="1:10" x14ac:dyDescent="0.25">
      <c r="A6829" s="78">
        <v>46276</v>
      </c>
      <c r="B6829" s="68">
        <v>29</v>
      </c>
      <c r="C6829" s="19" t="s">
        <v>1513</v>
      </c>
      <c r="D6829" s="30">
        <v>4</v>
      </c>
      <c r="E6829" s="30">
        <v>8.5</v>
      </c>
      <c r="F6829" s="30">
        <f t="shared" si="221"/>
        <v>34</v>
      </c>
      <c r="G6829" s="30" t="s">
        <v>16</v>
      </c>
      <c r="I6829" s="68" t="s">
        <v>1514</v>
      </c>
      <c r="J6829" s="30" t="s">
        <v>392</v>
      </c>
    </row>
    <row r="6830" spans="1:10" x14ac:dyDescent="0.25">
      <c r="A6830" s="78">
        <v>46276</v>
      </c>
      <c r="B6830" s="68">
        <v>30</v>
      </c>
      <c r="C6830" s="19" t="s">
        <v>1419</v>
      </c>
      <c r="D6830" s="30">
        <v>1</v>
      </c>
      <c r="E6830" s="30">
        <v>10</v>
      </c>
      <c r="F6830" s="30">
        <f t="shared" si="221"/>
        <v>10</v>
      </c>
      <c r="G6830" s="30" t="s">
        <v>9</v>
      </c>
      <c r="J6830" s="30" t="s">
        <v>392</v>
      </c>
    </row>
    <row r="6831" spans="1:10" s="199" customFormat="1" ht="31.5" x14ac:dyDescent="0.25">
      <c r="A6831" s="196">
        <v>46276</v>
      </c>
      <c r="B6831" s="197" t="s">
        <v>1248</v>
      </c>
      <c r="C6831" s="198">
        <f>MAX(B6800:B6831)</f>
        <v>30</v>
      </c>
      <c r="D6831" s="197" t="s">
        <v>1249</v>
      </c>
      <c r="E6831" s="199">
        <f>SUMIF(G6800:G6831,"UPI",F6800:F6831)</f>
        <v>240</v>
      </c>
      <c r="H6831" s="200" t="s">
        <v>1251</v>
      </c>
      <c r="I6831" s="200">
        <f>SUMIF(G6800:G6831, "&lt;&gt;UPI",F6800:F6831)</f>
        <v>602</v>
      </c>
    </row>
    <row r="6832" spans="1:10" s="5" customFormat="1" ht="15.75" x14ac:dyDescent="0.25">
      <c r="A6832" s="201">
        <v>46276</v>
      </c>
      <c r="B6832" s="2"/>
      <c r="C6832" s="14"/>
      <c r="H6832" s="2" t="s">
        <v>1250</v>
      </c>
      <c r="I6832" s="2">
        <f>SUMIF(G6777:G6831, "&lt;&gt;UPI",F6777:F6831)</f>
        <v>1332.5</v>
      </c>
    </row>
    <row r="6833" spans="1:12" s="202" customFormat="1" ht="18.75" customHeight="1" x14ac:dyDescent="0.3">
      <c r="A6833" s="146">
        <v>46276</v>
      </c>
      <c r="B6833" s="147" t="s">
        <v>987</v>
      </c>
      <c r="C6833" s="148">
        <f>MAX(B6777:B6832)</f>
        <v>30</v>
      </c>
      <c r="D6833" s="147" t="s">
        <v>988</v>
      </c>
      <c r="E6833" s="202">
        <f>SUMIF(G6777:G6831,"UPI",F6777:F6831)</f>
        <v>415</v>
      </c>
      <c r="F6833" s="227" t="s">
        <v>437</v>
      </c>
      <c r="G6833" s="228"/>
      <c r="H6833" s="229"/>
      <c r="I6833" s="227">
        <f>SUM(F6777:F6832)</f>
        <v>1747.5</v>
      </c>
      <c r="J6833" s="228"/>
      <c r="K6833" s="228"/>
      <c r="L6833" s="229"/>
    </row>
    <row r="6834" spans="1:12" x14ac:dyDescent="0.25">
      <c r="A6834" s="78">
        <v>46277</v>
      </c>
      <c r="B6834" s="68">
        <v>1</v>
      </c>
      <c r="C6834" s="19" t="s">
        <v>1327</v>
      </c>
      <c r="D6834" s="30">
        <v>0.5</v>
      </c>
      <c r="E6834" s="30">
        <v>70</v>
      </c>
      <c r="F6834" s="30">
        <f>E6834*D6834</f>
        <v>35</v>
      </c>
      <c r="G6834" s="30" t="s">
        <v>9</v>
      </c>
      <c r="J6834" s="30" t="s">
        <v>391</v>
      </c>
    </row>
    <row r="6835" spans="1:12" ht="30" x14ac:dyDescent="0.25">
      <c r="A6835" s="78">
        <v>46277</v>
      </c>
      <c r="B6835" s="68">
        <v>1</v>
      </c>
      <c r="C6835" s="19" t="s">
        <v>1390</v>
      </c>
      <c r="D6835" s="30">
        <v>1</v>
      </c>
      <c r="E6835" s="30">
        <v>40</v>
      </c>
      <c r="F6835" s="30">
        <f t="shared" ref="F6835:F6868" si="222">E6835*D6835</f>
        <v>40</v>
      </c>
      <c r="G6835" s="30" t="s">
        <v>9</v>
      </c>
      <c r="J6835" s="30" t="s">
        <v>391</v>
      </c>
    </row>
    <row r="6836" spans="1:12" x14ac:dyDescent="0.25">
      <c r="A6836" s="78">
        <v>46277</v>
      </c>
      <c r="B6836" s="68">
        <v>1</v>
      </c>
      <c r="C6836" s="19" t="s">
        <v>1446</v>
      </c>
      <c r="D6836" s="30">
        <v>1</v>
      </c>
      <c r="E6836" s="30">
        <v>10</v>
      </c>
      <c r="F6836" s="30">
        <f t="shared" si="222"/>
        <v>10</v>
      </c>
      <c r="G6836" s="30" t="s">
        <v>9</v>
      </c>
      <c r="J6836" s="30" t="s">
        <v>391</v>
      </c>
    </row>
    <row r="6837" spans="1:12" x14ac:dyDescent="0.25">
      <c r="A6837" s="78">
        <v>46277</v>
      </c>
      <c r="B6837" s="68">
        <v>2</v>
      </c>
      <c r="C6837" s="205" t="s">
        <v>1291</v>
      </c>
      <c r="D6837" s="30">
        <v>1</v>
      </c>
      <c r="E6837" s="30">
        <v>65</v>
      </c>
      <c r="F6837" s="30">
        <f t="shared" si="222"/>
        <v>65</v>
      </c>
      <c r="G6837" s="30" t="s">
        <v>9</v>
      </c>
      <c r="J6837" s="30" t="s">
        <v>391</v>
      </c>
    </row>
    <row r="6838" spans="1:12" x14ac:dyDescent="0.25">
      <c r="A6838" s="78">
        <v>46277</v>
      </c>
      <c r="B6838" s="68">
        <v>2</v>
      </c>
      <c r="C6838" s="19" t="s">
        <v>1508</v>
      </c>
      <c r="D6838" s="30">
        <v>1</v>
      </c>
      <c r="E6838" s="30">
        <v>10</v>
      </c>
      <c r="F6838" s="30">
        <f t="shared" si="222"/>
        <v>10</v>
      </c>
      <c r="G6838" s="30" t="s">
        <v>9</v>
      </c>
      <c r="J6838" s="30" t="s">
        <v>391</v>
      </c>
    </row>
    <row r="6839" spans="1:12" x14ac:dyDescent="0.25">
      <c r="A6839" s="78">
        <v>46277</v>
      </c>
      <c r="B6839" s="68">
        <v>3</v>
      </c>
      <c r="C6839" s="205" t="s">
        <v>1198</v>
      </c>
      <c r="D6839" s="30">
        <v>1</v>
      </c>
      <c r="E6839" s="30">
        <v>10</v>
      </c>
      <c r="F6839" s="30">
        <f t="shared" si="222"/>
        <v>10</v>
      </c>
      <c r="G6839" s="30" t="s">
        <v>9</v>
      </c>
      <c r="J6839" s="30" t="s">
        <v>391</v>
      </c>
    </row>
    <row r="6840" spans="1:12" x14ac:dyDescent="0.25">
      <c r="A6840" s="78">
        <v>46277</v>
      </c>
      <c r="B6840" s="68">
        <v>3</v>
      </c>
      <c r="C6840" s="205" t="s">
        <v>931</v>
      </c>
      <c r="D6840" s="30">
        <v>1</v>
      </c>
      <c r="E6840" s="30">
        <v>20</v>
      </c>
      <c r="F6840" s="30">
        <f t="shared" si="222"/>
        <v>20</v>
      </c>
      <c r="G6840" s="30" t="s">
        <v>9</v>
      </c>
      <c r="J6840" s="30" t="s">
        <v>391</v>
      </c>
    </row>
    <row r="6841" spans="1:12" x14ac:dyDescent="0.25">
      <c r="A6841" s="78">
        <v>46277</v>
      </c>
      <c r="B6841" s="68">
        <v>4</v>
      </c>
      <c r="C6841" s="19" t="s">
        <v>1383</v>
      </c>
      <c r="D6841" s="30">
        <v>1</v>
      </c>
      <c r="E6841" s="30">
        <v>20</v>
      </c>
      <c r="F6841" s="30">
        <f t="shared" si="222"/>
        <v>20</v>
      </c>
      <c r="G6841" s="30" t="s">
        <v>9</v>
      </c>
      <c r="J6841" s="30" t="s">
        <v>391</v>
      </c>
    </row>
    <row r="6842" spans="1:12" x14ac:dyDescent="0.25">
      <c r="A6842" s="78">
        <v>46277</v>
      </c>
      <c r="B6842" s="68">
        <v>4</v>
      </c>
      <c r="C6842" s="205" t="s">
        <v>1116</v>
      </c>
      <c r="D6842" s="30">
        <v>2</v>
      </c>
      <c r="E6842" s="30">
        <v>10</v>
      </c>
      <c r="F6842" s="30">
        <f t="shared" si="222"/>
        <v>20</v>
      </c>
      <c r="G6842" s="30" t="s">
        <v>9</v>
      </c>
      <c r="J6842" s="30" t="s">
        <v>391</v>
      </c>
    </row>
    <row r="6843" spans="1:12" x14ac:dyDescent="0.25">
      <c r="A6843" s="78">
        <v>46277</v>
      </c>
      <c r="B6843" s="68">
        <v>5</v>
      </c>
      <c r="C6843" s="205" t="s">
        <v>1233</v>
      </c>
      <c r="D6843" s="30">
        <v>1</v>
      </c>
      <c r="E6843" s="30">
        <v>75</v>
      </c>
      <c r="F6843" s="30">
        <f t="shared" si="222"/>
        <v>75</v>
      </c>
      <c r="G6843" s="30" t="s">
        <v>16</v>
      </c>
      <c r="I6843" s="68" t="s">
        <v>663</v>
      </c>
      <c r="J6843" s="30" t="s">
        <v>391</v>
      </c>
    </row>
    <row r="6844" spans="1:12" ht="30" x14ac:dyDescent="0.25">
      <c r="A6844" s="78">
        <v>46277</v>
      </c>
      <c r="B6844" s="68">
        <v>6</v>
      </c>
      <c r="C6844" s="19" t="s">
        <v>1424</v>
      </c>
      <c r="D6844" s="30">
        <v>1</v>
      </c>
      <c r="E6844" s="30">
        <v>70</v>
      </c>
      <c r="F6844" s="30">
        <f t="shared" si="222"/>
        <v>70</v>
      </c>
      <c r="G6844" s="30" t="s">
        <v>9</v>
      </c>
      <c r="J6844" s="30" t="s">
        <v>391</v>
      </c>
    </row>
    <row r="6845" spans="1:12" x14ac:dyDescent="0.25">
      <c r="A6845" s="78">
        <v>46277</v>
      </c>
      <c r="B6845" s="68">
        <v>7</v>
      </c>
      <c r="C6845" s="19" t="s">
        <v>1383</v>
      </c>
      <c r="D6845" s="30">
        <v>2</v>
      </c>
      <c r="E6845" s="30">
        <v>15</v>
      </c>
      <c r="F6845" s="30">
        <f t="shared" si="222"/>
        <v>30</v>
      </c>
      <c r="G6845" s="30" t="s">
        <v>9</v>
      </c>
      <c r="J6845" s="30" t="s">
        <v>391</v>
      </c>
    </row>
    <row r="6846" spans="1:12" x14ac:dyDescent="0.25">
      <c r="A6846" s="78">
        <v>46277</v>
      </c>
      <c r="B6846" s="68">
        <v>7</v>
      </c>
      <c r="C6846" s="205" t="s">
        <v>678</v>
      </c>
      <c r="D6846" s="30">
        <v>1</v>
      </c>
      <c r="E6846" s="30">
        <v>10</v>
      </c>
      <c r="F6846" s="30">
        <f t="shared" si="222"/>
        <v>10</v>
      </c>
      <c r="G6846" s="30" t="s">
        <v>9</v>
      </c>
      <c r="J6846" s="30" t="s">
        <v>391</v>
      </c>
    </row>
    <row r="6847" spans="1:12" x14ac:dyDescent="0.25">
      <c r="A6847" s="78">
        <v>46277</v>
      </c>
      <c r="B6847" s="68">
        <v>8</v>
      </c>
      <c r="C6847" s="205" t="s">
        <v>796</v>
      </c>
      <c r="D6847" s="30">
        <v>0.105</v>
      </c>
      <c r="E6847" s="30">
        <v>190</v>
      </c>
      <c r="F6847" s="30">
        <f t="shared" si="222"/>
        <v>19.95</v>
      </c>
      <c r="G6847" s="30" t="s">
        <v>9</v>
      </c>
      <c r="J6847" s="30" t="s">
        <v>391</v>
      </c>
    </row>
    <row r="6848" spans="1:12" x14ac:dyDescent="0.25">
      <c r="A6848" s="78">
        <v>46277</v>
      </c>
      <c r="B6848" s="68">
        <v>9</v>
      </c>
      <c r="C6848" s="19" t="s">
        <v>1384</v>
      </c>
      <c r="D6848" s="30">
        <v>2</v>
      </c>
      <c r="E6848" s="30">
        <v>10</v>
      </c>
      <c r="F6848" s="30">
        <f t="shared" si="222"/>
        <v>20</v>
      </c>
      <c r="G6848" s="30" t="s">
        <v>9</v>
      </c>
      <c r="J6848" s="30" t="s">
        <v>391</v>
      </c>
    </row>
    <row r="6849" spans="1:10" x14ac:dyDescent="0.25">
      <c r="A6849" s="78">
        <v>46277</v>
      </c>
      <c r="B6849" s="68">
        <v>10</v>
      </c>
      <c r="C6849" s="19" t="s">
        <v>1513</v>
      </c>
      <c r="D6849" s="30">
        <v>4</v>
      </c>
      <c r="E6849" s="30">
        <v>8.5</v>
      </c>
      <c r="F6849" s="30">
        <f t="shared" si="222"/>
        <v>34</v>
      </c>
      <c r="G6849" s="30" t="s">
        <v>10</v>
      </c>
      <c r="J6849" s="30" t="s">
        <v>391</v>
      </c>
    </row>
    <row r="6850" spans="1:10" x14ac:dyDescent="0.25">
      <c r="A6850" s="78">
        <v>46277</v>
      </c>
      <c r="B6850" s="68">
        <v>11</v>
      </c>
      <c r="C6850" s="19" t="s">
        <v>1374</v>
      </c>
      <c r="D6850" s="30">
        <v>2</v>
      </c>
      <c r="E6850" s="30">
        <v>20</v>
      </c>
      <c r="F6850" s="30">
        <f t="shared" si="222"/>
        <v>40</v>
      </c>
      <c r="G6850" s="30" t="s">
        <v>9</v>
      </c>
      <c r="J6850" s="30" t="s">
        <v>391</v>
      </c>
    </row>
    <row r="6851" spans="1:10" ht="30" x14ac:dyDescent="0.25">
      <c r="A6851" s="78">
        <v>46277</v>
      </c>
      <c r="B6851" s="68">
        <v>12</v>
      </c>
      <c r="C6851" s="205" t="s">
        <v>1195</v>
      </c>
      <c r="D6851" s="30">
        <v>1</v>
      </c>
      <c r="E6851" s="30">
        <v>30</v>
      </c>
      <c r="F6851" s="30">
        <f t="shared" si="222"/>
        <v>30</v>
      </c>
      <c r="G6851" s="30" t="s">
        <v>9</v>
      </c>
      <c r="J6851" s="30" t="s">
        <v>391</v>
      </c>
    </row>
    <row r="6852" spans="1:10" x14ac:dyDescent="0.25">
      <c r="A6852" s="78">
        <v>46277</v>
      </c>
      <c r="B6852" s="68">
        <v>13</v>
      </c>
      <c r="C6852" s="205" t="s">
        <v>368</v>
      </c>
      <c r="D6852" s="30">
        <v>1</v>
      </c>
      <c r="E6852" s="30">
        <v>5</v>
      </c>
      <c r="F6852" s="30">
        <f t="shared" si="222"/>
        <v>5</v>
      </c>
      <c r="G6852" s="30" t="s">
        <v>16</v>
      </c>
      <c r="I6852" s="68" t="s">
        <v>1202</v>
      </c>
      <c r="J6852" s="30" t="s">
        <v>391</v>
      </c>
    </row>
    <row r="6853" spans="1:10" x14ac:dyDescent="0.25">
      <c r="A6853" s="78">
        <v>46277</v>
      </c>
      <c r="B6853" s="68">
        <v>13</v>
      </c>
      <c r="C6853" s="205" t="s">
        <v>120</v>
      </c>
      <c r="D6853" s="30">
        <v>1</v>
      </c>
      <c r="E6853" s="30">
        <v>5</v>
      </c>
      <c r="F6853" s="30">
        <f t="shared" si="222"/>
        <v>5</v>
      </c>
      <c r="G6853" s="30" t="s">
        <v>16</v>
      </c>
      <c r="I6853" s="68" t="s">
        <v>1202</v>
      </c>
      <c r="J6853" s="30" t="s">
        <v>391</v>
      </c>
    </row>
    <row r="6854" spans="1:10" x14ac:dyDescent="0.25">
      <c r="A6854" s="78">
        <v>46277</v>
      </c>
      <c r="B6854" s="68">
        <v>13</v>
      </c>
      <c r="C6854" s="205" t="s">
        <v>113</v>
      </c>
      <c r="D6854" s="30">
        <v>1</v>
      </c>
      <c r="E6854" s="30">
        <v>5</v>
      </c>
      <c r="F6854" s="30">
        <f t="shared" si="222"/>
        <v>5</v>
      </c>
      <c r="G6854" s="30" t="s">
        <v>16</v>
      </c>
      <c r="I6854" s="68" t="s">
        <v>1202</v>
      </c>
      <c r="J6854" s="30" t="s">
        <v>391</v>
      </c>
    </row>
    <row r="6855" spans="1:10" x14ac:dyDescent="0.25">
      <c r="A6855" s="78">
        <v>46277</v>
      </c>
      <c r="B6855" s="68">
        <v>14</v>
      </c>
      <c r="C6855" s="19" t="s">
        <v>1483</v>
      </c>
      <c r="D6855" s="30">
        <v>3</v>
      </c>
      <c r="E6855" s="30">
        <v>50</v>
      </c>
      <c r="F6855" s="30">
        <f t="shared" si="222"/>
        <v>150</v>
      </c>
      <c r="G6855" s="30" t="s">
        <v>10</v>
      </c>
      <c r="J6855" s="30" t="s">
        <v>391</v>
      </c>
    </row>
    <row r="6856" spans="1:10" x14ac:dyDescent="0.25">
      <c r="A6856" s="78">
        <v>46277</v>
      </c>
      <c r="B6856" s="68">
        <v>15</v>
      </c>
      <c r="C6856" s="204" t="s">
        <v>970</v>
      </c>
      <c r="D6856" s="30">
        <v>1</v>
      </c>
      <c r="E6856" s="30">
        <v>10</v>
      </c>
      <c r="F6856" s="30">
        <f t="shared" si="222"/>
        <v>10</v>
      </c>
      <c r="G6856" s="30" t="s">
        <v>9</v>
      </c>
      <c r="J6856" s="30" t="s">
        <v>391</v>
      </c>
    </row>
    <row r="6857" spans="1:10" x14ac:dyDescent="0.25">
      <c r="A6857" s="78">
        <v>46277</v>
      </c>
      <c r="B6857" s="68">
        <v>14</v>
      </c>
      <c r="C6857" s="205" t="s">
        <v>622</v>
      </c>
      <c r="D6857" s="30">
        <v>3</v>
      </c>
      <c r="E6857" s="30">
        <v>9</v>
      </c>
      <c r="F6857" s="30">
        <f t="shared" si="222"/>
        <v>27</v>
      </c>
      <c r="G6857" s="30" t="s">
        <v>10</v>
      </c>
      <c r="J6857" s="30" t="s">
        <v>391</v>
      </c>
    </row>
    <row r="6858" spans="1:10" x14ac:dyDescent="0.25">
      <c r="A6858" s="78">
        <v>46277</v>
      </c>
      <c r="B6858" s="68">
        <v>14</v>
      </c>
      <c r="C6858" s="205" t="s">
        <v>1166</v>
      </c>
      <c r="D6858" s="30">
        <v>3</v>
      </c>
      <c r="E6858" s="30">
        <v>1</v>
      </c>
      <c r="F6858" s="30">
        <f t="shared" si="222"/>
        <v>3</v>
      </c>
      <c r="G6858" s="30" t="s">
        <v>10</v>
      </c>
      <c r="J6858" s="30" t="s">
        <v>391</v>
      </c>
    </row>
    <row r="6859" spans="1:10" x14ac:dyDescent="0.25">
      <c r="A6859" s="78">
        <v>46277</v>
      </c>
      <c r="B6859" s="68">
        <v>14</v>
      </c>
      <c r="C6859" s="19" t="s">
        <v>1381</v>
      </c>
      <c r="D6859" s="30">
        <v>3</v>
      </c>
      <c r="E6859" s="30">
        <v>20</v>
      </c>
      <c r="F6859" s="30">
        <f t="shared" si="222"/>
        <v>60</v>
      </c>
      <c r="G6859" s="30" t="s">
        <v>10</v>
      </c>
      <c r="J6859" s="30" t="s">
        <v>391</v>
      </c>
    </row>
    <row r="6860" spans="1:10" x14ac:dyDescent="0.25">
      <c r="A6860" s="78">
        <v>46277</v>
      </c>
      <c r="B6860" s="68">
        <v>14</v>
      </c>
      <c r="C6860" s="19" t="s">
        <v>1484</v>
      </c>
      <c r="D6860" s="30">
        <v>2</v>
      </c>
      <c r="E6860" s="30">
        <v>10</v>
      </c>
      <c r="F6860" s="30">
        <f t="shared" si="222"/>
        <v>20</v>
      </c>
      <c r="G6860" s="30" t="s">
        <v>10</v>
      </c>
      <c r="J6860" s="30" t="s">
        <v>391</v>
      </c>
    </row>
    <row r="6861" spans="1:10" x14ac:dyDescent="0.25">
      <c r="A6861" s="78">
        <v>46277</v>
      </c>
      <c r="B6861" s="68">
        <v>16</v>
      </c>
      <c r="C6861" s="205" t="s">
        <v>948</v>
      </c>
      <c r="D6861" s="30">
        <v>1</v>
      </c>
      <c r="E6861" s="30">
        <v>210</v>
      </c>
      <c r="F6861" s="30">
        <f t="shared" si="222"/>
        <v>210</v>
      </c>
      <c r="G6861" s="30" t="s">
        <v>10</v>
      </c>
      <c r="J6861" s="30" t="s">
        <v>391</v>
      </c>
    </row>
    <row r="6862" spans="1:10" x14ac:dyDescent="0.25">
      <c r="A6862" s="78">
        <v>46277</v>
      </c>
      <c r="B6862" s="68">
        <v>16</v>
      </c>
      <c r="C6862" s="19" t="s">
        <v>1393</v>
      </c>
      <c r="D6862" s="30">
        <v>1</v>
      </c>
      <c r="E6862" s="30">
        <v>40</v>
      </c>
      <c r="F6862" s="30">
        <f t="shared" si="222"/>
        <v>40</v>
      </c>
      <c r="G6862" s="30" t="s">
        <v>10</v>
      </c>
      <c r="J6862" s="30" t="s">
        <v>391</v>
      </c>
    </row>
    <row r="6863" spans="1:10" x14ac:dyDescent="0.25">
      <c r="A6863" s="78">
        <v>46277</v>
      </c>
      <c r="B6863" s="68">
        <v>16</v>
      </c>
      <c r="C6863" s="19" t="s">
        <v>1414</v>
      </c>
      <c r="D6863" s="30">
        <v>1</v>
      </c>
      <c r="E6863" s="30">
        <v>40</v>
      </c>
      <c r="F6863" s="30">
        <f t="shared" si="222"/>
        <v>40</v>
      </c>
      <c r="G6863" s="30" t="s">
        <v>10</v>
      </c>
      <c r="J6863" s="30" t="s">
        <v>391</v>
      </c>
    </row>
    <row r="6864" spans="1:10" ht="30" x14ac:dyDescent="0.25">
      <c r="A6864" s="78">
        <v>46277</v>
      </c>
      <c r="B6864" s="68">
        <v>16</v>
      </c>
      <c r="C6864" s="205" t="s">
        <v>854</v>
      </c>
      <c r="D6864" s="30">
        <v>1</v>
      </c>
      <c r="E6864" s="30">
        <v>40</v>
      </c>
      <c r="F6864" s="30">
        <f t="shared" si="222"/>
        <v>40</v>
      </c>
      <c r="G6864" s="30" t="s">
        <v>10</v>
      </c>
      <c r="J6864" s="30" t="s">
        <v>391</v>
      </c>
    </row>
    <row r="6865" spans="1:10" x14ac:dyDescent="0.25">
      <c r="A6865" s="78">
        <v>46277</v>
      </c>
      <c r="B6865" s="68">
        <v>17</v>
      </c>
      <c r="C6865" s="205" t="s">
        <v>624</v>
      </c>
      <c r="D6865" s="30">
        <v>1</v>
      </c>
      <c r="E6865" s="30">
        <v>20</v>
      </c>
      <c r="F6865" s="30">
        <f t="shared" si="222"/>
        <v>20</v>
      </c>
      <c r="G6865" s="30" t="s">
        <v>10</v>
      </c>
      <c r="J6865" s="30" t="s">
        <v>391</v>
      </c>
    </row>
    <row r="6866" spans="1:10" x14ac:dyDescent="0.25">
      <c r="A6866" s="78">
        <v>46277</v>
      </c>
      <c r="B6866" s="68">
        <v>18</v>
      </c>
      <c r="C6866" s="19" t="s">
        <v>1378</v>
      </c>
      <c r="D6866" s="30">
        <v>1</v>
      </c>
      <c r="E6866" s="30">
        <v>10</v>
      </c>
      <c r="F6866" s="30">
        <f t="shared" si="222"/>
        <v>10</v>
      </c>
      <c r="G6866" s="30" t="s">
        <v>16</v>
      </c>
      <c r="I6866" s="68" t="s">
        <v>1203</v>
      </c>
      <c r="J6866" s="30" t="s">
        <v>391</v>
      </c>
    </row>
    <row r="6867" spans="1:10" x14ac:dyDescent="0.25">
      <c r="A6867" s="78">
        <v>46277</v>
      </c>
      <c r="B6867" s="68">
        <v>19</v>
      </c>
      <c r="C6867" s="19" t="s">
        <v>1483</v>
      </c>
      <c r="D6867" s="30">
        <v>1</v>
      </c>
      <c r="E6867" s="30">
        <v>50</v>
      </c>
      <c r="F6867" s="30">
        <f t="shared" si="222"/>
        <v>50</v>
      </c>
      <c r="G6867" s="30" t="s">
        <v>10</v>
      </c>
      <c r="J6867" s="30" t="s">
        <v>391</v>
      </c>
    </row>
    <row r="6868" spans="1:10" x14ac:dyDescent="0.25">
      <c r="A6868" s="78">
        <v>46277</v>
      </c>
      <c r="B6868" s="68">
        <v>20</v>
      </c>
      <c r="C6868" s="19" t="s">
        <v>1379</v>
      </c>
      <c r="D6868" s="30">
        <v>1</v>
      </c>
      <c r="E6868" s="30">
        <v>40</v>
      </c>
      <c r="F6868" s="30">
        <f t="shared" si="222"/>
        <v>40</v>
      </c>
      <c r="G6868" s="30" t="s">
        <v>10</v>
      </c>
      <c r="J6868" s="30" t="s">
        <v>391</v>
      </c>
    </row>
    <row r="6869" spans="1:10" s="199" customFormat="1" ht="31.5" x14ac:dyDescent="0.25">
      <c r="A6869" s="196">
        <v>46277</v>
      </c>
      <c r="B6869" s="197" t="s">
        <v>1245</v>
      </c>
      <c r="C6869" s="198">
        <f>MAX(B6834:B6869)</f>
        <v>20</v>
      </c>
      <c r="D6869" s="197" t="s">
        <v>1246</v>
      </c>
      <c r="E6869" s="199">
        <f>SUMIF(G6834:G6869,"UPI",F6834:F6869)</f>
        <v>734</v>
      </c>
      <c r="H6869" s="200" t="s">
        <v>1247</v>
      </c>
      <c r="I6869" s="200">
        <f>SUMIF(G6834:G6869, "&lt;&gt;UPI",F6834:F6869)</f>
        <v>559.95000000000005</v>
      </c>
    </row>
    <row r="6870" spans="1:10" x14ac:dyDescent="0.25">
      <c r="A6870" s="78">
        <v>46277</v>
      </c>
      <c r="B6870" s="68">
        <v>5</v>
      </c>
      <c r="C6870" s="19" t="s">
        <v>1499</v>
      </c>
      <c r="D6870" s="30">
        <v>1</v>
      </c>
      <c r="E6870" s="30">
        <v>10</v>
      </c>
      <c r="F6870" s="30">
        <f>E6870*D6870</f>
        <v>10</v>
      </c>
      <c r="G6870" s="30" t="s">
        <v>9</v>
      </c>
      <c r="J6870" s="30" t="s">
        <v>392</v>
      </c>
    </row>
    <row r="6871" spans="1:10" ht="30" x14ac:dyDescent="0.25">
      <c r="A6871" s="78">
        <v>46277</v>
      </c>
      <c r="B6871" s="68">
        <v>21</v>
      </c>
      <c r="C6871" s="19" t="s">
        <v>1459</v>
      </c>
      <c r="D6871" s="30">
        <v>2</v>
      </c>
      <c r="E6871" s="30">
        <v>10</v>
      </c>
      <c r="F6871" s="30">
        <f t="shared" ref="F6871:F6897" si="223">E6871*D6871</f>
        <v>20</v>
      </c>
      <c r="G6871" s="30" t="s">
        <v>9</v>
      </c>
      <c r="J6871" s="30" t="s">
        <v>392</v>
      </c>
    </row>
    <row r="6872" spans="1:10" x14ac:dyDescent="0.25">
      <c r="A6872" s="78">
        <v>46277</v>
      </c>
      <c r="B6872" s="68">
        <v>21</v>
      </c>
      <c r="C6872" s="19" t="s">
        <v>1446</v>
      </c>
      <c r="D6872" s="30">
        <v>1</v>
      </c>
      <c r="E6872" s="30">
        <v>10</v>
      </c>
      <c r="F6872" s="30">
        <f t="shared" si="223"/>
        <v>10</v>
      </c>
      <c r="G6872" s="30" t="s">
        <v>9</v>
      </c>
      <c r="J6872" s="30" t="s">
        <v>392</v>
      </c>
    </row>
    <row r="6873" spans="1:10" x14ac:dyDescent="0.25">
      <c r="A6873" s="78">
        <v>46277</v>
      </c>
      <c r="B6873" s="68">
        <v>21</v>
      </c>
      <c r="C6873" s="19" t="s">
        <v>1445</v>
      </c>
      <c r="D6873" s="30">
        <v>1</v>
      </c>
      <c r="E6873" s="30">
        <v>10</v>
      </c>
      <c r="F6873" s="30">
        <f t="shared" si="223"/>
        <v>10</v>
      </c>
      <c r="G6873" s="30" t="s">
        <v>9</v>
      </c>
      <c r="J6873" s="30" t="s">
        <v>392</v>
      </c>
    </row>
    <row r="6874" spans="1:10" x14ac:dyDescent="0.25">
      <c r="A6874" s="78">
        <v>46277</v>
      </c>
      <c r="B6874" s="68">
        <v>22</v>
      </c>
      <c r="C6874" s="19" t="s">
        <v>1513</v>
      </c>
      <c r="D6874" s="30">
        <v>5</v>
      </c>
      <c r="E6874" s="30">
        <v>8.5</v>
      </c>
      <c r="F6874" s="30">
        <f t="shared" si="223"/>
        <v>42.5</v>
      </c>
      <c r="G6874" s="30" t="s">
        <v>9</v>
      </c>
      <c r="J6874" s="30" t="s">
        <v>392</v>
      </c>
    </row>
    <row r="6875" spans="1:10" ht="30" x14ac:dyDescent="0.25">
      <c r="A6875" s="78">
        <v>46277</v>
      </c>
      <c r="B6875" s="68">
        <v>22</v>
      </c>
      <c r="C6875" s="205" t="s">
        <v>818</v>
      </c>
      <c r="D6875" s="30">
        <v>7</v>
      </c>
      <c r="E6875" s="30">
        <v>1</v>
      </c>
      <c r="F6875" s="30">
        <f t="shared" si="223"/>
        <v>7</v>
      </c>
      <c r="G6875" s="30" t="s">
        <v>9</v>
      </c>
      <c r="J6875" s="30" t="s">
        <v>392</v>
      </c>
    </row>
    <row r="6876" spans="1:10" x14ac:dyDescent="0.25">
      <c r="A6876" s="78">
        <v>46277</v>
      </c>
      <c r="B6876" s="68">
        <v>23</v>
      </c>
      <c r="C6876" s="205" t="s">
        <v>1127</v>
      </c>
      <c r="D6876" s="30">
        <v>1</v>
      </c>
      <c r="E6876" s="30">
        <v>10</v>
      </c>
      <c r="F6876" s="30">
        <f t="shared" si="223"/>
        <v>10</v>
      </c>
      <c r="G6876" s="30" t="s">
        <v>9</v>
      </c>
      <c r="J6876" s="30" t="s">
        <v>392</v>
      </c>
    </row>
    <row r="6877" spans="1:10" x14ac:dyDescent="0.25">
      <c r="A6877" s="78">
        <v>46277</v>
      </c>
      <c r="B6877" s="68">
        <v>23</v>
      </c>
      <c r="C6877" s="19" t="s">
        <v>1419</v>
      </c>
      <c r="D6877" s="30">
        <v>2</v>
      </c>
      <c r="E6877" s="30">
        <v>10</v>
      </c>
      <c r="F6877" s="30">
        <f t="shared" si="223"/>
        <v>20</v>
      </c>
      <c r="G6877" s="30" t="s">
        <v>9</v>
      </c>
      <c r="J6877" s="30" t="s">
        <v>392</v>
      </c>
    </row>
    <row r="6878" spans="1:10" x14ac:dyDescent="0.25">
      <c r="A6878" s="78">
        <v>46277</v>
      </c>
      <c r="B6878" s="68">
        <v>24</v>
      </c>
      <c r="C6878" s="19" t="s">
        <v>1374</v>
      </c>
      <c r="D6878" s="30">
        <v>1</v>
      </c>
      <c r="E6878" s="30">
        <v>20</v>
      </c>
      <c r="F6878" s="30">
        <f t="shared" si="223"/>
        <v>20</v>
      </c>
      <c r="G6878" s="30" t="s">
        <v>9</v>
      </c>
      <c r="J6878" s="30" t="s">
        <v>392</v>
      </c>
    </row>
    <row r="6879" spans="1:10" x14ac:dyDescent="0.25">
      <c r="A6879" s="78">
        <v>46277</v>
      </c>
      <c r="B6879" s="68">
        <v>25</v>
      </c>
      <c r="C6879" s="207" t="s">
        <v>610</v>
      </c>
      <c r="D6879" s="30">
        <v>2</v>
      </c>
      <c r="E6879" s="30">
        <v>5</v>
      </c>
      <c r="F6879" s="30">
        <f t="shared" si="223"/>
        <v>10</v>
      </c>
      <c r="G6879" s="30" t="s">
        <v>9</v>
      </c>
      <c r="J6879" s="30" t="s">
        <v>392</v>
      </c>
    </row>
    <row r="6880" spans="1:10" x14ac:dyDescent="0.25">
      <c r="A6880" s="78">
        <v>46277</v>
      </c>
      <c r="B6880" s="68">
        <v>26</v>
      </c>
      <c r="C6880" s="204" t="s">
        <v>876</v>
      </c>
      <c r="D6880" s="30">
        <v>1</v>
      </c>
      <c r="E6880" s="30">
        <v>20</v>
      </c>
      <c r="F6880" s="30">
        <f t="shared" si="223"/>
        <v>20</v>
      </c>
      <c r="G6880" s="30" t="s">
        <v>9</v>
      </c>
      <c r="J6880" s="30" t="s">
        <v>392</v>
      </c>
    </row>
    <row r="6881" spans="1:10" ht="30" x14ac:dyDescent="0.25">
      <c r="A6881" s="78">
        <v>46277</v>
      </c>
      <c r="B6881" s="68">
        <v>26</v>
      </c>
      <c r="C6881" s="19" t="s">
        <v>1390</v>
      </c>
      <c r="D6881" s="30">
        <v>1</v>
      </c>
      <c r="E6881" s="30">
        <v>40</v>
      </c>
      <c r="F6881" s="30">
        <f t="shared" si="223"/>
        <v>40</v>
      </c>
      <c r="G6881" s="30" t="s">
        <v>9</v>
      </c>
      <c r="J6881" s="30" t="s">
        <v>392</v>
      </c>
    </row>
    <row r="6882" spans="1:10" x14ac:dyDescent="0.25">
      <c r="A6882" s="78">
        <v>46277</v>
      </c>
      <c r="B6882" s="68">
        <v>27</v>
      </c>
      <c r="C6882" s="19" t="s">
        <v>1374</v>
      </c>
      <c r="D6882" s="30">
        <v>2</v>
      </c>
      <c r="E6882" s="30">
        <v>20</v>
      </c>
      <c r="F6882" s="30">
        <f t="shared" si="223"/>
        <v>40</v>
      </c>
      <c r="G6882" s="30" t="s">
        <v>9</v>
      </c>
      <c r="J6882" s="30" t="s">
        <v>392</v>
      </c>
    </row>
    <row r="6883" spans="1:10" x14ac:dyDescent="0.25">
      <c r="A6883" s="78">
        <v>46277</v>
      </c>
      <c r="B6883" s="68">
        <v>27</v>
      </c>
      <c r="C6883" s="209" t="s">
        <v>1428</v>
      </c>
      <c r="D6883" s="30">
        <v>1</v>
      </c>
      <c r="E6883" s="30">
        <v>60</v>
      </c>
      <c r="F6883" s="30">
        <f t="shared" si="223"/>
        <v>60</v>
      </c>
      <c r="G6883" s="30" t="s">
        <v>9</v>
      </c>
      <c r="J6883" s="30" t="s">
        <v>392</v>
      </c>
    </row>
    <row r="6884" spans="1:10" x14ac:dyDescent="0.25">
      <c r="A6884" s="78">
        <v>46277</v>
      </c>
      <c r="B6884" s="68">
        <v>27</v>
      </c>
      <c r="C6884" s="19" t="s">
        <v>1515</v>
      </c>
      <c r="D6884" s="30">
        <v>2</v>
      </c>
      <c r="E6884" s="30">
        <v>20</v>
      </c>
      <c r="F6884" s="30">
        <f t="shared" si="223"/>
        <v>40</v>
      </c>
      <c r="G6884" s="30" t="s">
        <v>9</v>
      </c>
      <c r="J6884" s="30" t="s">
        <v>392</v>
      </c>
    </row>
    <row r="6885" spans="1:10" x14ac:dyDescent="0.25">
      <c r="A6885" s="78">
        <v>46277</v>
      </c>
      <c r="B6885" s="68">
        <v>27</v>
      </c>
      <c r="C6885" s="204" t="s">
        <v>1396</v>
      </c>
      <c r="D6885" s="30">
        <v>5</v>
      </c>
      <c r="E6885" s="30">
        <v>10</v>
      </c>
      <c r="F6885" s="30">
        <f t="shared" si="223"/>
        <v>50</v>
      </c>
      <c r="G6885" s="30" t="s">
        <v>9</v>
      </c>
      <c r="J6885" s="30" t="s">
        <v>392</v>
      </c>
    </row>
    <row r="6886" spans="1:10" x14ac:dyDescent="0.25">
      <c r="A6886" s="78">
        <v>46277</v>
      </c>
      <c r="B6886" s="68">
        <v>27</v>
      </c>
      <c r="C6886" s="19" t="s">
        <v>1381</v>
      </c>
      <c r="D6886" s="30">
        <v>1</v>
      </c>
      <c r="E6886" s="30">
        <v>20</v>
      </c>
      <c r="F6886" s="30">
        <f t="shared" si="223"/>
        <v>20</v>
      </c>
      <c r="G6886" s="30" t="s">
        <v>9</v>
      </c>
      <c r="J6886" s="30" t="s">
        <v>392</v>
      </c>
    </row>
    <row r="6887" spans="1:10" x14ac:dyDescent="0.25">
      <c r="A6887" s="78">
        <v>46277</v>
      </c>
      <c r="B6887" s="68">
        <v>28</v>
      </c>
      <c r="C6887" s="19" t="s">
        <v>1419</v>
      </c>
      <c r="D6887" s="30">
        <v>1</v>
      </c>
      <c r="E6887" s="30">
        <v>10</v>
      </c>
      <c r="F6887" s="30">
        <f t="shared" si="223"/>
        <v>10</v>
      </c>
      <c r="G6887" s="30" t="s">
        <v>9</v>
      </c>
      <c r="J6887" s="30" t="s">
        <v>392</v>
      </c>
    </row>
    <row r="6888" spans="1:10" x14ac:dyDescent="0.25">
      <c r="A6888" s="78">
        <v>46277</v>
      </c>
      <c r="B6888" s="68">
        <v>29</v>
      </c>
      <c r="C6888" s="209" t="s">
        <v>1484</v>
      </c>
      <c r="D6888" s="30">
        <v>3</v>
      </c>
      <c r="E6888" s="30">
        <v>10</v>
      </c>
      <c r="F6888" s="30">
        <f t="shared" si="223"/>
        <v>30</v>
      </c>
      <c r="G6888" s="30" t="s">
        <v>9</v>
      </c>
      <c r="J6888" s="30" t="s">
        <v>392</v>
      </c>
    </row>
    <row r="6889" spans="1:10" x14ac:dyDescent="0.25">
      <c r="A6889" s="78">
        <v>46277</v>
      </c>
      <c r="B6889" s="68">
        <v>29</v>
      </c>
      <c r="C6889" s="205" t="s">
        <v>1254</v>
      </c>
      <c r="D6889" s="30">
        <v>1</v>
      </c>
      <c r="E6889" s="30">
        <v>10</v>
      </c>
      <c r="F6889" s="30">
        <f t="shared" si="223"/>
        <v>10</v>
      </c>
      <c r="G6889" s="30" t="s">
        <v>9</v>
      </c>
      <c r="J6889" s="30" t="s">
        <v>392</v>
      </c>
    </row>
    <row r="6890" spans="1:10" x14ac:dyDescent="0.25">
      <c r="A6890" s="78">
        <v>46277</v>
      </c>
      <c r="B6890" s="68">
        <v>29</v>
      </c>
      <c r="C6890" s="205" t="s">
        <v>891</v>
      </c>
      <c r="D6890" s="30">
        <v>10</v>
      </c>
      <c r="E6890" s="30">
        <v>1</v>
      </c>
      <c r="F6890" s="30">
        <f t="shared" si="223"/>
        <v>10</v>
      </c>
      <c r="G6890" s="30" t="s">
        <v>9</v>
      </c>
      <c r="J6890" s="30" t="s">
        <v>392</v>
      </c>
    </row>
    <row r="6891" spans="1:10" x14ac:dyDescent="0.25">
      <c r="A6891" s="78">
        <v>46277</v>
      </c>
      <c r="B6891" s="68">
        <v>29</v>
      </c>
      <c r="C6891" s="19" t="s">
        <v>1449</v>
      </c>
      <c r="D6891" s="30">
        <v>1</v>
      </c>
      <c r="E6891" s="30">
        <v>10</v>
      </c>
      <c r="F6891" s="30">
        <f t="shared" si="223"/>
        <v>10</v>
      </c>
      <c r="G6891" s="30" t="s">
        <v>9</v>
      </c>
      <c r="J6891" s="30" t="s">
        <v>392</v>
      </c>
    </row>
    <row r="6892" spans="1:10" x14ac:dyDescent="0.25">
      <c r="A6892" s="78">
        <v>46277</v>
      </c>
      <c r="B6892" s="68">
        <v>30</v>
      </c>
      <c r="C6892" s="19" t="s">
        <v>1327</v>
      </c>
      <c r="D6892" s="30">
        <v>0.5</v>
      </c>
      <c r="E6892" s="30">
        <v>70</v>
      </c>
      <c r="F6892" s="30">
        <f t="shared" si="223"/>
        <v>35</v>
      </c>
      <c r="G6892" s="30" t="s">
        <v>9</v>
      </c>
      <c r="J6892" s="30" t="s">
        <v>392</v>
      </c>
    </row>
    <row r="6893" spans="1:10" x14ac:dyDescent="0.25">
      <c r="A6893" s="78">
        <v>46277</v>
      </c>
      <c r="B6893" s="68">
        <v>30</v>
      </c>
      <c r="C6893" s="205" t="s">
        <v>1253</v>
      </c>
      <c r="D6893" s="30">
        <v>1</v>
      </c>
      <c r="E6893" s="30">
        <v>5</v>
      </c>
      <c r="F6893" s="30">
        <f t="shared" si="223"/>
        <v>5</v>
      </c>
      <c r="G6893" s="30" t="s">
        <v>9</v>
      </c>
      <c r="J6893" s="30" t="s">
        <v>392</v>
      </c>
    </row>
    <row r="6894" spans="1:10" ht="30" x14ac:dyDescent="0.25">
      <c r="A6894" s="78">
        <v>46277</v>
      </c>
      <c r="B6894" s="68">
        <v>31</v>
      </c>
      <c r="C6894" s="19" t="s">
        <v>1421</v>
      </c>
      <c r="D6894" s="30">
        <v>1</v>
      </c>
      <c r="E6894" s="30">
        <v>200</v>
      </c>
      <c r="F6894" s="30">
        <f t="shared" si="223"/>
        <v>200</v>
      </c>
      <c r="G6894" s="30" t="s">
        <v>16</v>
      </c>
      <c r="I6894" s="68" t="s">
        <v>1226</v>
      </c>
      <c r="J6894" s="30" t="s">
        <v>392</v>
      </c>
    </row>
    <row r="6895" spans="1:10" x14ac:dyDescent="0.25">
      <c r="A6895" s="78">
        <v>46277</v>
      </c>
      <c r="B6895" s="68">
        <v>31</v>
      </c>
      <c r="C6895" s="19" t="s">
        <v>1513</v>
      </c>
      <c r="D6895" s="30">
        <v>4</v>
      </c>
      <c r="E6895" s="30">
        <v>10</v>
      </c>
      <c r="F6895" s="30">
        <f t="shared" si="223"/>
        <v>40</v>
      </c>
      <c r="G6895" s="30" t="s">
        <v>16</v>
      </c>
      <c r="I6895" s="68" t="s">
        <v>1226</v>
      </c>
      <c r="J6895" s="30" t="s">
        <v>392</v>
      </c>
    </row>
    <row r="6896" spans="1:10" x14ac:dyDescent="0.25">
      <c r="A6896" s="78">
        <v>46277</v>
      </c>
      <c r="B6896" s="68">
        <v>31</v>
      </c>
      <c r="C6896" s="19" t="s">
        <v>1496</v>
      </c>
      <c r="D6896" s="30">
        <v>1</v>
      </c>
      <c r="E6896" s="30">
        <v>50</v>
      </c>
      <c r="F6896" s="30">
        <f t="shared" si="223"/>
        <v>50</v>
      </c>
      <c r="G6896" s="30" t="s">
        <v>16</v>
      </c>
      <c r="I6896" s="68" t="s">
        <v>1226</v>
      </c>
      <c r="J6896" s="30" t="s">
        <v>392</v>
      </c>
    </row>
    <row r="6897" spans="1:12" x14ac:dyDescent="0.25">
      <c r="A6897" s="78">
        <v>46277</v>
      </c>
      <c r="B6897" s="68">
        <v>32</v>
      </c>
      <c r="C6897" s="19" t="s">
        <v>1422</v>
      </c>
      <c r="D6897" s="30">
        <v>0.5</v>
      </c>
      <c r="E6897" s="30">
        <v>160</v>
      </c>
      <c r="F6897" s="30">
        <f t="shared" si="223"/>
        <v>80</v>
      </c>
      <c r="G6897" s="30" t="s">
        <v>9</v>
      </c>
      <c r="J6897" s="30" t="s">
        <v>392</v>
      </c>
    </row>
    <row r="6898" spans="1:12" s="199" customFormat="1" ht="31.5" x14ac:dyDescent="0.25">
      <c r="A6898" s="196">
        <v>46277</v>
      </c>
      <c r="B6898" s="197" t="s">
        <v>1248</v>
      </c>
      <c r="C6898" s="198">
        <f>MAX(B6870:B6898)</f>
        <v>32</v>
      </c>
      <c r="D6898" s="197" t="s">
        <v>1249</v>
      </c>
      <c r="E6898" s="199">
        <f>SUMIF(G6870:G6898,"UPI",F6870:F6898)</f>
        <v>0</v>
      </c>
      <c r="H6898" s="200" t="s">
        <v>1251</v>
      </c>
      <c r="I6898" s="200">
        <f>SUMIF(G6870:G6898, "&lt;&gt;UPI",F6870:F6898)</f>
        <v>909.5</v>
      </c>
    </row>
    <row r="6899" spans="1:12" s="5" customFormat="1" ht="15.75" x14ac:dyDescent="0.25">
      <c r="A6899" s="201">
        <v>46277</v>
      </c>
      <c r="B6899" s="2"/>
      <c r="C6899" s="14"/>
      <c r="H6899" s="2" t="s">
        <v>1250</v>
      </c>
      <c r="I6899" s="2">
        <f>SUMIF(G6834:G6898, "&lt;&gt;UPI",F6834:F6898)</f>
        <v>1469.45</v>
      </c>
    </row>
    <row r="6900" spans="1:12" s="202" customFormat="1" ht="18.75" customHeight="1" x14ac:dyDescent="0.3">
      <c r="A6900" s="146">
        <v>46277</v>
      </c>
      <c r="B6900" s="147" t="s">
        <v>987</v>
      </c>
      <c r="C6900" s="148">
        <f>MAX(B6834:B6899)</f>
        <v>32</v>
      </c>
      <c r="D6900" s="147" t="s">
        <v>988</v>
      </c>
      <c r="E6900" s="202">
        <f>SUMIF(G6834:G6898,"UPI",F6834:F6898)</f>
        <v>734</v>
      </c>
      <c r="F6900" s="227" t="s">
        <v>437</v>
      </c>
      <c r="G6900" s="228"/>
      <c r="H6900" s="229"/>
      <c r="I6900" s="227">
        <f>SUM(F6834:F6899)</f>
        <v>2203.4499999999998</v>
      </c>
      <c r="J6900" s="228"/>
      <c r="K6900" s="228"/>
      <c r="L6900" s="229"/>
    </row>
    <row r="6901" spans="1:12" x14ac:dyDescent="0.25">
      <c r="A6901" s="78">
        <v>46278</v>
      </c>
      <c r="B6901" s="68">
        <v>1</v>
      </c>
      <c r="C6901" s="19" t="s">
        <v>1513</v>
      </c>
      <c r="D6901" s="30">
        <v>5</v>
      </c>
      <c r="E6901" s="30">
        <v>8.5</v>
      </c>
      <c r="F6901" s="30">
        <f>E6901*D6901</f>
        <v>42.5</v>
      </c>
      <c r="G6901" s="30" t="s">
        <v>9</v>
      </c>
      <c r="J6901" s="30" t="s">
        <v>391</v>
      </c>
    </row>
    <row r="6902" spans="1:12" x14ac:dyDescent="0.25">
      <c r="A6902" s="78">
        <v>46278</v>
      </c>
      <c r="B6902" s="68">
        <v>2</v>
      </c>
      <c r="C6902" s="19" t="s">
        <v>1377</v>
      </c>
      <c r="D6902" s="30">
        <v>1</v>
      </c>
      <c r="E6902" s="30">
        <v>10</v>
      </c>
      <c r="F6902" s="30">
        <f t="shared" ref="F6902:F6910" si="224">E6902*D6902</f>
        <v>10</v>
      </c>
      <c r="G6902" s="30" t="s">
        <v>9</v>
      </c>
      <c r="J6902" s="30" t="s">
        <v>391</v>
      </c>
    </row>
    <row r="6903" spans="1:12" x14ac:dyDescent="0.25">
      <c r="A6903" s="78">
        <v>46278</v>
      </c>
      <c r="B6903" s="68">
        <v>3</v>
      </c>
      <c r="C6903" s="19" t="s">
        <v>1486</v>
      </c>
      <c r="D6903" s="30">
        <v>1</v>
      </c>
      <c r="E6903" s="30">
        <v>60</v>
      </c>
      <c r="F6903" s="30">
        <f t="shared" si="224"/>
        <v>60</v>
      </c>
      <c r="G6903" s="30" t="s">
        <v>9</v>
      </c>
      <c r="J6903" s="30" t="s">
        <v>391</v>
      </c>
    </row>
    <row r="6904" spans="1:12" x14ac:dyDescent="0.25">
      <c r="A6904" s="78">
        <v>46278</v>
      </c>
      <c r="B6904" s="68">
        <v>4</v>
      </c>
      <c r="C6904" s="204" t="s">
        <v>970</v>
      </c>
      <c r="D6904" s="30">
        <v>1</v>
      </c>
      <c r="E6904" s="30">
        <v>10</v>
      </c>
      <c r="F6904" s="30">
        <f t="shared" si="224"/>
        <v>10</v>
      </c>
      <c r="G6904" s="30" t="s">
        <v>9</v>
      </c>
      <c r="J6904" s="30" t="s">
        <v>391</v>
      </c>
    </row>
    <row r="6905" spans="1:12" x14ac:dyDescent="0.25">
      <c r="A6905" s="78">
        <v>46278</v>
      </c>
      <c r="B6905" s="68">
        <v>5</v>
      </c>
      <c r="C6905" s="19" t="s">
        <v>1478</v>
      </c>
      <c r="D6905" s="30">
        <v>1</v>
      </c>
      <c r="E6905" s="30">
        <v>44</v>
      </c>
      <c r="F6905" s="30">
        <f t="shared" si="224"/>
        <v>44</v>
      </c>
      <c r="G6905" s="30" t="s">
        <v>9</v>
      </c>
      <c r="J6905" s="30" t="s">
        <v>391</v>
      </c>
    </row>
    <row r="6906" spans="1:12" x14ac:dyDescent="0.25">
      <c r="A6906" s="78">
        <v>46278</v>
      </c>
      <c r="B6906" s="68">
        <v>6</v>
      </c>
      <c r="C6906" s="205" t="s">
        <v>591</v>
      </c>
      <c r="D6906" s="30">
        <v>0.5</v>
      </c>
      <c r="E6906" s="30">
        <v>200</v>
      </c>
      <c r="F6906" s="30">
        <f t="shared" si="224"/>
        <v>100</v>
      </c>
      <c r="G6906" s="30" t="s">
        <v>16</v>
      </c>
      <c r="I6906" s="68" t="s">
        <v>663</v>
      </c>
      <c r="J6906" s="30" t="s">
        <v>391</v>
      </c>
    </row>
    <row r="6907" spans="1:12" x14ac:dyDescent="0.25">
      <c r="A6907" s="78">
        <v>46278</v>
      </c>
      <c r="B6907" s="68">
        <v>6</v>
      </c>
      <c r="C6907" s="205" t="s">
        <v>796</v>
      </c>
      <c r="D6907" s="30">
        <v>0.5</v>
      </c>
      <c r="E6907" s="30">
        <v>190</v>
      </c>
      <c r="F6907" s="30">
        <f t="shared" si="224"/>
        <v>95</v>
      </c>
      <c r="G6907" s="30" t="s">
        <v>16</v>
      </c>
      <c r="I6907" s="68" t="s">
        <v>663</v>
      </c>
      <c r="J6907" s="30" t="s">
        <v>391</v>
      </c>
    </row>
    <row r="6908" spans="1:12" x14ac:dyDescent="0.25">
      <c r="A6908" s="78">
        <v>46278</v>
      </c>
      <c r="B6908" s="68">
        <v>6</v>
      </c>
      <c r="C6908" s="19" t="s">
        <v>1383</v>
      </c>
      <c r="D6908" s="30">
        <v>2</v>
      </c>
      <c r="E6908" s="30">
        <v>15</v>
      </c>
      <c r="F6908" s="30">
        <f t="shared" si="224"/>
        <v>30</v>
      </c>
      <c r="G6908" s="30" t="s">
        <v>16</v>
      </c>
      <c r="I6908" s="68" t="s">
        <v>663</v>
      </c>
      <c r="J6908" s="30" t="s">
        <v>391</v>
      </c>
    </row>
    <row r="6909" spans="1:12" x14ac:dyDescent="0.25">
      <c r="A6909" s="78">
        <v>46278</v>
      </c>
      <c r="B6909" s="68">
        <v>7</v>
      </c>
      <c r="C6909" s="205" t="s">
        <v>750</v>
      </c>
      <c r="D6909" s="30">
        <v>1</v>
      </c>
      <c r="E6909" s="30">
        <v>50</v>
      </c>
      <c r="F6909" s="30">
        <f t="shared" si="224"/>
        <v>50</v>
      </c>
      <c r="G6909" s="30" t="s">
        <v>9</v>
      </c>
      <c r="J6909" s="30" t="s">
        <v>391</v>
      </c>
    </row>
    <row r="6910" spans="1:12" x14ac:dyDescent="0.25">
      <c r="A6910" s="78">
        <v>46278</v>
      </c>
      <c r="B6910" s="68">
        <v>8</v>
      </c>
      <c r="C6910" s="205" t="s">
        <v>1198</v>
      </c>
      <c r="D6910" s="30">
        <v>1</v>
      </c>
      <c r="E6910" s="30">
        <v>10</v>
      </c>
      <c r="F6910" s="30">
        <f t="shared" si="224"/>
        <v>10</v>
      </c>
      <c r="G6910" s="30" t="s">
        <v>9</v>
      </c>
      <c r="J6910" s="30" t="s">
        <v>391</v>
      </c>
    </row>
    <row r="6911" spans="1:12" s="199" customFormat="1" ht="31.5" x14ac:dyDescent="0.25">
      <c r="A6911" s="196">
        <v>46278</v>
      </c>
      <c r="B6911" s="197" t="s">
        <v>1245</v>
      </c>
      <c r="C6911" s="198">
        <f>MAX(B6901:B6911)</f>
        <v>8</v>
      </c>
      <c r="D6911" s="197" t="s">
        <v>1246</v>
      </c>
      <c r="E6911" s="199">
        <f>SUMIF(G6901:G6911,"UPI",F6901:F6911)</f>
        <v>0</v>
      </c>
      <c r="H6911" s="200" t="s">
        <v>1247</v>
      </c>
      <c r="I6911" s="200">
        <f>SUMIF(G6901:G6911, "&lt;&gt;UPI",F6901:F6911)</f>
        <v>451.5</v>
      </c>
    </row>
    <row r="6912" spans="1:12" x14ac:dyDescent="0.25">
      <c r="A6912" s="78">
        <v>46278</v>
      </c>
      <c r="B6912" s="68">
        <v>6</v>
      </c>
      <c r="C6912" s="205" t="s">
        <v>1291</v>
      </c>
      <c r="D6912" s="30">
        <v>5</v>
      </c>
      <c r="E6912" s="30">
        <v>65</v>
      </c>
      <c r="F6912" s="30">
        <f>E6912*D6912</f>
        <v>325</v>
      </c>
      <c r="G6912" s="30" t="s">
        <v>16</v>
      </c>
      <c r="I6912" s="68" t="s">
        <v>663</v>
      </c>
      <c r="J6912" s="30" t="s">
        <v>392</v>
      </c>
    </row>
    <row r="6913" spans="1:12" x14ac:dyDescent="0.25">
      <c r="A6913" s="78">
        <v>46278</v>
      </c>
      <c r="B6913" s="68">
        <v>6</v>
      </c>
      <c r="C6913" s="205" t="s">
        <v>720</v>
      </c>
      <c r="D6913" s="30">
        <v>2</v>
      </c>
      <c r="E6913" s="30">
        <v>135</v>
      </c>
      <c r="F6913" s="30">
        <f>E6913*D6913</f>
        <v>270</v>
      </c>
      <c r="G6913" s="30" t="s">
        <v>16</v>
      </c>
      <c r="I6913" s="68" t="s">
        <v>663</v>
      </c>
      <c r="J6913" s="30" t="s">
        <v>392</v>
      </c>
    </row>
    <row r="6914" spans="1:12" x14ac:dyDescent="0.25">
      <c r="A6914" s="78">
        <v>46278</v>
      </c>
      <c r="B6914" s="68">
        <v>6</v>
      </c>
      <c r="C6914" s="19" t="s">
        <v>1513</v>
      </c>
      <c r="D6914" s="30">
        <v>30</v>
      </c>
      <c r="E6914" s="30">
        <v>8.1999999999999993</v>
      </c>
      <c r="F6914" s="30">
        <f>E6914*D6914</f>
        <v>245.99999999999997</v>
      </c>
      <c r="G6914" s="30" t="s">
        <v>16</v>
      </c>
      <c r="I6914" s="68" t="s">
        <v>663</v>
      </c>
      <c r="J6914" s="30" t="s">
        <v>392</v>
      </c>
    </row>
    <row r="6915" spans="1:12" x14ac:dyDescent="0.25">
      <c r="A6915" s="78">
        <v>46278</v>
      </c>
      <c r="J6915" s="30" t="s">
        <v>392</v>
      </c>
    </row>
    <row r="6916" spans="1:12" x14ac:dyDescent="0.25">
      <c r="A6916" s="78">
        <v>46278</v>
      </c>
      <c r="J6916" s="30" t="s">
        <v>392</v>
      </c>
    </row>
    <row r="6917" spans="1:12" x14ac:dyDescent="0.25">
      <c r="A6917" s="78">
        <v>46278</v>
      </c>
      <c r="J6917" s="30" t="s">
        <v>392</v>
      </c>
    </row>
    <row r="6918" spans="1:12" s="199" customFormat="1" ht="31.5" x14ac:dyDescent="0.25">
      <c r="A6918" s="196">
        <v>46278</v>
      </c>
      <c r="B6918" s="197" t="s">
        <v>1248</v>
      </c>
      <c r="C6918" s="198">
        <f>MAX(B6912:B6918)</f>
        <v>6</v>
      </c>
      <c r="D6918" s="197" t="s">
        <v>1249</v>
      </c>
      <c r="E6918" s="199">
        <f>SUMIF(G6912:G6918,"UPI",F6912:F6918)</f>
        <v>0</v>
      </c>
      <c r="H6918" s="200" t="s">
        <v>1251</v>
      </c>
      <c r="I6918" s="200">
        <f>SUMIF(G6912:G6918, "&lt;&gt;UPI",F6912:F6918)</f>
        <v>841</v>
      </c>
    </row>
    <row r="6919" spans="1:12" s="5" customFormat="1" ht="15.75" x14ac:dyDescent="0.25">
      <c r="A6919" s="201">
        <v>46278</v>
      </c>
      <c r="B6919" s="2"/>
      <c r="C6919" s="14"/>
      <c r="H6919" s="2" t="s">
        <v>1250</v>
      </c>
      <c r="I6919" s="2">
        <f>SUMIF(G6901:G6918, "&lt;&gt;UPI",F6901:F6918)</f>
        <v>1292.5</v>
      </c>
    </row>
    <row r="6920" spans="1:12" s="202" customFormat="1" ht="18.75" customHeight="1" x14ac:dyDescent="0.3">
      <c r="A6920" s="146">
        <v>46278</v>
      </c>
      <c r="B6920" s="147" t="s">
        <v>987</v>
      </c>
      <c r="C6920" s="148">
        <f>MAX(B6901:B6919)</f>
        <v>8</v>
      </c>
      <c r="D6920" s="147" t="s">
        <v>988</v>
      </c>
      <c r="E6920" s="202">
        <f>SUMIF(G6901:G6918,"UPI",F6901:F6918)</f>
        <v>0</v>
      </c>
      <c r="F6920" s="227" t="s">
        <v>437</v>
      </c>
      <c r="G6920" s="228"/>
      <c r="H6920" s="229"/>
      <c r="I6920" s="227">
        <f>SUM(F6901:F6919)</f>
        <v>1292.5</v>
      </c>
      <c r="J6920" s="228"/>
      <c r="K6920" s="228"/>
      <c r="L6920" s="229"/>
    </row>
    <row r="6921" spans="1:12" x14ac:dyDescent="0.25">
      <c r="A6921" s="78">
        <v>46279</v>
      </c>
      <c r="B6921" s="68">
        <v>1</v>
      </c>
      <c r="C6921" s="204" t="s">
        <v>1396</v>
      </c>
      <c r="D6921" s="30">
        <v>1</v>
      </c>
      <c r="E6921" s="30">
        <v>10</v>
      </c>
      <c r="F6921" s="30">
        <f>E6921*D6921</f>
        <v>10</v>
      </c>
      <c r="G6921" s="30" t="s">
        <v>9</v>
      </c>
      <c r="J6921" s="30" t="s">
        <v>391</v>
      </c>
    </row>
    <row r="6922" spans="1:12" x14ac:dyDescent="0.25">
      <c r="A6922" s="78">
        <v>46279</v>
      </c>
      <c r="B6922" s="68">
        <v>1</v>
      </c>
      <c r="C6922" s="209" t="s">
        <v>1498</v>
      </c>
      <c r="D6922" s="30">
        <v>2</v>
      </c>
      <c r="E6922" s="30">
        <v>5</v>
      </c>
      <c r="F6922" s="30">
        <f t="shared" ref="F6922:F6951" si="225">E6922*D6922</f>
        <v>10</v>
      </c>
      <c r="G6922" s="30" t="s">
        <v>9</v>
      </c>
      <c r="J6922" s="30" t="s">
        <v>391</v>
      </c>
    </row>
    <row r="6923" spans="1:12" x14ac:dyDescent="0.25">
      <c r="A6923" s="78">
        <v>46279</v>
      </c>
      <c r="B6923" s="68">
        <v>2</v>
      </c>
      <c r="C6923" s="209" t="s">
        <v>1327</v>
      </c>
      <c r="D6923" s="30">
        <v>0.28599999999999998</v>
      </c>
      <c r="E6923" s="30">
        <v>70</v>
      </c>
      <c r="F6923" s="30">
        <f t="shared" si="225"/>
        <v>20.02</v>
      </c>
      <c r="G6923" s="30" t="s">
        <v>9</v>
      </c>
      <c r="J6923" s="30" t="s">
        <v>391</v>
      </c>
    </row>
    <row r="6924" spans="1:12" ht="30" x14ac:dyDescent="0.25">
      <c r="A6924" s="78">
        <v>46279</v>
      </c>
      <c r="B6924" s="68">
        <v>3</v>
      </c>
      <c r="C6924" s="209" t="s">
        <v>1421</v>
      </c>
      <c r="D6924" s="30">
        <v>1</v>
      </c>
      <c r="E6924" s="30">
        <v>200</v>
      </c>
      <c r="F6924" s="30">
        <f t="shared" si="225"/>
        <v>200</v>
      </c>
      <c r="G6924" s="30" t="s">
        <v>9</v>
      </c>
      <c r="J6924" s="30" t="s">
        <v>391</v>
      </c>
    </row>
    <row r="6925" spans="1:12" x14ac:dyDescent="0.25">
      <c r="A6925" s="78">
        <v>46279</v>
      </c>
      <c r="B6925" s="68">
        <v>3</v>
      </c>
      <c r="C6925" s="209" t="s">
        <v>1379</v>
      </c>
      <c r="D6925" s="30">
        <v>1</v>
      </c>
      <c r="E6925" s="30">
        <v>40</v>
      </c>
      <c r="F6925" s="30">
        <f t="shared" si="225"/>
        <v>40</v>
      </c>
      <c r="G6925" s="30" t="s">
        <v>9</v>
      </c>
      <c r="J6925" s="30" t="s">
        <v>391</v>
      </c>
    </row>
    <row r="6926" spans="1:12" x14ac:dyDescent="0.25">
      <c r="A6926" s="78">
        <v>46279</v>
      </c>
      <c r="B6926" s="68">
        <v>4</v>
      </c>
      <c r="C6926" s="209" t="s">
        <v>1378</v>
      </c>
      <c r="D6926" s="30">
        <v>1</v>
      </c>
      <c r="E6926" s="30">
        <v>10</v>
      </c>
      <c r="F6926" s="30">
        <f t="shared" si="225"/>
        <v>10</v>
      </c>
      <c r="G6926" s="30" t="s">
        <v>16</v>
      </c>
      <c r="I6926" s="68" t="s">
        <v>1226</v>
      </c>
      <c r="J6926" s="30" t="s">
        <v>391</v>
      </c>
    </row>
    <row r="6927" spans="1:12" x14ac:dyDescent="0.25">
      <c r="A6927" s="78">
        <v>46279</v>
      </c>
      <c r="B6927" s="68">
        <v>5</v>
      </c>
      <c r="C6927" s="205" t="s">
        <v>1254</v>
      </c>
      <c r="D6927" s="30">
        <v>1</v>
      </c>
      <c r="E6927" s="30">
        <v>10</v>
      </c>
      <c r="F6927" s="30">
        <f t="shared" si="225"/>
        <v>10</v>
      </c>
      <c r="G6927" s="30" t="s">
        <v>9</v>
      </c>
      <c r="J6927" s="30" t="s">
        <v>391</v>
      </c>
    </row>
    <row r="6928" spans="1:12" x14ac:dyDescent="0.25">
      <c r="A6928" s="78">
        <v>46279</v>
      </c>
      <c r="B6928" s="68">
        <v>5</v>
      </c>
      <c r="C6928" s="209" t="s">
        <v>1453</v>
      </c>
      <c r="D6928" s="30">
        <v>1</v>
      </c>
      <c r="E6928" s="30">
        <v>10</v>
      </c>
      <c r="F6928" s="30">
        <f t="shared" si="225"/>
        <v>10</v>
      </c>
      <c r="G6928" s="30" t="s">
        <v>9</v>
      </c>
      <c r="J6928" s="30" t="s">
        <v>391</v>
      </c>
    </row>
    <row r="6929" spans="1:10" x14ac:dyDescent="0.25">
      <c r="A6929" s="78">
        <v>46279</v>
      </c>
      <c r="B6929" s="68">
        <v>6</v>
      </c>
      <c r="C6929" s="209" t="s">
        <v>1513</v>
      </c>
      <c r="D6929" s="30">
        <v>2</v>
      </c>
      <c r="E6929" s="30">
        <v>9</v>
      </c>
      <c r="F6929" s="30">
        <f t="shared" si="225"/>
        <v>18</v>
      </c>
      <c r="G6929" s="30" t="s">
        <v>9</v>
      </c>
      <c r="J6929" s="30" t="s">
        <v>391</v>
      </c>
    </row>
    <row r="6930" spans="1:10" x14ac:dyDescent="0.25">
      <c r="A6930" s="78">
        <v>46279</v>
      </c>
      <c r="B6930" s="68">
        <v>6</v>
      </c>
      <c r="C6930" s="205" t="s">
        <v>951</v>
      </c>
      <c r="D6930" s="30">
        <v>2</v>
      </c>
      <c r="E6930" s="30">
        <v>1</v>
      </c>
      <c r="F6930" s="30">
        <f t="shared" si="225"/>
        <v>2</v>
      </c>
      <c r="G6930" s="30" t="s">
        <v>9</v>
      </c>
      <c r="J6930" s="30" t="s">
        <v>391</v>
      </c>
    </row>
    <row r="6931" spans="1:10" x14ac:dyDescent="0.25">
      <c r="A6931" s="78">
        <v>46279</v>
      </c>
      <c r="B6931" s="68">
        <v>7</v>
      </c>
      <c r="C6931" s="209" t="s">
        <v>1327</v>
      </c>
      <c r="D6931" s="30">
        <v>0.28599999999999998</v>
      </c>
      <c r="E6931" s="30">
        <v>70</v>
      </c>
      <c r="F6931" s="30">
        <f t="shared" si="225"/>
        <v>20.02</v>
      </c>
      <c r="G6931" s="30" t="s">
        <v>9</v>
      </c>
      <c r="J6931" s="30" t="s">
        <v>391</v>
      </c>
    </row>
    <row r="6932" spans="1:10" x14ac:dyDescent="0.25">
      <c r="A6932" s="78">
        <v>46279</v>
      </c>
      <c r="B6932" s="68">
        <v>8</v>
      </c>
      <c r="C6932" s="209" t="s">
        <v>1383</v>
      </c>
      <c r="D6932" s="30">
        <v>2</v>
      </c>
      <c r="E6932" s="30">
        <v>15</v>
      </c>
      <c r="F6932" s="30">
        <f t="shared" si="225"/>
        <v>30</v>
      </c>
      <c r="G6932" s="30" t="s">
        <v>9</v>
      </c>
      <c r="J6932" s="30" t="s">
        <v>391</v>
      </c>
    </row>
    <row r="6933" spans="1:10" x14ac:dyDescent="0.25">
      <c r="A6933" s="78">
        <v>46279</v>
      </c>
      <c r="B6933" s="68">
        <v>9</v>
      </c>
      <c r="C6933" s="209" t="s">
        <v>1379</v>
      </c>
      <c r="D6933" s="30">
        <v>1</v>
      </c>
      <c r="E6933" s="30">
        <v>40</v>
      </c>
      <c r="F6933" s="30">
        <f t="shared" si="225"/>
        <v>40</v>
      </c>
      <c r="G6933" s="30" t="s">
        <v>9</v>
      </c>
      <c r="J6933" s="30" t="s">
        <v>391</v>
      </c>
    </row>
    <row r="6934" spans="1:10" x14ac:dyDescent="0.25">
      <c r="A6934" s="78">
        <v>46279</v>
      </c>
      <c r="B6934" s="68">
        <v>9</v>
      </c>
      <c r="C6934" s="205" t="s">
        <v>1127</v>
      </c>
      <c r="D6934" s="30">
        <v>1</v>
      </c>
      <c r="E6934" s="30">
        <v>10</v>
      </c>
      <c r="F6934" s="30">
        <f t="shared" si="225"/>
        <v>10</v>
      </c>
      <c r="G6934" s="30" t="s">
        <v>9</v>
      </c>
      <c r="J6934" s="30" t="s">
        <v>391</v>
      </c>
    </row>
    <row r="6935" spans="1:10" ht="30" x14ac:dyDescent="0.25">
      <c r="A6935" s="78">
        <v>46279</v>
      </c>
      <c r="B6935" s="68">
        <v>9</v>
      </c>
      <c r="C6935" s="204" t="s">
        <v>377</v>
      </c>
      <c r="D6935" s="30">
        <v>1</v>
      </c>
      <c r="E6935" s="30">
        <v>10</v>
      </c>
      <c r="F6935" s="30">
        <f t="shared" si="225"/>
        <v>10</v>
      </c>
      <c r="G6935" s="30" t="s">
        <v>9</v>
      </c>
      <c r="J6935" s="30" t="s">
        <v>391</v>
      </c>
    </row>
    <row r="6936" spans="1:10" ht="30" x14ac:dyDescent="0.25">
      <c r="A6936" s="78">
        <v>46279</v>
      </c>
      <c r="B6936" s="68">
        <v>9</v>
      </c>
      <c r="C6936" s="204" t="s">
        <v>361</v>
      </c>
      <c r="D6936" s="30">
        <v>1</v>
      </c>
      <c r="E6936" s="30">
        <v>10</v>
      </c>
      <c r="F6936" s="30">
        <f t="shared" si="225"/>
        <v>10</v>
      </c>
      <c r="G6936" s="30" t="s">
        <v>9</v>
      </c>
      <c r="J6936" s="30" t="s">
        <v>391</v>
      </c>
    </row>
    <row r="6937" spans="1:10" x14ac:dyDescent="0.25">
      <c r="A6937" s="78">
        <v>46279</v>
      </c>
      <c r="B6937" s="68">
        <v>10</v>
      </c>
      <c r="C6937" s="209" t="s">
        <v>1445</v>
      </c>
      <c r="D6937" s="30">
        <v>1</v>
      </c>
      <c r="E6937" s="30">
        <v>10</v>
      </c>
      <c r="F6937" s="30">
        <f t="shared" si="225"/>
        <v>10</v>
      </c>
      <c r="G6937" s="30" t="s">
        <v>9</v>
      </c>
      <c r="J6937" s="30" t="s">
        <v>391</v>
      </c>
    </row>
    <row r="6938" spans="1:10" x14ac:dyDescent="0.25">
      <c r="A6938" s="78">
        <v>46279</v>
      </c>
      <c r="B6938" s="68">
        <v>11</v>
      </c>
      <c r="C6938" s="209" t="s">
        <v>1513</v>
      </c>
      <c r="D6938" s="30">
        <v>8</v>
      </c>
      <c r="E6938" s="30">
        <v>8.8000000000000007</v>
      </c>
      <c r="F6938" s="30">
        <f t="shared" si="225"/>
        <v>70.400000000000006</v>
      </c>
      <c r="G6938" s="30" t="s">
        <v>9</v>
      </c>
      <c r="J6938" s="30" t="s">
        <v>391</v>
      </c>
    </row>
    <row r="6939" spans="1:10" ht="30" x14ac:dyDescent="0.25">
      <c r="A6939" s="78">
        <v>46279</v>
      </c>
      <c r="B6939" s="68">
        <v>11</v>
      </c>
      <c r="C6939" s="209" t="s">
        <v>1481</v>
      </c>
      <c r="D6939" s="30">
        <v>1</v>
      </c>
      <c r="E6939" s="30">
        <v>90</v>
      </c>
      <c r="F6939" s="30">
        <f t="shared" si="225"/>
        <v>90</v>
      </c>
      <c r="G6939" s="30" t="s">
        <v>9</v>
      </c>
      <c r="J6939" s="30" t="s">
        <v>391</v>
      </c>
    </row>
    <row r="6940" spans="1:10" x14ac:dyDescent="0.25">
      <c r="A6940" s="78">
        <v>46279</v>
      </c>
      <c r="B6940" s="68">
        <v>11</v>
      </c>
      <c r="C6940" s="205" t="s">
        <v>796</v>
      </c>
      <c r="D6940" s="30">
        <v>0.105</v>
      </c>
      <c r="E6940" s="30">
        <v>190</v>
      </c>
      <c r="F6940" s="30">
        <f t="shared" si="225"/>
        <v>19.95</v>
      </c>
      <c r="G6940" s="30" t="s">
        <v>9</v>
      </c>
      <c r="J6940" s="30" t="s">
        <v>391</v>
      </c>
    </row>
    <row r="6941" spans="1:10" x14ac:dyDescent="0.25">
      <c r="A6941" s="78">
        <v>46279</v>
      </c>
      <c r="B6941" s="68">
        <v>12</v>
      </c>
      <c r="C6941" s="209" t="s">
        <v>1483</v>
      </c>
      <c r="D6941" s="30">
        <v>1</v>
      </c>
      <c r="E6941" s="30">
        <v>50</v>
      </c>
      <c r="F6941" s="30">
        <f t="shared" si="225"/>
        <v>50</v>
      </c>
      <c r="G6941" s="30" t="s">
        <v>10</v>
      </c>
      <c r="J6941" s="30" t="s">
        <v>391</v>
      </c>
    </row>
    <row r="6942" spans="1:10" x14ac:dyDescent="0.25">
      <c r="A6942" s="78">
        <v>46279</v>
      </c>
      <c r="B6942" s="68">
        <v>13</v>
      </c>
      <c r="C6942" s="209" t="s">
        <v>1380</v>
      </c>
      <c r="D6942" s="30">
        <v>1</v>
      </c>
      <c r="E6942" s="30">
        <v>10</v>
      </c>
      <c r="F6942" s="30">
        <f t="shared" si="225"/>
        <v>10</v>
      </c>
      <c r="G6942" s="30" t="s">
        <v>9</v>
      </c>
      <c r="J6942" s="30" t="s">
        <v>391</v>
      </c>
    </row>
    <row r="6943" spans="1:10" x14ac:dyDescent="0.25">
      <c r="A6943" s="78">
        <v>46279</v>
      </c>
      <c r="B6943" s="68">
        <v>13</v>
      </c>
      <c r="C6943" s="209" t="s">
        <v>1484</v>
      </c>
      <c r="D6943" s="30">
        <v>10</v>
      </c>
      <c r="E6943" s="30">
        <v>10</v>
      </c>
      <c r="F6943" s="30">
        <f t="shared" si="225"/>
        <v>100</v>
      </c>
      <c r="G6943" s="30" t="s">
        <v>9</v>
      </c>
      <c r="J6943" s="30" t="s">
        <v>391</v>
      </c>
    </row>
    <row r="6944" spans="1:10" x14ac:dyDescent="0.25">
      <c r="A6944" s="78">
        <v>46279</v>
      </c>
      <c r="B6944" s="68">
        <v>14</v>
      </c>
      <c r="C6944" s="209" t="s">
        <v>1379</v>
      </c>
      <c r="D6944" s="30">
        <v>1</v>
      </c>
      <c r="E6944" s="30">
        <v>40</v>
      </c>
      <c r="F6944" s="30">
        <f t="shared" si="225"/>
        <v>40</v>
      </c>
      <c r="G6944" s="30" t="s">
        <v>10</v>
      </c>
      <c r="J6944" s="30" t="s">
        <v>391</v>
      </c>
    </row>
    <row r="6945" spans="1:10" x14ac:dyDescent="0.25">
      <c r="A6945" s="78">
        <v>46279</v>
      </c>
      <c r="B6945" s="68">
        <v>15</v>
      </c>
      <c r="C6945" s="209" t="s">
        <v>1374</v>
      </c>
      <c r="D6945" s="30">
        <v>1</v>
      </c>
      <c r="E6945" s="30">
        <v>20</v>
      </c>
      <c r="F6945" s="30">
        <f t="shared" si="225"/>
        <v>20</v>
      </c>
      <c r="G6945" s="30" t="s">
        <v>9</v>
      </c>
      <c r="J6945" s="30" t="s">
        <v>391</v>
      </c>
    </row>
    <row r="6946" spans="1:10" x14ac:dyDescent="0.25">
      <c r="A6946" s="78">
        <v>46279</v>
      </c>
      <c r="B6946" s="68">
        <v>16</v>
      </c>
      <c r="C6946" s="209" t="s">
        <v>1383</v>
      </c>
      <c r="D6946" s="30">
        <v>0.5</v>
      </c>
      <c r="E6946" s="30">
        <v>20</v>
      </c>
      <c r="F6946" s="30">
        <f t="shared" si="225"/>
        <v>10</v>
      </c>
      <c r="G6946" s="30" t="s">
        <v>10</v>
      </c>
      <c r="J6946" s="30" t="s">
        <v>391</v>
      </c>
    </row>
    <row r="6947" spans="1:10" x14ac:dyDescent="0.25">
      <c r="A6947" s="78">
        <v>46279</v>
      </c>
      <c r="B6947" s="68">
        <v>16</v>
      </c>
      <c r="C6947" s="205" t="s">
        <v>1103</v>
      </c>
      <c r="D6947" s="30">
        <v>1</v>
      </c>
      <c r="E6947" s="30">
        <v>190</v>
      </c>
      <c r="F6947" s="30">
        <f t="shared" si="225"/>
        <v>190</v>
      </c>
      <c r="G6947" s="30" t="s">
        <v>10</v>
      </c>
      <c r="J6947" s="30" t="s">
        <v>391</v>
      </c>
    </row>
    <row r="6948" spans="1:10" x14ac:dyDescent="0.25">
      <c r="A6948" s="78">
        <v>46279</v>
      </c>
      <c r="B6948" s="68">
        <v>17</v>
      </c>
      <c r="C6948" s="205" t="s">
        <v>533</v>
      </c>
      <c r="D6948" s="30">
        <v>1</v>
      </c>
      <c r="E6948" s="30">
        <v>10</v>
      </c>
      <c r="F6948" s="30">
        <f t="shared" si="225"/>
        <v>10</v>
      </c>
      <c r="G6948" s="30" t="s">
        <v>9</v>
      </c>
      <c r="J6948" s="30" t="s">
        <v>391</v>
      </c>
    </row>
    <row r="6949" spans="1:10" x14ac:dyDescent="0.25">
      <c r="A6949" s="78">
        <v>46279</v>
      </c>
      <c r="B6949" s="68">
        <v>18</v>
      </c>
      <c r="C6949" s="204" t="s">
        <v>876</v>
      </c>
      <c r="D6949" s="30">
        <v>1</v>
      </c>
      <c r="E6949" s="30">
        <v>20</v>
      </c>
      <c r="F6949" s="30">
        <f t="shared" si="225"/>
        <v>20</v>
      </c>
      <c r="G6949" s="30" t="s">
        <v>9</v>
      </c>
      <c r="J6949" s="30" t="s">
        <v>391</v>
      </c>
    </row>
    <row r="6950" spans="1:10" x14ac:dyDescent="0.25">
      <c r="A6950" s="78">
        <v>46279</v>
      </c>
      <c r="B6950" s="68">
        <v>19</v>
      </c>
      <c r="C6950" s="209" t="s">
        <v>1381</v>
      </c>
      <c r="D6950" s="30">
        <v>2</v>
      </c>
      <c r="E6950" s="30">
        <v>20</v>
      </c>
      <c r="F6950" s="30">
        <f t="shared" si="225"/>
        <v>40</v>
      </c>
      <c r="G6950" s="30" t="s">
        <v>10</v>
      </c>
      <c r="J6950" s="30" t="s">
        <v>391</v>
      </c>
    </row>
    <row r="6951" spans="1:10" x14ac:dyDescent="0.25">
      <c r="A6951" s="78">
        <v>46279</v>
      </c>
      <c r="B6951" s="68">
        <v>19</v>
      </c>
      <c r="C6951" s="205" t="s">
        <v>1516</v>
      </c>
      <c r="D6951" s="30">
        <v>2</v>
      </c>
      <c r="E6951" s="30">
        <v>5</v>
      </c>
      <c r="F6951" s="30">
        <f t="shared" si="225"/>
        <v>10</v>
      </c>
      <c r="G6951" s="30" t="s">
        <v>10</v>
      </c>
      <c r="J6951" s="30" t="s">
        <v>391</v>
      </c>
    </row>
    <row r="6952" spans="1:10" s="199" customFormat="1" ht="31.5" x14ac:dyDescent="0.25">
      <c r="A6952" s="196">
        <v>46279</v>
      </c>
      <c r="B6952" s="197" t="s">
        <v>1245</v>
      </c>
      <c r="C6952" s="198">
        <f>MAX(B6921:B6952)</f>
        <v>19</v>
      </c>
      <c r="D6952" s="197" t="s">
        <v>1246</v>
      </c>
      <c r="E6952" s="199">
        <f>SUMIF(G6919:G6952,"UPI",F6919:F6952)</f>
        <v>340</v>
      </c>
      <c r="H6952" s="200" t="s">
        <v>1247</v>
      </c>
      <c r="I6952" s="200">
        <f>SUMIF(G6919:G6952, "&lt;&gt;UPI",F6919:F6952)</f>
        <v>800.39</v>
      </c>
    </row>
    <row r="6953" spans="1:10" ht="30" x14ac:dyDescent="0.25">
      <c r="A6953" s="78">
        <v>46279</v>
      </c>
      <c r="B6953" s="68">
        <v>20</v>
      </c>
      <c r="C6953" s="209" t="s">
        <v>1172</v>
      </c>
      <c r="D6953" s="30">
        <v>1</v>
      </c>
      <c r="E6953" s="30">
        <v>210</v>
      </c>
      <c r="F6953" s="30">
        <f t="shared" ref="F6953:F6987" si="226">E6953*D6953</f>
        <v>210</v>
      </c>
      <c r="G6953" s="30" t="s">
        <v>16</v>
      </c>
      <c r="I6953" s="68" t="s">
        <v>663</v>
      </c>
      <c r="J6953" s="30" t="s">
        <v>392</v>
      </c>
    </row>
    <row r="6954" spans="1:10" x14ac:dyDescent="0.25">
      <c r="A6954" s="78">
        <v>46279</v>
      </c>
      <c r="B6954" s="68">
        <v>20</v>
      </c>
      <c r="C6954" s="209" t="s">
        <v>1478</v>
      </c>
      <c r="D6954" s="30">
        <v>0.5</v>
      </c>
      <c r="E6954" s="30">
        <v>44</v>
      </c>
      <c r="F6954" s="30">
        <f t="shared" si="226"/>
        <v>22</v>
      </c>
      <c r="G6954" s="30" t="s">
        <v>16</v>
      </c>
      <c r="I6954" s="68" t="s">
        <v>663</v>
      </c>
      <c r="J6954" s="30" t="s">
        <v>392</v>
      </c>
    </row>
    <row r="6955" spans="1:10" x14ac:dyDescent="0.25">
      <c r="A6955" s="78">
        <v>46279</v>
      </c>
      <c r="B6955" s="68">
        <v>20</v>
      </c>
      <c r="C6955" s="205" t="s">
        <v>1373</v>
      </c>
      <c r="D6955" s="30">
        <v>0.5</v>
      </c>
      <c r="E6955" s="30">
        <v>150</v>
      </c>
      <c r="F6955" s="30">
        <f t="shared" si="226"/>
        <v>75</v>
      </c>
      <c r="G6955" s="30" t="s">
        <v>16</v>
      </c>
      <c r="I6955" s="68" t="s">
        <v>663</v>
      </c>
      <c r="J6955" s="30" t="s">
        <v>392</v>
      </c>
    </row>
    <row r="6956" spans="1:10" x14ac:dyDescent="0.25">
      <c r="A6956" s="78">
        <v>46279</v>
      </c>
      <c r="B6956" s="68">
        <v>20</v>
      </c>
      <c r="C6956" s="205" t="s">
        <v>1316</v>
      </c>
      <c r="D6956" s="30">
        <v>1</v>
      </c>
      <c r="E6956" s="30">
        <v>10</v>
      </c>
      <c r="F6956" s="30">
        <f t="shared" si="226"/>
        <v>10</v>
      </c>
      <c r="G6956" s="30" t="s">
        <v>9</v>
      </c>
      <c r="I6956" s="68" t="s">
        <v>663</v>
      </c>
      <c r="J6956" s="30" t="s">
        <v>392</v>
      </c>
    </row>
    <row r="6957" spans="1:10" x14ac:dyDescent="0.25">
      <c r="A6957" s="78">
        <v>46279</v>
      </c>
      <c r="B6957" s="68">
        <v>21</v>
      </c>
      <c r="C6957" s="209" t="s">
        <v>1484</v>
      </c>
      <c r="D6957" s="30">
        <v>10</v>
      </c>
      <c r="E6957" s="30">
        <v>10</v>
      </c>
      <c r="F6957" s="30">
        <f t="shared" si="226"/>
        <v>100</v>
      </c>
      <c r="G6957" s="30" t="s">
        <v>9</v>
      </c>
      <c r="J6957" s="30" t="s">
        <v>392</v>
      </c>
    </row>
    <row r="6958" spans="1:10" x14ac:dyDescent="0.25">
      <c r="A6958" s="78">
        <v>46279</v>
      </c>
      <c r="B6958" s="68">
        <v>22</v>
      </c>
      <c r="C6958" s="209" t="s">
        <v>1381</v>
      </c>
      <c r="D6958" s="30">
        <v>1</v>
      </c>
      <c r="E6958" s="30">
        <v>20</v>
      </c>
      <c r="F6958" s="30">
        <f t="shared" si="226"/>
        <v>20</v>
      </c>
      <c r="G6958" s="30" t="s">
        <v>9</v>
      </c>
      <c r="J6958" s="30" t="s">
        <v>392</v>
      </c>
    </row>
    <row r="6959" spans="1:10" x14ac:dyDescent="0.25">
      <c r="A6959" s="78">
        <v>46279</v>
      </c>
      <c r="B6959" s="68">
        <v>22</v>
      </c>
      <c r="C6959" s="205" t="s">
        <v>561</v>
      </c>
      <c r="D6959" s="30">
        <v>3</v>
      </c>
      <c r="E6959" s="30">
        <v>10</v>
      </c>
      <c r="F6959" s="30">
        <f t="shared" si="226"/>
        <v>30</v>
      </c>
      <c r="G6959" s="30" t="s">
        <v>9</v>
      </c>
      <c r="J6959" s="30" t="s">
        <v>392</v>
      </c>
    </row>
    <row r="6960" spans="1:10" x14ac:dyDescent="0.25">
      <c r="A6960" s="78">
        <v>46279</v>
      </c>
      <c r="B6960" s="68">
        <v>22</v>
      </c>
      <c r="C6960" s="209" t="s">
        <v>1447</v>
      </c>
      <c r="D6960" s="30">
        <v>1</v>
      </c>
      <c r="E6960" s="30">
        <v>20</v>
      </c>
      <c r="F6960" s="30">
        <f t="shared" si="226"/>
        <v>20</v>
      </c>
      <c r="G6960" s="30" t="s">
        <v>9</v>
      </c>
      <c r="J6960" s="30" t="s">
        <v>392</v>
      </c>
    </row>
    <row r="6961" spans="1:10" x14ac:dyDescent="0.25">
      <c r="A6961" s="78">
        <v>46279</v>
      </c>
      <c r="B6961" s="68">
        <v>22</v>
      </c>
      <c r="C6961" s="205" t="s">
        <v>1147</v>
      </c>
      <c r="D6961" s="30">
        <v>1</v>
      </c>
      <c r="E6961" s="30">
        <v>10</v>
      </c>
      <c r="F6961" s="30">
        <f t="shared" si="226"/>
        <v>10</v>
      </c>
      <c r="G6961" s="30" t="s">
        <v>9</v>
      </c>
      <c r="J6961" s="30" t="s">
        <v>392</v>
      </c>
    </row>
    <row r="6962" spans="1:10" x14ac:dyDescent="0.25">
      <c r="A6962" s="78">
        <v>46279</v>
      </c>
      <c r="B6962" s="68">
        <v>23</v>
      </c>
      <c r="C6962" s="209" t="s">
        <v>1377</v>
      </c>
      <c r="D6962" s="30">
        <v>2</v>
      </c>
      <c r="E6962" s="30">
        <v>10</v>
      </c>
      <c r="F6962" s="30">
        <f t="shared" si="226"/>
        <v>20</v>
      </c>
      <c r="G6962" s="30" t="s">
        <v>9</v>
      </c>
      <c r="J6962" s="30" t="s">
        <v>392</v>
      </c>
    </row>
    <row r="6963" spans="1:10" ht="30" x14ac:dyDescent="0.25">
      <c r="A6963" s="78">
        <v>46279</v>
      </c>
      <c r="B6963" s="68">
        <v>24</v>
      </c>
      <c r="C6963" s="209" t="s">
        <v>1459</v>
      </c>
      <c r="D6963" s="30">
        <v>2</v>
      </c>
      <c r="E6963" s="30">
        <v>10</v>
      </c>
      <c r="F6963" s="30">
        <f t="shared" si="226"/>
        <v>20</v>
      </c>
      <c r="G6963" s="30" t="s">
        <v>16</v>
      </c>
      <c r="I6963" s="68" t="s">
        <v>1208</v>
      </c>
      <c r="J6963" s="30" t="s">
        <v>392</v>
      </c>
    </row>
    <row r="6964" spans="1:10" ht="30" x14ac:dyDescent="0.25">
      <c r="A6964" s="78">
        <v>46279</v>
      </c>
      <c r="B6964" s="68">
        <v>24</v>
      </c>
      <c r="C6964" s="209" t="s">
        <v>1497</v>
      </c>
      <c r="D6964" s="30">
        <v>1</v>
      </c>
      <c r="E6964" s="30">
        <v>10</v>
      </c>
      <c r="F6964" s="30">
        <f t="shared" si="226"/>
        <v>10</v>
      </c>
      <c r="G6964" s="30" t="s">
        <v>16</v>
      </c>
      <c r="I6964" s="68" t="s">
        <v>1208</v>
      </c>
      <c r="J6964" s="30" t="s">
        <v>392</v>
      </c>
    </row>
    <row r="6965" spans="1:10" x14ac:dyDescent="0.25">
      <c r="A6965" s="78">
        <v>46279</v>
      </c>
      <c r="B6965" s="68">
        <v>25</v>
      </c>
      <c r="C6965" s="209" t="s">
        <v>1426</v>
      </c>
      <c r="D6965" s="30">
        <v>0.19</v>
      </c>
      <c r="E6965" s="30">
        <v>80</v>
      </c>
      <c r="F6965" s="30">
        <f t="shared" si="226"/>
        <v>15.2</v>
      </c>
      <c r="G6965" s="30" t="s">
        <v>9</v>
      </c>
      <c r="J6965" s="30" t="s">
        <v>392</v>
      </c>
    </row>
    <row r="6966" spans="1:10" x14ac:dyDescent="0.25">
      <c r="A6966" s="78">
        <v>46279</v>
      </c>
      <c r="B6966" s="68">
        <v>26</v>
      </c>
      <c r="C6966" s="209" t="s">
        <v>1442</v>
      </c>
      <c r="D6966" s="30">
        <v>1</v>
      </c>
      <c r="E6966" s="30">
        <v>10</v>
      </c>
      <c r="F6966" s="30">
        <f t="shared" si="226"/>
        <v>10</v>
      </c>
      <c r="G6966" s="30" t="s">
        <v>9</v>
      </c>
      <c r="J6966" s="30" t="s">
        <v>392</v>
      </c>
    </row>
    <row r="6967" spans="1:10" x14ac:dyDescent="0.25">
      <c r="A6967" s="78">
        <v>46279</v>
      </c>
      <c r="B6967" s="68">
        <v>27</v>
      </c>
      <c r="C6967" s="209" t="s">
        <v>1483</v>
      </c>
      <c r="D6967" s="30">
        <v>2</v>
      </c>
      <c r="E6967" s="30">
        <v>50</v>
      </c>
      <c r="F6967" s="30">
        <f t="shared" si="226"/>
        <v>100</v>
      </c>
      <c r="G6967" s="30" t="s">
        <v>10</v>
      </c>
      <c r="J6967" s="30" t="s">
        <v>392</v>
      </c>
    </row>
    <row r="6968" spans="1:10" x14ac:dyDescent="0.25">
      <c r="A6968" s="78">
        <v>46279</v>
      </c>
      <c r="B6968" s="68">
        <v>27</v>
      </c>
      <c r="C6968" s="209" t="s">
        <v>1517</v>
      </c>
      <c r="D6968" s="30">
        <v>1</v>
      </c>
      <c r="E6968" s="30">
        <v>80</v>
      </c>
      <c r="F6968" s="30">
        <f t="shared" si="226"/>
        <v>80</v>
      </c>
      <c r="G6968" s="30" t="s">
        <v>10</v>
      </c>
      <c r="J6968" s="30" t="s">
        <v>392</v>
      </c>
    </row>
    <row r="6969" spans="1:10" ht="30" x14ac:dyDescent="0.25">
      <c r="A6969" s="78">
        <v>46279</v>
      </c>
      <c r="B6969" s="68">
        <v>27</v>
      </c>
      <c r="C6969" s="205" t="s">
        <v>1118</v>
      </c>
      <c r="D6969" s="30">
        <v>1</v>
      </c>
      <c r="E6969" s="30">
        <v>95</v>
      </c>
      <c r="F6969" s="30">
        <f t="shared" si="226"/>
        <v>95</v>
      </c>
      <c r="G6969" s="30" t="s">
        <v>10</v>
      </c>
      <c r="J6969" s="30" t="s">
        <v>392</v>
      </c>
    </row>
    <row r="6970" spans="1:10" x14ac:dyDescent="0.25">
      <c r="A6970" s="78">
        <v>46279</v>
      </c>
      <c r="B6970" s="68">
        <v>28</v>
      </c>
      <c r="C6970" s="205" t="s">
        <v>888</v>
      </c>
      <c r="D6970" s="30">
        <v>1</v>
      </c>
      <c r="E6970" s="30">
        <v>40</v>
      </c>
      <c r="F6970" s="30">
        <f t="shared" si="226"/>
        <v>40</v>
      </c>
      <c r="G6970" s="30" t="s">
        <v>9</v>
      </c>
      <c r="J6970" s="30" t="s">
        <v>392</v>
      </c>
    </row>
    <row r="6971" spans="1:10" x14ac:dyDescent="0.25">
      <c r="A6971" s="78">
        <v>46279</v>
      </c>
      <c r="B6971" s="68">
        <v>29</v>
      </c>
      <c r="C6971" s="209" t="s">
        <v>1508</v>
      </c>
      <c r="D6971" s="30">
        <v>1</v>
      </c>
      <c r="E6971" s="30">
        <v>10</v>
      </c>
      <c r="F6971" s="30">
        <f t="shared" si="226"/>
        <v>10</v>
      </c>
      <c r="G6971" s="30" t="s">
        <v>9</v>
      </c>
      <c r="J6971" s="30" t="s">
        <v>392</v>
      </c>
    </row>
    <row r="6972" spans="1:10" x14ac:dyDescent="0.25">
      <c r="A6972" s="78">
        <v>46279</v>
      </c>
      <c r="B6972" s="68">
        <v>29</v>
      </c>
      <c r="C6972" s="209" t="s">
        <v>1513</v>
      </c>
      <c r="D6972" s="30">
        <v>4</v>
      </c>
      <c r="E6972" s="30">
        <v>8.8000000000000007</v>
      </c>
      <c r="F6972" s="30">
        <f t="shared" si="226"/>
        <v>35.200000000000003</v>
      </c>
      <c r="G6972" s="30" t="s">
        <v>9</v>
      </c>
      <c r="J6972" s="30" t="s">
        <v>392</v>
      </c>
    </row>
    <row r="6973" spans="1:10" x14ac:dyDescent="0.25">
      <c r="A6973" s="78">
        <v>46279</v>
      </c>
      <c r="B6973" s="68">
        <v>29</v>
      </c>
      <c r="C6973" s="205" t="s">
        <v>1187</v>
      </c>
      <c r="D6973" s="30">
        <v>1</v>
      </c>
      <c r="E6973" s="30">
        <v>10</v>
      </c>
      <c r="F6973" s="30">
        <f t="shared" si="226"/>
        <v>10</v>
      </c>
      <c r="G6973" s="30" t="s">
        <v>9</v>
      </c>
      <c r="J6973" s="30" t="s">
        <v>392</v>
      </c>
    </row>
    <row r="6974" spans="1:10" x14ac:dyDescent="0.25">
      <c r="A6974" s="78">
        <v>46279</v>
      </c>
      <c r="B6974" s="68">
        <v>30</v>
      </c>
      <c r="C6974" s="204" t="s">
        <v>876</v>
      </c>
      <c r="D6974" s="30">
        <v>1</v>
      </c>
      <c r="E6974" s="30">
        <v>20</v>
      </c>
      <c r="F6974" s="30">
        <f t="shared" si="226"/>
        <v>20</v>
      </c>
      <c r="G6974" s="30" t="s">
        <v>10</v>
      </c>
      <c r="J6974" s="30" t="s">
        <v>392</v>
      </c>
    </row>
    <row r="6975" spans="1:10" x14ac:dyDescent="0.25">
      <c r="A6975" s="78">
        <v>46279</v>
      </c>
      <c r="B6975" s="68">
        <v>30</v>
      </c>
      <c r="C6975" s="209" t="s">
        <v>1513</v>
      </c>
      <c r="D6975" s="30">
        <v>4</v>
      </c>
      <c r="E6975" s="30">
        <v>8.8000000000000007</v>
      </c>
      <c r="F6975" s="30">
        <f t="shared" si="226"/>
        <v>35.200000000000003</v>
      </c>
      <c r="G6975" s="30" t="s">
        <v>10</v>
      </c>
      <c r="J6975" s="30" t="s">
        <v>392</v>
      </c>
    </row>
    <row r="6976" spans="1:10" x14ac:dyDescent="0.25">
      <c r="A6976" s="78">
        <v>46279</v>
      </c>
      <c r="B6976" s="68">
        <v>31</v>
      </c>
      <c r="C6976" s="209" t="s">
        <v>1508</v>
      </c>
      <c r="D6976" s="30">
        <v>1</v>
      </c>
      <c r="E6976" s="30">
        <v>10</v>
      </c>
      <c r="F6976" s="30">
        <f t="shared" si="226"/>
        <v>10</v>
      </c>
      <c r="G6976" s="30" t="s">
        <v>9</v>
      </c>
      <c r="J6976" s="30" t="s">
        <v>392</v>
      </c>
    </row>
    <row r="6977" spans="1:12" x14ac:dyDescent="0.25">
      <c r="A6977" s="78">
        <v>46279</v>
      </c>
      <c r="B6977" s="68">
        <v>32</v>
      </c>
      <c r="C6977" s="209" t="s">
        <v>1473</v>
      </c>
      <c r="D6977" s="30">
        <v>1</v>
      </c>
      <c r="E6977" s="30">
        <v>20</v>
      </c>
      <c r="F6977" s="30">
        <f t="shared" si="226"/>
        <v>20</v>
      </c>
      <c r="G6977" s="30" t="s">
        <v>9</v>
      </c>
      <c r="J6977" s="30" t="s">
        <v>392</v>
      </c>
    </row>
    <row r="6978" spans="1:12" x14ac:dyDescent="0.25">
      <c r="A6978" s="78">
        <v>46279</v>
      </c>
      <c r="B6978" s="68">
        <v>33</v>
      </c>
      <c r="C6978" s="209" t="s">
        <v>1468</v>
      </c>
      <c r="D6978" s="30">
        <v>1</v>
      </c>
      <c r="E6978" s="30">
        <v>10</v>
      </c>
      <c r="F6978" s="30">
        <f t="shared" si="226"/>
        <v>10</v>
      </c>
      <c r="G6978" s="30" t="s">
        <v>9</v>
      </c>
      <c r="J6978" s="30" t="s">
        <v>392</v>
      </c>
    </row>
    <row r="6979" spans="1:12" x14ac:dyDescent="0.25">
      <c r="A6979" s="78">
        <v>46279</v>
      </c>
      <c r="B6979" s="68">
        <v>34</v>
      </c>
      <c r="C6979" s="205" t="s">
        <v>1198</v>
      </c>
      <c r="D6979" s="30">
        <v>1</v>
      </c>
      <c r="E6979" s="30">
        <v>10</v>
      </c>
      <c r="F6979" s="30">
        <f t="shared" si="226"/>
        <v>10</v>
      </c>
      <c r="G6979" s="30" t="s">
        <v>9</v>
      </c>
      <c r="J6979" s="30" t="s">
        <v>392</v>
      </c>
    </row>
    <row r="6980" spans="1:12" x14ac:dyDescent="0.25">
      <c r="A6980" s="78">
        <v>46279</v>
      </c>
      <c r="B6980" s="68">
        <v>35</v>
      </c>
      <c r="C6980" s="209" t="s">
        <v>1442</v>
      </c>
      <c r="D6980" s="30">
        <v>1</v>
      </c>
      <c r="E6980" s="30">
        <v>10</v>
      </c>
      <c r="F6980" s="30">
        <f t="shared" si="226"/>
        <v>10</v>
      </c>
      <c r="G6980" s="30" t="s">
        <v>9</v>
      </c>
      <c r="J6980" s="30" t="s">
        <v>392</v>
      </c>
    </row>
    <row r="6981" spans="1:12" x14ac:dyDescent="0.25">
      <c r="A6981" s="78">
        <v>46279</v>
      </c>
      <c r="B6981" s="68">
        <v>36</v>
      </c>
      <c r="C6981" s="209" t="s">
        <v>1483</v>
      </c>
      <c r="D6981" s="30">
        <v>1</v>
      </c>
      <c r="E6981" s="30">
        <v>50</v>
      </c>
      <c r="F6981" s="30">
        <f t="shared" si="226"/>
        <v>50</v>
      </c>
      <c r="G6981" s="30" t="s">
        <v>9</v>
      </c>
      <c r="J6981" s="30" t="s">
        <v>392</v>
      </c>
    </row>
    <row r="6982" spans="1:12" x14ac:dyDescent="0.25">
      <c r="A6982" s="78">
        <v>46279</v>
      </c>
      <c r="B6982" s="68">
        <v>37</v>
      </c>
      <c r="C6982" s="205" t="s">
        <v>892</v>
      </c>
      <c r="D6982" s="30">
        <v>2</v>
      </c>
      <c r="E6982" s="30">
        <v>10</v>
      </c>
      <c r="F6982" s="30">
        <f t="shared" si="226"/>
        <v>20</v>
      </c>
      <c r="G6982" s="30" t="s">
        <v>16</v>
      </c>
      <c r="I6982" s="68" t="s">
        <v>1046</v>
      </c>
      <c r="J6982" s="30" t="s">
        <v>392</v>
      </c>
    </row>
    <row r="6983" spans="1:12" x14ac:dyDescent="0.25">
      <c r="A6983" s="78">
        <v>46279</v>
      </c>
      <c r="B6983" s="68">
        <v>37</v>
      </c>
      <c r="C6983" s="209" t="s">
        <v>1426</v>
      </c>
      <c r="D6983" s="30">
        <v>0.5</v>
      </c>
      <c r="E6983" s="30">
        <v>80</v>
      </c>
      <c r="F6983" s="30">
        <f t="shared" si="226"/>
        <v>40</v>
      </c>
      <c r="G6983" s="30" t="s">
        <v>16</v>
      </c>
      <c r="I6983" s="68" t="s">
        <v>1046</v>
      </c>
      <c r="J6983" s="30" t="s">
        <v>392</v>
      </c>
    </row>
    <row r="6984" spans="1:12" x14ac:dyDescent="0.25">
      <c r="A6984" s="78">
        <v>46279</v>
      </c>
      <c r="B6984" s="68">
        <v>37</v>
      </c>
      <c r="C6984" s="205" t="s">
        <v>839</v>
      </c>
      <c r="D6984" s="30">
        <v>1</v>
      </c>
      <c r="E6984" s="30">
        <v>50</v>
      </c>
      <c r="F6984" s="30">
        <f t="shared" si="226"/>
        <v>50</v>
      </c>
      <c r="G6984" s="30" t="s">
        <v>16</v>
      </c>
      <c r="I6984" s="68" t="s">
        <v>1046</v>
      </c>
      <c r="J6984" s="30" t="s">
        <v>392</v>
      </c>
    </row>
    <row r="6985" spans="1:12" x14ac:dyDescent="0.25">
      <c r="A6985" s="78">
        <v>46279</v>
      </c>
      <c r="B6985" s="68">
        <v>37</v>
      </c>
      <c r="C6985" s="207" t="s">
        <v>610</v>
      </c>
      <c r="D6985" s="30">
        <v>1</v>
      </c>
      <c r="E6985" s="30">
        <v>5</v>
      </c>
      <c r="F6985" s="30">
        <f t="shared" si="226"/>
        <v>5</v>
      </c>
      <c r="G6985" s="30" t="s">
        <v>16</v>
      </c>
      <c r="I6985" s="68" t="s">
        <v>1046</v>
      </c>
      <c r="J6985" s="30" t="s">
        <v>392</v>
      </c>
    </row>
    <row r="6986" spans="1:12" x14ac:dyDescent="0.25">
      <c r="A6986" s="78">
        <v>46279</v>
      </c>
      <c r="B6986" s="68">
        <v>37</v>
      </c>
      <c r="C6986" s="209" t="s">
        <v>1379</v>
      </c>
      <c r="D6986" s="30">
        <v>1</v>
      </c>
      <c r="E6986" s="30">
        <v>40</v>
      </c>
      <c r="F6986" s="30">
        <f t="shared" si="226"/>
        <v>40</v>
      </c>
      <c r="G6986" s="30" t="s">
        <v>16</v>
      </c>
      <c r="I6986" s="68" t="s">
        <v>1046</v>
      </c>
      <c r="J6986" s="30" t="s">
        <v>392</v>
      </c>
    </row>
    <row r="6987" spans="1:12" x14ac:dyDescent="0.25">
      <c r="A6987" s="78">
        <v>46279</v>
      </c>
      <c r="B6987" s="68">
        <v>37</v>
      </c>
      <c r="C6987" s="205" t="s">
        <v>497</v>
      </c>
      <c r="D6987" s="30">
        <v>1</v>
      </c>
      <c r="E6987" s="30">
        <v>35</v>
      </c>
      <c r="F6987" s="30">
        <f t="shared" si="226"/>
        <v>35</v>
      </c>
      <c r="G6987" s="30" t="s">
        <v>16</v>
      </c>
      <c r="I6987" s="68" t="s">
        <v>1046</v>
      </c>
      <c r="J6987" s="30" t="s">
        <v>392</v>
      </c>
    </row>
    <row r="6988" spans="1:12" s="199" customFormat="1" ht="31.5" x14ac:dyDescent="0.25">
      <c r="A6988" s="196">
        <v>46279</v>
      </c>
      <c r="B6988" s="197" t="s">
        <v>1248</v>
      </c>
      <c r="C6988" s="198">
        <f>MAX(B6953:B6988)</f>
        <v>37</v>
      </c>
      <c r="D6988" s="197" t="s">
        <v>1249</v>
      </c>
      <c r="E6988" s="199">
        <f>SUMIF(G6953:G6988,"UPI",F6953:F6988)</f>
        <v>330.2</v>
      </c>
      <c r="H6988" s="200" t="s">
        <v>1251</v>
      </c>
      <c r="I6988" s="200">
        <f>SUMIF(G6953:G6988, "&lt;&gt;UPI",F6953:F6988)</f>
        <v>967.40000000000009</v>
      </c>
    </row>
    <row r="6989" spans="1:12" s="5" customFormat="1" ht="15.75" x14ac:dyDescent="0.25">
      <c r="A6989" s="201">
        <v>46279</v>
      </c>
      <c r="B6989" s="2"/>
      <c r="C6989" s="14"/>
      <c r="H6989" s="2" t="s">
        <v>1250</v>
      </c>
      <c r="I6989" s="2">
        <f>SUMIF(G6919:G6988, "&lt;&gt;UPI",F6919:F6988)</f>
        <v>1767.79</v>
      </c>
    </row>
    <row r="6990" spans="1:12" s="202" customFormat="1" ht="18.75" customHeight="1" x14ac:dyDescent="0.3">
      <c r="A6990" s="146">
        <v>46279</v>
      </c>
      <c r="B6990" s="147" t="s">
        <v>987</v>
      </c>
      <c r="C6990" s="148">
        <f>MAX(B6919:B6989)</f>
        <v>37</v>
      </c>
      <c r="D6990" s="147" t="s">
        <v>988</v>
      </c>
      <c r="E6990" s="202">
        <f>SUMIF(G6919:G6988,"UPI",F6919:F6988)</f>
        <v>670.2</v>
      </c>
      <c r="F6990" s="227" t="s">
        <v>437</v>
      </c>
      <c r="G6990" s="228"/>
      <c r="H6990" s="229"/>
      <c r="I6990" s="227">
        <f>SUM(F6919:F6989)</f>
        <v>2437.9899999999998</v>
      </c>
      <c r="J6990" s="228"/>
      <c r="K6990" s="228"/>
      <c r="L6990" s="229"/>
    </row>
    <row r="6991" spans="1:12" x14ac:dyDescent="0.25">
      <c r="A6991" s="78">
        <v>46280</v>
      </c>
      <c r="B6991" s="68">
        <v>1</v>
      </c>
      <c r="C6991" s="209" t="s">
        <v>1508</v>
      </c>
      <c r="D6991" s="30">
        <v>1</v>
      </c>
      <c r="E6991" s="30">
        <v>10</v>
      </c>
      <c r="F6991" s="30">
        <f>E6991*D6991</f>
        <v>10</v>
      </c>
      <c r="G6991" s="30" t="s">
        <v>10</v>
      </c>
      <c r="J6991" s="30" t="s">
        <v>391</v>
      </c>
    </row>
    <row r="6992" spans="1:12" ht="30" x14ac:dyDescent="0.25">
      <c r="A6992" s="78">
        <v>46280</v>
      </c>
      <c r="B6992" s="68">
        <v>2</v>
      </c>
      <c r="C6992" s="209" t="s">
        <v>1421</v>
      </c>
      <c r="D6992" s="30">
        <v>1</v>
      </c>
      <c r="E6992" s="30">
        <v>200</v>
      </c>
      <c r="F6992" s="30">
        <f t="shared" ref="F6992:F7014" si="227">E6992*D6992</f>
        <v>200</v>
      </c>
      <c r="G6992" s="30" t="s">
        <v>9</v>
      </c>
      <c r="J6992" s="30" t="s">
        <v>391</v>
      </c>
    </row>
    <row r="6993" spans="1:10" ht="30" x14ac:dyDescent="0.25">
      <c r="A6993" s="78">
        <v>46280</v>
      </c>
      <c r="B6993" s="68">
        <v>3</v>
      </c>
      <c r="C6993" s="209" t="s">
        <v>1421</v>
      </c>
      <c r="D6993" s="30">
        <v>1</v>
      </c>
      <c r="E6993" s="30">
        <v>200</v>
      </c>
      <c r="F6993" s="30">
        <f t="shared" si="227"/>
        <v>200</v>
      </c>
      <c r="G6993" s="30" t="s">
        <v>9</v>
      </c>
      <c r="J6993" s="30" t="s">
        <v>391</v>
      </c>
    </row>
    <row r="6994" spans="1:10" x14ac:dyDescent="0.25">
      <c r="A6994" s="78">
        <v>46280</v>
      </c>
      <c r="B6994" s="68">
        <v>3</v>
      </c>
      <c r="C6994" s="205" t="s">
        <v>796</v>
      </c>
      <c r="D6994" s="30">
        <v>1</v>
      </c>
      <c r="E6994" s="30">
        <v>190</v>
      </c>
      <c r="F6994" s="30">
        <f t="shared" si="227"/>
        <v>190</v>
      </c>
      <c r="G6994" s="30" t="s">
        <v>9</v>
      </c>
      <c r="J6994" s="30" t="s">
        <v>391</v>
      </c>
    </row>
    <row r="6995" spans="1:10" ht="30" x14ac:dyDescent="0.25">
      <c r="A6995" s="78">
        <v>46280</v>
      </c>
      <c r="B6995" s="68">
        <v>3</v>
      </c>
      <c r="C6995" s="205" t="s">
        <v>1485</v>
      </c>
      <c r="D6995" s="30">
        <v>1</v>
      </c>
      <c r="E6995" s="30">
        <v>100</v>
      </c>
      <c r="F6995" s="30">
        <f t="shared" si="227"/>
        <v>100</v>
      </c>
      <c r="G6995" s="30" t="s">
        <v>9</v>
      </c>
      <c r="J6995" s="30" t="s">
        <v>391</v>
      </c>
    </row>
    <row r="6996" spans="1:10" x14ac:dyDescent="0.25">
      <c r="A6996" s="78">
        <v>46280</v>
      </c>
      <c r="B6996" s="68">
        <v>4</v>
      </c>
      <c r="C6996" s="209" t="s">
        <v>1508</v>
      </c>
      <c r="D6996" s="30">
        <v>3</v>
      </c>
      <c r="E6996" s="30">
        <v>10</v>
      </c>
      <c r="F6996" s="30">
        <f t="shared" si="227"/>
        <v>30</v>
      </c>
      <c r="G6996" s="30" t="s">
        <v>9</v>
      </c>
      <c r="J6996" s="30" t="s">
        <v>391</v>
      </c>
    </row>
    <row r="6997" spans="1:10" x14ac:dyDescent="0.25">
      <c r="A6997" s="78">
        <v>46280</v>
      </c>
      <c r="B6997" s="68">
        <v>5</v>
      </c>
      <c r="C6997" s="209" t="s">
        <v>1467</v>
      </c>
      <c r="D6997" s="30">
        <v>2</v>
      </c>
      <c r="E6997" s="30">
        <v>20</v>
      </c>
      <c r="F6997" s="30">
        <f t="shared" si="227"/>
        <v>40</v>
      </c>
      <c r="G6997" s="30" t="s">
        <v>9</v>
      </c>
      <c r="J6997" s="30" t="s">
        <v>391</v>
      </c>
    </row>
    <row r="6998" spans="1:10" x14ac:dyDescent="0.25">
      <c r="A6998" s="78">
        <v>46280</v>
      </c>
      <c r="B6998" s="68">
        <v>6</v>
      </c>
      <c r="C6998" s="209" t="s">
        <v>1448</v>
      </c>
      <c r="D6998" s="30">
        <v>1</v>
      </c>
      <c r="E6998" s="30">
        <v>10</v>
      </c>
      <c r="F6998" s="30">
        <f t="shared" si="227"/>
        <v>10</v>
      </c>
      <c r="G6998" s="30" t="s">
        <v>9</v>
      </c>
      <c r="J6998" s="30" t="s">
        <v>391</v>
      </c>
    </row>
    <row r="6999" spans="1:10" x14ac:dyDescent="0.25">
      <c r="A6999" s="78">
        <v>46280</v>
      </c>
      <c r="B6999" s="68">
        <v>7</v>
      </c>
      <c r="C6999" s="209" t="s">
        <v>1399</v>
      </c>
      <c r="D6999" s="30">
        <v>1</v>
      </c>
      <c r="E6999" s="30">
        <v>40</v>
      </c>
      <c r="F6999" s="30">
        <f t="shared" si="227"/>
        <v>40</v>
      </c>
      <c r="G6999" s="30" t="s">
        <v>9</v>
      </c>
      <c r="J6999" s="30" t="s">
        <v>391</v>
      </c>
    </row>
    <row r="7000" spans="1:10" x14ac:dyDescent="0.25">
      <c r="A7000" s="78">
        <v>46280</v>
      </c>
      <c r="B7000" s="68">
        <v>8</v>
      </c>
      <c r="C7000" s="209" t="s">
        <v>1327</v>
      </c>
      <c r="D7000" s="30">
        <v>0.5</v>
      </c>
      <c r="E7000" s="30">
        <v>70</v>
      </c>
      <c r="F7000" s="30">
        <f t="shared" si="227"/>
        <v>35</v>
      </c>
      <c r="G7000" s="30" t="s">
        <v>9</v>
      </c>
      <c r="J7000" s="30" t="s">
        <v>391</v>
      </c>
    </row>
    <row r="7001" spans="1:10" x14ac:dyDescent="0.25">
      <c r="A7001" s="78">
        <v>46280</v>
      </c>
      <c r="B7001" s="68">
        <v>8</v>
      </c>
      <c r="C7001" s="205" t="s">
        <v>764</v>
      </c>
      <c r="D7001" s="30">
        <v>1</v>
      </c>
      <c r="E7001" s="30">
        <v>5</v>
      </c>
      <c r="F7001" s="30">
        <f t="shared" si="227"/>
        <v>5</v>
      </c>
      <c r="G7001" s="30" t="s">
        <v>9</v>
      </c>
      <c r="J7001" s="30" t="s">
        <v>391</v>
      </c>
    </row>
    <row r="7002" spans="1:10" x14ac:dyDescent="0.25">
      <c r="A7002" s="78">
        <v>46280</v>
      </c>
      <c r="B7002" s="68">
        <v>9</v>
      </c>
      <c r="C7002" s="209" t="s">
        <v>1486</v>
      </c>
      <c r="D7002" s="30">
        <v>1</v>
      </c>
      <c r="E7002" s="30">
        <v>60</v>
      </c>
      <c r="F7002" s="30">
        <f t="shared" si="227"/>
        <v>60</v>
      </c>
      <c r="G7002" s="30" t="s">
        <v>9</v>
      </c>
      <c r="J7002" s="30" t="s">
        <v>391</v>
      </c>
    </row>
    <row r="7003" spans="1:10" x14ac:dyDescent="0.25">
      <c r="A7003" s="78">
        <v>46280</v>
      </c>
      <c r="B7003" s="68">
        <v>9</v>
      </c>
      <c r="C7003" s="209" t="s">
        <v>1392</v>
      </c>
      <c r="D7003" s="30">
        <v>1</v>
      </c>
      <c r="E7003" s="30">
        <v>10</v>
      </c>
      <c r="F7003" s="30">
        <f t="shared" si="227"/>
        <v>10</v>
      </c>
      <c r="G7003" s="30" t="s">
        <v>9</v>
      </c>
      <c r="J7003" s="30" t="s">
        <v>391</v>
      </c>
    </row>
    <row r="7004" spans="1:10" x14ac:dyDescent="0.25">
      <c r="A7004" s="78">
        <v>46280</v>
      </c>
      <c r="B7004" s="68">
        <v>10</v>
      </c>
      <c r="C7004" s="205" t="s">
        <v>1198</v>
      </c>
      <c r="D7004" s="30">
        <v>1</v>
      </c>
      <c r="E7004" s="30">
        <v>10</v>
      </c>
      <c r="F7004" s="30">
        <f t="shared" si="227"/>
        <v>10</v>
      </c>
      <c r="G7004" s="30" t="s">
        <v>9</v>
      </c>
      <c r="J7004" s="30" t="s">
        <v>391</v>
      </c>
    </row>
    <row r="7005" spans="1:10" x14ac:dyDescent="0.25">
      <c r="A7005" s="78">
        <v>46280</v>
      </c>
      <c r="B7005" s="68">
        <v>11</v>
      </c>
      <c r="C7005" s="209" t="s">
        <v>1448</v>
      </c>
      <c r="D7005" s="30">
        <v>5</v>
      </c>
      <c r="E7005" s="30">
        <v>10</v>
      </c>
      <c r="F7005" s="30">
        <f t="shared" si="227"/>
        <v>50</v>
      </c>
      <c r="G7005" s="30" t="s">
        <v>10</v>
      </c>
      <c r="J7005" s="30" t="s">
        <v>391</v>
      </c>
    </row>
    <row r="7006" spans="1:10" x14ac:dyDescent="0.25">
      <c r="A7006" s="78">
        <v>46280</v>
      </c>
      <c r="B7006" s="68">
        <v>11</v>
      </c>
      <c r="C7006" s="209" t="s">
        <v>1502</v>
      </c>
      <c r="D7006" s="30">
        <v>1</v>
      </c>
      <c r="E7006" s="30">
        <v>10</v>
      </c>
      <c r="F7006" s="30">
        <f t="shared" si="227"/>
        <v>10</v>
      </c>
      <c r="G7006" s="30" t="s">
        <v>10</v>
      </c>
      <c r="J7006" s="30" t="s">
        <v>391</v>
      </c>
    </row>
    <row r="7007" spans="1:10" x14ac:dyDescent="0.25">
      <c r="A7007" s="78">
        <v>46280</v>
      </c>
      <c r="B7007" s="68">
        <v>12</v>
      </c>
      <c r="C7007" s="209" t="s">
        <v>1447</v>
      </c>
      <c r="D7007" s="30">
        <v>2</v>
      </c>
      <c r="E7007" s="30">
        <v>20</v>
      </c>
      <c r="F7007" s="30">
        <f t="shared" si="227"/>
        <v>40</v>
      </c>
      <c r="G7007" s="30" t="s">
        <v>9</v>
      </c>
      <c r="J7007" s="30" t="s">
        <v>391</v>
      </c>
    </row>
    <row r="7008" spans="1:10" ht="30" x14ac:dyDescent="0.25">
      <c r="A7008" s="78">
        <v>46280</v>
      </c>
      <c r="B7008" s="68">
        <v>13</v>
      </c>
      <c r="C7008" s="209" t="s">
        <v>1466</v>
      </c>
      <c r="D7008" s="30">
        <v>1</v>
      </c>
      <c r="E7008" s="30">
        <v>80</v>
      </c>
      <c r="F7008" s="30">
        <f t="shared" si="227"/>
        <v>80</v>
      </c>
      <c r="G7008" s="30" t="s">
        <v>10</v>
      </c>
      <c r="J7008" s="30" t="s">
        <v>391</v>
      </c>
    </row>
    <row r="7009" spans="1:10" ht="30" x14ac:dyDescent="0.25">
      <c r="A7009" s="78">
        <v>46280</v>
      </c>
      <c r="B7009" s="68">
        <v>13</v>
      </c>
      <c r="C7009" s="209" t="s">
        <v>1497</v>
      </c>
      <c r="D7009" s="30">
        <v>1</v>
      </c>
      <c r="E7009" s="30">
        <v>10</v>
      </c>
      <c r="F7009" s="30">
        <f t="shared" si="227"/>
        <v>10</v>
      </c>
      <c r="G7009" s="30" t="s">
        <v>10</v>
      </c>
      <c r="J7009" s="30" t="s">
        <v>391</v>
      </c>
    </row>
    <row r="7010" spans="1:10" ht="30" x14ac:dyDescent="0.25">
      <c r="A7010" s="78">
        <v>46280</v>
      </c>
      <c r="B7010" s="68">
        <v>13</v>
      </c>
      <c r="C7010" s="209" t="s">
        <v>1459</v>
      </c>
      <c r="D7010" s="30">
        <v>1</v>
      </c>
      <c r="E7010" s="30">
        <v>10</v>
      </c>
      <c r="F7010" s="30">
        <f t="shared" si="227"/>
        <v>10</v>
      </c>
      <c r="G7010" s="30" t="s">
        <v>10</v>
      </c>
      <c r="J7010" s="30" t="s">
        <v>391</v>
      </c>
    </row>
    <row r="7011" spans="1:10" x14ac:dyDescent="0.25">
      <c r="A7011" s="78">
        <v>46280</v>
      </c>
      <c r="B7011" s="68">
        <v>14</v>
      </c>
      <c r="C7011" s="204" t="s">
        <v>1396</v>
      </c>
      <c r="D7011" s="30">
        <v>2</v>
      </c>
      <c r="E7011" s="30">
        <v>10</v>
      </c>
      <c r="F7011" s="30">
        <f t="shared" si="227"/>
        <v>20</v>
      </c>
      <c r="G7011" s="30" t="s">
        <v>10</v>
      </c>
      <c r="J7011" s="30" t="s">
        <v>391</v>
      </c>
    </row>
    <row r="7012" spans="1:10" x14ac:dyDescent="0.25">
      <c r="A7012" s="78">
        <v>46280</v>
      </c>
      <c r="B7012" s="68">
        <v>15</v>
      </c>
      <c r="C7012" s="209" t="s">
        <v>1468</v>
      </c>
      <c r="D7012" s="30">
        <v>2</v>
      </c>
      <c r="E7012" s="30">
        <v>10</v>
      </c>
      <c r="F7012" s="30">
        <f t="shared" si="227"/>
        <v>20</v>
      </c>
      <c r="G7012" s="30" t="s">
        <v>10</v>
      </c>
      <c r="J7012" s="30" t="s">
        <v>391</v>
      </c>
    </row>
    <row r="7013" spans="1:10" x14ac:dyDescent="0.25">
      <c r="A7013" s="78">
        <v>46280</v>
      </c>
      <c r="B7013" s="68">
        <v>16</v>
      </c>
      <c r="C7013" s="209" t="s">
        <v>1486</v>
      </c>
      <c r="D7013" s="30">
        <v>1</v>
      </c>
      <c r="E7013" s="30">
        <v>60</v>
      </c>
      <c r="F7013" s="30">
        <f t="shared" si="227"/>
        <v>60</v>
      </c>
      <c r="G7013" s="30" t="s">
        <v>16</v>
      </c>
      <c r="I7013" s="68" t="s">
        <v>663</v>
      </c>
      <c r="J7013" s="30" t="s">
        <v>391</v>
      </c>
    </row>
    <row r="7014" spans="1:10" x14ac:dyDescent="0.25">
      <c r="A7014" s="78">
        <v>46280</v>
      </c>
      <c r="B7014" s="68">
        <v>16</v>
      </c>
      <c r="C7014" s="209" t="s">
        <v>1426</v>
      </c>
      <c r="D7014" s="30">
        <v>0.5</v>
      </c>
      <c r="E7014" s="30">
        <v>80</v>
      </c>
      <c r="F7014" s="30">
        <f t="shared" si="227"/>
        <v>40</v>
      </c>
      <c r="G7014" s="30" t="s">
        <v>16</v>
      </c>
      <c r="I7014" s="68" t="s">
        <v>663</v>
      </c>
      <c r="J7014" s="30" t="s">
        <v>391</v>
      </c>
    </row>
    <row r="7015" spans="1:10" s="199" customFormat="1" ht="31.5" x14ac:dyDescent="0.25">
      <c r="A7015" s="196">
        <v>46280</v>
      </c>
      <c r="B7015" s="197" t="s">
        <v>1245</v>
      </c>
      <c r="C7015" s="198">
        <f>MAX(B6991:B7015)</f>
        <v>16</v>
      </c>
      <c r="D7015" s="197" t="s">
        <v>1246</v>
      </c>
      <c r="E7015" s="199">
        <f>SUMIF(G6991:G7015,"UPI",F6991:F7015)</f>
        <v>210</v>
      </c>
      <c r="H7015" s="200" t="s">
        <v>1247</v>
      </c>
      <c r="I7015" s="200">
        <f>SUMIF(G6991:G7015, "&lt;&gt;UPI",F6991:F7015)</f>
        <v>1070</v>
      </c>
    </row>
    <row r="7016" spans="1:10" x14ac:dyDescent="0.25">
      <c r="A7016" s="78">
        <v>46280</v>
      </c>
      <c r="B7016" s="68">
        <v>17</v>
      </c>
      <c r="C7016" s="209" t="s">
        <v>1380</v>
      </c>
      <c r="D7016" s="30">
        <v>2</v>
      </c>
      <c r="E7016" s="30">
        <v>10</v>
      </c>
      <c r="F7016" s="30">
        <f t="shared" ref="F7016:F7050" si="228">E7016*D7016</f>
        <v>20</v>
      </c>
      <c r="G7016" s="30" t="s">
        <v>10</v>
      </c>
      <c r="J7016" s="30" t="s">
        <v>392</v>
      </c>
    </row>
    <row r="7017" spans="1:10" ht="30" x14ac:dyDescent="0.25">
      <c r="A7017" s="78">
        <v>46280</v>
      </c>
      <c r="B7017" s="68">
        <v>18</v>
      </c>
      <c r="C7017" s="205" t="s">
        <v>1118</v>
      </c>
      <c r="D7017" s="30">
        <v>1</v>
      </c>
      <c r="E7017" s="30">
        <v>90</v>
      </c>
      <c r="F7017" s="30">
        <f t="shared" si="228"/>
        <v>90</v>
      </c>
      <c r="G7017" s="30" t="s">
        <v>10</v>
      </c>
      <c r="J7017" s="30" t="s">
        <v>392</v>
      </c>
    </row>
    <row r="7018" spans="1:10" x14ac:dyDescent="0.25">
      <c r="A7018" s="78">
        <v>46280</v>
      </c>
      <c r="B7018" s="68">
        <v>18</v>
      </c>
      <c r="C7018" s="209" t="s">
        <v>1513</v>
      </c>
      <c r="D7018" s="30">
        <v>4</v>
      </c>
      <c r="E7018" s="30">
        <v>8.8000000000000007</v>
      </c>
      <c r="F7018" s="30">
        <f t="shared" si="228"/>
        <v>35.200000000000003</v>
      </c>
      <c r="G7018" s="30" t="s">
        <v>10</v>
      </c>
      <c r="J7018" s="30" t="s">
        <v>392</v>
      </c>
    </row>
    <row r="7019" spans="1:10" x14ac:dyDescent="0.25">
      <c r="A7019" s="78">
        <v>46280</v>
      </c>
      <c r="B7019" s="68">
        <v>19</v>
      </c>
      <c r="C7019" s="209" t="s">
        <v>1377</v>
      </c>
      <c r="D7019" s="30">
        <v>1</v>
      </c>
      <c r="E7019" s="30">
        <v>10</v>
      </c>
      <c r="F7019" s="30">
        <f t="shared" si="228"/>
        <v>10</v>
      </c>
      <c r="G7019" s="30" t="s">
        <v>9</v>
      </c>
      <c r="J7019" s="30" t="s">
        <v>392</v>
      </c>
    </row>
    <row r="7020" spans="1:10" x14ac:dyDescent="0.25">
      <c r="A7020" s="78">
        <v>46280</v>
      </c>
      <c r="B7020" s="68">
        <v>20</v>
      </c>
      <c r="C7020" s="209" t="s">
        <v>1513</v>
      </c>
      <c r="D7020" s="30">
        <v>30</v>
      </c>
      <c r="E7020" s="30">
        <v>8.3000000000000007</v>
      </c>
      <c r="F7020" s="30">
        <f t="shared" si="228"/>
        <v>249.00000000000003</v>
      </c>
      <c r="G7020" s="30" t="s">
        <v>10</v>
      </c>
      <c r="J7020" s="30" t="s">
        <v>392</v>
      </c>
    </row>
    <row r="7021" spans="1:10" x14ac:dyDescent="0.25">
      <c r="A7021" s="78">
        <v>46280</v>
      </c>
      <c r="B7021" s="68">
        <v>20</v>
      </c>
      <c r="C7021" s="205" t="s">
        <v>1198</v>
      </c>
      <c r="D7021" s="30">
        <v>1</v>
      </c>
      <c r="E7021" s="30">
        <v>10</v>
      </c>
      <c r="F7021" s="30">
        <f t="shared" si="228"/>
        <v>10</v>
      </c>
      <c r="G7021" s="30" t="s">
        <v>10</v>
      </c>
      <c r="J7021" s="30" t="s">
        <v>392</v>
      </c>
    </row>
    <row r="7022" spans="1:10" x14ac:dyDescent="0.25">
      <c r="A7022" s="78">
        <v>46280</v>
      </c>
      <c r="B7022" s="68">
        <v>20</v>
      </c>
      <c r="C7022" s="205" t="s">
        <v>525</v>
      </c>
      <c r="D7022" s="30">
        <v>1</v>
      </c>
      <c r="E7022" s="30">
        <v>29</v>
      </c>
      <c r="F7022" s="30">
        <f t="shared" si="228"/>
        <v>29</v>
      </c>
      <c r="G7022" s="30" t="s">
        <v>10</v>
      </c>
      <c r="J7022" s="30" t="s">
        <v>392</v>
      </c>
    </row>
    <row r="7023" spans="1:10" x14ac:dyDescent="0.25">
      <c r="A7023" s="78">
        <v>46280</v>
      </c>
      <c r="B7023" s="68">
        <v>20</v>
      </c>
      <c r="C7023" s="209" t="s">
        <v>1327</v>
      </c>
      <c r="D7023" s="30">
        <v>0.19</v>
      </c>
      <c r="E7023" s="30">
        <v>70</v>
      </c>
      <c r="F7023" s="30">
        <f t="shared" si="228"/>
        <v>13.3</v>
      </c>
      <c r="G7023" s="30" t="s">
        <v>10</v>
      </c>
      <c r="J7023" s="30" t="s">
        <v>392</v>
      </c>
    </row>
    <row r="7024" spans="1:10" ht="30" x14ac:dyDescent="0.25">
      <c r="A7024" s="78">
        <v>46280</v>
      </c>
      <c r="B7024" s="68">
        <v>21</v>
      </c>
      <c r="C7024" s="204" t="s">
        <v>377</v>
      </c>
      <c r="D7024" s="30">
        <v>1</v>
      </c>
      <c r="E7024" s="30">
        <v>10</v>
      </c>
      <c r="F7024" s="30">
        <f t="shared" si="228"/>
        <v>10</v>
      </c>
      <c r="G7024" s="30" t="s">
        <v>9</v>
      </c>
      <c r="J7024" s="30" t="s">
        <v>392</v>
      </c>
    </row>
    <row r="7025" spans="1:10" x14ac:dyDescent="0.25">
      <c r="A7025" s="78">
        <v>46280</v>
      </c>
      <c r="B7025" s="68">
        <v>21</v>
      </c>
      <c r="C7025" s="205" t="s">
        <v>892</v>
      </c>
      <c r="D7025" s="30">
        <v>1</v>
      </c>
      <c r="E7025" s="30">
        <v>10</v>
      </c>
      <c r="F7025" s="30">
        <f t="shared" si="228"/>
        <v>10</v>
      </c>
      <c r="G7025" s="30" t="s">
        <v>9</v>
      </c>
      <c r="J7025" s="30" t="s">
        <v>392</v>
      </c>
    </row>
    <row r="7026" spans="1:10" x14ac:dyDescent="0.25">
      <c r="A7026" s="78">
        <v>46280</v>
      </c>
      <c r="B7026" s="68">
        <v>22</v>
      </c>
      <c r="C7026" s="205" t="s">
        <v>1473</v>
      </c>
      <c r="D7026" s="30">
        <v>1</v>
      </c>
      <c r="E7026" s="30">
        <v>20</v>
      </c>
      <c r="F7026" s="30">
        <f t="shared" si="228"/>
        <v>20</v>
      </c>
      <c r="G7026" s="30" t="s">
        <v>9</v>
      </c>
      <c r="J7026" s="30" t="s">
        <v>392</v>
      </c>
    </row>
    <row r="7027" spans="1:10" x14ac:dyDescent="0.25">
      <c r="A7027" s="78">
        <v>46280</v>
      </c>
      <c r="B7027" s="68">
        <v>23</v>
      </c>
      <c r="C7027" s="204" t="s">
        <v>1396</v>
      </c>
      <c r="D7027" s="30">
        <v>2</v>
      </c>
      <c r="E7027" s="30">
        <v>10</v>
      </c>
      <c r="F7027" s="30">
        <f t="shared" si="228"/>
        <v>20</v>
      </c>
      <c r="G7027" s="30" t="s">
        <v>9</v>
      </c>
      <c r="J7027" s="30" t="s">
        <v>392</v>
      </c>
    </row>
    <row r="7028" spans="1:10" x14ac:dyDescent="0.25">
      <c r="A7028" s="78">
        <v>46280</v>
      </c>
      <c r="B7028" s="68">
        <v>24</v>
      </c>
      <c r="C7028" s="205" t="s">
        <v>1473</v>
      </c>
      <c r="D7028" s="30">
        <v>1</v>
      </c>
      <c r="E7028" s="30">
        <v>20</v>
      </c>
      <c r="F7028" s="30">
        <f t="shared" si="228"/>
        <v>20</v>
      </c>
      <c r="G7028" s="30" t="s">
        <v>10</v>
      </c>
      <c r="J7028" s="30" t="s">
        <v>392</v>
      </c>
    </row>
    <row r="7029" spans="1:10" x14ac:dyDescent="0.25">
      <c r="A7029" s="78">
        <v>46280</v>
      </c>
      <c r="B7029" s="68">
        <v>24</v>
      </c>
      <c r="C7029" s="209" t="s">
        <v>1377</v>
      </c>
      <c r="D7029" s="30">
        <v>1</v>
      </c>
      <c r="E7029" s="30">
        <v>10</v>
      </c>
      <c r="F7029" s="30">
        <f t="shared" si="228"/>
        <v>10</v>
      </c>
      <c r="G7029" s="30" t="s">
        <v>10</v>
      </c>
      <c r="J7029" s="30" t="s">
        <v>392</v>
      </c>
    </row>
    <row r="7030" spans="1:10" ht="30" x14ac:dyDescent="0.25">
      <c r="A7030" s="78">
        <v>46280</v>
      </c>
      <c r="B7030" s="68">
        <v>25</v>
      </c>
      <c r="C7030" s="205" t="s">
        <v>1118</v>
      </c>
      <c r="D7030" s="30">
        <v>1</v>
      </c>
      <c r="E7030" s="30">
        <v>90</v>
      </c>
      <c r="F7030" s="30">
        <f t="shared" si="228"/>
        <v>90</v>
      </c>
      <c r="G7030" s="30" t="s">
        <v>9</v>
      </c>
      <c r="J7030" s="30" t="s">
        <v>392</v>
      </c>
    </row>
    <row r="7031" spans="1:10" x14ac:dyDescent="0.25">
      <c r="A7031" s="78">
        <v>46280</v>
      </c>
      <c r="B7031" s="68">
        <v>24</v>
      </c>
      <c r="C7031" s="209" t="s">
        <v>1383</v>
      </c>
      <c r="D7031" s="30">
        <v>1</v>
      </c>
      <c r="E7031" s="30">
        <v>20</v>
      </c>
      <c r="F7031" s="30">
        <f t="shared" si="228"/>
        <v>20</v>
      </c>
      <c r="G7031" s="30" t="s">
        <v>10</v>
      </c>
      <c r="J7031" s="30" t="s">
        <v>392</v>
      </c>
    </row>
    <row r="7032" spans="1:10" x14ac:dyDescent="0.25">
      <c r="A7032" s="78">
        <v>46280</v>
      </c>
      <c r="B7032" s="68">
        <v>24</v>
      </c>
      <c r="C7032" s="209" t="s">
        <v>1513</v>
      </c>
      <c r="D7032" s="30">
        <v>4</v>
      </c>
      <c r="E7032" s="30">
        <v>8.8000000000000007</v>
      </c>
      <c r="F7032" s="30">
        <f t="shared" si="228"/>
        <v>35.200000000000003</v>
      </c>
      <c r="G7032" s="30" t="s">
        <v>10</v>
      </c>
      <c r="J7032" s="30" t="s">
        <v>392</v>
      </c>
    </row>
    <row r="7033" spans="1:10" x14ac:dyDescent="0.25">
      <c r="A7033" s="78">
        <v>46280</v>
      </c>
      <c r="B7033" s="68">
        <v>24</v>
      </c>
      <c r="C7033" s="205" t="s">
        <v>574</v>
      </c>
      <c r="D7033" s="30">
        <v>1</v>
      </c>
      <c r="E7033" s="30">
        <v>10</v>
      </c>
      <c r="F7033" s="30">
        <f t="shared" si="228"/>
        <v>10</v>
      </c>
      <c r="G7033" s="30" t="s">
        <v>10</v>
      </c>
      <c r="J7033" s="30" t="s">
        <v>392</v>
      </c>
    </row>
    <row r="7034" spans="1:10" x14ac:dyDescent="0.25">
      <c r="A7034" s="78">
        <v>46280</v>
      </c>
      <c r="B7034" s="68">
        <v>26</v>
      </c>
      <c r="C7034" s="205" t="s">
        <v>66</v>
      </c>
      <c r="D7034" s="30">
        <v>1</v>
      </c>
      <c r="E7034" s="30">
        <v>10</v>
      </c>
      <c r="F7034" s="30">
        <f t="shared" si="228"/>
        <v>10</v>
      </c>
      <c r="G7034" s="30" t="s">
        <v>16</v>
      </c>
      <c r="I7034" s="68" t="s">
        <v>1518</v>
      </c>
      <c r="J7034" s="30" t="s">
        <v>392</v>
      </c>
    </row>
    <row r="7035" spans="1:10" ht="30" x14ac:dyDescent="0.25">
      <c r="A7035" s="78">
        <v>46280</v>
      </c>
      <c r="B7035" s="68">
        <v>26</v>
      </c>
      <c r="C7035" s="205" t="s">
        <v>833</v>
      </c>
      <c r="D7035" s="30">
        <v>1</v>
      </c>
      <c r="E7035" s="30">
        <v>80</v>
      </c>
      <c r="F7035" s="30">
        <f t="shared" si="228"/>
        <v>80</v>
      </c>
      <c r="G7035" s="30" t="s">
        <v>16</v>
      </c>
      <c r="I7035" s="68" t="s">
        <v>1518</v>
      </c>
      <c r="J7035" s="30" t="s">
        <v>392</v>
      </c>
    </row>
    <row r="7036" spans="1:10" x14ac:dyDescent="0.25">
      <c r="A7036" s="78">
        <v>46280</v>
      </c>
      <c r="B7036" s="68">
        <v>26</v>
      </c>
      <c r="C7036" s="209" t="s">
        <v>1464</v>
      </c>
      <c r="D7036" s="30">
        <v>1</v>
      </c>
      <c r="E7036" s="30">
        <v>25</v>
      </c>
      <c r="F7036" s="30">
        <f t="shared" si="228"/>
        <v>25</v>
      </c>
      <c r="G7036" s="30" t="s">
        <v>16</v>
      </c>
      <c r="I7036" s="68" t="s">
        <v>1518</v>
      </c>
      <c r="J7036" s="30" t="s">
        <v>392</v>
      </c>
    </row>
    <row r="7037" spans="1:10" x14ac:dyDescent="0.25">
      <c r="A7037" s="78">
        <v>46280</v>
      </c>
      <c r="B7037" s="68">
        <v>26</v>
      </c>
      <c r="C7037" s="205" t="s">
        <v>829</v>
      </c>
      <c r="D7037" s="30">
        <v>1</v>
      </c>
      <c r="E7037" s="30">
        <v>195</v>
      </c>
      <c r="F7037" s="30">
        <f t="shared" si="228"/>
        <v>195</v>
      </c>
      <c r="G7037" s="30" t="s">
        <v>16</v>
      </c>
      <c r="I7037" s="68" t="s">
        <v>1518</v>
      </c>
      <c r="J7037" s="30" t="s">
        <v>392</v>
      </c>
    </row>
    <row r="7038" spans="1:10" x14ac:dyDescent="0.25">
      <c r="A7038" s="78">
        <v>46280</v>
      </c>
      <c r="B7038" s="68">
        <v>26</v>
      </c>
      <c r="C7038" s="209" t="s">
        <v>1419</v>
      </c>
      <c r="D7038" s="30">
        <v>4</v>
      </c>
      <c r="E7038" s="30">
        <v>10</v>
      </c>
      <c r="F7038" s="30">
        <f t="shared" si="228"/>
        <v>40</v>
      </c>
      <c r="G7038" s="30" t="s">
        <v>16</v>
      </c>
      <c r="I7038" s="68" t="s">
        <v>1518</v>
      </c>
      <c r="J7038" s="30" t="s">
        <v>392</v>
      </c>
    </row>
    <row r="7039" spans="1:10" x14ac:dyDescent="0.25">
      <c r="A7039" s="78">
        <v>46280</v>
      </c>
      <c r="B7039" s="68">
        <v>26</v>
      </c>
      <c r="C7039" s="205" t="s">
        <v>709</v>
      </c>
      <c r="D7039" s="30">
        <v>1</v>
      </c>
      <c r="E7039" s="30">
        <v>10</v>
      </c>
      <c r="F7039" s="30">
        <f t="shared" si="228"/>
        <v>10</v>
      </c>
      <c r="G7039" s="30" t="s">
        <v>16</v>
      </c>
      <c r="I7039" s="68" t="s">
        <v>1518</v>
      </c>
      <c r="J7039" s="30" t="s">
        <v>392</v>
      </c>
    </row>
    <row r="7040" spans="1:10" x14ac:dyDescent="0.25">
      <c r="A7040" s="78">
        <v>46280</v>
      </c>
      <c r="B7040" s="68">
        <v>26</v>
      </c>
      <c r="C7040" s="205" t="s">
        <v>955</v>
      </c>
      <c r="D7040" s="30">
        <v>1</v>
      </c>
      <c r="E7040" s="30">
        <v>58</v>
      </c>
      <c r="F7040" s="30">
        <f t="shared" si="228"/>
        <v>58</v>
      </c>
      <c r="G7040" s="30" t="s">
        <v>16</v>
      </c>
      <c r="I7040" s="68" t="s">
        <v>1518</v>
      </c>
      <c r="J7040" s="30" t="s">
        <v>392</v>
      </c>
    </row>
    <row r="7041" spans="1:12" x14ac:dyDescent="0.25">
      <c r="A7041" s="78">
        <v>46280</v>
      </c>
      <c r="B7041" s="68">
        <v>26</v>
      </c>
      <c r="C7041" s="209" t="s">
        <v>1486</v>
      </c>
      <c r="D7041" s="30">
        <v>1</v>
      </c>
      <c r="E7041" s="30">
        <v>60</v>
      </c>
      <c r="F7041" s="30">
        <f t="shared" si="228"/>
        <v>60</v>
      </c>
      <c r="G7041" s="30" t="s">
        <v>16</v>
      </c>
      <c r="I7041" s="68" t="s">
        <v>1518</v>
      </c>
      <c r="J7041" s="30" t="s">
        <v>392</v>
      </c>
    </row>
    <row r="7042" spans="1:12" x14ac:dyDescent="0.25">
      <c r="A7042" s="78">
        <v>46280</v>
      </c>
      <c r="B7042" s="68">
        <v>26</v>
      </c>
      <c r="C7042" s="205" t="s">
        <v>948</v>
      </c>
      <c r="D7042" s="30">
        <v>1</v>
      </c>
      <c r="E7042" s="30">
        <v>210</v>
      </c>
      <c r="F7042" s="30">
        <f t="shared" si="228"/>
        <v>210</v>
      </c>
      <c r="G7042" s="30" t="s">
        <v>16</v>
      </c>
      <c r="I7042" s="68" t="s">
        <v>1518</v>
      </c>
      <c r="J7042" s="30" t="s">
        <v>392</v>
      </c>
    </row>
    <row r="7043" spans="1:12" x14ac:dyDescent="0.25">
      <c r="A7043" s="78">
        <v>46280</v>
      </c>
      <c r="B7043" s="68">
        <v>26</v>
      </c>
      <c r="C7043" s="205" t="s">
        <v>1095</v>
      </c>
      <c r="D7043" s="30">
        <v>1</v>
      </c>
      <c r="E7043" s="30">
        <v>70</v>
      </c>
      <c r="F7043" s="30">
        <f t="shared" si="228"/>
        <v>70</v>
      </c>
      <c r="G7043" s="30" t="s">
        <v>16</v>
      </c>
      <c r="I7043" s="68" t="s">
        <v>1518</v>
      </c>
      <c r="J7043" s="30" t="s">
        <v>392</v>
      </c>
    </row>
    <row r="7044" spans="1:12" x14ac:dyDescent="0.25">
      <c r="A7044" s="78">
        <v>46280</v>
      </c>
      <c r="B7044" s="68">
        <v>27</v>
      </c>
      <c r="C7044" s="205" t="s">
        <v>81</v>
      </c>
      <c r="D7044" s="30">
        <v>5</v>
      </c>
      <c r="E7044" s="30">
        <v>1</v>
      </c>
      <c r="F7044" s="30">
        <f t="shared" si="228"/>
        <v>5</v>
      </c>
      <c r="G7044" s="30" t="s">
        <v>16</v>
      </c>
      <c r="I7044" s="68" t="s">
        <v>663</v>
      </c>
      <c r="J7044" s="30" t="s">
        <v>392</v>
      </c>
    </row>
    <row r="7045" spans="1:12" x14ac:dyDescent="0.25">
      <c r="A7045" s="78">
        <v>46280</v>
      </c>
      <c r="B7045" s="68">
        <v>24</v>
      </c>
      <c r="C7045" s="205" t="s">
        <v>1473</v>
      </c>
      <c r="D7045" s="30">
        <v>1</v>
      </c>
      <c r="E7045" s="30">
        <v>20</v>
      </c>
      <c r="F7045" s="30">
        <f t="shared" si="228"/>
        <v>20</v>
      </c>
      <c r="G7045" s="30" t="s">
        <v>10</v>
      </c>
      <c r="J7045" s="30" t="s">
        <v>392</v>
      </c>
    </row>
    <row r="7046" spans="1:12" x14ac:dyDescent="0.25">
      <c r="A7046" s="78">
        <v>46280</v>
      </c>
      <c r="B7046" s="68">
        <v>24</v>
      </c>
      <c r="C7046" s="205" t="s">
        <v>847</v>
      </c>
      <c r="D7046" s="30">
        <v>1</v>
      </c>
      <c r="E7046" s="30">
        <v>80</v>
      </c>
      <c r="F7046" s="30">
        <f t="shared" si="228"/>
        <v>80</v>
      </c>
      <c r="G7046" s="30" t="s">
        <v>10</v>
      </c>
      <c r="J7046" s="30" t="s">
        <v>392</v>
      </c>
    </row>
    <row r="7047" spans="1:12" x14ac:dyDescent="0.25">
      <c r="A7047" s="78">
        <v>46280</v>
      </c>
      <c r="B7047" s="68">
        <v>24</v>
      </c>
      <c r="C7047" s="204" t="s">
        <v>876</v>
      </c>
      <c r="D7047" s="30">
        <v>1</v>
      </c>
      <c r="E7047" s="30">
        <v>20</v>
      </c>
      <c r="F7047" s="30">
        <f t="shared" si="228"/>
        <v>20</v>
      </c>
      <c r="G7047" s="30" t="s">
        <v>10</v>
      </c>
      <c r="J7047" s="30" t="s">
        <v>392</v>
      </c>
    </row>
    <row r="7048" spans="1:12" x14ac:dyDescent="0.25">
      <c r="A7048" s="78">
        <v>46280</v>
      </c>
      <c r="B7048" s="68">
        <v>28</v>
      </c>
      <c r="C7048" s="205" t="s">
        <v>750</v>
      </c>
      <c r="D7048" s="30">
        <v>1</v>
      </c>
      <c r="E7048" s="30">
        <v>50</v>
      </c>
      <c r="F7048" s="30">
        <f t="shared" si="228"/>
        <v>50</v>
      </c>
      <c r="G7048" s="30" t="s">
        <v>16</v>
      </c>
      <c r="I7048" s="68" t="s">
        <v>1046</v>
      </c>
      <c r="J7048" s="30" t="s">
        <v>392</v>
      </c>
    </row>
    <row r="7049" spans="1:12" x14ac:dyDescent="0.25">
      <c r="A7049" s="78">
        <v>46280</v>
      </c>
      <c r="B7049" s="68">
        <v>28</v>
      </c>
      <c r="C7049" s="209" t="s">
        <v>1304</v>
      </c>
      <c r="D7049" s="30">
        <v>1</v>
      </c>
      <c r="E7049" s="30">
        <v>100</v>
      </c>
      <c r="F7049" s="30">
        <f t="shared" si="228"/>
        <v>100</v>
      </c>
      <c r="G7049" s="30" t="s">
        <v>16</v>
      </c>
      <c r="I7049" s="68" t="s">
        <v>1046</v>
      </c>
      <c r="J7049" s="30" t="s">
        <v>392</v>
      </c>
    </row>
    <row r="7050" spans="1:12" x14ac:dyDescent="0.25">
      <c r="A7050" s="78">
        <v>46280</v>
      </c>
      <c r="B7050" s="68">
        <v>29</v>
      </c>
      <c r="C7050" s="209" t="s">
        <v>1327</v>
      </c>
      <c r="D7050" s="30">
        <v>0.28599999999999998</v>
      </c>
      <c r="E7050" s="30">
        <v>70</v>
      </c>
      <c r="F7050" s="30">
        <f t="shared" si="228"/>
        <v>20.02</v>
      </c>
      <c r="G7050" s="30" t="s">
        <v>9</v>
      </c>
      <c r="J7050" s="30" t="s">
        <v>392</v>
      </c>
    </row>
    <row r="7051" spans="1:12" s="199" customFormat="1" ht="31.5" x14ac:dyDescent="0.25">
      <c r="A7051" s="196">
        <v>46280</v>
      </c>
      <c r="B7051" s="197" t="s">
        <v>1248</v>
      </c>
      <c r="C7051" s="198">
        <f>MAX(B7016:B7051)</f>
        <v>29</v>
      </c>
      <c r="D7051" s="197" t="s">
        <v>1249</v>
      </c>
      <c r="E7051" s="199">
        <f>SUMIF(G7016:G7051,"UPI",F7016:F7051)</f>
        <v>661.7</v>
      </c>
      <c r="H7051" s="200" t="s">
        <v>1251</v>
      </c>
      <c r="I7051" s="200">
        <f>SUMIF(G7016:G7051, "&lt;&gt;UPI",F7016:F7051)</f>
        <v>1093.02</v>
      </c>
    </row>
    <row r="7052" spans="1:12" s="5" customFormat="1" ht="15.75" x14ac:dyDescent="0.25">
      <c r="A7052" s="201">
        <v>46280</v>
      </c>
      <c r="B7052" s="2"/>
      <c r="C7052" s="14"/>
      <c r="H7052" s="2" t="s">
        <v>1250</v>
      </c>
      <c r="I7052" s="2">
        <f>SUMIF(G6991:G7051, "&lt;&gt;UPI",F6991:F7051)</f>
        <v>2163.02</v>
      </c>
    </row>
    <row r="7053" spans="1:12" s="202" customFormat="1" ht="18.75" customHeight="1" x14ac:dyDescent="0.3">
      <c r="A7053" s="146">
        <v>46280</v>
      </c>
      <c r="B7053" s="147" t="s">
        <v>987</v>
      </c>
      <c r="C7053" s="148">
        <f>MAX(B6991:B7052)</f>
        <v>29</v>
      </c>
      <c r="D7053" s="147" t="s">
        <v>988</v>
      </c>
      <c r="E7053" s="202">
        <f>SUMIF(G6991:G7051,"UPI",F6991:F7051)</f>
        <v>871.7</v>
      </c>
      <c r="F7053" s="227" t="s">
        <v>437</v>
      </c>
      <c r="G7053" s="228"/>
      <c r="H7053" s="229"/>
      <c r="I7053" s="227">
        <f>SUM(F6991:F7052)</f>
        <v>3034.72</v>
      </c>
      <c r="J7053" s="228"/>
      <c r="K7053" s="228"/>
      <c r="L7053" s="229"/>
    </row>
    <row r="7054" spans="1:12" x14ac:dyDescent="0.25">
      <c r="A7054" s="78">
        <v>46281</v>
      </c>
      <c r="B7054" s="68">
        <v>1</v>
      </c>
      <c r="C7054" s="209" t="s">
        <v>1441</v>
      </c>
      <c r="D7054" s="30">
        <v>1</v>
      </c>
      <c r="E7054" s="30">
        <v>75</v>
      </c>
      <c r="F7054" s="30">
        <f>E7054*D7054</f>
        <v>75</v>
      </c>
      <c r="G7054" s="30" t="s">
        <v>16</v>
      </c>
      <c r="I7054" s="68" t="s">
        <v>663</v>
      </c>
      <c r="J7054" s="30" t="s">
        <v>391</v>
      </c>
    </row>
    <row r="7055" spans="1:12" x14ac:dyDescent="0.25">
      <c r="A7055" s="78">
        <v>46281</v>
      </c>
      <c r="B7055" s="68">
        <v>2</v>
      </c>
      <c r="C7055" s="209" t="s">
        <v>1380</v>
      </c>
      <c r="D7055" s="30">
        <v>1</v>
      </c>
      <c r="E7055" s="30">
        <v>10</v>
      </c>
      <c r="F7055" s="30">
        <f t="shared" ref="F7055:F7069" si="229">E7055*D7055</f>
        <v>10</v>
      </c>
      <c r="G7055" s="30" t="s">
        <v>9</v>
      </c>
      <c r="J7055" s="30" t="s">
        <v>391</v>
      </c>
    </row>
    <row r="7056" spans="1:12" x14ac:dyDescent="0.25">
      <c r="A7056" s="78">
        <v>46281</v>
      </c>
      <c r="B7056" s="68">
        <v>3</v>
      </c>
      <c r="C7056" s="209" t="s">
        <v>1498</v>
      </c>
      <c r="D7056" s="30">
        <v>2</v>
      </c>
      <c r="E7056" s="30">
        <v>5</v>
      </c>
      <c r="F7056" s="30">
        <f t="shared" si="229"/>
        <v>10</v>
      </c>
      <c r="G7056" s="30" t="s">
        <v>9</v>
      </c>
      <c r="J7056" s="30" t="s">
        <v>391</v>
      </c>
    </row>
    <row r="7057" spans="1:10" x14ac:dyDescent="0.25">
      <c r="A7057" s="78">
        <v>46281</v>
      </c>
      <c r="B7057" s="68">
        <v>3</v>
      </c>
      <c r="C7057" s="205" t="s">
        <v>639</v>
      </c>
      <c r="D7057" s="30">
        <v>5</v>
      </c>
      <c r="E7057" s="30">
        <v>2</v>
      </c>
      <c r="F7057" s="30">
        <f t="shared" si="229"/>
        <v>10</v>
      </c>
      <c r="G7057" s="30" t="s">
        <v>9</v>
      </c>
      <c r="J7057" s="30" t="s">
        <v>391</v>
      </c>
    </row>
    <row r="7058" spans="1:10" x14ac:dyDescent="0.25">
      <c r="A7058" s="78">
        <v>46281</v>
      </c>
      <c r="B7058" s="68">
        <v>4</v>
      </c>
      <c r="C7058" s="205" t="s">
        <v>1055</v>
      </c>
      <c r="D7058" s="30">
        <v>2</v>
      </c>
      <c r="E7058" s="30">
        <v>5</v>
      </c>
      <c r="F7058" s="30">
        <f t="shared" si="229"/>
        <v>10</v>
      </c>
      <c r="G7058" s="30" t="s">
        <v>9</v>
      </c>
      <c r="J7058" s="30" t="s">
        <v>391</v>
      </c>
    </row>
    <row r="7059" spans="1:10" x14ac:dyDescent="0.25">
      <c r="A7059" s="78">
        <v>46281</v>
      </c>
      <c r="B7059" s="68">
        <v>5</v>
      </c>
      <c r="C7059" s="209" t="s">
        <v>1486</v>
      </c>
      <c r="D7059" s="30">
        <v>1</v>
      </c>
      <c r="E7059" s="30">
        <v>60</v>
      </c>
      <c r="F7059" s="30">
        <f t="shared" si="229"/>
        <v>60</v>
      </c>
      <c r="G7059" s="30" t="s">
        <v>9</v>
      </c>
      <c r="J7059" s="30" t="s">
        <v>391</v>
      </c>
    </row>
    <row r="7060" spans="1:10" x14ac:dyDescent="0.25">
      <c r="A7060" s="78">
        <v>46281</v>
      </c>
      <c r="B7060" s="68">
        <v>5</v>
      </c>
      <c r="C7060" s="209" t="s">
        <v>1513</v>
      </c>
      <c r="D7060" s="30">
        <v>4</v>
      </c>
      <c r="E7060" s="30">
        <v>8.8000000000000007</v>
      </c>
      <c r="F7060" s="30">
        <f t="shared" si="229"/>
        <v>35.200000000000003</v>
      </c>
      <c r="G7060" s="30" t="s">
        <v>9</v>
      </c>
      <c r="J7060" s="30" t="s">
        <v>391</v>
      </c>
    </row>
    <row r="7061" spans="1:10" x14ac:dyDescent="0.25">
      <c r="A7061" s="78">
        <v>46281</v>
      </c>
      <c r="B7061" s="68">
        <v>6</v>
      </c>
      <c r="C7061" s="205" t="s">
        <v>622</v>
      </c>
      <c r="D7061" s="30">
        <v>1</v>
      </c>
      <c r="E7061" s="30">
        <v>10</v>
      </c>
      <c r="F7061" s="30">
        <f t="shared" si="229"/>
        <v>10</v>
      </c>
      <c r="G7061" s="30" t="s">
        <v>9</v>
      </c>
      <c r="J7061" s="30" t="s">
        <v>391</v>
      </c>
    </row>
    <row r="7062" spans="1:10" x14ac:dyDescent="0.25">
      <c r="A7062" s="78">
        <v>46281</v>
      </c>
      <c r="B7062" s="68">
        <v>7</v>
      </c>
      <c r="C7062" s="209" t="s">
        <v>1502</v>
      </c>
      <c r="D7062" s="30">
        <v>1</v>
      </c>
      <c r="E7062" s="30">
        <v>10</v>
      </c>
      <c r="F7062" s="30">
        <f t="shared" si="229"/>
        <v>10</v>
      </c>
      <c r="G7062" s="30" t="s">
        <v>9</v>
      </c>
      <c r="J7062" s="30" t="s">
        <v>391</v>
      </c>
    </row>
    <row r="7063" spans="1:10" x14ac:dyDescent="0.25">
      <c r="A7063" s="78">
        <v>46281</v>
      </c>
      <c r="B7063" s="68">
        <v>8</v>
      </c>
      <c r="C7063" s="205" t="s">
        <v>1519</v>
      </c>
      <c r="D7063" s="30">
        <v>1</v>
      </c>
      <c r="E7063" s="30">
        <v>40</v>
      </c>
      <c r="F7063" s="30">
        <f t="shared" si="229"/>
        <v>40</v>
      </c>
      <c r="G7063" s="30" t="s">
        <v>10</v>
      </c>
      <c r="J7063" s="30" t="s">
        <v>391</v>
      </c>
    </row>
    <row r="7064" spans="1:10" x14ac:dyDescent="0.25">
      <c r="A7064" s="78">
        <v>46281</v>
      </c>
      <c r="B7064" s="68">
        <v>8</v>
      </c>
      <c r="C7064" s="205" t="s">
        <v>1473</v>
      </c>
      <c r="D7064" s="30">
        <v>2</v>
      </c>
      <c r="E7064" s="30">
        <v>20</v>
      </c>
      <c r="F7064" s="30">
        <f t="shared" si="229"/>
        <v>40</v>
      </c>
      <c r="G7064" s="30" t="s">
        <v>10</v>
      </c>
      <c r="J7064" s="30" t="s">
        <v>391</v>
      </c>
    </row>
    <row r="7065" spans="1:10" x14ac:dyDescent="0.25">
      <c r="A7065" s="78">
        <v>46281</v>
      </c>
      <c r="B7065" s="68">
        <v>8</v>
      </c>
      <c r="C7065" s="209" t="s">
        <v>1380</v>
      </c>
      <c r="D7065" s="30">
        <v>1</v>
      </c>
      <c r="E7065" s="30">
        <v>10</v>
      </c>
      <c r="F7065" s="30">
        <f t="shared" si="229"/>
        <v>10</v>
      </c>
      <c r="G7065" s="30" t="s">
        <v>10</v>
      </c>
      <c r="J7065" s="30" t="s">
        <v>391</v>
      </c>
    </row>
    <row r="7066" spans="1:10" x14ac:dyDescent="0.25">
      <c r="A7066" s="78">
        <v>46281</v>
      </c>
      <c r="B7066" s="68">
        <v>8</v>
      </c>
      <c r="C7066" s="205" t="s">
        <v>375</v>
      </c>
      <c r="D7066" s="30">
        <v>40</v>
      </c>
      <c r="E7066" s="30">
        <v>1</v>
      </c>
      <c r="F7066" s="30">
        <f t="shared" si="229"/>
        <v>40</v>
      </c>
      <c r="G7066" s="30" t="s">
        <v>10</v>
      </c>
      <c r="J7066" s="30" t="s">
        <v>391</v>
      </c>
    </row>
    <row r="7067" spans="1:10" ht="30" x14ac:dyDescent="0.25">
      <c r="A7067" s="78">
        <v>46281</v>
      </c>
      <c r="B7067" s="68">
        <v>8</v>
      </c>
      <c r="C7067" s="205" t="s">
        <v>818</v>
      </c>
      <c r="D7067" s="30">
        <v>10</v>
      </c>
      <c r="E7067" s="30">
        <v>1</v>
      </c>
      <c r="F7067" s="30">
        <f t="shared" si="229"/>
        <v>10</v>
      </c>
      <c r="G7067" s="30" t="s">
        <v>10</v>
      </c>
      <c r="J7067" s="30" t="s">
        <v>391</v>
      </c>
    </row>
    <row r="7068" spans="1:10" x14ac:dyDescent="0.25">
      <c r="A7068" s="78">
        <v>46281</v>
      </c>
      <c r="B7068" s="68">
        <v>8</v>
      </c>
      <c r="C7068" s="209" t="s">
        <v>1442</v>
      </c>
      <c r="D7068" s="30">
        <v>1</v>
      </c>
      <c r="E7068" s="30">
        <v>10</v>
      </c>
      <c r="F7068" s="30">
        <f t="shared" si="229"/>
        <v>10</v>
      </c>
      <c r="G7068" s="30" t="s">
        <v>10</v>
      </c>
      <c r="J7068" s="30" t="s">
        <v>391</v>
      </c>
    </row>
    <row r="7069" spans="1:10" x14ac:dyDescent="0.25">
      <c r="A7069" s="78">
        <v>46281</v>
      </c>
      <c r="B7069" s="68">
        <v>9</v>
      </c>
      <c r="C7069" s="209" t="s">
        <v>1437</v>
      </c>
      <c r="D7069" s="30">
        <v>0.125</v>
      </c>
      <c r="E7069" s="30">
        <v>80</v>
      </c>
      <c r="F7069" s="30">
        <f t="shared" si="229"/>
        <v>10</v>
      </c>
      <c r="G7069" s="30" t="s">
        <v>9</v>
      </c>
      <c r="J7069" s="30" t="s">
        <v>391</v>
      </c>
    </row>
    <row r="7070" spans="1:10" s="199" customFormat="1" ht="31.5" x14ac:dyDescent="0.25">
      <c r="A7070" s="196">
        <v>46281</v>
      </c>
      <c r="B7070" s="197" t="s">
        <v>1245</v>
      </c>
      <c r="C7070" s="198">
        <f>MAX(B7054:B7070)</f>
        <v>9</v>
      </c>
      <c r="D7070" s="197" t="s">
        <v>1246</v>
      </c>
      <c r="E7070" s="199">
        <f>SUMIF(G7054:G7070,"UPI",F7054:F7070)</f>
        <v>150</v>
      </c>
      <c r="H7070" s="200" t="s">
        <v>1247</v>
      </c>
      <c r="I7070" s="200">
        <f>SUMIF(G7054:G7070, "&lt;&gt;UPI",F7054:F7070)</f>
        <v>240.2</v>
      </c>
    </row>
    <row r="7071" spans="1:10" x14ac:dyDescent="0.25">
      <c r="A7071" s="78">
        <v>46281</v>
      </c>
      <c r="B7071" s="68">
        <v>10</v>
      </c>
      <c r="C7071" s="205" t="s">
        <v>1254</v>
      </c>
      <c r="D7071" s="30">
        <v>1</v>
      </c>
      <c r="E7071" s="30">
        <v>10</v>
      </c>
      <c r="F7071" s="30">
        <f>E7071*D7071</f>
        <v>10</v>
      </c>
      <c r="G7071" s="30" t="s">
        <v>9</v>
      </c>
      <c r="J7071" s="30" t="s">
        <v>392</v>
      </c>
    </row>
    <row r="7072" spans="1:10" ht="30" x14ac:dyDescent="0.25">
      <c r="A7072" s="78">
        <v>46281</v>
      </c>
      <c r="B7072" s="68">
        <v>11</v>
      </c>
      <c r="C7072" s="209" t="s">
        <v>1459</v>
      </c>
      <c r="D7072" s="30">
        <v>1</v>
      </c>
      <c r="E7072" s="30">
        <v>10</v>
      </c>
      <c r="F7072" s="30">
        <f t="shared" ref="F7072:F7089" si="230">E7072*D7072</f>
        <v>10</v>
      </c>
      <c r="G7072" s="30" t="s">
        <v>9</v>
      </c>
      <c r="J7072" s="30" t="s">
        <v>392</v>
      </c>
    </row>
    <row r="7073" spans="1:10" ht="30" x14ac:dyDescent="0.25">
      <c r="A7073" s="78">
        <v>46281</v>
      </c>
      <c r="B7073" s="68">
        <v>11</v>
      </c>
      <c r="C7073" s="209" t="s">
        <v>1497</v>
      </c>
      <c r="D7073" s="30">
        <v>1</v>
      </c>
      <c r="E7073" s="30">
        <v>10</v>
      </c>
      <c r="F7073" s="30">
        <f t="shared" si="230"/>
        <v>10</v>
      </c>
      <c r="G7073" s="30" t="s">
        <v>9</v>
      </c>
      <c r="J7073" s="30" t="s">
        <v>392</v>
      </c>
    </row>
    <row r="7074" spans="1:10" x14ac:dyDescent="0.25">
      <c r="A7074" s="78">
        <v>46281</v>
      </c>
      <c r="B7074" s="68">
        <v>12</v>
      </c>
      <c r="C7074" s="209" t="s">
        <v>1379</v>
      </c>
      <c r="D7074" s="30">
        <v>1</v>
      </c>
      <c r="E7074" s="30">
        <v>40</v>
      </c>
      <c r="F7074" s="30">
        <f t="shared" si="230"/>
        <v>40</v>
      </c>
      <c r="G7074" s="30" t="s">
        <v>9</v>
      </c>
      <c r="J7074" s="30" t="s">
        <v>392</v>
      </c>
    </row>
    <row r="7075" spans="1:10" x14ac:dyDescent="0.25">
      <c r="A7075" s="78">
        <v>46281</v>
      </c>
      <c r="B7075" s="68">
        <v>13</v>
      </c>
      <c r="C7075" s="209" t="s">
        <v>1380</v>
      </c>
      <c r="D7075" s="30">
        <v>2</v>
      </c>
      <c r="E7075" s="30">
        <v>10</v>
      </c>
      <c r="F7075" s="30">
        <f t="shared" si="230"/>
        <v>20</v>
      </c>
      <c r="G7075" s="30" t="s">
        <v>10</v>
      </c>
      <c r="J7075" s="30" t="s">
        <v>392</v>
      </c>
    </row>
    <row r="7076" spans="1:10" x14ac:dyDescent="0.25">
      <c r="A7076" s="78">
        <v>46281</v>
      </c>
      <c r="B7076" s="68">
        <v>13</v>
      </c>
      <c r="C7076" s="209" t="s">
        <v>1513</v>
      </c>
      <c r="D7076" s="30">
        <v>1</v>
      </c>
      <c r="E7076" s="30">
        <v>10</v>
      </c>
      <c r="F7076" s="30">
        <f t="shared" si="230"/>
        <v>10</v>
      </c>
      <c r="G7076" s="30" t="s">
        <v>10</v>
      </c>
      <c r="J7076" s="30" t="s">
        <v>392</v>
      </c>
    </row>
    <row r="7077" spans="1:10" x14ac:dyDescent="0.25">
      <c r="A7077" s="78">
        <v>46281</v>
      </c>
      <c r="B7077" s="68">
        <v>14</v>
      </c>
      <c r="C7077" s="209" t="s">
        <v>1483</v>
      </c>
      <c r="D7077" s="30">
        <v>1</v>
      </c>
      <c r="E7077" s="30">
        <v>50</v>
      </c>
      <c r="F7077" s="30">
        <f t="shared" si="230"/>
        <v>50</v>
      </c>
      <c r="G7077" s="30" t="s">
        <v>9</v>
      </c>
      <c r="J7077" s="30" t="s">
        <v>392</v>
      </c>
    </row>
    <row r="7078" spans="1:10" x14ac:dyDescent="0.25">
      <c r="A7078" s="78">
        <v>46281</v>
      </c>
      <c r="B7078" s="68">
        <v>15</v>
      </c>
      <c r="C7078" s="205" t="s">
        <v>769</v>
      </c>
      <c r="D7078" s="30">
        <v>1</v>
      </c>
      <c r="E7078" s="30">
        <v>20</v>
      </c>
      <c r="F7078" s="30">
        <f t="shared" si="230"/>
        <v>20</v>
      </c>
      <c r="G7078" s="30" t="s">
        <v>9</v>
      </c>
      <c r="J7078" s="30" t="s">
        <v>392</v>
      </c>
    </row>
    <row r="7079" spans="1:10" x14ac:dyDescent="0.25">
      <c r="A7079" s="78">
        <v>46281</v>
      </c>
      <c r="B7079" s="68">
        <v>16</v>
      </c>
      <c r="C7079" s="205" t="s">
        <v>1473</v>
      </c>
      <c r="D7079" s="30">
        <v>1</v>
      </c>
      <c r="E7079" s="30">
        <v>20</v>
      </c>
      <c r="F7079" s="30">
        <f t="shared" si="230"/>
        <v>20</v>
      </c>
      <c r="G7079" s="30" t="s">
        <v>9</v>
      </c>
      <c r="J7079" s="30" t="s">
        <v>392</v>
      </c>
    </row>
    <row r="7080" spans="1:10" x14ac:dyDescent="0.25">
      <c r="A7080" s="78">
        <v>46281</v>
      </c>
      <c r="B7080" s="68">
        <v>17</v>
      </c>
      <c r="C7080" s="204" t="s">
        <v>876</v>
      </c>
      <c r="D7080" s="30">
        <v>1</v>
      </c>
      <c r="E7080" s="30">
        <v>20</v>
      </c>
      <c r="F7080" s="30">
        <f t="shared" si="230"/>
        <v>20</v>
      </c>
      <c r="G7080" s="30" t="s">
        <v>10</v>
      </c>
      <c r="J7080" s="30" t="s">
        <v>392</v>
      </c>
    </row>
    <row r="7081" spans="1:10" x14ac:dyDescent="0.25">
      <c r="A7081" s="78">
        <v>46281</v>
      </c>
      <c r="B7081" s="68">
        <v>18</v>
      </c>
      <c r="C7081" s="205" t="s">
        <v>1473</v>
      </c>
      <c r="D7081" s="30">
        <v>1</v>
      </c>
      <c r="E7081" s="30">
        <v>20</v>
      </c>
      <c r="F7081" s="30">
        <f t="shared" si="230"/>
        <v>20</v>
      </c>
      <c r="G7081" s="30" t="s">
        <v>9</v>
      </c>
      <c r="J7081" s="30" t="s">
        <v>392</v>
      </c>
    </row>
    <row r="7082" spans="1:10" x14ac:dyDescent="0.25">
      <c r="A7082" s="78">
        <v>46281</v>
      </c>
      <c r="B7082" s="68">
        <v>19</v>
      </c>
      <c r="C7082" s="204" t="s">
        <v>1396</v>
      </c>
      <c r="D7082" s="30">
        <v>1</v>
      </c>
      <c r="E7082" s="30">
        <v>10</v>
      </c>
      <c r="F7082" s="30">
        <f t="shared" si="230"/>
        <v>10</v>
      </c>
      <c r="G7082" s="30" t="s">
        <v>10</v>
      </c>
      <c r="J7082" s="30" t="s">
        <v>392</v>
      </c>
    </row>
    <row r="7083" spans="1:10" x14ac:dyDescent="0.25">
      <c r="A7083" s="78">
        <v>46281</v>
      </c>
      <c r="B7083" s="68">
        <v>20</v>
      </c>
      <c r="C7083" s="209" t="s">
        <v>1442</v>
      </c>
      <c r="D7083" s="30">
        <v>1</v>
      </c>
      <c r="E7083" s="30">
        <v>10</v>
      </c>
      <c r="F7083" s="30">
        <f t="shared" si="230"/>
        <v>10</v>
      </c>
      <c r="G7083" s="30" t="s">
        <v>9</v>
      </c>
      <c r="J7083" s="30" t="s">
        <v>392</v>
      </c>
    </row>
    <row r="7084" spans="1:10" x14ac:dyDescent="0.25">
      <c r="A7084" s="78">
        <v>46281</v>
      </c>
      <c r="B7084" s="68">
        <v>21</v>
      </c>
      <c r="C7084" s="209" t="s">
        <v>1429</v>
      </c>
      <c r="D7084" s="30">
        <v>1</v>
      </c>
      <c r="E7084" s="30">
        <v>5</v>
      </c>
      <c r="F7084" s="30">
        <f t="shared" si="230"/>
        <v>5</v>
      </c>
      <c r="G7084" s="30" t="s">
        <v>16</v>
      </c>
      <c r="J7084" s="30" t="s">
        <v>392</v>
      </c>
    </row>
    <row r="7085" spans="1:10" x14ac:dyDescent="0.25">
      <c r="A7085" s="78">
        <v>46281</v>
      </c>
      <c r="B7085" s="68">
        <v>22</v>
      </c>
      <c r="C7085" s="209" t="s">
        <v>1509</v>
      </c>
      <c r="D7085" s="30">
        <v>1</v>
      </c>
      <c r="E7085" s="30">
        <v>10</v>
      </c>
      <c r="F7085" s="30">
        <f t="shared" si="230"/>
        <v>10</v>
      </c>
      <c r="G7085" s="30" t="s">
        <v>16</v>
      </c>
      <c r="I7085" s="68" t="s">
        <v>1226</v>
      </c>
      <c r="J7085" s="30" t="s">
        <v>392</v>
      </c>
    </row>
    <row r="7086" spans="1:10" ht="30" x14ac:dyDescent="0.25">
      <c r="A7086" s="78">
        <v>46281</v>
      </c>
      <c r="B7086" s="68">
        <v>23</v>
      </c>
      <c r="C7086" s="209" t="s">
        <v>1388</v>
      </c>
      <c r="D7086" s="30">
        <v>1</v>
      </c>
      <c r="E7086" s="30">
        <v>130</v>
      </c>
      <c r="F7086" s="30">
        <f t="shared" si="230"/>
        <v>130</v>
      </c>
      <c r="G7086" s="30" t="s">
        <v>9</v>
      </c>
      <c r="J7086" s="30" t="s">
        <v>392</v>
      </c>
    </row>
    <row r="7087" spans="1:10" x14ac:dyDescent="0.25">
      <c r="A7087" s="78">
        <v>46281</v>
      </c>
      <c r="B7087" s="68">
        <v>22</v>
      </c>
      <c r="C7087" s="205" t="s">
        <v>745</v>
      </c>
      <c r="D7087" s="30">
        <v>1</v>
      </c>
      <c r="E7087" s="30">
        <v>5</v>
      </c>
      <c r="F7087" s="30">
        <f t="shared" si="230"/>
        <v>5</v>
      </c>
      <c r="G7087" s="30" t="s">
        <v>16</v>
      </c>
      <c r="I7087" s="68" t="s">
        <v>1226</v>
      </c>
      <c r="J7087" s="30" t="s">
        <v>392</v>
      </c>
    </row>
    <row r="7088" spans="1:10" x14ac:dyDescent="0.25">
      <c r="A7088" s="78">
        <v>46281</v>
      </c>
      <c r="B7088" s="68">
        <v>22</v>
      </c>
      <c r="C7088" s="205" t="s">
        <v>503</v>
      </c>
      <c r="D7088" s="30">
        <v>1</v>
      </c>
      <c r="E7088" s="30">
        <v>10</v>
      </c>
      <c r="F7088" s="30">
        <f t="shared" si="230"/>
        <v>10</v>
      </c>
      <c r="G7088" s="30" t="s">
        <v>16</v>
      </c>
      <c r="I7088" s="68" t="s">
        <v>1226</v>
      </c>
      <c r="J7088" s="30" t="s">
        <v>392</v>
      </c>
    </row>
    <row r="7089" spans="1:12" ht="30" x14ac:dyDescent="0.25">
      <c r="A7089" s="78">
        <v>46281</v>
      </c>
      <c r="B7089" s="68">
        <v>22</v>
      </c>
      <c r="C7089" s="209" t="s">
        <v>1511</v>
      </c>
      <c r="D7089" s="30">
        <v>1</v>
      </c>
      <c r="E7089" s="30">
        <v>10</v>
      </c>
      <c r="F7089" s="30">
        <f t="shared" si="230"/>
        <v>10</v>
      </c>
      <c r="G7089" s="30" t="s">
        <v>16</v>
      </c>
      <c r="I7089" s="68" t="s">
        <v>1226</v>
      </c>
      <c r="J7089" s="30" t="s">
        <v>392</v>
      </c>
    </row>
    <row r="7090" spans="1:12" s="199" customFormat="1" ht="31.5" x14ac:dyDescent="0.25">
      <c r="A7090" s="196">
        <v>46281</v>
      </c>
      <c r="B7090" s="197" t="s">
        <v>1248</v>
      </c>
      <c r="C7090" s="198">
        <f>MAX(B7071:B7090)</f>
        <v>23</v>
      </c>
      <c r="D7090" s="197" t="s">
        <v>1249</v>
      </c>
      <c r="E7090" s="199">
        <f>SUMIF(G7071:G7090,"UPI",F7071:F7090)</f>
        <v>60</v>
      </c>
      <c r="H7090" s="200" t="s">
        <v>1251</v>
      </c>
      <c r="I7090" s="200">
        <f>SUMIF(G7071:G7090, "&lt;&gt;UPI",F7071:F7090)</f>
        <v>360</v>
      </c>
    </row>
    <row r="7091" spans="1:12" s="5" customFormat="1" ht="15.75" x14ac:dyDescent="0.25">
      <c r="A7091" s="201">
        <v>46281</v>
      </c>
      <c r="B7091" s="2"/>
      <c r="C7091" s="14"/>
      <c r="H7091" s="2" t="s">
        <v>1250</v>
      </c>
      <c r="I7091" s="2">
        <f>SUMIF(G7054:G7090, "&lt;&gt;UPI",F7054:F7090)</f>
        <v>600.20000000000005</v>
      </c>
    </row>
    <row r="7092" spans="1:12" s="202" customFormat="1" ht="18.75" customHeight="1" x14ac:dyDescent="0.3">
      <c r="A7092" s="146">
        <v>46281</v>
      </c>
      <c r="B7092" s="147" t="s">
        <v>987</v>
      </c>
      <c r="C7092" s="148">
        <f>MAX(B7054:B7091)</f>
        <v>23</v>
      </c>
      <c r="D7092" s="147" t="s">
        <v>988</v>
      </c>
      <c r="E7092" s="202">
        <f>SUMIF(G7054:G7090,"UPI",F7054:F7090)</f>
        <v>210</v>
      </c>
      <c r="F7092" s="227" t="s">
        <v>437</v>
      </c>
      <c r="G7092" s="228"/>
      <c r="H7092" s="229"/>
      <c r="I7092" s="227">
        <f>SUM(F7054:F7091)</f>
        <v>810.2</v>
      </c>
      <c r="J7092" s="228"/>
      <c r="K7092" s="228"/>
      <c r="L7092" s="229"/>
    </row>
    <row r="7093" spans="1:12" ht="30" x14ac:dyDescent="0.25">
      <c r="A7093" s="78">
        <v>46282</v>
      </c>
      <c r="B7093" s="68">
        <v>1</v>
      </c>
      <c r="C7093" s="205" t="s">
        <v>1173</v>
      </c>
      <c r="D7093" s="30">
        <v>1</v>
      </c>
      <c r="E7093" s="30">
        <v>160</v>
      </c>
      <c r="F7093" s="30">
        <f>E7093*D7093</f>
        <v>160</v>
      </c>
      <c r="G7093" s="30" t="s">
        <v>9</v>
      </c>
      <c r="J7093" s="30" t="s">
        <v>391</v>
      </c>
    </row>
    <row r="7094" spans="1:12" x14ac:dyDescent="0.25">
      <c r="A7094" s="78">
        <v>46282</v>
      </c>
      <c r="B7094" s="68">
        <v>2</v>
      </c>
      <c r="C7094" s="205" t="s">
        <v>953</v>
      </c>
      <c r="D7094" s="30">
        <v>2</v>
      </c>
      <c r="E7094" s="30">
        <v>10</v>
      </c>
      <c r="F7094" s="30">
        <f t="shared" ref="F7094:F7114" si="231">E7094*D7094</f>
        <v>20</v>
      </c>
      <c r="G7094" s="30" t="s">
        <v>9</v>
      </c>
      <c r="J7094" s="30" t="s">
        <v>391</v>
      </c>
    </row>
    <row r="7095" spans="1:12" x14ac:dyDescent="0.25">
      <c r="A7095" s="78">
        <v>46282</v>
      </c>
      <c r="B7095" s="68">
        <v>2</v>
      </c>
      <c r="C7095" s="205" t="s">
        <v>1289</v>
      </c>
      <c r="D7095" s="30">
        <v>2</v>
      </c>
      <c r="E7095" s="30">
        <v>5</v>
      </c>
      <c r="F7095" s="30">
        <f t="shared" si="231"/>
        <v>10</v>
      </c>
      <c r="G7095" s="30" t="s">
        <v>9</v>
      </c>
      <c r="J7095" s="30" t="s">
        <v>391</v>
      </c>
    </row>
    <row r="7096" spans="1:12" ht="30" x14ac:dyDescent="0.25">
      <c r="A7096" s="78">
        <v>46282</v>
      </c>
      <c r="B7096" s="68">
        <v>3</v>
      </c>
      <c r="C7096" s="205" t="s">
        <v>818</v>
      </c>
      <c r="D7096" s="30">
        <v>6</v>
      </c>
      <c r="E7096" s="30">
        <v>1</v>
      </c>
      <c r="F7096" s="30">
        <f t="shared" si="231"/>
        <v>6</v>
      </c>
      <c r="G7096" s="30" t="s">
        <v>10</v>
      </c>
      <c r="J7096" s="30" t="s">
        <v>391</v>
      </c>
    </row>
    <row r="7097" spans="1:12" x14ac:dyDescent="0.25">
      <c r="A7097" s="78">
        <v>46282</v>
      </c>
      <c r="B7097" s="68">
        <v>4</v>
      </c>
      <c r="C7097" s="205" t="s">
        <v>1233</v>
      </c>
      <c r="D7097" s="30">
        <v>0.34</v>
      </c>
      <c r="E7097" s="30">
        <v>75</v>
      </c>
      <c r="F7097" s="30">
        <f t="shared" si="231"/>
        <v>25.500000000000004</v>
      </c>
      <c r="G7097" s="30" t="s">
        <v>9</v>
      </c>
      <c r="J7097" s="30" t="s">
        <v>391</v>
      </c>
    </row>
    <row r="7098" spans="1:12" x14ac:dyDescent="0.25">
      <c r="A7098" s="78">
        <v>46282</v>
      </c>
      <c r="B7098" s="68">
        <v>4</v>
      </c>
      <c r="C7098" s="205" t="s">
        <v>655</v>
      </c>
      <c r="D7098" s="30">
        <v>1</v>
      </c>
      <c r="E7098" s="30">
        <v>15</v>
      </c>
      <c r="F7098" s="30">
        <f t="shared" si="231"/>
        <v>15</v>
      </c>
      <c r="G7098" s="30" t="s">
        <v>9</v>
      </c>
      <c r="J7098" s="30" t="s">
        <v>391</v>
      </c>
    </row>
    <row r="7099" spans="1:12" x14ac:dyDescent="0.25">
      <c r="A7099" s="78">
        <v>46282</v>
      </c>
      <c r="B7099" s="68">
        <v>5</v>
      </c>
      <c r="C7099" s="209" t="s">
        <v>1383</v>
      </c>
      <c r="D7099" s="30">
        <v>2</v>
      </c>
      <c r="E7099" s="30">
        <v>15</v>
      </c>
      <c r="F7099" s="30">
        <f t="shared" si="231"/>
        <v>30</v>
      </c>
      <c r="G7099" s="30" t="s">
        <v>9</v>
      </c>
      <c r="J7099" s="30" t="s">
        <v>391</v>
      </c>
    </row>
    <row r="7100" spans="1:12" x14ac:dyDescent="0.25">
      <c r="A7100" s="78">
        <v>46282</v>
      </c>
      <c r="B7100" s="68">
        <v>6</v>
      </c>
      <c r="C7100" s="205" t="s">
        <v>623</v>
      </c>
      <c r="D7100" s="30">
        <v>4</v>
      </c>
      <c r="E7100" s="30">
        <v>5</v>
      </c>
      <c r="F7100" s="30">
        <f t="shared" si="231"/>
        <v>20</v>
      </c>
      <c r="G7100" s="30" t="s">
        <v>9</v>
      </c>
      <c r="J7100" s="30" t="s">
        <v>391</v>
      </c>
    </row>
    <row r="7101" spans="1:12" x14ac:dyDescent="0.25">
      <c r="A7101" s="78">
        <v>46282</v>
      </c>
      <c r="B7101" s="68">
        <v>6</v>
      </c>
      <c r="C7101" s="205" t="s">
        <v>1146</v>
      </c>
      <c r="D7101" s="30">
        <v>1</v>
      </c>
      <c r="E7101" s="30">
        <v>10</v>
      </c>
      <c r="F7101" s="30">
        <f t="shared" si="231"/>
        <v>10</v>
      </c>
      <c r="G7101" s="30" t="s">
        <v>9</v>
      </c>
      <c r="J7101" s="30" t="s">
        <v>391</v>
      </c>
    </row>
    <row r="7102" spans="1:12" x14ac:dyDescent="0.25">
      <c r="A7102" s="78">
        <v>46282</v>
      </c>
      <c r="B7102" s="68">
        <v>7</v>
      </c>
      <c r="C7102" s="205" t="s">
        <v>527</v>
      </c>
      <c r="D7102" s="30">
        <v>1</v>
      </c>
      <c r="E7102" s="30">
        <v>60</v>
      </c>
      <c r="F7102" s="30">
        <f t="shared" si="231"/>
        <v>60</v>
      </c>
      <c r="G7102" s="30" t="s">
        <v>9</v>
      </c>
      <c r="J7102" s="30" t="s">
        <v>391</v>
      </c>
    </row>
    <row r="7103" spans="1:12" x14ac:dyDescent="0.25">
      <c r="A7103" s="78">
        <v>46282</v>
      </c>
      <c r="B7103" s="68">
        <v>8</v>
      </c>
      <c r="C7103" s="209" t="s">
        <v>1427</v>
      </c>
      <c r="D7103" s="30">
        <v>1</v>
      </c>
      <c r="E7103" s="30">
        <v>30</v>
      </c>
      <c r="F7103" s="30">
        <f t="shared" si="231"/>
        <v>30</v>
      </c>
      <c r="G7103" s="30" t="s">
        <v>9</v>
      </c>
      <c r="J7103" s="30" t="s">
        <v>391</v>
      </c>
    </row>
    <row r="7104" spans="1:12" x14ac:dyDescent="0.25">
      <c r="A7104" s="78">
        <v>46282</v>
      </c>
      <c r="B7104" s="68">
        <v>9</v>
      </c>
      <c r="C7104" s="209" t="s">
        <v>1414</v>
      </c>
      <c r="D7104" s="30">
        <v>1</v>
      </c>
      <c r="E7104" s="30">
        <v>40</v>
      </c>
      <c r="F7104" s="30">
        <f t="shared" si="231"/>
        <v>40</v>
      </c>
      <c r="G7104" s="30" t="s">
        <v>9</v>
      </c>
      <c r="J7104" s="30" t="s">
        <v>391</v>
      </c>
    </row>
    <row r="7105" spans="1:10" x14ac:dyDescent="0.25">
      <c r="A7105" s="78">
        <v>46282</v>
      </c>
      <c r="B7105" s="68">
        <v>9</v>
      </c>
      <c r="C7105" s="209" t="s">
        <v>1395</v>
      </c>
      <c r="D7105" s="30">
        <v>1</v>
      </c>
      <c r="E7105" s="30">
        <v>30</v>
      </c>
      <c r="F7105" s="30">
        <f t="shared" si="231"/>
        <v>30</v>
      </c>
      <c r="G7105" s="30" t="s">
        <v>9</v>
      </c>
      <c r="I7105" s="68" t="s">
        <v>1520</v>
      </c>
      <c r="J7105" s="30" t="s">
        <v>391</v>
      </c>
    </row>
    <row r="7106" spans="1:10" x14ac:dyDescent="0.25">
      <c r="A7106" s="78">
        <v>46282</v>
      </c>
      <c r="B7106" s="68">
        <v>10</v>
      </c>
      <c r="C7106" s="204" t="s">
        <v>1396</v>
      </c>
      <c r="D7106" s="30">
        <v>1</v>
      </c>
      <c r="E7106" s="30">
        <v>10</v>
      </c>
      <c r="F7106" s="30">
        <f t="shared" si="231"/>
        <v>10</v>
      </c>
      <c r="G7106" s="30" t="s">
        <v>9</v>
      </c>
      <c r="J7106" s="30" t="s">
        <v>391</v>
      </c>
    </row>
    <row r="7107" spans="1:10" x14ac:dyDescent="0.25">
      <c r="A7107" s="78">
        <v>46282</v>
      </c>
      <c r="B7107" s="68">
        <v>11</v>
      </c>
      <c r="C7107" s="209" t="s">
        <v>1468</v>
      </c>
      <c r="D7107" s="30">
        <v>1</v>
      </c>
      <c r="E7107" s="30">
        <v>10</v>
      </c>
      <c r="F7107" s="30">
        <f t="shared" si="231"/>
        <v>10</v>
      </c>
      <c r="G7107" s="30" t="s">
        <v>10</v>
      </c>
      <c r="J7107" s="30" t="s">
        <v>391</v>
      </c>
    </row>
    <row r="7108" spans="1:10" x14ac:dyDescent="0.25">
      <c r="A7108" s="78">
        <v>46282</v>
      </c>
      <c r="B7108" s="68">
        <v>12</v>
      </c>
      <c r="C7108" s="205" t="s">
        <v>1268</v>
      </c>
      <c r="D7108" s="30">
        <v>2</v>
      </c>
      <c r="E7108" s="30">
        <v>20</v>
      </c>
      <c r="F7108" s="30">
        <f t="shared" si="231"/>
        <v>40</v>
      </c>
      <c r="G7108" s="30" t="s">
        <v>10</v>
      </c>
      <c r="J7108" s="30" t="s">
        <v>391</v>
      </c>
    </row>
    <row r="7109" spans="1:10" x14ac:dyDescent="0.25">
      <c r="A7109" s="78">
        <v>46282</v>
      </c>
      <c r="B7109" s="68">
        <v>13</v>
      </c>
      <c r="C7109" s="205" t="s">
        <v>582</v>
      </c>
      <c r="D7109" s="30">
        <v>1</v>
      </c>
      <c r="E7109" s="30">
        <v>10</v>
      </c>
      <c r="F7109" s="30">
        <f t="shared" si="231"/>
        <v>10</v>
      </c>
      <c r="G7109" s="30" t="s">
        <v>9</v>
      </c>
      <c r="J7109" s="30" t="s">
        <v>391</v>
      </c>
    </row>
    <row r="7110" spans="1:10" x14ac:dyDescent="0.25">
      <c r="A7110" s="78">
        <v>46282</v>
      </c>
      <c r="B7110" s="68">
        <v>14</v>
      </c>
      <c r="C7110" s="205" t="s">
        <v>1521</v>
      </c>
      <c r="D7110" s="30">
        <v>1</v>
      </c>
      <c r="E7110" s="30">
        <v>60</v>
      </c>
      <c r="F7110" s="30">
        <f t="shared" si="231"/>
        <v>60</v>
      </c>
      <c r="G7110" s="30" t="s">
        <v>16</v>
      </c>
      <c r="I7110" s="68" t="s">
        <v>1226</v>
      </c>
      <c r="J7110" s="30" t="s">
        <v>391</v>
      </c>
    </row>
    <row r="7111" spans="1:10" x14ac:dyDescent="0.25">
      <c r="A7111" s="78">
        <v>46282</v>
      </c>
      <c r="B7111" s="68">
        <v>15</v>
      </c>
      <c r="C7111" s="205" t="s">
        <v>497</v>
      </c>
      <c r="D7111" s="30">
        <v>1</v>
      </c>
      <c r="E7111" s="30">
        <v>35</v>
      </c>
      <c r="F7111" s="30">
        <f t="shared" si="231"/>
        <v>35</v>
      </c>
      <c r="G7111" s="30" t="s">
        <v>10</v>
      </c>
      <c r="J7111" s="30" t="s">
        <v>391</v>
      </c>
    </row>
    <row r="7112" spans="1:10" x14ac:dyDescent="0.25">
      <c r="A7112" s="78">
        <v>46282</v>
      </c>
      <c r="B7112" s="68">
        <v>15</v>
      </c>
      <c r="C7112" s="209" t="s">
        <v>1380</v>
      </c>
      <c r="D7112" s="30">
        <v>1</v>
      </c>
      <c r="E7112" s="30">
        <v>10</v>
      </c>
      <c r="F7112" s="30">
        <f t="shared" si="231"/>
        <v>10</v>
      </c>
      <c r="G7112" s="30" t="s">
        <v>10</v>
      </c>
      <c r="J7112" s="30" t="s">
        <v>391</v>
      </c>
    </row>
    <row r="7113" spans="1:10" x14ac:dyDescent="0.25">
      <c r="A7113" s="78">
        <v>46282</v>
      </c>
      <c r="B7113" s="68">
        <v>16</v>
      </c>
      <c r="C7113" s="209" t="s">
        <v>1502</v>
      </c>
      <c r="D7113" s="30">
        <v>1</v>
      </c>
      <c r="E7113" s="30">
        <v>10</v>
      </c>
      <c r="F7113" s="30">
        <f t="shared" si="231"/>
        <v>10</v>
      </c>
      <c r="G7113" s="30" t="s">
        <v>9</v>
      </c>
      <c r="J7113" s="30" t="s">
        <v>391</v>
      </c>
    </row>
    <row r="7114" spans="1:10" x14ac:dyDescent="0.25">
      <c r="A7114" s="78">
        <v>46282</v>
      </c>
      <c r="B7114" s="68">
        <v>16</v>
      </c>
      <c r="C7114" s="209" t="s">
        <v>1316</v>
      </c>
      <c r="D7114" s="30">
        <v>1</v>
      </c>
      <c r="E7114" s="30">
        <v>10</v>
      </c>
      <c r="F7114" s="30">
        <f t="shared" si="231"/>
        <v>10</v>
      </c>
      <c r="G7114" s="30" t="s">
        <v>9</v>
      </c>
      <c r="J7114" s="30" t="s">
        <v>391</v>
      </c>
    </row>
    <row r="7115" spans="1:10" s="199" customFormat="1" ht="31.5" x14ac:dyDescent="0.25">
      <c r="A7115" s="196">
        <v>46282</v>
      </c>
      <c r="B7115" s="197" t="s">
        <v>1245</v>
      </c>
      <c r="C7115" s="198">
        <f>MAX(B7093:B7115)</f>
        <v>16</v>
      </c>
      <c r="D7115" s="197" t="s">
        <v>1246</v>
      </c>
      <c r="E7115" s="199">
        <f>SUMIF(G7093:G7115,"UPI",F7093:F7115)</f>
        <v>101</v>
      </c>
      <c r="H7115" s="200" t="s">
        <v>1247</v>
      </c>
      <c r="I7115" s="200">
        <f>SUMIF(G7093:G7115, "&lt;&gt;UPI",F7093:F7115)</f>
        <v>550.5</v>
      </c>
    </row>
    <row r="7116" spans="1:10" ht="30" x14ac:dyDescent="0.25">
      <c r="A7116" s="78">
        <v>46282</v>
      </c>
      <c r="B7116" s="68">
        <v>17</v>
      </c>
      <c r="C7116" s="209" t="s">
        <v>1469</v>
      </c>
      <c r="D7116" s="30">
        <v>1</v>
      </c>
      <c r="E7116" s="30">
        <v>10</v>
      </c>
      <c r="F7116" s="30">
        <f t="shared" ref="F7116:F7142" si="232">E7116*D7116</f>
        <v>10</v>
      </c>
      <c r="G7116" s="30" t="s">
        <v>9</v>
      </c>
      <c r="J7116" s="30" t="s">
        <v>392</v>
      </c>
    </row>
    <row r="7117" spans="1:10" x14ac:dyDescent="0.25">
      <c r="A7117" s="78">
        <v>46282</v>
      </c>
      <c r="B7117" s="68">
        <v>17</v>
      </c>
      <c r="C7117" s="205" t="s">
        <v>1288</v>
      </c>
      <c r="D7117" s="30">
        <v>1</v>
      </c>
      <c r="E7117" s="30">
        <v>5</v>
      </c>
      <c r="F7117" s="30">
        <f t="shared" si="232"/>
        <v>5</v>
      </c>
      <c r="G7117" s="30" t="s">
        <v>9</v>
      </c>
      <c r="J7117" s="30" t="s">
        <v>392</v>
      </c>
    </row>
    <row r="7118" spans="1:10" x14ac:dyDescent="0.25">
      <c r="A7118" s="78">
        <v>46282</v>
      </c>
      <c r="B7118" s="68">
        <v>17</v>
      </c>
      <c r="C7118" s="209" t="s">
        <v>1500</v>
      </c>
      <c r="D7118" s="30">
        <v>1</v>
      </c>
      <c r="E7118" s="30">
        <v>5</v>
      </c>
      <c r="F7118" s="30">
        <f t="shared" si="232"/>
        <v>5</v>
      </c>
      <c r="G7118" s="30" t="s">
        <v>9</v>
      </c>
      <c r="J7118" s="30" t="s">
        <v>392</v>
      </c>
    </row>
    <row r="7119" spans="1:10" x14ac:dyDescent="0.25">
      <c r="A7119" s="78">
        <v>46282</v>
      </c>
      <c r="B7119" s="68">
        <v>18</v>
      </c>
      <c r="C7119" s="205" t="s">
        <v>1147</v>
      </c>
      <c r="D7119" s="30">
        <v>1</v>
      </c>
      <c r="E7119" s="30">
        <v>10</v>
      </c>
      <c r="F7119" s="30">
        <f t="shared" si="232"/>
        <v>10</v>
      </c>
      <c r="G7119" s="30" t="s">
        <v>9</v>
      </c>
      <c r="J7119" s="30" t="s">
        <v>392</v>
      </c>
    </row>
    <row r="7120" spans="1:10" x14ac:dyDescent="0.25">
      <c r="A7120" s="78">
        <v>46282</v>
      </c>
      <c r="B7120" s="68">
        <v>18</v>
      </c>
      <c r="C7120" s="204" t="s">
        <v>729</v>
      </c>
      <c r="D7120" s="30">
        <v>1</v>
      </c>
      <c r="E7120" s="30">
        <v>10</v>
      </c>
      <c r="F7120" s="30">
        <f t="shared" si="232"/>
        <v>10</v>
      </c>
      <c r="G7120" s="30" t="s">
        <v>9</v>
      </c>
      <c r="J7120" s="30" t="s">
        <v>392</v>
      </c>
    </row>
    <row r="7121" spans="1:10" x14ac:dyDescent="0.25">
      <c r="A7121" s="78">
        <v>46282</v>
      </c>
      <c r="B7121" s="68">
        <v>19</v>
      </c>
      <c r="C7121" s="209" t="s">
        <v>1380</v>
      </c>
      <c r="D7121" s="30">
        <v>1</v>
      </c>
      <c r="E7121" s="30">
        <v>10</v>
      </c>
      <c r="F7121" s="30">
        <f t="shared" si="232"/>
        <v>10</v>
      </c>
      <c r="G7121" s="30" t="s">
        <v>9</v>
      </c>
      <c r="J7121" s="30" t="s">
        <v>392</v>
      </c>
    </row>
    <row r="7122" spans="1:10" x14ac:dyDescent="0.25">
      <c r="A7122" s="78">
        <v>46282</v>
      </c>
      <c r="B7122" s="68">
        <v>19</v>
      </c>
      <c r="C7122" s="205" t="s">
        <v>1253</v>
      </c>
      <c r="D7122" s="30">
        <v>2</v>
      </c>
      <c r="E7122" s="30">
        <v>5</v>
      </c>
      <c r="F7122" s="30">
        <f t="shared" si="232"/>
        <v>10</v>
      </c>
      <c r="G7122" s="30" t="s">
        <v>9</v>
      </c>
      <c r="J7122" s="30" t="s">
        <v>392</v>
      </c>
    </row>
    <row r="7123" spans="1:10" x14ac:dyDescent="0.25">
      <c r="A7123" s="78">
        <v>46282</v>
      </c>
      <c r="B7123" s="68">
        <v>19</v>
      </c>
      <c r="C7123" s="205" t="s">
        <v>1287</v>
      </c>
      <c r="D7123" s="30">
        <v>1</v>
      </c>
      <c r="E7123" s="30">
        <v>10</v>
      </c>
      <c r="F7123" s="30">
        <f t="shared" si="232"/>
        <v>10</v>
      </c>
      <c r="G7123" s="30" t="s">
        <v>9</v>
      </c>
      <c r="J7123" s="30" t="s">
        <v>392</v>
      </c>
    </row>
    <row r="7124" spans="1:10" x14ac:dyDescent="0.25">
      <c r="A7124" s="78">
        <v>46282</v>
      </c>
      <c r="B7124" s="68">
        <v>20</v>
      </c>
      <c r="C7124" s="205" t="s">
        <v>1473</v>
      </c>
      <c r="D7124" s="30">
        <v>2</v>
      </c>
      <c r="E7124" s="30">
        <v>20</v>
      </c>
      <c r="F7124" s="30">
        <f t="shared" si="232"/>
        <v>40</v>
      </c>
      <c r="G7124" s="30" t="s">
        <v>10</v>
      </c>
      <c r="J7124" s="30" t="s">
        <v>392</v>
      </c>
    </row>
    <row r="7125" spans="1:10" x14ac:dyDescent="0.25">
      <c r="A7125" s="78">
        <v>46282</v>
      </c>
      <c r="B7125" s="68">
        <v>21</v>
      </c>
      <c r="C7125" s="205" t="s">
        <v>1473</v>
      </c>
      <c r="D7125" s="30">
        <v>2</v>
      </c>
      <c r="E7125" s="30">
        <v>20</v>
      </c>
      <c r="F7125" s="30">
        <f t="shared" si="232"/>
        <v>40</v>
      </c>
      <c r="G7125" s="30" t="s">
        <v>10</v>
      </c>
      <c r="J7125" s="30" t="s">
        <v>392</v>
      </c>
    </row>
    <row r="7126" spans="1:10" x14ac:dyDescent="0.25">
      <c r="A7126" s="78">
        <v>46282</v>
      </c>
      <c r="B7126" s="68">
        <v>21</v>
      </c>
      <c r="C7126" s="209" t="s">
        <v>1381</v>
      </c>
      <c r="D7126" s="30">
        <v>1</v>
      </c>
      <c r="E7126" s="30">
        <v>20</v>
      </c>
      <c r="F7126" s="30">
        <f t="shared" si="232"/>
        <v>20</v>
      </c>
      <c r="G7126" s="30" t="s">
        <v>10</v>
      </c>
      <c r="J7126" s="30" t="s">
        <v>392</v>
      </c>
    </row>
    <row r="7127" spans="1:10" x14ac:dyDescent="0.25">
      <c r="A7127" s="78">
        <v>46282</v>
      </c>
      <c r="B7127" s="68">
        <v>21</v>
      </c>
      <c r="C7127" s="209" t="s">
        <v>1453</v>
      </c>
      <c r="D7127" s="30">
        <v>1</v>
      </c>
      <c r="E7127" s="30">
        <v>10</v>
      </c>
      <c r="F7127" s="30">
        <f t="shared" si="232"/>
        <v>10</v>
      </c>
      <c r="G7127" s="30" t="s">
        <v>10</v>
      </c>
      <c r="J7127" s="30" t="s">
        <v>392</v>
      </c>
    </row>
    <row r="7128" spans="1:10" x14ac:dyDescent="0.25">
      <c r="A7128" s="78">
        <v>46282</v>
      </c>
      <c r="B7128" s="68">
        <v>21</v>
      </c>
      <c r="C7128" s="209" t="s">
        <v>1380</v>
      </c>
      <c r="D7128" s="30">
        <v>2</v>
      </c>
      <c r="E7128" s="30">
        <v>10</v>
      </c>
      <c r="F7128" s="30">
        <f t="shared" si="232"/>
        <v>20</v>
      </c>
      <c r="G7128" s="30" t="s">
        <v>10</v>
      </c>
      <c r="J7128" s="30" t="s">
        <v>392</v>
      </c>
    </row>
    <row r="7129" spans="1:10" x14ac:dyDescent="0.25">
      <c r="A7129" s="78">
        <v>46282</v>
      </c>
      <c r="B7129" s="68">
        <v>22</v>
      </c>
      <c r="C7129" s="209" t="s">
        <v>1437</v>
      </c>
      <c r="D7129" s="30">
        <v>0.5</v>
      </c>
      <c r="E7129" s="30">
        <v>80</v>
      </c>
      <c r="F7129" s="30">
        <f t="shared" si="232"/>
        <v>40</v>
      </c>
      <c r="G7129" s="30" t="s">
        <v>9</v>
      </c>
      <c r="J7129" s="30" t="s">
        <v>392</v>
      </c>
    </row>
    <row r="7130" spans="1:10" x14ac:dyDescent="0.25">
      <c r="A7130" s="78">
        <v>46282</v>
      </c>
      <c r="B7130" s="68">
        <v>22</v>
      </c>
      <c r="C7130" s="205" t="s">
        <v>523</v>
      </c>
      <c r="D7130" s="30">
        <v>0.11</v>
      </c>
      <c r="E7130" s="30">
        <v>280</v>
      </c>
      <c r="F7130" s="30">
        <f t="shared" si="232"/>
        <v>30.8</v>
      </c>
      <c r="G7130" s="30" t="s">
        <v>9</v>
      </c>
      <c r="J7130" s="30" t="s">
        <v>392</v>
      </c>
    </row>
    <row r="7131" spans="1:10" x14ac:dyDescent="0.25">
      <c r="A7131" s="78">
        <v>46282</v>
      </c>
      <c r="B7131" s="68">
        <v>23</v>
      </c>
      <c r="C7131" s="205" t="s">
        <v>1146</v>
      </c>
      <c r="D7131" s="30">
        <v>1</v>
      </c>
      <c r="E7131" s="30">
        <v>10</v>
      </c>
      <c r="F7131" s="30">
        <f t="shared" si="232"/>
        <v>10</v>
      </c>
      <c r="G7131" s="30" t="s">
        <v>9</v>
      </c>
      <c r="J7131" s="30" t="s">
        <v>392</v>
      </c>
    </row>
    <row r="7132" spans="1:10" x14ac:dyDescent="0.25">
      <c r="A7132" s="78">
        <v>46282</v>
      </c>
      <c r="B7132" s="68">
        <v>23</v>
      </c>
      <c r="C7132" s="209" t="s">
        <v>1465</v>
      </c>
      <c r="D7132" s="30">
        <v>1</v>
      </c>
      <c r="E7132" s="30">
        <v>10</v>
      </c>
      <c r="F7132" s="30">
        <f t="shared" si="232"/>
        <v>10</v>
      </c>
      <c r="G7132" s="30" t="s">
        <v>9</v>
      </c>
      <c r="J7132" s="30" t="s">
        <v>392</v>
      </c>
    </row>
    <row r="7133" spans="1:10" x14ac:dyDescent="0.25">
      <c r="A7133" s="78">
        <v>46282</v>
      </c>
      <c r="B7133" s="68">
        <v>24</v>
      </c>
      <c r="C7133" s="209" t="s">
        <v>1484</v>
      </c>
      <c r="D7133" s="30">
        <v>1</v>
      </c>
      <c r="E7133" s="30">
        <v>10</v>
      </c>
      <c r="F7133" s="30">
        <f t="shared" si="232"/>
        <v>10</v>
      </c>
      <c r="G7133" s="30" t="s">
        <v>9</v>
      </c>
      <c r="J7133" s="30" t="s">
        <v>392</v>
      </c>
    </row>
    <row r="7134" spans="1:10" x14ac:dyDescent="0.25">
      <c r="A7134" s="78">
        <v>46282</v>
      </c>
      <c r="B7134" s="68">
        <v>24</v>
      </c>
      <c r="C7134" s="209" t="s">
        <v>1499</v>
      </c>
      <c r="D7134" s="30">
        <v>1</v>
      </c>
      <c r="E7134" s="30">
        <v>10</v>
      </c>
      <c r="F7134" s="30">
        <f t="shared" si="232"/>
        <v>10</v>
      </c>
      <c r="G7134" s="30" t="s">
        <v>9</v>
      </c>
      <c r="J7134" s="30" t="s">
        <v>392</v>
      </c>
    </row>
    <row r="7135" spans="1:10" x14ac:dyDescent="0.25">
      <c r="A7135" s="78">
        <v>46282</v>
      </c>
      <c r="B7135" s="68">
        <v>24</v>
      </c>
      <c r="C7135" s="205" t="s">
        <v>1254</v>
      </c>
      <c r="D7135" s="30">
        <v>1</v>
      </c>
      <c r="E7135" s="30">
        <v>10</v>
      </c>
      <c r="F7135" s="30">
        <f t="shared" si="232"/>
        <v>10</v>
      </c>
      <c r="G7135" s="30" t="s">
        <v>9</v>
      </c>
      <c r="J7135" s="30" t="s">
        <v>392</v>
      </c>
    </row>
    <row r="7136" spans="1:10" x14ac:dyDescent="0.25">
      <c r="A7136" s="78">
        <v>46282</v>
      </c>
      <c r="B7136" s="68">
        <v>25</v>
      </c>
      <c r="C7136" s="209" t="s">
        <v>1484</v>
      </c>
      <c r="D7136" s="30">
        <v>3</v>
      </c>
      <c r="E7136" s="30">
        <v>10</v>
      </c>
      <c r="F7136" s="30">
        <f t="shared" si="232"/>
        <v>30</v>
      </c>
      <c r="G7136" s="30" t="s">
        <v>10</v>
      </c>
      <c r="J7136" s="30" t="s">
        <v>392</v>
      </c>
    </row>
    <row r="7137" spans="1:12" x14ac:dyDescent="0.25">
      <c r="A7137" s="78">
        <v>46282</v>
      </c>
      <c r="B7137" s="68">
        <v>26</v>
      </c>
      <c r="C7137" s="205" t="s">
        <v>591</v>
      </c>
      <c r="D7137" s="30">
        <v>0.5</v>
      </c>
      <c r="E7137" s="30">
        <v>200</v>
      </c>
      <c r="F7137" s="30">
        <f t="shared" si="232"/>
        <v>100</v>
      </c>
      <c r="G7137" s="30" t="s">
        <v>9</v>
      </c>
      <c r="J7137" s="30" t="s">
        <v>392</v>
      </c>
    </row>
    <row r="7138" spans="1:12" ht="30" x14ac:dyDescent="0.25">
      <c r="A7138" s="78">
        <v>46282</v>
      </c>
      <c r="B7138" s="68">
        <v>26</v>
      </c>
      <c r="C7138" s="209" t="s">
        <v>1481</v>
      </c>
      <c r="D7138" s="30">
        <v>1</v>
      </c>
      <c r="E7138" s="30">
        <v>90</v>
      </c>
      <c r="F7138" s="30">
        <f t="shared" si="232"/>
        <v>90</v>
      </c>
      <c r="G7138" s="30" t="s">
        <v>9</v>
      </c>
      <c r="J7138" s="30" t="s">
        <v>392</v>
      </c>
    </row>
    <row r="7139" spans="1:12" x14ac:dyDescent="0.25">
      <c r="A7139" s="78">
        <v>46282</v>
      </c>
      <c r="B7139" s="68">
        <v>26</v>
      </c>
      <c r="C7139" s="205" t="s">
        <v>1263</v>
      </c>
      <c r="D7139" s="30">
        <v>2</v>
      </c>
      <c r="E7139" s="30">
        <v>2</v>
      </c>
      <c r="F7139" s="30">
        <f t="shared" si="232"/>
        <v>4</v>
      </c>
      <c r="G7139" s="30" t="s">
        <v>9</v>
      </c>
      <c r="J7139" s="30" t="s">
        <v>392</v>
      </c>
    </row>
    <row r="7140" spans="1:12" x14ac:dyDescent="0.25">
      <c r="A7140" s="78">
        <v>46282</v>
      </c>
      <c r="B7140" s="68">
        <v>27</v>
      </c>
      <c r="C7140" s="209" t="s">
        <v>1446</v>
      </c>
      <c r="D7140" s="30">
        <v>1</v>
      </c>
      <c r="E7140" s="30">
        <v>10</v>
      </c>
      <c r="F7140" s="30">
        <f t="shared" si="232"/>
        <v>10</v>
      </c>
      <c r="G7140" s="30" t="s">
        <v>9</v>
      </c>
      <c r="J7140" s="30" t="s">
        <v>392</v>
      </c>
    </row>
    <row r="7141" spans="1:12" x14ac:dyDescent="0.25">
      <c r="A7141" s="78">
        <v>46282</v>
      </c>
      <c r="B7141" s="68">
        <v>27</v>
      </c>
      <c r="C7141" s="209" t="s">
        <v>1445</v>
      </c>
      <c r="D7141" s="30">
        <v>1</v>
      </c>
      <c r="E7141" s="30">
        <v>10</v>
      </c>
      <c r="F7141" s="30">
        <f t="shared" si="232"/>
        <v>10</v>
      </c>
      <c r="G7141" s="30" t="s">
        <v>9</v>
      </c>
      <c r="J7141" s="30" t="s">
        <v>392</v>
      </c>
    </row>
    <row r="7142" spans="1:12" x14ac:dyDescent="0.25">
      <c r="A7142" s="78">
        <v>46282</v>
      </c>
      <c r="B7142" s="68">
        <v>28</v>
      </c>
      <c r="C7142" s="209" t="s">
        <v>1395</v>
      </c>
      <c r="D7142" s="30">
        <v>1</v>
      </c>
      <c r="E7142" s="30">
        <v>30</v>
      </c>
      <c r="F7142" s="30">
        <f t="shared" si="232"/>
        <v>30</v>
      </c>
      <c r="G7142" s="30" t="s">
        <v>10</v>
      </c>
      <c r="J7142" s="30" t="s">
        <v>392</v>
      </c>
    </row>
    <row r="7143" spans="1:12" s="199" customFormat="1" ht="31.5" x14ac:dyDescent="0.25">
      <c r="A7143" s="196">
        <v>46282</v>
      </c>
      <c r="B7143" s="197" t="s">
        <v>1248</v>
      </c>
      <c r="C7143" s="198">
        <f>MAX(B7116:B7143)</f>
        <v>28</v>
      </c>
      <c r="D7143" s="197" t="s">
        <v>1249</v>
      </c>
      <c r="E7143" s="199">
        <f>SUMIF(G7116:G7143,"UPI",F7116:F7143)</f>
        <v>190</v>
      </c>
      <c r="H7143" s="200" t="s">
        <v>1251</v>
      </c>
      <c r="I7143" s="200">
        <f>SUMIF(G7116:G7143, "&lt;&gt;UPI",F7116:F7143)</f>
        <v>404.8</v>
      </c>
    </row>
    <row r="7144" spans="1:12" s="5" customFormat="1" ht="15.75" x14ac:dyDescent="0.25">
      <c r="A7144" s="201">
        <v>46282</v>
      </c>
      <c r="B7144" s="2"/>
      <c r="C7144" s="14"/>
      <c r="H7144" s="2" t="s">
        <v>1250</v>
      </c>
      <c r="I7144" s="2">
        <f>SUMIF(G7093:G7143, "&lt;&gt;UPI",F7093:F7143)</f>
        <v>955.3</v>
      </c>
    </row>
    <row r="7145" spans="1:12" s="202" customFormat="1" ht="18.75" customHeight="1" x14ac:dyDescent="0.3">
      <c r="A7145" s="146">
        <v>46282</v>
      </c>
      <c r="B7145" s="147" t="s">
        <v>987</v>
      </c>
      <c r="C7145" s="148">
        <f>MAX(B7093:B7144)</f>
        <v>28</v>
      </c>
      <c r="D7145" s="147" t="s">
        <v>988</v>
      </c>
      <c r="E7145" s="202">
        <f>SUMIF(G7093:G7143,"UPI",F7093:F7143)</f>
        <v>291</v>
      </c>
      <c r="F7145" s="227" t="s">
        <v>437</v>
      </c>
      <c r="G7145" s="228"/>
      <c r="H7145" s="229"/>
      <c r="I7145" s="227">
        <f>SUM(F7093:F7144)</f>
        <v>1246.3</v>
      </c>
      <c r="J7145" s="228"/>
      <c r="K7145" s="228"/>
      <c r="L7145" s="229"/>
    </row>
    <row r="7146" spans="1:12" ht="30" x14ac:dyDescent="0.25">
      <c r="A7146" s="78">
        <v>46283</v>
      </c>
      <c r="B7146" s="68">
        <v>1</v>
      </c>
      <c r="C7146" s="205" t="s">
        <v>1144</v>
      </c>
      <c r="D7146" s="30">
        <v>2</v>
      </c>
      <c r="E7146" s="30">
        <v>5</v>
      </c>
      <c r="F7146" s="30">
        <f>E7146*D7146</f>
        <v>10</v>
      </c>
      <c r="G7146" s="30" t="s">
        <v>9</v>
      </c>
      <c r="J7146" s="30" t="s">
        <v>391</v>
      </c>
    </row>
    <row r="7147" spans="1:12" x14ac:dyDescent="0.25">
      <c r="A7147" s="78">
        <v>46283</v>
      </c>
      <c r="B7147" s="68">
        <v>2</v>
      </c>
      <c r="C7147" s="205" t="s">
        <v>1116</v>
      </c>
      <c r="D7147" s="30">
        <v>1</v>
      </c>
      <c r="E7147" s="30">
        <v>10</v>
      </c>
      <c r="F7147" s="30">
        <f t="shared" ref="F7147:F7169" si="233">E7147*D7147</f>
        <v>10</v>
      </c>
      <c r="G7147" s="30" t="s">
        <v>9</v>
      </c>
      <c r="J7147" s="30" t="s">
        <v>391</v>
      </c>
    </row>
    <row r="7148" spans="1:12" x14ac:dyDescent="0.25">
      <c r="A7148" s="78">
        <v>46283</v>
      </c>
      <c r="B7148" s="68">
        <v>3</v>
      </c>
      <c r="C7148" s="205" t="s">
        <v>969</v>
      </c>
      <c r="D7148" s="30">
        <v>0.125</v>
      </c>
      <c r="E7148" s="30">
        <v>160</v>
      </c>
      <c r="F7148" s="30">
        <f t="shared" si="233"/>
        <v>20</v>
      </c>
      <c r="G7148" s="30" t="s">
        <v>9</v>
      </c>
      <c r="J7148" s="30" t="s">
        <v>391</v>
      </c>
    </row>
    <row r="7149" spans="1:12" x14ac:dyDescent="0.25">
      <c r="A7149" s="78">
        <v>46283</v>
      </c>
      <c r="B7149" s="68">
        <v>4</v>
      </c>
      <c r="C7149" s="209" t="s">
        <v>1379</v>
      </c>
      <c r="D7149" s="30">
        <v>1</v>
      </c>
      <c r="E7149" s="30">
        <v>40</v>
      </c>
      <c r="F7149" s="30">
        <f t="shared" si="233"/>
        <v>40</v>
      </c>
      <c r="G7149" s="30" t="s">
        <v>9</v>
      </c>
      <c r="J7149" s="30" t="s">
        <v>391</v>
      </c>
    </row>
    <row r="7150" spans="1:12" x14ac:dyDescent="0.25">
      <c r="A7150" s="78">
        <v>46283</v>
      </c>
      <c r="B7150" s="68">
        <v>5</v>
      </c>
      <c r="C7150" s="209" t="s">
        <v>1386</v>
      </c>
      <c r="D7150" s="30">
        <v>1</v>
      </c>
      <c r="E7150" s="30">
        <v>40</v>
      </c>
      <c r="F7150" s="30">
        <f t="shared" si="233"/>
        <v>40</v>
      </c>
      <c r="G7150" s="30" t="s">
        <v>9</v>
      </c>
      <c r="J7150" s="30" t="s">
        <v>391</v>
      </c>
    </row>
    <row r="7151" spans="1:12" x14ac:dyDescent="0.25">
      <c r="A7151" s="78">
        <v>46283</v>
      </c>
      <c r="B7151" s="68">
        <v>5</v>
      </c>
      <c r="C7151" s="205" t="s">
        <v>1128</v>
      </c>
      <c r="D7151" s="30">
        <v>1</v>
      </c>
      <c r="E7151" s="30">
        <v>35</v>
      </c>
      <c r="F7151" s="30">
        <f t="shared" si="233"/>
        <v>35</v>
      </c>
      <c r="G7151" s="30" t="s">
        <v>9</v>
      </c>
      <c r="J7151" s="30" t="s">
        <v>391</v>
      </c>
    </row>
    <row r="7152" spans="1:12" ht="30" x14ac:dyDescent="0.25">
      <c r="A7152" s="78">
        <v>46283</v>
      </c>
      <c r="B7152" s="68">
        <v>6</v>
      </c>
      <c r="C7152" s="209" t="s">
        <v>1389</v>
      </c>
      <c r="D7152" s="30">
        <v>1</v>
      </c>
      <c r="E7152" s="30">
        <v>65</v>
      </c>
      <c r="F7152" s="30">
        <f t="shared" si="233"/>
        <v>65</v>
      </c>
      <c r="G7152" s="30" t="s">
        <v>9</v>
      </c>
      <c r="J7152" s="30" t="s">
        <v>391</v>
      </c>
    </row>
    <row r="7153" spans="1:10" ht="30" x14ac:dyDescent="0.25">
      <c r="A7153" s="78">
        <v>46283</v>
      </c>
      <c r="B7153" s="68">
        <v>6</v>
      </c>
      <c r="C7153" s="209" t="s">
        <v>1493</v>
      </c>
      <c r="D7153" s="30">
        <v>1</v>
      </c>
      <c r="E7153" s="30">
        <v>15</v>
      </c>
      <c r="F7153" s="30">
        <f t="shared" si="233"/>
        <v>15</v>
      </c>
      <c r="G7153" s="30" t="s">
        <v>9</v>
      </c>
      <c r="J7153" s="30" t="s">
        <v>391</v>
      </c>
    </row>
    <row r="7154" spans="1:10" x14ac:dyDescent="0.25">
      <c r="A7154" s="78">
        <v>46283</v>
      </c>
      <c r="B7154" s="68">
        <v>6</v>
      </c>
      <c r="C7154" s="205" t="s">
        <v>796</v>
      </c>
      <c r="D7154" s="30">
        <v>0.26500000000000001</v>
      </c>
      <c r="E7154" s="30">
        <v>190</v>
      </c>
      <c r="F7154" s="30">
        <f t="shared" si="233"/>
        <v>50.35</v>
      </c>
      <c r="G7154" s="30" t="s">
        <v>9</v>
      </c>
      <c r="J7154" s="30" t="s">
        <v>391</v>
      </c>
    </row>
    <row r="7155" spans="1:10" x14ac:dyDescent="0.25">
      <c r="A7155" s="78">
        <v>46283</v>
      </c>
      <c r="B7155" s="68">
        <v>7</v>
      </c>
      <c r="C7155" s="209" t="s">
        <v>1445</v>
      </c>
      <c r="D7155" s="30">
        <v>1</v>
      </c>
      <c r="E7155" s="30">
        <v>10</v>
      </c>
      <c r="F7155" s="30">
        <f t="shared" si="233"/>
        <v>10</v>
      </c>
      <c r="G7155" s="30" t="s">
        <v>9</v>
      </c>
      <c r="J7155" s="30" t="s">
        <v>391</v>
      </c>
    </row>
    <row r="7156" spans="1:10" x14ac:dyDescent="0.25">
      <c r="A7156" s="78">
        <v>46283</v>
      </c>
      <c r="B7156" s="68">
        <v>8</v>
      </c>
      <c r="C7156" s="209" t="s">
        <v>1383</v>
      </c>
      <c r="D7156" s="30">
        <v>2</v>
      </c>
      <c r="E7156" s="30">
        <v>15</v>
      </c>
      <c r="F7156" s="30">
        <f t="shared" si="233"/>
        <v>30</v>
      </c>
      <c r="G7156" s="30" t="s">
        <v>9</v>
      </c>
      <c r="J7156" s="30" t="s">
        <v>391</v>
      </c>
    </row>
    <row r="7157" spans="1:10" x14ac:dyDescent="0.25">
      <c r="A7157" s="78">
        <v>46283</v>
      </c>
      <c r="B7157" s="68">
        <v>9</v>
      </c>
      <c r="C7157" s="209" t="s">
        <v>1440</v>
      </c>
      <c r="D7157" s="30">
        <v>1</v>
      </c>
      <c r="E7157" s="30">
        <v>40</v>
      </c>
      <c r="F7157" s="30">
        <f t="shared" si="233"/>
        <v>40</v>
      </c>
      <c r="G7157" s="30" t="s">
        <v>9</v>
      </c>
      <c r="J7157" s="30" t="s">
        <v>391</v>
      </c>
    </row>
    <row r="7158" spans="1:10" x14ac:dyDescent="0.25">
      <c r="A7158" s="78">
        <v>46283</v>
      </c>
      <c r="B7158" s="68">
        <v>9</v>
      </c>
      <c r="C7158" s="205" t="s">
        <v>721</v>
      </c>
      <c r="D7158" s="30">
        <v>3.3000000000000002E-2</v>
      </c>
      <c r="E7158" s="30">
        <v>900</v>
      </c>
      <c r="F7158" s="30">
        <f t="shared" si="233"/>
        <v>29.700000000000003</v>
      </c>
      <c r="G7158" s="30" t="s">
        <v>9</v>
      </c>
      <c r="J7158" s="30" t="s">
        <v>391</v>
      </c>
    </row>
    <row r="7159" spans="1:10" x14ac:dyDescent="0.25">
      <c r="A7159" s="78">
        <v>46283</v>
      </c>
      <c r="B7159" s="68">
        <v>9</v>
      </c>
      <c r="C7159" s="209" t="s">
        <v>1379</v>
      </c>
      <c r="D7159" s="30">
        <v>1</v>
      </c>
      <c r="E7159" s="30">
        <v>40</v>
      </c>
      <c r="F7159" s="30">
        <f t="shared" si="233"/>
        <v>40</v>
      </c>
      <c r="G7159" s="30" t="s">
        <v>9</v>
      </c>
      <c r="J7159" s="30" t="s">
        <v>391</v>
      </c>
    </row>
    <row r="7160" spans="1:10" x14ac:dyDescent="0.25">
      <c r="A7160" s="78">
        <v>46283</v>
      </c>
      <c r="B7160" s="68">
        <v>9</v>
      </c>
      <c r="C7160" s="205" t="s">
        <v>843</v>
      </c>
      <c r="D7160" s="30">
        <v>2</v>
      </c>
      <c r="E7160" s="30">
        <v>10</v>
      </c>
      <c r="F7160" s="30">
        <f t="shared" si="233"/>
        <v>20</v>
      </c>
      <c r="G7160" s="30" t="s">
        <v>9</v>
      </c>
      <c r="J7160" s="30" t="s">
        <v>391</v>
      </c>
    </row>
    <row r="7161" spans="1:10" x14ac:dyDescent="0.25">
      <c r="A7161" s="78">
        <v>46283</v>
      </c>
      <c r="B7161" s="68">
        <v>10</v>
      </c>
      <c r="C7161" s="209" t="s">
        <v>1380</v>
      </c>
      <c r="D7161" s="30">
        <v>5</v>
      </c>
      <c r="E7161" s="30">
        <v>10</v>
      </c>
      <c r="F7161" s="30">
        <f t="shared" si="233"/>
        <v>50</v>
      </c>
      <c r="G7161" s="30" t="s">
        <v>10</v>
      </c>
      <c r="J7161" s="30" t="s">
        <v>391</v>
      </c>
    </row>
    <row r="7162" spans="1:10" x14ac:dyDescent="0.25">
      <c r="A7162" s="78">
        <v>46283</v>
      </c>
      <c r="B7162" s="68">
        <v>10</v>
      </c>
      <c r="C7162" s="204" t="s">
        <v>876</v>
      </c>
      <c r="D7162" s="30">
        <v>1</v>
      </c>
      <c r="E7162" s="30">
        <v>20</v>
      </c>
      <c r="F7162" s="30">
        <f t="shared" si="233"/>
        <v>20</v>
      </c>
      <c r="G7162" s="30" t="s">
        <v>10</v>
      </c>
      <c r="J7162" s="30" t="s">
        <v>391</v>
      </c>
    </row>
    <row r="7163" spans="1:10" x14ac:dyDescent="0.25">
      <c r="A7163" s="78">
        <v>46283</v>
      </c>
      <c r="B7163" s="68">
        <v>11</v>
      </c>
      <c r="C7163" s="209" t="s">
        <v>1456</v>
      </c>
      <c r="D7163" s="30">
        <v>1</v>
      </c>
      <c r="E7163" s="30">
        <v>10</v>
      </c>
      <c r="F7163" s="30">
        <f t="shared" si="233"/>
        <v>10</v>
      </c>
      <c r="G7163" s="30" t="s">
        <v>16</v>
      </c>
      <c r="I7163" s="68" t="s">
        <v>1200</v>
      </c>
      <c r="J7163" s="30" t="s">
        <v>391</v>
      </c>
    </row>
    <row r="7164" spans="1:10" ht="30" x14ac:dyDescent="0.25">
      <c r="A7164" s="78">
        <v>46283</v>
      </c>
      <c r="B7164" s="68">
        <v>12</v>
      </c>
      <c r="C7164" s="209" t="s">
        <v>1407</v>
      </c>
      <c r="D7164" s="30">
        <v>1</v>
      </c>
      <c r="E7164" s="30">
        <v>40</v>
      </c>
      <c r="F7164" s="30">
        <f t="shared" si="233"/>
        <v>40</v>
      </c>
      <c r="G7164" s="30" t="s">
        <v>9</v>
      </c>
      <c r="J7164" s="30" t="s">
        <v>391</v>
      </c>
    </row>
    <row r="7165" spans="1:10" x14ac:dyDescent="0.25">
      <c r="A7165" s="78">
        <v>46283</v>
      </c>
      <c r="B7165" s="68">
        <v>12</v>
      </c>
      <c r="C7165" s="209" t="s">
        <v>1467</v>
      </c>
      <c r="D7165" s="30">
        <v>1</v>
      </c>
      <c r="E7165" s="30">
        <v>20</v>
      </c>
      <c r="F7165" s="30">
        <f t="shared" si="233"/>
        <v>20</v>
      </c>
      <c r="G7165" s="30" t="s">
        <v>9</v>
      </c>
      <c r="J7165" s="30" t="s">
        <v>391</v>
      </c>
    </row>
    <row r="7166" spans="1:10" x14ac:dyDescent="0.25">
      <c r="A7166" s="78">
        <v>46283</v>
      </c>
      <c r="B7166" s="68">
        <v>12</v>
      </c>
      <c r="C7166" s="209" t="s">
        <v>1380</v>
      </c>
      <c r="D7166" s="30">
        <v>1</v>
      </c>
      <c r="E7166" s="30">
        <v>10</v>
      </c>
      <c r="F7166" s="30">
        <f t="shared" si="233"/>
        <v>10</v>
      </c>
      <c r="G7166" s="30" t="s">
        <v>9</v>
      </c>
      <c r="J7166" s="30" t="s">
        <v>391</v>
      </c>
    </row>
    <row r="7167" spans="1:10" x14ac:dyDescent="0.25">
      <c r="A7167" s="78">
        <v>46283</v>
      </c>
      <c r="B7167" s="68">
        <v>13</v>
      </c>
      <c r="C7167" s="209" t="s">
        <v>1382</v>
      </c>
      <c r="D7167" s="30">
        <v>1</v>
      </c>
      <c r="E7167" s="30">
        <v>10</v>
      </c>
      <c r="F7167" s="30">
        <f t="shared" si="233"/>
        <v>10</v>
      </c>
      <c r="G7167" s="30" t="s">
        <v>9</v>
      </c>
      <c r="J7167" s="30" t="s">
        <v>391</v>
      </c>
    </row>
    <row r="7168" spans="1:10" x14ac:dyDescent="0.25">
      <c r="A7168" s="78">
        <v>46283</v>
      </c>
      <c r="B7168" s="68">
        <v>14</v>
      </c>
      <c r="C7168" s="209" t="s">
        <v>1484</v>
      </c>
      <c r="D7168" s="30">
        <v>2</v>
      </c>
      <c r="E7168" s="30">
        <v>10</v>
      </c>
      <c r="F7168" s="30">
        <f t="shared" si="233"/>
        <v>20</v>
      </c>
      <c r="G7168" s="30" t="s">
        <v>9</v>
      </c>
      <c r="J7168" s="30" t="s">
        <v>391</v>
      </c>
    </row>
    <row r="7169" spans="1:10" x14ac:dyDescent="0.25">
      <c r="A7169" s="78">
        <v>46283</v>
      </c>
      <c r="B7169" s="68">
        <v>15</v>
      </c>
      <c r="C7169" s="205" t="s">
        <v>616</v>
      </c>
      <c r="D7169" s="30">
        <v>1</v>
      </c>
      <c r="E7169" s="30">
        <v>50</v>
      </c>
      <c r="F7169" s="30">
        <f t="shared" si="233"/>
        <v>50</v>
      </c>
      <c r="G7169" s="30" t="s">
        <v>9</v>
      </c>
      <c r="J7169" s="30" t="s">
        <v>391</v>
      </c>
    </row>
    <row r="7170" spans="1:10" s="199" customFormat="1" ht="31.5" x14ac:dyDescent="0.25">
      <c r="A7170" s="196">
        <v>46283</v>
      </c>
      <c r="B7170" s="197" t="s">
        <v>1245</v>
      </c>
      <c r="C7170" s="198">
        <f>MAX(B7146:B7170)</f>
        <v>15</v>
      </c>
      <c r="D7170" s="197" t="s">
        <v>1246</v>
      </c>
      <c r="E7170" s="199">
        <f>SUMIF(G7146:G7170,"UPI",F7146:F7170)</f>
        <v>70</v>
      </c>
      <c r="H7170" s="200" t="s">
        <v>1247</v>
      </c>
      <c r="I7170" s="200">
        <f>SUMIF(G7146:G7170, "&lt;&gt;UPI",F7146:F7170)</f>
        <v>615.04999999999995</v>
      </c>
    </row>
    <row r="7171" spans="1:10" ht="30" x14ac:dyDescent="0.25">
      <c r="A7171" s="78">
        <v>46283</v>
      </c>
      <c r="B7171" s="68">
        <v>16</v>
      </c>
      <c r="C7171" s="205" t="s">
        <v>818</v>
      </c>
      <c r="D7171" s="30">
        <v>10</v>
      </c>
      <c r="E7171" s="30">
        <v>1</v>
      </c>
      <c r="F7171" s="30">
        <f>E7171*D7171</f>
        <v>10</v>
      </c>
      <c r="G7171" s="30" t="s">
        <v>9</v>
      </c>
      <c r="J7171" s="30" t="s">
        <v>392</v>
      </c>
    </row>
    <row r="7172" spans="1:10" x14ac:dyDescent="0.25">
      <c r="A7172" s="78">
        <v>46283</v>
      </c>
      <c r="B7172" s="68">
        <v>16</v>
      </c>
      <c r="C7172" s="209" t="s">
        <v>1503</v>
      </c>
      <c r="D7172" s="30">
        <v>2</v>
      </c>
      <c r="E7172" s="30">
        <v>2.5</v>
      </c>
      <c r="F7172" s="30">
        <f t="shared" ref="F7172:F7196" si="234">E7172*D7172</f>
        <v>5</v>
      </c>
      <c r="G7172" s="30" t="s">
        <v>9</v>
      </c>
      <c r="J7172" s="30" t="s">
        <v>392</v>
      </c>
    </row>
    <row r="7173" spans="1:10" x14ac:dyDescent="0.25">
      <c r="A7173" s="78">
        <v>46283</v>
      </c>
      <c r="B7173" s="68">
        <v>17</v>
      </c>
      <c r="C7173" s="204" t="s">
        <v>729</v>
      </c>
      <c r="D7173" s="30">
        <v>1</v>
      </c>
      <c r="E7173" s="30">
        <v>10</v>
      </c>
      <c r="F7173" s="30">
        <f t="shared" si="234"/>
        <v>10</v>
      </c>
      <c r="G7173" s="30" t="s">
        <v>9</v>
      </c>
      <c r="J7173" s="30" t="s">
        <v>392</v>
      </c>
    </row>
    <row r="7174" spans="1:10" x14ac:dyDescent="0.25">
      <c r="A7174" s="78">
        <v>46283</v>
      </c>
      <c r="B7174" s="68">
        <v>17</v>
      </c>
      <c r="C7174" s="205" t="s">
        <v>1127</v>
      </c>
      <c r="D7174" s="30">
        <v>1</v>
      </c>
      <c r="E7174" s="30">
        <v>10</v>
      </c>
      <c r="F7174" s="30">
        <f t="shared" si="234"/>
        <v>10</v>
      </c>
      <c r="G7174" s="30" t="s">
        <v>9</v>
      </c>
      <c r="J7174" s="30" t="s">
        <v>392</v>
      </c>
    </row>
    <row r="7175" spans="1:10" x14ac:dyDescent="0.25">
      <c r="A7175" s="78">
        <v>46283</v>
      </c>
      <c r="B7175" s="68">
        <v>18</v>
      </c>
      <c r="C7175" s="209" t="s">
        <v>1419</v>
      </c>
      <c r="D7175" s="30">
        <v>1</v>
      </c>
      <c r="E7175" s="30">
        <v>10</v>
      </c>
      <c r="F7175" s="30">
        <f t="shared" si="234"/>
        <v>10</v>
      </c>
      <c r="G7175" s="30" t="s">
        <v>9</v>
      </c>
      <c r="J7175" s="30" t="s">
        <v>392</v>
      </c>
    </row>
    <row r="7176" spans="1:10" ht="30" x14ac:dyDescent="0.25">
      <c r="A7176" s="78">
        <v>46283</v>
      </c>
      <c r="B7176" s="68">
        <v>18</v>
      </c>
      <c r="C7176" s="209" t="s">
        <v>1459</v>
      </c>
      <c r="D7176" s="30">
        <v>1</v>
      </c>
      <c r="E7176" s="30">
        <v>10</v>
      </c>
      <c r="F7176" s="30">
        <f t="shared" si="234"/>
        <v>10</v>
      </c>
      <c r="G7176" s="30" t="s">
        <v>9</v>
      </c>
      <c r="J7176" s="30" t="s">
        <v>392</v>
      </c>
    </row>
    <row r="7177" spans="1:10" x14ac:dyDescent="0.25">
      <c r="A7177" s="78">
        <v>46283</v>
      </c>
      <c r="B7177" s="68">
        <v>18</v>
      </c>
      <c r="C7177" s="209" t="s">
        <v>1344</v>
      </c>
      <c r="D7177" s="30">
        <v>1</v>
      </c>
      <c r="E7177" s="30">
        <v>20</v>
      </c>
      <c r="F7177" s="30">
        <f t="shared" si="234"/>
        <v>20</v>
      </c>
      <c r="G7177" s="30" t="s">
        <v>16</v>
      </c>
      <c r="I7177" s="68" t="s">
        <v>1208</v>
      </c>
      <c r="J7177" s="30" t="s">
        <v>392</v>
      </c>
    </row>
    <row r="7178" spans="1:10" x14ac:dyDescent="0.25">
      <c r="A7178" s="78">
        <v>46283</v>
      </c>
      <c r="B7178" s="68">
        <v>18</v>
      </c>
      <c r="C7178" s="209" t="s">
        <v>1445</v>
      </c>
      <c r="D7178" s="30">
        <v>1</v>
      </c>
      <c r="E7178" s="30">
        <v>10</v>
      </c>
      <c r="F7178" s="30">
        <f t="shared" si="234"/>
        <v>10</v>
      </c>
      <c r="G7178" s="30" t="s">
        <v>16</v>
      </c>
      <c r="I7178" s="68" t="s">
        <v>1208</v>
      </c>
      <c r="J7178" s="30" t="s">
        <v>392</v>
      </c>
    </row>
    <row r="7179" spans="1:10" ht="30" x14ac:dyDescent="0.25">
      <c r="A7179" s="78">
        <v>46283</v>
      </c>
      <c r="B7179" s="68">
        <v>19</v>
      </c>
      <c r="C7179" s="209" t="s">
        <v>1459</v>
      </c>
      <c r="D7179" s="30">
        <v>2</v>
      </c>
      <c r="E7179" s="30">
        <v>10</v>
      </c>
      <c r="F7179" s="30">
        <f t="shared" si="234"/>
        <v>20</v>
      </c>
      <c r="G7179" s="30" t="s">
        <v>9</v>
      </c>
      <c r="J7179" s="30" t="s">
        <v>392</v>
      </c>
    </row>
    <row r="7180" spans="1:10" x14ac:dyDescent="0.25">
      <c r="A7180" s="78">
        <v>46283</v>
      </c>
      <c r="B7180" s="68">
        <v>20</v>
      </c>
      <c r="C7180" s="209" t="s">
        <v>1484</v>
      </c>
      <c r="D7180" s="30">
        <v>3</v>
      </c>
      <c r="E7180" s="30">
        <v>10</v>
      </c>
      <c r="F7180" s="30">
        <f t="shared" si="234"/>
        <v>30</v>
      </c>
      <c r="G7180" s="30" t="s">
        <v>9</v>
      </c>
      <c r="J7180" s="30" t="s">
        <v>392</v>
      </c>
    </row>
    <row r="7181" spans="1:10" x14ac:dyDescent="0.25">
      <c r="A7181" s="78">
        <v>46283</v>
      </c>
      <c r="B7181" s="68">
        <v>21</v>
      </c>
      <c r="C7181" s="209" t="s">
        <v>1478</v>
      </c>
      <c r="D7181" s="30">
        <v>1</v>
      </c>
      <c r="E7181" s="30">
        <v>44</v>
      </c>
      <c r="F7181" s="30">
        <f t="shared" si="234"/>
        <v>44</v>
      </c>
      <c r="G7181" s="30" t="s">
        <v>9</v>
      </c>
      <c r="J7181" s="30" t="s">
        <v>392</v>
      </c>
    </row>
    <row r="7182" spans="1:10" x14ac:dyDescent="0.25">
      <c r="A7182" s="78">
        <v>46283</v>
      </c>
      <c r="B7182" s="68">
        <v>22</v>
      </c>
      <c r="C7182" s="209" t="s">
        <v>1484</v>
      </c>
      <c r="D7182" s="30">
        <v>2</v>
      </c>
      <c r="E7182" s="30">
        <v>10</v>
      </c>
      <c r="F7182" s="30">
        <f t="shared" si="234"/>
        <v>20</v>
      </c>
      <c r="G7182" s="30" t="s">
        <v>9</v>
      </c>
      <c r="J7182" s="30" t="s">
        <v>392</v>
      </c>
    </row>
    <row r="7183" spans="1:10" x14ac:dyDescent="0.25">
      <c r="A7183" s="78">
        <v>46283</v>
      </c>
      <c r="B7183" s="68">
        <v>22</v>
      </c>
      <c r="C7183" s="209" t="s">
        <v>1484</v>
      </c>
      <c r="D7183" s="30">
        <v>2</v>
      </c>
      <c r="E7183" s="30">
        <v>10</v>
      </c>
      <c r="F7183" s="30">
        <f t="shared" si="234"/>
        <v>20</v>
      </c>
      <c r="G7183" s="30" t="s">
        <v>9</v>
      </c>
      <c r="J7183" s="30" t="s">
        <v>392</v>
      </c>
    </row>
    <row r="7184" spans="1:10" x14ac:dyDescent="0.25">
      <c r="A7184" s="78">
        <v>46283</v>
      </c>
      <c r="B7184" s="68">
        <v>22</v>
      </c>
      <c r="C7184" s="209" t="s">
        <v>1467</v>
      </c>
      <c r="D7184" s="30">
        <v>1</v>
      </c>
      <c r="E7184" s="30">
        <v>20</v>
      </c>
      <c r="F7184" s="30">
        <f t="shared" si="234"/>
        <v>20</v>
      </c>
      <c r="G7184" s="30" t="s">
        <v>9</v>
      </c>
      <c r="J7184" s="30" t="s">
        <v>392</v>
      </c>
    </row>
    <row r="7185" spans="1:12" x14ac:dyDescent="0.25">
      <c r="A7185" s="78">
        <v>46283</v>
      </c>
      <c r="B7185" s="68">
        <v>23</v>
      </c>
      <c r="C7185" s="205" t="s">
        <v>515</v>
      </c>
      <c r="D7185" s="30">
        <v>0.25</v>
      </c>
      <c r="E7185" s="30">
        <v>80</v>
      </c>
      <c r="F7185" s="30">
        <f t="shared" si="234"/>
        <v>20</v>
      </c>
      <c r="G7185" s="30" t="s">
        <v>9</v>
      </c>
      <c r="J7185" s="30" t="s">
        <v>392</v>
      </c>
    </row>
    <row r="7186" spans="1:12" x14ac:dyDescent="0.25">
      <c r="A7186" s="78">
        <v>46283</v>
      </c>
      <c r="B7186" s="68">
        <v>23</v>
      </c>
      <c r="C7186" s="209" t="s">
        <v>1381</v>
      </c>
      <c r="D7186" s="30">
        <v>1</v>
      </c>
      <c r="E7186" s="30">
        <v>20</v>
      </c>
      <c r="F7186" s="30">
        <f t="shared" si="234"/>
        <v>20</v>
      </c>
      <c r="G7186" s="30" t="s">
        <v>9</v>
      </c>
      <c r="J7186" s="30" t="s">
        <v>392</v>
      </c>
    </row>
    <row r="7187" spans="1:12" x14ac:dyDescent="0.25">
      <c r="A7187" s="78">
        <v>46283</v>
      </c>
      <c r="B7187" s="68">
        <v>23</v>
      </c>
      <c r="C7187" s="205" t="s">
        <v>539</v>
      </c>
      <c r="D7187" s="30">
        <v>1</v>
      </c>
      <c r="E7187" s="30">
        <v>20</v>
      </c>
      <c r="F7187" s="30">
        <f t="shared" si="234"/>
        <v>20</v>
      </c>
      <c r="G7187" s="30" t="s">
        <v>9</v>
      </c>
      <c r="J7187" s="30" t="s">
        <v>392</v>
      </c>
    </row>
    <row r="7188" spans="1:12" x14ac:dyDescent="0.25">
      <c r="A7188" s="78">
        <v>46283</v>
      </c>
      <c r="B7188" s="68">
        <v>23</v>
      </c>
      <c r="C7188" s="205" t="s">
        <v>533</v>
      </c>
      <c r="D7188" s="30">
        <v>1</v>
      </c>
      <c r="E7188" s="30">
        <v>10</v>
      </c>
      <c r="F7188" s="30">
        <f t="shared" si="234"/>
        <v>10</v>
      </c>
      <c r="G7188" s="30" t="s">
        <v>9</v>
      </c>
      <c r="J7188" s="30" t="s">
        <v>392</v>
      </c>
    </row>
    <row r="7189" spans="1:12" x14ac:dyDescent="0.25">
      <c r="A7189" s="78">
        <v>46283</v>
      </c>
      <c r="B7189" s="68">
        <v>23</v>
      </c>
      <c r="C7189" s="209" t="s">
        <v>1448</v>
      </c>
      <c r="D7189" s="30">
        <v>1</v>
      </c>
      <c r="E7189" s="30">
        <v>10</v>
      </c>
      <c r="F7189" s="30">
        <f t="shared" si="234"/>
        <v>10</v>
      </c>
      <c r="G7189" s="30" t="s">
        <v>9</v>
      </c>
      <c r="J7189" s="30" t="s">
        <v>392</v>
      </c>
    </row>
    <row r="7190" spans="1:12" x14ac:dyDescent="0.25">
      <c r="A7190" s="78">
        <v>46283</v>
      </c>
      <c r="B7190" s="68">
        <v>24</v>
      </c>
      <c r="C7190" s="205" t="s">
        <v>892</v>
      </c>
      <c r="D7190" s="30">
        <v>1</v>
      </c>
      <c r="E7190" s="30">
        <v>10</v>
      </c>
      <c r="F7190" s="30">
        <f t="shared" si="234"/>
        <v>10</v>
      </c>
      <c r="G7190" s="30" t="s">
        <v>9</v>
      </c>
      <c r="J7190" s="30" t="s">
        <v>392</v>
      </c>
    </row>
    <row r="7191" spans="1:12" x14ac:dyDescent="0.25">
      <c r="A7191" s="78">
        <v>46283</v>
      </c>
      <c r="B7191" s="68">
        <v>24</v>
      </c>
      <c r="C7191" s="209" t="s">
        <v>1377</v>
      </c>
      <c r="D7191" s="30">
        <v>1</v>
      </c>
      <c r="E7191" s="30">
        <v>10</v>
      </c>
      <c r="F7191" s="30">
        <f t="shared" si="234"/>
        <v>10</v>
      </c>
      <c r="G7191" s="30" t="s">
        <v>9</v>
      </c>
      <c r="J7191" s="30" t="s">
        <v>392</v>
      </c>
    </row>
    <row r="7192" spans="1:12" x14ac:dyDescent="0.25">
      <c r="A7192" s="78">
        <v>46283</v>
      </c>
      <c r="B7192" s="68">
        <v>25</v>
      </c>
      <c r="C7192" s="209" t="s">
        <v>1500</v>
      </c>
      <c r="D7192" s="30">
        <v>1</v>
      </c>
      <c r="E7192" s="30">
        <v>5</v>
      </c>
      <c r="F7192" s="30">
        <f t="shared" si="234"/>
        <v>5</v>
      </c>
      <c r="G7192" s="30" t="s">
        <v>9</v>
      </c>
      <c r="J7192" s="30" t="s">
        <v>392</v>
      </c>
    </row>
    <row r="7193" spans="1:12" x14ac:dyDescent="0.25">
      <c r="A7193" s="78">
        <v>46283</v>
      </c>
      <c r="B7193" s="68">
        <v>26</v>
      </c>
      <c r="C7193" s="205" t="s">
        <v>752</v>
      </c>
      <c r="D7193" s="30">
        <v>1</v>
      </c>
      <c r="E7193" s="30">
        <v>50</v>
      </c>
      <c r="F7193" s="30">
        <f t="shared" si="234"/>
        <v>50</v>
      </c>
      <c r="G7193" s="30" t="s">
        <v>9</v>
      </c>
      <c r="J7193" s="30" t="s">
        <v>392</v>
      </c>
    </row>
    <row r="7194" spans="1:12" x14ac:dyDescent="0.25">
      <c r="A7194" s="78">
        <v>46283</v>
      </c>
      <c r="B7194" s="68">
        <v>27</v>
      </c>
      <c r="C7194" s="209" t="s">
        <v>1484</v>
      </c>
      <c r="D7194" s="30">
        <v>2</v>
      </c>
      <c r="E7194" s="30">
        <v>10</v>
      </c>
      <c r="F7194" s="30">
        <f t="shared" si="234"/>
        <v>20</v>
      </c>
      <c r="G7194" s="30" t="s">
        <v>9</v>
      </c>
      <c r="J7194" s="30" t="s">
        <v>392</v>
      </c>
    </row>
    <row r="7195" spans="1:12" x14ac:dyDescent="0.25">
      <c r="A7195" s="78">
        <v>46283</v>
      </c>
      <c r="B7195" s="68">
        <v>28</v>
      </c>
      <c r="C7195" s="205" t="s">
        <v>948</v>
      </c>
      <c r="D7195" s="30">
        <v>1</v>
      </c>
      <c r="E7195" s="30">
        <v>210</v>
      </c>
      <c r="F7195" s="30">
        <f t="shared" si="234"/>
        <v>210</v>
      </c>
      <c r="G7195" s="30" t="s">
        <v>16</v>
      </c>
      <c r="I7195" s="68" t="s">
        <v>1492</v>
      </c>
      <c r="J7195" s="30" t="s">
        <v>392</v>
      </c>
    </row>
    <row r="7196" spans="1:12" x14ac:dyDescent="0.25">
      <c r="A7196" s="78">
        <v>46283</v>
      </c>
      <c r="B7196" s="68">
        <v>29</v>
      </c>
      <c r="C7196" s="209" t="s">
        <v>1377</v>
      </c>
      <c r="D7196" s="30">
        <v>1</v>
      </c>
      <c r="E7196" s="30">
        <v>10</v>
      </c>
      <c r="F7196" s="30">
        <f t="shared" si="234"/>
        <v>10</v>
      </c>
      <c r="G7196" s="30" t="s">
        <v>16</v>
      </c>
      <c r="I7196" s="68" t="s">
        <v>1518</v>
      </c>
      <c r="J7196" s="30" t="s">
        <v>392</v>
      </c>
    </row>
    <row r="7197" spans="1:12" s="199" customFormat="1" ht="31.5" x14ac:dyDescent="0.25">
      <c r="A7197" s="196">
        <v>46283</v>
      </c>
      <c r="B7197" s="197" t="s">
        <v>1248</v>
      </c>
      <c r="C7197" s="198">
        <f>MAX(B7171:B7197)</f>
        <v>29</v>
      </c>
      <c r="D7197" s="197" t="s">
        <v>1249</v>
      </c>
      <c r="E7197" s="199">
        <f>SUMIF(G7171:G7197,"UPI",F7171:F7197)</f>
        <v>0</v>
      </c>
      <c r="H7197" s="200" t="s">
        <v>1251</v>
      </c>
      <c r="I7197" s="200">
        <f>SUMIF(G7171:G7197, "&lt;&gt;UPI",F7171:F7197)</f>
        <v>634</v>
      </c>
    </row>
    <row r="7198" spans="1:12" s="5" customFormat="1" ht="15.75" x14ac:dyDescent="0.25">
      <c r="A7198" s="201">
        <v>46283</v>
      </c>
      <c r="B7198" s="2"/>
      <c r="C7198" s="14"/>
      <c r="H7198" s="2" t="s">
        <v>1250</v>
      </c>
      <c r="I7198" s="2">
        <f>SUMIF(G7146:G7197, "&lt;&gt;UPI",F7146:F7197)</f>
        <v>1249.05</v>
      </c>
    </row>
    <row r="7199" spans="1:12" s="202" customFormat="1" ht="18.75" customHeight="1" x14ac:dyDescent="0.3">
      <c r="A7199" s="146">
        <v>46283</v>
      </c>
      <c r="B7199" s="147" t="s">
        <v>987</v>
      </c>
      <c r="C7199" s="148">
        <f>MAX(B7146:B7198)</f>
        <v>29</v>
      </c>
      <c r="D7199" s="147" t="s">
        <v>988</v>
      </c>
      <c r="E7199" s="202">
        <f>SUMIF(G7146:G7197,"UPI",F7146:F7197)</f>
        <v>70</v>
      </c>
      <c r="F7199" s="227" t="s">
        <v>437</v>
      </c>
      <c r="G7199" s="228"/>
      <c r="H7199" s="229"/>
      <c r="I7199" s="227">
        <f>SUM(F7146:F7198)</f>
        <v>1319.05</v>
      </c>
      <c r="J7199" s="228"/>
      <c r="K7199" s="228"/>
      <c r="L7199" s="229"/>
    </row>
    <row r="7200" spans="1:12" x14ac:dyDescent="0.25">
      <c r="A7200" s="78">
        <v>46284</v>
      </c>
      <c r="B7200" s="68">
        <v>1</v>
      </c>
      <c r="C7200" s="209" t="s">
        <v>1484</v>
      </c>
      <c r="D7200" s="30">
        <v>3</v>
      </c>
      <c r="E7200" s="30">
        <v>10</v>
      </c>
      <c r="F7200" s="30">
        <f>E7200*D7200</f>
        <v>30</v>
      </c>
      <c r="G7200" s="30" t="s">
        <v>9</v>
      </c>
      <c r="J7200" s="30" t="s">
        <v>392</v>
      </c>
    </row>
    <row r="7201" spans="1:10" x14ac:dyDescent="0.25">
      <c r="A7201" s="78">
        <v>46284</v>
      </c>
      <c r="B7201" s="68">
        <v>1</v>
      </c>
      <c r="C7201" s="33" t="s">
        <v>1516</v>
      </c>
      <c r="D7201" s="30">
        <v>2</v>
      </c>
      <c r="E7201" s="30">
        <v>5</v>
      </c>
      <c r="F7201" s="30">
        <f t="shared" ref="F7201:F7216" si="235">E7201*D7201</f>
        <v>10</v>
      </c>
      <c r="G7201" s="30" t="s">
        <v>9</v>
      </c>
      <c r="J7201" s="30" t="s">
        <v>392</v>
      </c>
    </row>
    <row r="7202" spans="1:10" x14ac:dyDescent="0.25">
      <c r="A7202" s="78">
        <v>46284</v>
      </c>
      <c r="B7202" s="68">
        <v>2</v>
      </c>
      <c r="C7202" s="205" t="s">
        <v>1055</v>
      </c>
      <c r="D7202" s="30">
        <v>5</v>
      </c>
      <c r="E7202" s="30">
        <v>2</v>
      </c>
      <c r="F7202" s="30">
        <f t="shared" si="235"/>
        <v>10</v>
      </c>
      <c r="G7202" s="30" t="s">
        <v>9</v>
      </c>
      <c r="J7202" s="30" t="s">
        <v>392</v>
      </c>
    </row>
    <row r="7203" spans="1:10" x14ac:dyDescent="0.25">
      <c r="A7203" s="78">
        <v>46284</v>
      </c>
      <c r="B7203" s="68">
        <v>3</v>
      </c>
      <c r="C7203" s="33" t="s">
        <v>535</v>
      </c>
      <c r="D7203" s="30">
        <v>1</v>
      </c>
      <c r="E7203" s="30">
        <v>10</v>
      </c>
      <c r="F7203" s="30">
        <f t="shared" si="235"/>
        <v>10</v>
      </c>
      <c r="G7203" s="30" t="s">
        <v>9</v>
      </c>
      <c r="J7203" s="30" t="s">
        <v>392</v>
      </c>
    </row>
    <row r="7204" spans="1:10" x14ac:dyDescent="0.25">
      <c r="A7204" s="78">
        <v>46284</v>
      </c>
      <c r="B7204" s="68">
        <v>3</v>
      </c>
      <c r="C7204" s="33" t="s">
        <v>1368</v>
      </c>
      <c r="D7204" s="30">
        <v>1</v>
      </c>
      <c r="E7204" s="30">
        <v>10</v>
      </c>
      <c r="F7204" s="30">
        <f t="shared" si="235"/>
        <v>10</v>
      </c>
      <c r="G7204" s="30" t="s">
        <v>9</v>
      </c>
      <c r="J7204" s="30" t="s">
        <v>392</v>
      </c>
    </row>
    <row r="7205" spans="1:10" ht="30" x14ac:dyDescent="0.25">
      <c r="A7205" s="78">
        <v>46284</v>
      </c>
      <c r="B7205" s="68">
        <v>4</v>
      </c>
      <c r="C7205" s="209" t="s">
        <v>1459</v>
      </c>
      <c r="D7205" s="30">
        <v>2</v>
      </c>
      <c r="E7205" s="30">
        <v>10</v>
      </c>
      <c r="F7205" s="30">
        <f t="shared" si="235"/>
        <v>20</v>
      </c>
      <c r="G7205" s="30" t="s">
        <v>9</v>
      </c>
      <c r="J7205" s="30" t="s">
        <v>392</v>
      </c>
    </row>
    <row r="7206" spans="1:10" ht="30" x14ac:dyDescent="0.25">
      <c r="A7206" s="78">
        <v>46284</v>
      </c>
      <c r="B7206" s="68">
        <v>5</v>
      </c>
      <c r="C7206" s="205" t="s">
        <v>974</v>
      </c>
      <c r="D7206" s="30">
        <v>1</v>
      </c>
      <c r="E7206" s="30">
        <v>70</v>
      </c>
      <c r="F7206" s="30">
        <f t="shared" si="235"/>
        <v>70</v>
      </c>
      <c r="G7206" s="30" t="s">
        <v>9</v>
      </c>
      <c r="J7206" s="30" t="s">
        <v>392</v>
      </c>
    </row>
    <row r="7207" spans="1:10" ht="30" x14ac:dyDescent="0.25">
      <c r="A7207" s="78">
        <v>46284</v>
      </c>
      <c r="B7207" s="68">
        <v>5</v>
      </c>
      <c r="C7207" s="205" t="s">
        <v>973</v>
      </c>
      <c r="D7207" s="30">
        <v>1</v>
      </c>
      <c r="E7207" s="30">
        <v>25</v>
      </c>
      <c r="F7207" s="30">
        <f t="shared" si="235"/>
        <v>25</v>
      </c>
      <c r="G7207" s="30" t="s">
        <v>9</v>
      </c>
      <c r="J7207" s="30" t="s">
        <v>392</v>
      </c>
    </row>
    <row r="7208" spans="1:10" x14ac:dyDescent="0.25">
      <c r="A7208" s="78">
        <v>46284</v>
      </c>
      <c r="B7208" s="68">
        <v>6</v>
      </c>
      <c r="C7208" s="209" t="s">
        <v>1484</v>
      </c>
      <c r="D7208" s="30">
        <v>2</v>
      </c>
      <c r="E7208" s="30">
        <v>10</v>
      </c>
      <c r="F7208" s="30">
        <f t="shared" si="235"/>
        <v>20</v>
      </c>
      <c r="G7208" s="30" t="s">
        <v>9</v>
      </c>
      <c r="J7208" s="30" t="s">
        <v>392</v>
      </c>
    </row>
    <row r="7209" spans="1:10" x14ac:dyDescent="0.25">
      <c r="A7209" s="78">
        <v>46284</v>
      </c>
      <c r="B7209" s="68">
        <v>7</v>
      </c>
      <c r="C7209" s="209" t="s">
        <v>1395</v>
      </c>
      <c r="D7209" s="30">
        <v>1</v>
      </c>
      <c r="E7209" s="30">
        <v>30</v>
      </c>
      <c r="F7209" s="30">
        <f t="shared" si="235"/>
        <v>30</v>
      </c>
      <c r="G7209" s="30" t="s">
        <v>9</v>
      </c>
      <c r="J7209" s="30" t="s">
        <v>392</v>
      </c>
    </row>
    <row r="7210" spans="1:10" x14ac:dyDescent="0.25">
      <c r="A7210" s="78">
        <v>46284</v>
      </c>
      <c r="B7210" s="68">
        <v>8</v>
      </c>
      <c r="C7210" s="205" t="s">
        <v>1129</v>
      </c>
      <c r="D7210" s="30">
        <v>1</v>
      </c>
      <c r="E7210" s="30">
        <v>48</v>
      </c>
      <c r="F7210" s="30">
        <f t="shared" si="235"/>
        <v>48</v>
      </c>
      <c r="G7210" s="30" t="s">
        <v>10</v>
      </c>
      <c r="J7210" s="30" t="s">
        <v>392</v>
      </c>
    </row>
    <row r="7211" spans="1:10" x14ac:dyDescent="0.25">
      <c r="A7211" s="78">
        <v>46284</v>
      </c>
      <c r="B7211" s="68">
        <v>8</v>
      </c>
      <c r="C7211" s="205" t="s">
        <v>1269</v>
      </c>
      <c r="D7211" s="30">
        <v>1</v>
      </c>
      <c r="E7211" s="30">
        <v>30</v>
      </c>
      <c r="F7211" s="30">
        <f t="shared" si="235"/>
        <v>30</v>
      </c>
      <c r="G7211" s="30" t="s">
        <v>10</v>
      </c>
      <c r="J7211" s="30" t="s">
        <v>392</v>
      </c>
    </row>
    <row r="7212" spans="1:10" x14ac:dyDescent="0.25">
      <c r="A7212" s="78">
        <v>46284</v>
      </c>
      <c r="B7212" s="68">
        <v>8</v>
      </c>
      <c r="C7212" s="209" t="s">
        <v>1392</v>
      </c>
      <c r="D7212" s="30">
        <v>1</v>
      </c>
      <c r="E7212" s="30">
        <v>10</v>
      </c>
      <c r="F7212" s="30">
        <f t="shared" si="235"/>
        <v>10</v>
      </c>
      <c r="G7212" s="30" t="s">
        <v>10</v>
      </c>
      <c r="J7212" s="30" t="s">
        <v>392</v>
      </c>
    </row>
    <row r="7213" spans="1:10" x14ac:dyDescent="0.25">
      <c r="A7213" s="78">
        <v>46284</v>
      </c>
      <c r="B7213" s="68">
        <v>9</v>
      </c>
      <c r="C7213" s="209" t="s">
        <v>1484</v>
      </c>
      <c r="D7213" s="30">
        <v>2</v>
      </c>
      <c r="E7213" s="30">
        <v>10</v>
      </c>
      <c r="F7213" s="30">
        <f t="shared" si="235"/>
        <v>20</v>
      </c>
      <c r="G7213" s="30" t="s">
        <v>9</v>
      </c>
      <c r="J7213" s="30" t="s">
        <v>392</v>
      </c>
    </row>
    <row r="7214" spans="1:10" x14ac:dyDescent="0.25">
      <c r="A7214" s="78">
        <v>46284</v>
      </c>
      <c r="B7214" s="68">
        <v>10</v>
      </c>
      <c r="C7214" s="209" t="s">
        <v>1483</v>
      </c>
      <c r="D7214" s="30">
        <v>1</v>
      </c>
      <c r="E7214" s="30">
        <v>50</v>
      </c>
      <c r="F7214" s="30">
        <f t="shared" si="235"/>
        <v>50</v>
      </c>
      <c r="G7214" s="30" t="s">
        <v>9</v>
      </c>
      <c r="J7214" s="30" t="s">
        <v>392</v>
      </c>
    </row>
    <row r="7215" spans="1:10" x14ac:dyDescent="0.25">
      <c r="A7215" s="78">
        <v>46284</v>
      </c>
      <c r="B7215" s="68">
        <v>11</v>
      </c>
      <c r="C7215" s="209" t="s">
        <v>1486</v>
      </c>
      <c r="D7215" s="30">
        <v>1</v>
      </c>
      <c r="E7215" s="30">
        <v>60</v>
      </c>
      <c r="F7215" s="30">
        <f t="shared" si="235"/>
        <v>60</v>
      </c>
      <c r="G7215" s="30" t="s">
        <v>9</v>
      </c>
      <c r="J7215" s="30" t="s">
        <v>392</v>
      </c>
    </row>
    <row r="7216" spans="1:10" x14ac:dyDescent="0.25">
      <c r="A7216" s="78">
        <v>46284</v>
      </c>
      <c r="B7216" s="68">
        <v>12</v>
      </c>
      <c r="C7216" s="209" t="s">
        <v>1380</v>
      </c>
      <c r="D7216" s="30">
        <v>2</v>
      </c>
      <c r="E7216" s="30">
        <v>10</v>
      </c>
      <c r="F7216" s="30">
        <f t="shared" si="235"/>
        <v>20</v>
      </c>
      <c r="G7216" s="30" t="s">
        <v>9</v>
      </c>
      <c r="J7216" s="30" t="s">
        <v>392</v>
      </c>
    </row>
    <row r="7217" spans="1:12" s="199" customFormat="1" ht="31.5" x14ac:dyDescent="0.25">
      <c r="A7217" s="196">
        <v>46284</v>
      </c>
      <c r="B7217" s="197" t="s">
        <v>1248</v>
      </c>
      <c r="C7217" s="198">
        <f>MAX(B7200:B7217)</f>
        <v>12</v>
      </c>
      <c r="D7217" s="197" t="s">
        <v>1249</v>
      </c>
      <c r="E7217" s="199">
        <f>SUMIF(G7200:G7217,"UPI",F7200:F7217)</f>
        <v>88</v>
      </c>
      <c r="H7217" s="200" t="s">
        <v>1251</v>
      </c>
      <c r="I7217" s="200">
        <f>SUMIF(G7200:G7217, "&lt;&gt;UPI",F7200:F7217)</f>
        <v>385</v>
      </c>
    </row>
    <row r="7218" spans="1:12" s="5" customFormat="1" ht="15.75" x14ac:dyDescent="0.25">
      <c r="A7218" s="201">
        <v>46284</v>
      </c>
      <c r="B7218" s="2"/>
      <c r="C7218" s="14"/>
      <c r="H7218" s="2" t="s">
        <v>1250</v>
      </c>
      <c r="I7218" s="2">
        <f>SUMIF(G7200:G7217, "&lt;&gt;UPI",F7200:F7217)</f>
        <v>385</v>
      </c>
    </row>
    <row r="7219" spans="1:12" s="202" customFormat="1" ht="18.75" customHeight="1" x14ac:dyDescent="0.3">
      <c r="A7219" s="146">
        <v>46284</v>
      </c>
      <c r="B7219" s="147" t="s">
        <v>987</v>
      </c>
      <c r="C7219" s="148">
        <f>MAX(B7200:B7218)</f>
        <v>12</v>
      </c>
      <c r="D7219" s="147" t="s">
        <v>988</v>
      </c>
      <c r="E7219" s="202">
        <f>SUMIF(G7200:G7217,"UPI",F7200:F7217)</f>
        <v>88</v>
      </c>
      <c r="F7219" s="227" t="s">
        <v>437</v>
      </c>
      <c r="G7219" s="228"/>
      <c r="H7219" s="229"/>
      <c r="I7219" s="227">
        <f>SUM(F7200:F7218)</f>
        <v>473</v>
      </c>
      <c r="J7219" s="228"/>
      <c r="K7219" s="228"/>
      <c r="L7219" s="229"/>
    </row>
    <row r="7220" spans="1:12" x14ac:dyDescent="0.25">
      <c r="A7220" s="78">
        <v>46285</v>
      </c>
      <c r="B7220" s="68">
        <v>1</v>
      </c>
      <c r="C7220" s="209" t="s">
        <v>1379</v>
      </c>
      <c r="D7220" s="30">
        <v>1</v>
      </c>
      <c r="E7220" s="30">
        <v>40</v>
      </c>
      <c r="F7220" s="30">
        <f>E7220*D7220</f>
        <v>40</v>
      </c>
      <c r="G7220" s="30" t="s">
        <v>9</v>
      </c>
      <c r="J7220" s="30" t="s">
        <v>391</v>
      </c>
    </row>
    <row r="7221" spans="1:12" x14ac:dyDescent="0.25">
      <c r="A7221" s="78">
        <v>46285</v>
      </c>
      <c r="B7221" s="68">
        <v>1</v>
      </c>
      <c r="C7221" s="209" t="s">
        <v>1513</v>
      </c>
      <c r="D7221" s="30">
        <v>4</v>
      </c>
      <c r="E7221" s="30">
        <v>8.5</v>
      </c>
      <c r="F7221" s="30">
        <f t="shared" ref="F7221:F7251" si="236">E7221*D7221</f>
        <v>34</v>
      </c>
      <c r="G7221" s="30" t="s">
        <v>9</v>
      </c>
      <c r="J7221" s="30" t="s">
        <v>391</v>
      </c>
    </row>
    <row r="7222" spans="1:12" x14ac:dyDescent="0.25">
      <c r="A7222" s="78">
        <v>46285</v>
      </c>
      <c r="B7222" s="68">
        <v>1</v>
      </c>
      <c r="C7222" s="205" t="s">
        <v>1166</v>
      </c>
      <c r="D7222" s="30">
        <v>5</v>
      </c>
      <c r="E7222" s="30">
        <v>1</v>
      </c>
      <c r="F7222" s="30">
        <f t="shared" si="236"/>
        <v>5</v>
      </c>
      <c r="G7222" s="30" t="s">
        <v>9</v>
      </c>
      <c r="J7222" s="30" t="s">
        <v>391</v>
      </c>
    </row>
    <row r="7223" spans="1:12" x14ac:dyDescent="0.25">
      <c r="A7223" s="78">
        <v>46285</v>
      </c>
      <c r="B7223" s="68">
        <v>2</v>
      </c>
      <c r="C7223" s="209" t="s">
        <v>1409</v>
      </c>
      <c r="D7223" s="30">
        <v>1</v>
      </c>
      <c r="E7223" s="30">
        <v>30</v>
      </c>
      <c r="F7223" s="30">
        <f t="shared" si="236"/>
        <v>30</v>
      </c>
      <c r="G7223" s="30" t="s">
        <v>9</v>
      </c>
      <c r="J7223" s="30" t="s">
        <v>391</v>
      </c>
    </row>
    <row r="7224" spans="1:12" x14ac:dyDescent="0.25">
      <c r="A7224" s="78">
        <v>46285</v>
      </c>
      <c r="B7224" s="68">
        <v>3</v>
      </c>
      <c r="C7224" s="209" t="s">
        <v>1443</v>
      </c>
      <c r="D7224" s="30">
        <v>1</v>
      </c>
      <c r="E7224" s="30">
        <v>10</v>
      </c>
      <c r="F7224" s="30">
        <f t="shared" si="236"/>
        <v>10</v>
      </c>
      <c r="G7224" s="30" t="s">
        <v>9</v>
      </c>
      <c r="J7224" s="30" t="s">
        <v>391</v>
      </c>
    </row>
    <row r="7225" spans="1:12" x14ac:dyDescent="0.25">
      <c r="A7225" s="78">
        <v>46285</v>
      </c>
      <c r="B7225" s="68">
        <v>3</v>
      </c>
      <c r="C7225" s="209" t="s">
        <v>1503</v>
      </c>
      <c r="D7225" s="30">
        <v>2</v>
      </c>
      <c r="E7225" s="30">
        <v>2</v>
      </c>
      <c r="F7225" s="30">
        <f t="shared" si="236"/>
        <v>4</v>
      </c>
      <c r="G7225" s="30" t="s">
        <v>9</v>
      </c>
      <c r="J7225" s="30" t="s">
        <v>391</v>
      </c>
    </row>
    <row r="7226" spans="1:12" x14ac:dyDescent="0.25">
      <c r="A7226" s="78">
        <v>46285</v>
      </c>
      <c r="B7226" s="68">
        <v>4</v>
      </c>
      <c r="C7226" s="209" t="s">
        <v>1513</v>
      </c>
      <c r="D7226" s="30">
        <v>4</v>
      </c>
      <c r="E7226" s="30">
        <v>8.5</v>
      </c>
      <c r="F7226" s="30">
        <f t="shared" si="236"/>
        <v>34</v>
      </c>
      <c r="G7226" s="30" t="s">
        <v>9</v>
      </c>
      <c r="J7226" s="30" t="s">
        <v>391</v>
      </c>
    </row>
    <row r="7227" spans="1:12" x14ac:dyDescent="0.25">
      <c r="A7227" s="78">
        <v>46285</v>
      </c>
      <c r="B7227" s="68">
        <v>4</v>
      </c>
      <c r="C7227" s="209" t="s">
        <v>1380</v>
      </c>
      <c r="D7227" s="30">
        <v>2</v>
      </c>
      <c r="E7227" s="30">
        <v>10</v>
      </c>
      <c r="F7227" s="30">
        <f t="shared" si="236"/>
        <v>20</v>
      </c>
      <c r="G7227" s="30" t="s">
        <v>9</v>
      </c>
      <c r="J7227" s="30" t="s">
        <v>391</v>
      </c>
    </row>
    <row r="7228" spans="1:12" x14ac:dyDescent="0.25">
      <c r="A7228" s="78">
        <v>46285</v>
      </c>
      <c r="B7228" s="68">
        <v>4</v>
      </c>
      <c r="C7228" s="205" t="s">
        <v>1166</v>
      </c>
      <c r="D7228" s="30">
        <v>5</v>
      </c>
      <c r="E7228" s="30">
        <v>1</v>
      </c>
      <c r="F7228" s="30">
        <f t="shared" si="236"/>
        <v>5</v>
      </c>
      <c r="G7228" s="30" t="s">
        <v>9</v>
      </c>
      <c r="J7228" s="30" t="s">
        <v>391</v>
      </c>
    </row>
    <row r="7229" spans="1:12" ht="30" x14ac:dyDescent="0.25">
      <c r="A7229" s="78">
        <v>46285</v>
      </c>
      <c r="B7229" s="68">
        <v>5</v>
      </c>
      <c r="C7229" s="209" t="s">
        <v>1458</v>
      </c>
      <c r="D7229" s="30">
        <v>1</v>
      </c>
      <c r="E7229" s="30">
        <v>135</v>
      </c>
      <c r="F7229" s="30">
        <f t="shared" si="236"/>
        <v>135</v>
      </c>
      <c r="G7229" s="30" t="s">
        <v>9</v>
      </c>
      <c r="J7229" s="30" t="s">
        <v>391</v>
      </c>
    </row>
    <row r="7230" spans="1:12" x14ac:dyDescent="0.25">
      <c r="A7230" s="78">
        <v>46285</v>
      </c>
      <c r="B7230" s="68">
        <v>5</v>
      </c>
      <c r="C7230" s="209" t="s">
        <v>1482</v>
      </c>
      <c r="D7230" s="30">
        <v>0.5</v>
      </c>
      <c r="E7230" s="30">
        <v>60</v>
      </c>
      <c r="F7230" s="30">
        <f t="shared" si="236"/>
        <v>30</v>
      </c>
      <c r="G7230" s="30" t="s">
        <v>9</v>
      </c>
      <c r="J7230" s="30" t="s">
        <v>391</v>
      </c>
    </row>
    <row r="7231" spans="1:12" x14ac:dyDescent="0.25">
      <c r="A7231" s="78">
        <v>46285</v>
      </c>
      <c r="B7231" s="68">
        <v>6</v>
      </c>
      <c r="C7231" s="205" t="s">
        <v>1431</v>
      </c>
      <c r="D7231" s="30">
        <v>4</v>
      </c>
      <c r="E7231" s="30">
        <v>5</v>
      </c>
      <c r="F7231" s="30">
        <f t="shared" si="236"/>
        <v>20</v>
      </c>
      <c r="G7231" s="30" t="s">
        <v>9</v>
      </c>
      <c r="J7231" s="30" t="s">
        <v>391</v>
      </c>
    </row>
    <row r="7232" spans="1:12" x14ac:dyDescent="0.25">
      <c r="A7232" s="78">
        <v>46285</v>
      </c>
      <c r="B7232" s="68">
        <v>5</v>
      </c>
      <c r="C7232" s="205" t="s">
        <v>80</v>
      </c>
      <c r="D7232" s="30">
        <v>1</v>
      </c>
      <c r="E7232" s="30">
        <v>40</v>
      </c>
      <c r="F7232" s="30">
        <f t="shared" si="236"/>
        <v>40</v>
      </c>
      <c r="G7232" s="30" t="s">
        <v>9</v>
      </c>
      <c r="J7232" s="30" t="s">
        <v>391</v>
      </c>
    </row>
    <row r="7233" spans="1:10" x14ac:dyDescent="0.25">
      <c r="A7233" s="78">
        <v>46285</v>
      </c>
      <c r="B7233" s="68">
        <v>5</v>
      </c>
      <c r="C7233" s="209" t="s">
        <v>1386</v>
      </c>
      <c r="D7233" s="30">
        <v>1</v>
      </c>
      <c r="E7233" s="30">
        <v>40</v>
      </c>
      <c r="F7233" s="30">
        <f t="shared" si="236"/>
        <v>40</v>
      </c>
      <c r="G7233" s="30" t="s">
        <v>9</v>
      </c>
      <c r="J7233" s="30" t="s">
        <v>391</v>
      </c>
    </row>
    <row r="7234" spans="1:10" x14ac:dyDescent="0.25">
      <c r="A7234" s="78">
        <v>46285</v>
      </c>
      <c r="B7234" s="68">
        <v>7</v>
      </c>
      <c r="C7234" s="209" t="s">
        <v>1437</v>
      </c>
      <c r="D7234" s="30">
        <v>4</v>
      </c>
      <c r="E7234" s="30">
        <v>8.5</v>
      </c>
      <c r="F7234" s="30">
        <f t="shared" si="236"/>
        <v>34</v>
      </c>
      <c r="G7234" s="30" t="s">
        <v>9</v>
      </c>
      <c r="J7234" s="30" t="s">
        <v>391</v>
      </c>
    </row>
    <row r="7235" spans="1:10" x14ac:dyDescent="0.25">
      <c r="A7235" s="78">
        <v>46285</v>
      </c>
      <c r="B7235" s="68">
        <v>7</v>
      </c>
      <c r="C7235" s="205" t="s">
        <v>520</v>
      </c>
      <c r="D7235" s="30">
        <v>1</v>
      </c>
      <c r="E7235" s="30">
        <v>10</v>
      </c>
      <c r="F7235" s="30">
        <f t="shared" si="236"/>
        <v>10</v>
      </c>
      <c r="G7235" s="30" t="s">
        <v>9</v>
      </c>
      <c r="J7235" s="30" t="s">
        <v>391</v>
      </c>
    </row>
    <row r="7236" spans="1:10" ht="30" x14ac:dyDescent="0.25">
      <c r="A7236" s="78">
        <v>46285</v>
      </c>
      <c r="B7236" s="68">
        <v>7</v>
      </c>
      <c r="C7236" s="205" t="s">
        <v>83</v>
      </c>
      <c r="D7236" s="30">
        <v>1</v>
      </c>
      <c r="E7236" s="30">
        <v>10</v>
      </c>
      <c r="F7236" s="30">
        <f t="shared" si="236"/>
        <v>10</v>
      </c>
      <c r="G7236" s="30" t="s">
        <v>9</v>
      </c>
      <c r="J7236" s="30" t="s">
        <v>391</v>
      </c>
    </row>
    <row r="7237" spans="1:10" x14ac:dyDescent="0.25">
      <c r="A7237" s="78">
        <v>46285</v>
      </c>
      <c r="B7237" s="68">
        <v>8</v>
      </c>
      <c r="C7237" s="209" t="s">
        <v>1380</v>
      </c>
      <c r="D7237" s="30">
        <v>5</v>
      </c>
      <c r="E7237" s="30">
        <v>10</v>
      </c>
      <c r="F7237" s="30">
        <f t="shared" si="236"/>
        <v>50</v>
      </c>
      <c r="G7237" s="30" t="s">
        <v>9</v>
      </c>
      <c r="J7237" s="30" t="s">
        <v>391</v>
      </c>
    </row>
    <row r="7238" spans="1:10" x14ac:dyDescent="0.25">
      <c r="A7238" s="78">
        <v>46285</v>
      </c>
      <c r="B7238" s="68">
        <v>8</v>
      </c>
      <c r="C7238" s="209" t="s">
        <v>1381</v>
      </c>
      <c r="D7238" s="30">
        <v>1</v>
      </c>
      <c r="E7238" s="30">
        <v>20</v>
      </c>
      <c r="F7238" s="30">
        <f t="shared" si="236"/>
        <v>20</v>
      </c>
      <c r="G7238" s="30" t="s">
        <v>9</v>
      </c>
      <c r="J7238" s="30" t="s">
        <v>391</v>
      </c>
    </row>
    <row r="7239" spans="1:10" ht="30" x14ac:dyDescent="0.25">
      <c r="A7239" s="78">
        <v>46285</v>
      </c>
      <c r="B7239" s="68">
        <v>9</v>
      </c>
      <c r="C7239" s="209" t="s">
        <v>1424</v>
      </c>
      <c r="D7239" s="30">
        <v>1</v>
      </c>
      <c r="E7239" s="30">
        <v>60</v>
      </c>
      <c r="F7239" s="30">
        <f t="shared" si="236"/>
        <v>60</v>
      </c>
      <c r="G7239" s="30" t="s">
        <v>9</v>
      </c>
      <c r="J7239" s="30" t="s">
        <v>391</v>
      </c>
    </row>
    <row r="7240" spans="1:10" ht="30" x14ac:dyDescent="0.25">
      <c r="A7240" s="78">
        <v>46285</v>
      </c>
      <c r="B7240" s="68">
        <v>10</v>
      </c>
      <c r="C7240" s="205" t="s">
        <v>575</v>
      </c>
      <c r="D7240" s="30">
        <v>1</v>
      </c>
      <c r="E7240" s="30">
        <v>20</v>
      </c>
      <c r="F7240" s="30">
        <f t="shared" si="236"/>
        <v>20</v>
      </c>
      <c r="G7240" s="30" t="s">
        <v>9</v>
      </c>
      <c r="J7240" s="30" t="s">
        <v>391</v>
      </c>
    </row>
    <row r="7241" spans="1:10" x14ac:dyDescent="0.25">
      <c r="A7241" s="78">
        <v>46285</v>
      </c>
      <c r="B7241" s="68">
        <v>11</v>
      </c>
      <c r="C7241" s="209" t="s">
        <v>1486</v>
      </c>
      <c r="D7241" s="30">
        <v>1</v>
      </c>
      <c r="E7241" s="30">
        <v>60</v>
      </c>
      <c r="F7241" s="30">
        <f t="shared" si="236"/>
        <v>60</v>
      </c>
      <c r="G7241" s="30" t="s">
        <v>10</v>
      </c>
      <c r="J7241" s="30" t="s">
        <v>391</v>
      </c>
    </row>
    <row r="7242" spans="1:10" x14ac:dyDescent="0.25">
      <c r="A7242" s="78">
        <v>46285</v>
      </c>
      <c r="B7242" s="68">
        <v>12</v>
      </c>
      <c r="C7242" s="205" t="s">
        <v>750</v>
      </c>
      <c r="D7242" s="30">
        <v>2</v>
      </c>
      <c r="E7242" s="30">
        <v>50</v>
      </c>
      <c r="F7242" s="30">
        <f t="shared" si="236"/>
        <v>100</v>
      </c>
      <c r="G7242" s="30" t="s">
        <v>16</v>
      </c>
      <c r="I7242" s="68" t="s">
        <v>1522</v>
      </c>
      <c r="J7242" s="30" t="s">
        <v>391</v>
      </c>
    </row>
    <row r="7243" spans="1:10" x14ac:dyDescent="0.25">
      <c r="A7243" s="78">
        <v>46285</v>
      </c>
      <c r="B7243" s="68">
        <v>12</v>
      </c>
      <c r="C7243" s="205" t="s">
        <v>892</v>
      </c>
      <c r="D7243" s="30">
        <v>3</v>
      </c>
      <c r="E7243" s="30">
        <v>10</v>
      </c>
      <c r="F7243" s="30">
        <f t="shared" si="236"/>
        <v>30</v>
      </c>
      <c r="G7243" s="30" t="s">
        <v>16</v>
      </c>
      <c r="I7243" s="68" t="s">
        <v>1522</v>
      </c>
      <c r="J7243" s="30" t="s">
        <v>391</v>
      </c>
    </row>
    <row r="7244" spans="1:10" x14ac:dyDescent="0.25">
      <c r="A7244" s="78">
        <v>46285</v>
      </c>
      <c r="B7244" s="68">
        <v>12</v>
      </c>
      <c r="C7244" s="209" t="s">
        <v>1487</v>
      </c>
      <c r="D7244" s="30">
        <v>10</v>
      </c>
      <c r="E7244" s="30">
        <v>10</v>
      </c>
      <c r="F7244" s="30">
        <f t="shared" si="236"/>
        <v>100</v>
      </c>
      <c r="G7244" s="30" t="s">
        <v>16</v>
      </c>
      <c r="I7244" s="68" t="s">
        <v>1522</v>
      </c>
      <c r="J7244" s="30" t="s">
        <v>391</v>
      </c>
    </row>
    <row r="7245" spans="1:10" x14ac:dyDescent="0.25">
      <c r="A7245" s="78">
        <v>46285</v>
      </c>
      <c r="B7245" s="68">
        <v>12</v>
      </c>
      <c r="C7245" s="209" t="s">
        <v>1500</v>
      </c>
      <c r="D7245" s="30">
        <v>10</v>
      </c>
      <c r="E7245" s="30">
        <v>5</v>
      </c>
      <c r="F7245" s="30">
        <f t="shared" si="236"/>
        <v>50</v>
      </c>
      <c r="G7245" s="30" t="s">
        <v>16</v>
      </c>
      <c r="I7245" s="68" t="s">
        <v>1522</v>
      </c>
      <c r="J7245" s="30" t="s">
        <v>391</v>
      </c>
    </row>
    <row r="7246" spans="1:10" x14ac:dyDescent="0.25">
      <c r="A7246" s="78">
        <v>46285</v>
      </c>
      <c r="B7246" s="68">
        <v>12</v>
      </c>
      <c r="C7246" s="205" t="s">
        <v>1165</v>
      </c>
      <c r="D7246" s="30">
        <v>5</v>
      </c>
      <c r="E7246" s="30">
        <v>1</v>
      </c>
      <c r="F7246" s="30">
        <f t="shared" si="236"/>
        <v>5</v>
      </c>
      <c r="G7246" s="30" t="s">
        <v>16</v>
      </c>
      <c r="I7246" s="68" t="s">
        <v>1522</v>
      </c>
      <c r="J7246" s="30" t="s">
        <v>391</v>
      </c>
    </row>
    <row r="7247" spans="1:10" x14ac:dyDescent="0.25">
      <c r="A7247" s="78">
        <v>46285</v>
      </c>
      <c r="B7247" s="68">
        <v>13</v>
      </c>
      <c r="C7247" s="204" t="s">
        <v>876</v>
      </c>
      <c r="D7247" s="30">
        <v>1</v>
      </c>
      <c r="E7247" s="30">
        <v>20</v>
      </c>
      <c r="F7247" s="30">
        <f t="shared" si="236"/>
        <v>20</v>
      </c>
      <c r="G7247" s="30" t="s">
        <v>10</v>
      </c>
      <c r="J7247" s="30" t="s">
        <v>391</v>
      </c>
    </row>
    <row r="7248" spans="1:10" x14ac:dyDescent="0.25">
      <c r="A7248" s="78">
        <v>46285</v>
      </c>
      <c r="B7248" s="68">
        <v>13</v>
      </c>
      <c r="C7248" s="209" t="s">
        <v>1392</v>
      </c>
      <c r="D7248" s="30">
        <v>2</v>
      </c>
      <c r="E7248" s="30">
        <v>10</v>
      </c>
      <c r="F7248" s="30">
        <f t="shared" si="236"/>
        <v>20</v>
      </c>
      <c r="G7248" s="30" t="s">
        <v>10</v>
      </c>
      <c r="J7248" s="30" t="s">
        <v>391</v>
      </c>
    </row>
    <row r="7249" spans="1:10" x14ac:dyDescent="0.25">
      <c r="A7249" s="78">
        <v>46285</v>
      </c>
      <c r="B7249" s="68">
        <v>13</v>
      </c>
      <c r="C7249" s="204" t="s">
        <v>729</v>
      </c>
      <c r="D7249" s="30">
        <v>1</v>
      </c>
      <c r="E7249" s="30">
        <v>10</v>
      </c>
      <c r="F7249" s="30">
        <f t="shared" si="236"/>
        <v>10</v>
      </c>
      <c r="G7249" s="30" t="s">
        <v>10</v>
      </c>
      <c r="J7249" s="30" t="s">
        <v>391</v>
      </c>
    </row>
    <row r="7250" spans="1:10" x14ac:dyDescent="0.25">
      <c r="A7250" s="78">
        <v>46285</v>
      </c>
      <c r="B7250" s="68">
        <v>14</v>
      </c>
      <c r="C7250" s="205" t="s">
        <v>1261</v>
      </c>
      <c r="D7250" s="30">
        <v>1</v>
      </c>
      <c r="E7250" s="30">
        <v>10</v>
      </c>
      <c r="F7250" s="30">
        <f t="shared" si="236"/>
        <v>10</v>
      </c>
      <c r="G7250" s="30" t="s">
        <v>10</v>
      </c>
      <c r="J7250" s="30" t="s">
        <v>391</v>
      </c>
    </row>
    <row r="7251" spans="1:10" x14ac:dyDescent="0.25">
      <c r="A7251" s="78">
        <v>46285</v>
      </c>
      <c r="B7251" s="68">
        <v>14</v>
      </c>
      <c r="C7251" s="204" t="s">
        <v>1516</v>
      </c>
      <c r="D7251" s="30">
        <v>2</v>
      </c>
      <c r="E7251" s="30">
        <v>5</v>
      </c>
      <c r="F7251" s="30">
        <f t="shared" si="236"/>
        <v>10</v>
      </c>
      <c r="G7251" s="30" t="s">
        <v>10</v>
      </c>
      <c r="J7251" s="30" t="s">
        <v>391</v>
      </c>
    </row>
    <row r="7252" spans="1:10" s="199" customFormat="1" ht="31.5" x14ac:dyDescent="0.25">
      <c r="A7252" s="196">
        <v>46285</v>
      </c>
      <c r="B7252" s="197" t="s">
        <v>1245</v>
      </c>
      <c r="C7252" s="198">
        <f>MAX(B7220:B7252)</f>
        <v>14</v>
      </c>
      <c r="D7252" s="197" t="s">
        <v>1246</v>
      </c>
      <c r="E7252" s="199">
        <f>SUMIF(G7220:G7252,"UPI",F7220:F7252)</f>
        <v>130</v>
      </c>
      <c r="H7252" s="200" t="s">
        <v>1247</v>
      </c>
      <c r="I7252" s="200">
        <f>SUMIF(G7220:G7252, "&lt;&gt;UPI",F7220:F7252)</f>
        <v>936</v>
      </c>
    </row>
    <row r="7253" spans="1:10" x14ac:dyDescent="0.25">
      <c r="A7253" s="78">
        <v>46285</v>
      </c>
      <c r="B7253" s="68">
        <v>15</v>
      </c>
      <c r="C7253" s="205" t="s">
        <v>1125</v>
      </c>
      <c r="D7253" s="30">
        <v>1</v>
      </c>
      <c r="E7253" s="30">
        <v>50</v>
      </c>
      <c r="F7253" s="30">
        <f>E7253*D7253</f>
        <v>50</v>
      </c>
      <c r="G7253" s="30" t="s">
        <v>9</v>
      </c>
      <c r="J7253" s="30" t="s">
        <v>392</v>
      </c>
    </row>
    <row r="7254" spans="1:10" x14ac:dyDescent="0.25">
      <c r="A7254" s="78">
        <v>46285</v>
      </c>
      <c r="B7254" s="68">
        <v>16</v>
      </c>
      <c r="C7254" s="205" t="s">
        <v>348</v>
      </c>
      <c r="D7254" s="30">
        <v>5</v>
      </c>
      <c r="E7254" s="30">
        <v>1</v>
      </c>
      <c r="F7254" s="30">
        <f t="shared" ref="F7254:F7271" si="237">E7254*D7254</f>
        <v>5</v>
      </c>
      <c r="G7254" s="30" t="s">
        <v>9</v>
      </c>
      <c r="J7254" s="30" t="s">
        <v>392</v>
      </c>
    </row>
    <row r="7255" spans="1:10" x14ac:dyDescent="0.25">
      <c r="A7255" s="78">
        <v>46285</v>
      </c>
      <c r="B7255" s="68">
        <v>16</v>
      </c>
      <c r="C7255" s="33" t="s">
        <v>1523</v>
      </c>
      <c r="D7255" s="30">
        <v>1</v>
      </c>
      <c r="E7255" s="30">
        <v>5</v>
      </c>
      <c r="F7255" s="30">
        <f t="shared" si="237"/>
        <v>5</v>
      </c>
      <c r="G7255" s="30" t="s">
        <v>9</v>
      </c>
      <c r="J7255" s="30" t="s">
        <v>392</v>
      </c>
    </row>
    <row r="7256" spans="1:10" x14ac:dyDescent="0.25">
      <c r="A7256" s="78">
        <v>46285</v>
      </c>
      <c r="B7256" s="68">
        <v>17</v>
      </c>
      <c r="C7256" s="204" t="s">
        <v>876</v>
      </c>
      <c r="D7256" s="30">
        <v>1</v>
      </c>
      <c r="E7256" s="30">
        <v>20</v>
      </c>
      <c r="F7256" s="30">
        <f t="shared" si="237"/>
        <v>20</v>
      </c>
      <c r="G7256" s="30" t="s">
        <v>9</v>
      </c>
      <c r="J7256" s="30" t="s">
        <v>392</v>
      </c>
    </row>
    <row r="7257" spans="1:10" x14ac:dyDescent="0.25">
      <c r="A7257" s="78">
        <v>46285</v>
      </c>
      <c r="B7257" s="68">
        <v>17</v>
      </c>
      <c r="C7257" s="205" t="s">
        <v>1253</v>
      </c>
      <c r="D7257" s="30">
        <v>2</v>
      </c>
      <c r="E7257" s="30">
        <v>5</v>
      </c>
      <c r="F7257" s="30">
        <f t="shared" si="237"/>
        <v>10</v>
      </c>
      <c r="G7257" s="30" t="s">
        <v>9</v>
      </c>
      <c r="J7257" s="30" t="s">
        <v>392</v>
      </c>
    </row>
    <row r="7258" spans="1:10" x14ac:dyDescent="0.25">
      <c r="A7258" s="78">
        <v>46285</v>
      </c>
      <c r="B7258" s="68">
        <v>18</v>
      </c>
      <c r="C7258" s="209" t="s">
        <v>1419</v>
      </c>
      <c r="D7258" s="30">
        <v>1</v>
      </c>
      <c r="E7258" s="30">
        <v>10</v>
      </c>
      <c r="F7258" s="30">
        <f t="shared" si="237"/>
        <v>10</v>
      </c>
      <c r="G7258" s="30" t="s">
        <v>9</v>
      </c>
      <c r="J7258" s="30" t="s">
        <v>392</v>
      </c>
    </row>
    <row r="7259" spans="1:10" x14ac:dyDescent="0.25">
      <c r="A7259" s="78">
        <v>46285</v>
      </c>
      <c r="B7259" s="68">
        <v>18</v>
      </c>
      <c r="C7259" s="205" t="s">
        <v>1062</v>
      </c>
      <c r="D7259" s="30">
        <v>1</v>
      </c>
      <c r="E7259" s="30">
        <v>10</v>
      </c>
      <c r="F7259" s="30">
        <f t="shared" si="237"/>
        <v>10</v>
      </c>
      <c r="G7259" s="30" t="s">
        <v>9</v>
      </c>
      <c r="J7259" s="30" t="s">
        <v>392</v>
      </c>
    </row>
    <row r="7260" spans="1:10" x14ac:dyDescent="0.25">
      <c r="A7260" s="78">
        <v>46285</v>
      </c>
      <c r="B7260" s="68">
        <v>18</v>
      </c>
      <c r="C7260" s="209" t="s">
        <v>1448</v>
      </c>
      <c r="D7260" s="30">
        <v>1</v>
      </c>
      <c r="E7260" s="30">
        <v>10</v>
      </c>
      <c r="F7260" s="30">
        <f t="shared" si="237"/>
        <v>10</v>
      </c>
      <c r="G7260" s="30" t="s">
        <v>9</v>
      </c>
      <c r="J7260" s="30" t="s">
        <v>392</v>
      </c>
    </row>
    <row r="7261" spans="1:10" x14ac:dyDescent="0.25">
      <c r="A7261" s="78">
        <v>46285</v>
      </c>
      <c r="B7261" s="68">
        <v>19</v>
      </c>
      <c r="C7261" s="209" t="s">
        <v>1455</v>
      </c>
      <c r="D7261" s="30">
        <v>1</v>
      </c>
      <c r="E7261" s="30">
        <v>10</v>
      </c>
      <c r="F7261" s="30">
        <f t="shared" si="237"/>
        <v>10</v>
      </c>
      <c r="G7261" s="30" t="s">
        <v>9</v>
      </c>
      <c r="J7261" s="30" t="s">
        <v>392</v>
      </c>
    </row>
    <row r="7262" spans="1:10" x14ac:dyDescent="0.25">
      <c r="A7262" s="78">
        <v>46285</v>
      </c>
      <c r="B7262" s="68">
        <v>20</v>
      </c>
      <c r="C7262" s="209" t="s">
        <v>1304</v>
      </c>
      <c r="D7262" s="30">
        <v>2</v>
      </c>
      <c r="E7262" s="30">
        <v>100</v>
      </c>
      <c r="F7262" s="30">
        <f t="shared" si="237"/>
        <v>200</v>
      </c>
      <c r="G7262" s="30" t="s">
        <v>16</v>
      </c>
      <c r="I7262" s="68" t="s">
        <v>1354</v>
      </c>
      <c r="J7262" s="30" t="s">
        <v>392</v>
      </c>
    </row>
    <row r="7263" spans="1:10" x14ac:dyDescent="0.25">
      <c r="A7263" s="78">
        <v>46285</v>
      </c>
      <c r="B7263" s="68">
        <v>21</v>
      </c>
      <c r="C7263" s="205" t="s">
        <v>110</v>
      </c>
      <c r="D7263" s="30">
        <v>2</v>
      </c>
      <c r="E7263" s="30">
        <v>5</v>
      </c>
      <c r="F7263" s="30">
        <f t="shared" si="237"/>
        <v>10</v>
      </c>
      <c r="G7263" s="30" t="s">
        <v>9</v>
      </c>
      <c r="J7263" s="30" t="s">
        <v>392</v>
      </c>
    </row>
    <row r="7264" spans="1:10" x14ac:dyDescent="0.25">
      <c r="A7264" s="78">
        <v>46285</v>
      </c>
      <c r="B7264" s="68">
        <v>21</v>
      </c>
      <c r="C7264" s="205" t="s">
        <v>1166</v>
      </c>
      <c r="D7264" s="30">
        <v>3</v>
      </c>
      <c r="E7264" s="30">
        <v>1</v>
      </c>
      <c r="F7264" s="30">
        <f t="shared" si="237"/>
        <v>3</v>
      </c>
      <c r="G7264" s="30" t="s">
        <v>9</v>
      </c>
      <c r="J7264" s="30" t="s">
        <v>392</v>
      </c>
    </row>
    <row r="7265" spans="1:12" x14ac:dyDescent="0.25">
      <c r="A7265" s="78">
        <v>46285</v>
      </c>
      <c r="B7265" s="68">
        <v>22</v>
      </c>
      <c r="C7265" s="209" t="s">
        <v>1483</v>
      </c>
      <c r="D7265" s="30">
        <v>1</v>
      </c>
      <c r="E7265" s="30">
        <v>50</v>
      </c>
      <c r="F7265" s="30">
        <f t="shared" si="237"/>
        <v>50</v>
      </c>
      <c r="G7265" s="30" t="s">
        <v>10</v>
      </c>
      <c r="J7265" s="30" t="s">
        <v>392</v>
      </c>
    </row>
    <row r="7266" spans="1:12" ht="30" x14ac:dyDescent="0.25">
      <c r="A7266" s="78">
        <v>46285</v>
      </c>
      <c r="B7266" s="68">
        <v>23</v>
      </c>
      <c r="C7266" s="209" t="s">
        <v>1459</v>
      </c>
      <c r="D7266" s="30">
        <v>1</v>
      </c>
      <c r="E7266" s="30">
        <v>10</v>
      </c>
      <c r="F7266" s="30">
        <f t="shared" si="237"/>
        <v>10</v>
      </c>
      <c r="G7266" s="30" t="s">
        <v>9</v>
      </c>
      <c r="J7266" s="30" t="s">
        <v>392</v>
      </c>
    </row>
    <row r="7267" spans="1:12" x14ac:dyDescent="0.25">
      <c r="A7267" s="78">
        <v>46285</v>
      </c>
      <c r="B7267" s="68">
        <v>24</v>
      </c>
      <c r="C7267" s="205" t="s">
        <v>873</v>
      </c>
      <c r="D7267" s="30">
        <v>1</v>
      </c>
      <c r="E7267" s="30">
        <v>20</v>
      </c>
      <c r="F7267" s="30">
        <f t="shared" si="237"/>
        <v>20</v>
      </c>
      <c r="G7267" s="30" t="s">
        <v>9</v>
      </c>
      <c r="J7267" s="30" t="s">
        <v>392</v>
      </c>
    </row>
    <row r="7268" spans="1:12" x14ac:dyDescent="0.25">
      <c r="A7268" s="78">
        <v>46285</v>
      </c>
      <c r="B7268" s="68">
        <v>25</v>
      </c>
      <c r="C7268" s="205" t="s">
        <v>1097</v>
      </c>
      <c r="D7268" s="30">
        <v>2</v>
      </c>
      <c r="E7268" s="30">
        <v>1</v>
      </c>
      <c r="F7268" s="30">
        <f t="shared" si="237"/>
        <v>2</v>
      </c>
      <c r="G7268" s="30" t="s">
        <v>10</v>
      </c>
      <c r="J7268" s="30" t="s">
        <v>392</v>
      </c>
    </row>
    <row r="7269" spans="1:12" x14ac:dyDescent="0.25">
      <c r="A7269" s="78">
        <v>46285</v>
      </c>
      <c r="B7269" s="68">
        <v>25</v>
      </c>
      <c r="C7269" s="204" t="s">
        <v>876</v>
      </c>
      <c r="D7269" s="30">
        <v>1</v>
      </c>
      <c r="E7269" s="30">
        <v>20</v>
      </c>
      <c r="F7269" s="30">
        <f t="shared" si="237"/>
        <v>20</v>
      </c>
      <c r="G7269" s="30" t="s">
        <v>10</v>
      </c>
      <c r="J7269" s="30" t="s">
        <v>392</v>
      </c>
    </row>
    <row r="7270" spans="1:12" x14ac:dyDescent="0.25">
      <c r="A7270" s="78">
        <v>46285</v>
      </c>
      <c r="B7270" s="68">
        <v>25</v>
      </c>
      <c r="C7270" s="205" t="s">
        <v>1253</v>
      </c>
      <c r="D7270" s="30">
        <v>2</v>
      </c>
      <c r="E7270" s="30">
        <v>5</v>
      </c>
      <c r="F7270" s="30">
        <f t="shared" si="237"/>
        <v>10</v>
      </c>
      <c r="G7270" s="30" t="s">
        <v>10</v>
      </c>
      <c r="J7270" s="30" t="s">
        <v>392</v>
      </c>
    </row>
    <row r="7271" spans="1:12" x14ac:dyDescent="0.25">
      <c r="A7271" s="78">
        <v>46285</v>
      </c>
      <c r="B7271" s="68">
        <v>25</v>
      </c>
      <c r="C7271" s="205" t="s">
        <v>1165</v>
      </c>
      <c r="D7271" s="30">
        <v>2</v>
      </c>
      <c r="E7271" s="30">
        <v>1</v>
      </c>
      <c r="F7271" s="30">
        <f t="shared" si="237"/>
        <v>2</v>
      </c>
      <c r="G7271" s="30" t="s">
        <v>10</v>
      </c>
      <c r="J7271" s="30" t="s">
        <v>392</v>
      </c>
    </row>
    <row r="7272" spans="1:12" s="199" customFormat="1" ht="31.5" x14ac:dyDescent="0.25">
      <c r="A7272" s="196">
        <v>46285</v>
      </c>
      <c r="B7272" s="197" t="s">
        <v>1248</v>
      </c>
      <c r="C7272" s="198">
        <f>MAX(B7218:B7272)</f>
        <v>25</v>
      </c>
      <c r="D7272" s="197" t="s">
        <v>1249</v>
      </c>
      <c r="E7272" s="199">
        <f>SUMIF(G7218:G7272,"UPI",F7218:F7272)</f>
        <v>214</v>
      </c>
      <c r="H7272" s="200" t="s">
        <v>1251</v>
      </c>
      <c r="I7272" s="200">
        <f>SUMIF(G7218:G7272, "&lt;&gt;UPI",F7218:F7272)</f>
        <v>1309</v>
      </c>
    </row>
    <row r="7273" spans="1:12" s="5" customFormat="1" ht="15.75" x14ac:dyDescent="0.25">
      <c r="A7273" s="201">
        <v>46285</v>
      </c>
      <c r="B7273" s="2"/>
      <c r="C7273" s="14"/>
      <c r="H7273" s="2" t="s">
        <v>1250</v>
      </c>
      <c r="I7273" s="2">
        <f>SUMIF(G7220:G7272, "&lt;&gt;UPI",F7220:F7272)</f>
        <v>1309</v>
      </c>
    </row>
    <row r="7274" spans="1:12" s="202" customFormat="1" ht="18.75" customHeight="1" x14ac:dyDescent="0.3">
      <c r="A7274" s="146">
        <v>46285</v>
      </c>
      <c r="B7274" s="147" t="s">
        <v>987</v>
      </c>
      <c r="C7274" s="148">
        <f>MAX(B7220:B7273)</f>
        <v>25</v>
      </c>
      <c r="D7274" s="147" t="s">
        <v>988</v>
      </c>
      <c r="E7274" s="202">
        <f>SUMIF(G7220:G7272,"UPI",F7220:F7272)</f>
        <v>214</v>
      </c>
      <c r="F7274" s="227" t="s">
        <v>437</v>
      </c>
      <c r="G7274" s="228"/>
      <c r="H7274" s="229"/>
      <c r="I7274" s="227">
        <f>SUM(F7220:F7273)</f>
        <v>1523</v>
      </c>
      <c r="J7274" s="228"/>
      <c r="K7274" s="228"/>
      <c r="L7274" s="229"/>
    </row>
    <row r="7275" spans="1:12" x14ac:dyDescent="0.25">
      <c r="A7275" s="78">
        <v>46286</v>
      </c>
      <c r="B7275" s="68">
        <v>1</v>
      </c>
      <c r="C7275" s="205" t="s">
        <v>572</v>
      </c>
      <c r="D7275" s="30">
        <v>2</v>
      </c>
      <c r="E7275" s="30">
        <v>10</v>
      </c>
      <c r="F7275" s="30">
        <f>E7275*D7275</f>
        <v>20</v>
      </c>
      <c r="G7275" s="30" t="s">
        <v>9</v>
      </c>
      <c r="J7275" s="30" t="s">
        <v>391</v>
      </c>
    </row>
    <row r="7276" spans="1:12" x14ac:dyDescent="0.25">
      <c r="A7276" s="78">
        <v>46286</v>
      </c>
      <c r="B7276" s="68">
        <v>2</v>
      </c>
      <c r="C7276" s="209" t="s">
        <v>1395</v>
      </c>
      <c r="D7276" s="30">
        <v>1</v>
      </c>
      <c r="E7276" s="30">
        <v>30</v>
      </c>
      <c r="F7276" s="30">
        <f t="shared" ref="F7276:F7299" si="238">E7276*D7276</f>
        <v>30</v>
      </c>
      <c r="G7276" s="30" t="s">
        <v>9</v>
      </c>
      <c r="J7276" s="30" t="s">
        <v>391</v>
      </c>
    </row>
    <row r="7277" spans="1:12" x14ac:dyDescent="0.25">
      <c r="A7277" s="78">
        <v>46286</v>
      </c>
      <c r="B7277" s="68">
        <v>3</v>
      </c>
      <c r="C7277" s="209" t="s">
        <v>1478</v>
      </c>
      <c r="D7277" s="30">
        <v>1</v>
      </c>
      <c r="E7277" s="30">
        <v>44</v>
      </c>
      <c r="F7277" s="30">
        <f t="shared" si="238"/>
        <v>44</v>
      </c>
      <c r="G7277" s="30" t="s">
        <v>10</v>
      </c>
      <c r="J7277" s="30" t="s">
        <v>391</v>
      </c>
    </row>
    <row r="7278" spans="1:12" x14ac:dyDescent="0.25">
      <c r="A7278" s="78">
        <v>46286</v>
      </c>
      <c r="B7278" s="68">
        <v>3</v>
      </c>
      <c r="C7278" s="205" t="s">
        <v>1125</v>
      </c>
      <c r="D7278" s="30">
        <v>2</v>
      </c>
      <c r="E7278" s="30">
        <v>50</v>
      </c>
      <c r="F7278" s="30">
        <f t="shared" si="238"/>
        <v>100</v>
      </c>
      <c r="G7278" s="30" t="s">
        <v>10</v>
      </c>
      <c r="J7278" s="30" t="s">
        <v>391</v>
      </c>
    </row>
    <row r="7279" spans="1:12" x14ac:dyDescent="0.25">
      <c r="A7279" s="78">
        <v>46286</v>
      </c>
      <c r="B7279" s="68">
        <v>3</v>
      </c>
      <c r="C7279" s="205" t="s">
        <v>839</v>
      </c>
      <c r="D7279" s="30">
        <v>1</v>
      </c>
      <c r="E7279" s="30">
        <v>50</v>
      </c>
      <c r="F7279" s="30">
        <f t="shared" si="238"/>
        <v>50</v>
      </c>
      <c r="G7279" s="30" t="s">
        <v>10</v>
      </c>
      <c r="J7279" s="30" t="s">
        <v>391</v>
      </c>
    </row>
    <row r="7280" spans="1:12" x14ac:dyDescent="0.25">
      <c r="A7280" s="78">
        <v>46286</v>
      </c>
      <c r="B7280" s="68">
        <v>3</v>
      </c>
      <c r="C7280" s="205" t="s">
        <v>842</v>
      </c>
      <c r="D7280" s="30">
        <v>1</v>
      </c>
      <c r="E7280" s="30">
        <v>60</v>
      </c>
      <c r="F7280" s="30">
        <f t="shared" si="238"/>
        <v>60</v>
      </c>
      <c r="G7280" s="30" t="s">
        <v>10</v>
      </c>
      <c r="J7280" s="30" t="s">
        <v>391</v>
      </c>
    </row>
    <row r="7281" spans="1:10" x14ac:dyDescent="0.25">
      <c r="A7281" s="78">
        <v>46286</v>
      </c>
      <c r="B7281" s="68">
        <v>3</v>
      </c>
      <c r="C7281" s="209" t="s">
        <v>1427</v>
      </c>
      <c r="D7281" s="30">
        <v>1</v>
      </c>
      <c r="E7281" s="30">
        <v>30</v>
      </c>
      <c r="F7281" s="30">
        <f t="shared" si="238"/>
        <v>30</v>
      </c>
      <c r="G7281" s="30" t="s">
        <v>10</v>
      </c>
      <c r="J7281" s="30" t="s">
        <v>391</v>
      </c>
    </row>
    <row r="7282" spans="1:10" ht="30" x14ac:dyDescent="0.25">
      <c r="A7282" s="78">
        <v>46286</v>
      </c>
      <c r="B7282" s="68">
        <v>3</v>
      </c>
      <c r="C7282" s="33" t="s">
        <v>1524</v>
      </c>
      <c r="D7282" s="30">
        <v>1</v>
      </c>
      <c r="E7282" s="30">
        <v>80</v>
      </c>
      <c r="F7282" s="30">
        <f t="shared" si="238"/>
        <v>80</v>
      </c>
      <c r="G7282" s="30" t="s">
        <v>10</v>
      </c>
      <c r="J7282" s="30" t="s">
        <v>391</v>
      </c>
    </row>
    <row r="7283" spans="1:10" x14ac:dyDescent="0.25">
      <c r="A7283" s="78">
        <v>46286</v>
      </c>
      <c r="B7283" s="68">
        <v>4</v>
      </c>
      <c r="C7283" s="209" t="s">
        <v>1443</v>
      </c>
      <c r="D7283" s="30">
        <v>2</v>
      </c>
      <c r="E7283" s="30">
        <v>10</v>
      </c>
      <c r="F7283" s="30">
        <f t="shared" si="238"/>
        <v>20</v>
      </c>
      <c r="G7283" s="30" t="s">
        <v>10</v>
      </c>
      <c r="J7283" s="30" t="s">
        <v>391</v>
      </c>
    </row>
    <row r="7284" spans="1:10" x14ac:dyDescent="0.25">
      <c r="A7284" s="78">
        <v>46286</v>
      </c>
      <c r="B7284" s="68">
        <v>4</v>
      </c>
      <c r="C7284" s="209" t="s">
        <v>1448</v>
      </c>
      <c r="D7284" s="30">
        <v>2</v>
      </c>
      <c r="E7284" s="30">
        <v>10</v>
      </c>
      <c r="F7284" s="30">
        <f t="shared" si="238"/>
        <v>20</v>
      </c>
      <c r="G7284" s="30" t="s">
        <v>10</v>
      </c>
      <c r="J7284" s="30" t="s">
        <v>391</v>
      </c>
    </row>
    <row r="7285" spans="1:10" x14ac:dyDescent="0.25">
      <c r="A7285" s="78">
        <v>46286</v>
      </c>
      <c r="B7285" s="68">
        <v>4</v>
      </c>
      <c r="C7285" s="209" t="s">
        <v>1468</v>
      </c>
      <c r="D7285" s="30">
        <v>2</v>
      </c>
      <c r="E7285" s="30">
        <v>10</v>
      </c>
      <c r="F7285" s="30">
        <f t="shared" si="238"/>
        <v>20</v>
      </c>
      <c r="G7285" s="30" t="s">
        <v>10</v>
      </c>
      <c r="J7285" s="30" t="s">
        <v>391</v>
      </c>
    </row>
    <row r="7286" spans="1:10" x14ac:dyDescent="0.25">
      <c r="A7286" s="78">
        <v>46286</v>
      </c>
      <c r="B7286" s="68">
        <v>5</v>
      </c>
      <c r="C7286" s="209" t="s">
        <v>1451</v>
      </c>
      <c r="D7286" s="30">
        <v>1</v>
      </c>
      <c r="E7286" s="30">
        <v>10</v>
      </c>
      <c r="F7286" s="30">
        <f t="shared" si="238"/>
        <v>10</v>
      </c>
      <c r="G7286" s="30" t="s">
        <v>16</v>
      </c>
      <c r="I7286" s="68" t="s">
        <v>1525</v>
      </c>
      <c r="J7286" s="30" t="s">
        <v>391</v>
      </c>
    </row>
    <row r="7287" spans="1:10" x14ac:dyDescent="0.25">
      <c r="A7287" s="78">
        <v>46286</v>
      </c>
      <c r="B7287" s="68">
        <v>6</v>
      </c>
      <c r="C7287" s="209" t="s">
        <v>1384</v>
      </c>
      <c r="D7287" s="30">
        <v>1</v>
      </c>
      <c r="E7287" s="30">
        <v>10</v>
      </c>
      <c r="F7287" s="30">
        <f t="shared" si="238"/>
        <v>10</v>
      </c>
      <c r="G7287" s="30" t="s">
        <v>9</v>
      </c>
      <c r="J7287" s="30" t="s">
        <v>391</v>
      </c>
    </row>
    <row r="7288" spans="1:10" x14ac:dyDescent="0.25">
      <c r="A7288" s="78">
        <v>46286</v>
      </c>
      <c r="B7288" s="68">
        <v>7</v>
      </c>
      <c r="C7288" s="209" t="s">
        <v>1448</v>
      </c>
      <c r="D7288" s="30">
        <v>1</v>
      </c>
      <c r="E7288" s="30">
        <v>10</v>
      </c>
      <c r="F7288" s="30">
        <f t="shared" si="238"/>
        <v>10</v>
      </c>
      <c r="G7288" s="30" t="s">
        <v>9</v>
      </c>
      <c r="J7288" s="30" t="s">
        <v>391</v>
      </c>
    </row>
    <row r="7289" spans="1:10" x14ac:dyDescent="0.25">
      <c r="A7289" s="78">
        <v>46286</v>
      </c>
      <c r="B7289" s="68">
        <v>8</v>
      </c>
      <c r="C7289" s="204" t="s">
        <v>729</v>
      </c>
      <c r="D7289" s="30">
        <v>1</v>
      </c>
      <c r="E7289" s="30">
        <v>10</v>
      </c>
      <c r="F7289" s="30">
        <f t="shared" si="238"/>
        <v>10</v>
      </c>
      <c r="G7289" s="30" t="s">
        <v>9</v>
      </c>
      <c r="J7289" s="30" t="s">
        <v>391</v>
      </c>
    </row>
    <row r="7290" spans="1:10" x14ac:dyDescent="0.25">
      <c r="A7290" s="78">
        <v>46286</v>
      </c>
      <c r="B7290" s="68">
        <v>9</v>
      </c>
      <c r="C7290" s="33" t="s">
        <v>1516</v>
      </c>
      <c r="D7290" s="30">
        <v>2</v>
      </c>
      <c r="E7290" s="30">
        <v>5</v>
      </c>
      <c r="F7290" s="30">
        <f t="shared" si="238"/>
        <v>10</v>
      </c>
      <c r="G7290" s="30" t="s">
        <v>9</v>
      </c>
      <c r="J7290" s="30" t="s">
        <v>391</v>
      </c>
    </row>
    <row r="7291" spans="1:10" x14ac:dyDescent="0.25">
      <c r="A7291" s="78">
        <v>46286</v>
      </c>
      <c r="B7291" s="68">
        <v>10</v>
      </c>
      <c r="C7291" s="209" t="s">
        <v>1484</v>
      </c>
      <c r="D7291" s="30">
        <v>5</v>
      </c>
      <c r="E7291" s="30">
        <v>10</v>
      </c>
      <c r="F7291" s="30">
        <f t="shared" si="238"/>
        <v>50</v>
      </c>
      <c r="G7291" s="30" t="s">
        <v>9</v>
      </c>
      <c r="J7291" s="30" t="s">
        <v>391</v>
      </c>
    </row>
    <row r="7292" spans="1:10" x14ac:dyDescent="0.25">
      <c r="A7292" s="78">
        <v>46286</v>
      </c>
      <c r="B7292" s="68">
        <v>11</v>
      </c>
      <c r="C7292" s="205" t="s">
        <v>1165</v>
      </c>
      <c r="D7292" s="30">
        <v>5</v>
      </c>
      <c r="E7292" s="30">
        <v>1</v>
      </c>
      <c r="F7292" s="30">
        <f t="shared" si="238"/>
        <v>5</v>
      </c>
      <c r="G7292" s="30" t="s">
        <v>9</v>
      </c>
      <c r="J7292" s="30" t="s">
        <v>391</v>
      </c>
    </row>
    <row r="7293" spans="1:10" x14ac:dyDescent="0.25">
      <c r="A7293" s="78">
        <v>46286</v>
      </c>
      <c r="B7293" s="68">
        <v>12</v>
      </c>
      <c r="C7293" s="209" t="s">
        <v>1526</v>
      </c>
      <c r="D7293" s="30">
        <v>1</v>
      </c>
      <c r="E7293" s="30">
        <v>60</v>
      </c>
      <c r="F7293" s="30">
        <f t="shared" si="238"/>
        <v>60</v>
      </c>
      <c r="G7293" s="30" t="s">
        <v>9</v>
      </c>
      <c r="J7293" s="30" t="s">
        <v>391</v>
      </c>
    </row>
    <row r="7294" spans="1:10" ht="30" x14ac:dyDescent="0.25">
      <c r="A7294" s="78">
        <v>46286</v>
      </c>
      <c r="B7294" s="68">
        <v>13</v>
      </c>
      <c r="C7294" s="209" t="s">
        <v>1420</v>
      </c>
      <c r="D7294" s="30">
        <v>1</v>
      </c>
      <c r="E7294" s="30">
        <v>160</v>
      </c>
      <c r="F7294" s="30">
        <f t="shared" si="238"/>
        <v>160</v>
      </c>
      <c r="G7294" s="30" t="s">
        <v>10</v>
      </c>
      <c r="J7294" s="30" t="s">
        <v>391</v>
      </c>
    </row>
    <row r="7295" spans="1:10" x14ac:dyDescent="0.25">
      <c r="A7295" s="78">
        <v>46286</v>
      </c>
      <c r="B7295" s="68">
        <v>14</v>
      </c>
      <c r="C7295" s="204" t="s">
        <v>876</v>
      </c>
      <c r="D7295" s="30">
        <v>1</v>
      </c>
      <c r="E7295" s="30">
        <v>20</v>
      </c>
      <c r="F7295" s="30">
        <f t="shared" si="238"/>
        <v>20</v>
      </c>
      <c r="G7295" s="30" t="s">
        <v>9</v>
      </c>
      <c r="J7295" s="30" t="s">
        <v>391</v>
      </c>
    </row>
    <row r="7296" spans="1:10" x14ac:dyDescent="0.25">
      <c r="A7296" s="78">
        <v>46286</v>
      </c>
      <c r="B7296" s="68">
        <v>15</v>
      </c>
      <c r="C7296" s="209" t="s">
        <v>1473</v>
      </c>
      <c r="D7296" s="30">
        <v>1</v>
      </c>
      <c r="E7296" s="30">
        <v>20</v>
      </c>
      <c r="F7296" s="30">
        <f t="shared" si="238"/>
        <v>20</v>
      </c>
      <c r="G7296" s="30" t="s">
        <v>16</v>
      </c>
      <c r="I7296" s="68" t="s">
        <v>1226</v>
      </c>
      <c r="J7296" s="30" t="s">
        <v>391</v>
      </c>
    </row>
    <row r="7297" spans="1:10" x14ac:dyDescent="0.25">
      <c r="A7297" s="78">
        <v>46286</v>
      </c>
      <c r="B7297" s="68">
        <v>15</v>
      </c>
      <c r="C7297" s="205" t="s">
        <v>1288</v>
      </c>
      <c r="D7297" s="30">
        <v>1</v>
      </c>
      <c r="E7297" s="30">
        <v>5</v>
      </c>
      <c r="F7297" s="30">
        <f t="shared" si="238"/>
        <v>5</v>
      </c>
      <c r="G7297" s="30" t="s">
        <v>16</v>
      </c>
      <c r="I7297" s="68" t="s">
        <v>1226</v>
      </c>
      <c r="J7297" s="30" t="s">
        <v>391</v>
      </c>
    </row>
    <row r="7298" spans="1:10" x14ac:dyDescent="0.25">
      <c r="A7298" s="78">
        <v>46286</v>
      </c>
      <c r="B7298" s="68">
        <v>16</v>
      </c>
      <c r="C7298" s="209" t="s">
        <v>1484</v>
      </c>
      <c r="D7298" s="30">
        <v>1</v>
      </c>
      <c r="E7298" s="30">
        <v>10</v>
      </c>
      <c r="F7298" s="30">
        <f t="shared" si="238"/>
        <v>10</v>
      </c>
      <c r="G7298" s="30" t="s">
        <v>9</v>
      </c>
      <c r="J7298" s="30" t="s">
        <v>391</v>
      </c>
    </row>
    <row r="7299" spans="1:10" x14ac:dyDescent="0.25">
      <c r="A7299" s="78">
        <v>46286</v>
      </c>
      <c r="B7299" s="68">
        <v>17</v>
      </c>
      <c r="C7299" s="209" t="s">
        <v>1382</v>
      </c>
      <c r="D7299" s="30">
        <v>1</v>
      </c>
      <c r="E7299" s="30">
        <v>10</v>
      </c>
      <c r="F7299" s="30">
        <f t="shared" si="238"/>
        <v>10</v>
      </c>
      <c r="G7299" s="30" t="s">
        <v>9</v>
      </c>
      <c r="J7299" s="30" t="s">
        <v>391</v>
      </c>
    </row>
    <row r="7300" spans="1:10" s="199" customFormat="1" ht="31.5" x14ac:dyDescent="0.25">
      <c r="A7300" s="196">
        <v>46286</v>
      </c>
      <c r="B7300" s="197" t="s">
        <v>1245</v>
      </c>
      <c r="C7300" s="198">
        <f>MAX(B7275:B7300)</f>
        <v>17</v>
      </c>
      <c r="D7300" s="197" t="s">
        <v>1246</v>
      </c>
      <c r="E7300" s="199">
        <f>SUMIF(G7275:G7300,"UPI",F7275:F7300)</f>
        <v>584</v>
      </c>
      <c r="H7300" s="200" t="s">
        <v>1247</v>
      </c>
      <c r="I7300" s="200">
        <f>SUMIF(G7275:G7300, "&lt;&gt;UPI",F7275:F7300)</f>
        <v>280</v>
      </c>
    </row>
    <row r="7301" spans="1:10" x14ac:dyDescent="0.25">
      <c r="A7301" s="78">
        <v>46286</v>
      </c>
      <c r="B7301" s="68">
        <v>18</v>
      </c>
      <c r="C7301" s="209" t="s">
        <v>1473</v>
      </c>
      <c r="D7301" s="30">
        <v>4</v>
      </c>
      <c r="E7301" s="30">
        <v>20</v>
      </c>
      <c r="F7301" s="30">
        <f t="shared" ref="F7301:F7340" si="239">E7301*D7301</f>
        <v>80</v>
      </c>
      <c r="G7301" s="30" t="s">
        <v>9</v>
      </c>
      <c r="J7301" s="30" t="s">
        <v>392</v>
      </c>
    </row>
    <row r="7302" spans="1:10" x14ac:dyDescent="0.25">
      <c r="A7302" s="78">
        <v>46286</v>
      </c>
      <c r="B7302" s="68">
        <v>18</v>
      </c>
      <c r="C7302" s="33" t="s">
        <v>1523</v>
      </c>
      <c r="D7302" s="30">
        <v>2</v>
      </c>
      <c r="E7302" s="30">
        <v>5</v>
      </c>
      <c r="F7302" s="30">
        <f t="shared" si="239"/>
        <v>10</v>
      </c>
      <c r="G7302" s="30" t="s">
        <v>9</v>
      </c>
      <c r="J7302" s="30" t="s">
        <v>392</v>
      </c>
    </row>
    <row r="7303" spans="1:10" x14ac:dyDescent="0.25">
      <c r="A7303" s="78">
        <v>46286</v>
      </c>
      <c r="B7303" s="68">
        <v>18</v>
      </c>
      <c r="C7303" s="209" t="s">
        <v>1500</v>
      </c>
      <c r="D7303" s="30">
        <v>2</v>
      </c>
      <c r="E7303" s="30">
        <v>5</v>
      </c>
      <c r="F7303" s="30">
        <f t="shared" si="239"/>
        <v>10</v>
      </c>
      <c r="G7303" s="30" t="s">
        <v>9</v>
      </c>
      <c r="J7303" s="30" t="s">
        <v>392</v>
      </c>
    </row>
    <row r="7304" spans="1:10" x14ac:dyDescent="0.25">
      <c r="A7304" s="78">
        <v>46286</v>
      </c>
      <c r="B7304" s="68">
        <v>19</v>
      </c>
      <c r="C7304" s="209" t="s">
        <v>1484</v>
      </c>
      <c r="D7304" s="30">
        <v>3</v>
      </c>
      <c r="E7304" s="30">
        <v>10</v>
      </c>
      <c r="F7304" s="30">
        <f t="shared" si="239"/>
        <v>30</v>
      </c>
      <c r="G7304" s="30" t="s">
        <v>9</v>
      </c>
      <c r="J7304" s="30" t="s">
        <v>392</v>
      </c>
    </row>
    <row r="7305" spans="1:10" x14ac:dyDescent="0.25">
      <c r="A7305" s="78">
        <v>46286</v>
      </c>
      <c r="B7305" s="68">
        <v>19</v>
      </c>
      <c r="C7305" s="209" t="s">
        <v>1467</v>
      </c>
      <c r="D7305" s="30">
        <v>1</v>
      </c>
      <c r="E7305" s="30">
        <v>20</v>
      </c>
      <c r="F7305" s="30">
        <f t="shared" si="239"/>
        <v>20</v>
      </c>
      <c r="G7305" s="30" t="s">
        <v>9</v>
      </c>
      <c r="J7305" s="30" t="s">
        <v>392</v>
      </c>
    </row>
    <row r="7306" spans="1:10" x14ac:dyDescent="0.25">
      <c r="A7306" s="78">
        <v>46286</v>
      </c>
      <c r="B7306" s="68">
        <v>20</v>
      </c>
      <c r="C7306" s="209" t="s">
        <v>1513</v>
      </c>
      <c r="D7306" s="30">
        <v>4</v>
      </c>
      <c r="E7306" s="30">
        <v>8.5</v>
      </c>
      <c r="F7306" s="30">
        <f t="shared" si="239"/>
        <v>34</v>
      </c>
      <c r="G7306" s="30" t="s">
        <v>9</v>
      </c>
      <c r="J7306" s="30" t="s">
        <v>392</v>
      </c>
    </row>
    <row r="7307" spans="1:10" x14ac:dyDescent="0.25">
      <c r="A7307" s="78">
        <v>46286</v>
      </c>
      <c r="B7307" s="68">
        <v>21</v>
      </c>
      <c r="C7307" s="209" t="s">
        <v>1446</v>
      </c>
      <c r="D7307" s="30">
        <v>1</v>
      </c>
      <c r="E7307" s="30">
        <v>10</v>
      </c>
      <c r="F7307" s="30">
        <f t="shared" si="239"/>
        <v>10</v>
      </c>
      <c r="G7307" s="30" t="s">
        <v>9</v>
      </c>
      <c r="J7307" s="30" t="s">
        <v>392</v>
      </c>
    </row>
    <row r="7308" spans="1:10" x14ac:dyDescent="0.25">
      <c r="A7308" s="78">
        <v>46286</v>
      </c>
      <c r="B7308" s="68">
        <v>22</v>
      </c>
      <c r="C7308" s="209" t="s">
        <v>1513</v>
      </c>
      <c r="D7308" s="30">
        <v>4</v>
      </c>
      <c r="E7308" s="30">
        <v>8.5</v>
      </c>
      <c r="F7308" s="30">
        <f t="shared" si="239"/>
        <v>34</v>
      </c>
      <c r="G7308" s="30" t="s">
        <v>9</v>
      </c>
      <c r="J7308" s="30" t="s">
        <v>392</v>
      </c>
    </row>
    <row r="7309" spans="1:10" x14ac:dyDescent="0.25">
      <c r="A7309" s="78">
        <v>46286</v>
      </c>
      <c r="B7309" s="68">
        <v>23</v>
      </c>
      <c r="C7309" s="205" t="s">
        <v>1130</v>
      </c>
      <c r="D7309" s="30">
        <v>1</v>
      </c>
      <c r="E7309" s="30">
        <v>110</v>
      </c>
      <c r="F7309" s="30">
        <f t="shared" si="239"/>
        <v>110</v>
      </c>
      <c r="G7309" s="30" t="s">
        <v>9</v>
      </c>
      <c r="J7309" s="30" t="s">
        <v>392</v>
      </c>
    </row>
    <row r="7310" spans="1:10" x14ac:dyDescent="0.25">
      <c r="A7310" s="78">
        <v>46286</v>
      </c>
      <c r="B7310" s="68">
        <v>24</v>
      </c>
      <c r="C7310" s="209" t="s">
        <v>1502</v>
      </c>
      <c r="D7310" s="30">
        <v>1</v>
      </c>
      <c r="E7310" s="30">
        <v>10</v>
      </c>
      <c r="F7310" s="30">
        <f t="shared" si="239"/>
        <v>10</v>
      </c>
      <c r="G7310" s="30" t="s">
        <v>10</v>
      </c>
      <c r="J7310" s="30" t="s">
        <v>392</v>
      </c>
    </row>
    <row r="7311" spans="1:10" ht="30" x14ac:dyDescent="0.25">
      <c r="A7311" s="78">
        <v>46286</v>
      </c>
      <c r="B7311" s="68">
        <v>3</v>
      </c>
      <c r="C7311" s="209" t="s">
        <v>1404</v>
      </c>
      <c r="D7311" s="30">
        <v>1</v>
      </c>
      <c r="E7311" s="30">
        <v>380</v>
      </c>
      <c r="F7311" s="30">
        <f t="shared" si="239"/>
        <v>380</v>
      </c>
      <c r="G7311" s="30" t="s">
        <v>10</v>
      </c>
      <c r="J7311" s="30" t="s">
        <v>392</v>
      </c>
    </row>
    <row r="7312" spans="1:10" x14ac:dyDescent="0.25">
      <c r="A7312" s="78">
        <v>46286</v>
      </c>
      <c r="B7312" s="68">
        <v>3</v>
      </c>
      <c r="C7312" s="209" t="s">
        <v>1527</v>
      </c>
      <c r="D7312" s="30">
        <v>1</v>
      </c>
      <c r="E7312" s="30">
        <v>750</v>
      </c>
      <c r="F7312" s="30">
        <f t="shared" si="239"/>
        <v>750</v>
      </c>
      <c r="G7312" s="30" t="s">
        <v>10</v>
      </c>
      <c r="J7312" s="30" t="s">
        <v>392</v>
      </c>
    </row>
    <row r="7313" spans="1:10" x14ac:dyDescent="0.25">
      <c r="A7313" s="78">
        <v>46286</v>
      </c>
      <c r="B7313" s="68">
        <v>3</v>
      </c>
      <c r="C7313" s="209" t="s">
        <v>1528</v>
      </c>
      <c r="D7313" s="30">
        <v>1</v>
      </c>
      <c r="E7313" s="30">
        <v>650</v>
      </c>
      <c r="F7313" s="30">
        <f t="shared" si="239"/>
        <v>650</v>
      </c>
      <c r="G7313" s="30" t="s">
        <v>10</v>
      </c>
      <c r="J7313" s="30" t="s">
        <v>392</v>
      </c>
    </row>
    <row r="7314" spans="1:10" x14ac:dyDescent="0.25">
      <c r="A7314" s="78">
        <v>46286</v>
      </c>
      <c r="B7314" s="68">
        <v>3</v>
      </c>
      <c r="C7314" s="209" t="s">
        <v>1529</v>
      </c>
      <c r="D7314" s="30">
        <v>1</v>
      </c>
      <c r="E7314" s="30">
        <v>350</v>
      </c>
      <c r="F7314" s="30">
        <f t="shared" si="239"/>
        <v>350</v>
      </c>
      <c r="G7314" s="30" t="s">
        <v>10</v>
      </c>
      <c r="J7314" s="30" t="s">
        <v>392</v>
      </c>
    </row>
    <row r="7315" spans="1:10" ht="30" x14ac:dyDescent="0.25">
      <c r="A7315" s="78">
        <v>46286</v>
      </c>
      <c r="B7315" s="68">
        <v>3</v>
      </c>
      <c r="C7315" s="209" t="s">
        <v>1416</v>
      </c>
      <c r="D7315" s="30">
        <v>1</v>
      </c>
      <c r="E7315" s="30">
        <v>485</v>
      </c>
      <c r="F7315" s="30">
        <f t="shared" si="239"/>
        <v>485</v>
      </c>
      <c r="G7315" s="30" t="s">
        <v>10</v>
      </c>
      <c r="J7315" s="30" t="s">
        <v>392</v>
      </c>
    </row>
    <row r="7316" spans="1:10" x14ac:dyDescent="0.25">
      <c r="A7316" s="78">
        <v>46286</v>
      </c>
      <c r="B7316" s="68">
        <v>25</v>
      </c>
      <c r="C7316" s="209" t="s">
        <v>1490</v>
      </c>
      <c r="D7316" s="30">
        <v>9.0999999999999998E-2</v>
      </c>
      <c r="E7316" s="30">
        <v>110</v>
      </c>
      <c r="F7316" s="30">
        <f t="shared" si="239"/>
        <v>10.01</v>
      </c>
      <c r="G7316" s="30" t="s">
        <v>9</v>
      </c>
      <c r="J7316" s="30" t="s">
        <v>392</v>
      </c>
    </row>
    <row r="7317" spans="1:10" x14ac:dyDescent="0.25">
      <c r="A7317" s="78">
        <v>46286</v>
      </c>
      <c r="B7317" s="68">
        <v>3</v>
      </c>
      <c r="C7317" s="209" t="s">
        <v>1513</v>
      </c>
      <c r="D7317" s="30">
        <v>30</v>
      </c>
      <c r="E7317" s="30">
        <v>8.3000000000000007</v>
      </c>
      <c r="F7317" s="30">
        <f t="shared" si="239"/>
        <v>249.00000000000003</v>
      </c>
      <c r="G7317" s="30" t="s">
        <v>10</v>
      </c>
      <c r="J7317" s="30" t="s">
        <v>392</v>
      </c>
    </row>
    <row r="7318" spans="1:10" x14ac:dyDescent="0.25">
      <c r="A7318" s="78">
        <v>46286</v>
      </c>
      <c r="B7318" s="68">
        <v>26</v>
      </c>
      <c r="C7318" s="209" t="s">
        <v>1447</v>
      </c>
      <c r="D7318" s="30">
        <v>1</v>
      </c>
      <c r="E7318" s="30">
        <v>20</v>
      </c>
      <c r="F7318" s="30">
        <f t="shared" si="239"/>
        <v>20</v>
      </c>
      <c r="G7318" s="30" t="s">
        <v>9</v>
      </c>
      <c r="J7318" s="30" t="s">
        <v>392</v>
      </c>
    </row>
    <row r="7319" spans="1:10" x14ac:dyDescent="0.25">
      <c r="A7319" s="78">
        <v>46286</v>
      </c>
      <c r="B7319" s="68">
        <v>27</v>
      </c>
      <c r="C7319" s="204" t="s">
        <v>876</v>
      </c>
      <c r="D7319" s="30">
        <v>2</v>
      </c>
      <c r="E7319" s="30">
        <v>20</v>
      </c>
      <c r="F7319" s="30">
        <f t="shared" si="239"/>
        <v>40</v>
      </c>
      <c r="G7319" s="30" t="s">
        <v>10</v>
      </c>
      <c r="J7319" s="30" t="s">
        <v>392</v>
      </c>
    </row>
    <row r="7320" spans="1:10" ht="30" x14ac:dyDescent="0.25">
      <c r="A7320" s="78">
        <v>46286</v>
      </c>
      <c r="B7320" s="68">
        <v>27</v>
      </c>
      <c r="C7320" s="209" t="s">
        <v>1459</v>
      </c>
      <c r="D7320" s="30">
        <v>2</v>
      </c>
      <c r="E7320" s="30">
        <v>10</v>
      </c>
      <c r="F7320" s="30">
        <f t="shared" si="239"/>
        <v>20</v>
      </c>
      <c r="G7320" s="30" t="s">
        <v>10</v>
      </c>
      <c r="J7320" s="30" t="s">
        <v>392</v>
      </c>
    </row>
    <row r="7321" spans="1:10" x14ac:dyDescent="0.25">
      <c r="A7321" s="78">
        <v>46286</v>
      </c>
      <c r="B7321" s="68">
        <v>28</v>
      </c>
      <c r="C7321" s="209" t="s">
        <v>1448</v>
      </c>
      <c r="D7321" s="30">
        <v>1</v>
      </c>
      <c r="E7321" s="30">
        <v>10</v>
      </c>
      <c r="F7321" s="30">
        <f t="shared" si="239"/>
        <v>10</v>
      </c>
      <c r="G7321" s="30" t="s">
        <v>9</v>
      </c>
      <c r="J7321" s="30" t="s">
        <v>392</v>
      </c>
    </row>
    <row r="7322" spans="1:10" x14ac:dyDescent="0.25">
      <c r="A7322" s="78">
        <v>46286</v>
      </c>
      <c r="B7322" s="68">
        <v>29</v>
      </c>
      <c r="C7322" s="205" t="s">
        <v>117</v>
      </c>
      <c r="D7322" s="30">
        <v>1</v>
      </c>
      <c r="E7322" s="30">
        <v>10</v>
      </c>
      <c r="F7322" s="30">
        <f t="shared" si="239"/>
        <v>10</v>
      </c>
      <c r="G7322" s="30" t="s">
        <v>9</v>
      </c>
      <c r="J7322" s="30" t="s">
        <v>392</v>
      </c>
    </row>
    <row r="7323" spans="1:10" x14ac:dyDescent="0.25">
      <c r="A7323" s="78">
        <v>46286</v>
      </c>
      <c r="B7323" s="68">
        <v>30</v>
      </c>
      <c r="C7323" s="209" t="s">
        <v>1484</v>
      </c>
      <c r="D7323" s="30">
        <v>2</v>
      </c>
      <c r="E7323" s="30">
        <v>10</v>
      </c>
      <c r="F7323" s="30">
        <f t="shared" si="239"/>
        <v>20</v>
      </c>
      <c r="G7323" s="30" t="s">
        <v>9</v>
      </c>
      <c r="J7323" s="30" t="s">
        <v>392</v>
      </c>
    </row>
    <row r="7324" spans="1:10" x14ac:dyDescent="0.25">
      <c r="A7324" s="78">
        <v>46286</v>
      </c>
      <c r="B7324" s="68">
        <v>3</v>
      </c>
      <c r="C7324" s="205" t="s">
        <v>1291</v>
      </c>
      <c r="D7324" s="30">
        <v>26</v>
      </c>
      <c r="E7324" s="30">
        <v>62.3</v>
      </c>
      <c r="F7324" s="30">
        <f t="shared" si="239"/>
        <v>1619.8</v>
      </c>
      <c r="G7324" s="30" t="s">
        <v>10</v>
      </c>
      <c r="J7324" s="30" t="s">
        <v>392</v>
      </c>
    </row>
    <row r="7325" spans="1:10" x14ac:dyDescent="0.25">
      <c r="A7325" s="78">
        <v>46286</v>
      </c>
      <c r="B7325" s="68">
        <v>3</v>
      </c>
      <c r="C7325" s="209" t="s">
        <v>1379</v>
      </c>
      <c r="D7325" s="30">
        <v>24</v>
      </c>
      <c r="E7325" s="30">
        <v>39</v>
      </c>
      <c r="F7325" s="30">
        <f t="shared" si="239"/>
        <v>936</v>
      </c>
      <c r="G7325" s="30" t="s">
        <v>10</v>
      </c>
      <c r="J7325" s="30" t="s">
        <v>392</v>
      </c>
    </row>
    <row r="7326" spans="1:10" x14ac:dyDescent="0.25">
      <c r="A7326" s="78">
        <v>46286</v>
      </c>
      <c r="B7326" s="68">
        <v>31</v>
      </c>
      <c r="C7326" s="209" t="s">
        <v>1490</v>
      </c>
      <c r="D7326" s="30">
        <v>4.4999999999999998E-2</v>
      </c>
      <c r="E7326" s="30">
        <v>110</v>
      </c>
      <c r="F7326" s="30">
        <f t="shared" si="239"/>
        <v>4.95</v>
      </c>
      <c r="G7326" s="30" t="s">
        <v>9</v>
      </c>
      <c r="J7326" s="30" t="s">
        <v>392</v>
      </c>
    </row>
    <row r="7327" spans="1:10" x14ac:dyDescent="0.25">
      <c r="A7327" s="78">
        <v>46286</v>
      </c>
      <c r="B7327" s="68">
        <v>32</v>
      </c>
      <c r="C7327" s="205" t="s">
        <v>1132</v>
      </c>
      <c r="D7327" s="30">
        <v>1</v>
      </c>
      <c r="E7327" s="30">
        <v>60</v>
      </c>
      <c r="F7327" s="30">
        <f t="shared" si="239"/>
        <v>60</v>
      </c>
      <c r="G7327" s="30" t="s">
        <v>10</v>
      </c>
      <c r="J7327" s="30" t="s">
        <v>392</v>
      </c>
    </row>
    <row r="7328" spans="1:10" x14ac:dyDescent="0.25">
      <c r="A7328" s="78">
        <v>46286</v>
      </c>
      <c r="B7328" s="68">
        <v>33</v>
      </c>
      <c r="C7328" s="209" t="s">
        <v>1484</v>
      </c>
      <c r="D7328" s="30">
        <v>1</v>
      </c>
      <c r="E7328" s="30">
        <v>10</v>
      </c>
      <c r="F7328" s="30">
        <f t="shared" si="239"/>
        <v>10</v>
      </c>
      <c r="G7328" s="30" t="s">
        <v>10</v>
      </c>
      <c r="J7328" s="30" t="s">
        <v>392</v>
      </c>
    </row>
    <row r="7329" spans="1:12" x14ac:dyDescent="0.25">
      <c r="A7329" s="78">
        <v>46286</v>
      </c>
      <c r="B7329" s="68">
        <v>34</v>
      </c>
      <c r="C7329" s="209" t="s">
        <v>1513</v>
      </c>
      <c r="D7329" s="30">
        <v>4</v>
      </c>
      <c r="E7329" s="30">
        <v>8.5</v>
      </c>
      <c r="F7329" s="30">
        <f t="shared" si="239"/>
        <v>34</v>
      </c>
      <c r="G7329" s="30" t="s">
        <v>9</v>
      </c>
      <c r="J7329" s="30" t="s">
        <v>392</v>
      </c>
    </row>
    <row r="7330" spans="1:12" x14ac:dyDescent="0.25">
      <c r="A7330" s="78">
        <v>46286</v>
      </c>
      <c r="B7330" s="68">
        <v>34</v>
      </c>
      <c r="C7330" s="209" t="s">
        <v>1530</v>
      </c>
      <c r="D7330" s="30">
        <v>1</v>
      </c>
      <c r="E7330" s="30">
        <v>5</v>
      </c>
      <c r="F7330" s="30">
        <f t="shared" si="239"/>
        <v>5</v>
      </c>
      <c r="G7330" s="30" t="s">
        <v>9</v>
      </c>
      <c r="J7330" s="30" t="s">
        <v>392</v>
      </c>
    </row>
    <row r="7331" spans="1:12" x14ac:dyDescent="0.25">
      <c r="A7331" s="78">
        <v>46286</v>
      </c>
      <c r="B7331" s="68">
        <v>35</v>
      </c>
      <c r="C7331" s="209" t="s">
        <v>1530</v>
      </c>
      <c r="D7331" s="30">
        <v>1</v>
      </c>
      <c r="E7331" s="30">
        <v>5</v>
      </c>
      <c r="F7331" s="30">
        <f t="shared" si="239"/>
        <v>5</v>
      </c>
      <c r="G7331" s="30" t="s">
        <v>9</v>
      </c>
      <c r="J7331" s="30" t="s">
        <v>392</v>
      </c>
    </row>
    <row r="7332" spans="1:12" x14ac:dyDescent="0.25">
      <c r="A7332" s="78">
        <v>46286</v>
      </c>
      <c r="B7332" s="68">
        <v>36</v>
      </c>
      <c r="C7332" s="209" t="s">
        <v>1486</v>
      </c>
      <c r="D7332" s="30">
        <v>1</v>
      </c>
      <c r="E7332" s="30">
        <v>60</v>
      </c>
      <c r="F7332" s="30">
        <f t="shared" si="239"/>
        <v>60</v>
      </c>
      <c r="G7332" s="30" t="s">
        <v>10</v>
      </c>
      <c r="J7332" s="30" t="s">
        <v>392</v>
      </c>
    </row>
    <row r="7333" spans="1:12" x14ac:dyDescent="0.25">
      <c r="A7333" s="78">
        <v>46286</v>
      </c>
      <c r="B7333" s="68">
        <v>36</v>
      </c>
      <c r="C7333" s="209" t="s">
        <v>1344</v>
      </c>
      <c r="D7333" s="30">
        <v>1</v>
      </c>
      <c r="E7333" s="30">
        <v>20</v>
      </c>
      <c r="F7333" s="30">
        <f t="shared" si="239"/>
        <v>20</v>
      </c>
      <c r="G7333" s="30" t="s">
        <v>10</v>
      </c>
      <c r="J7333" s="30" t="s">
        <v>392</v>
      </c>
    </row>
    <row r="7334" spans="1:12" x14ac:dyDescent="0.25">
      <c r="A7334" s="78">
        <v>46286</v>
      </c>
      <c r="B7334" s="68">
        <v>36</v>
      </c>
      <c r="C7334" s="209" t="s">
        <v>1513</v>
      </c>
      <c r="D7334" s="30">
        <v>5</v>
      </c>
      <c r="E7334" s="30">
        <v>8.3000000000000007</v>
      </c>
      <c r="F7334" s="30">
        <f t="shared" si="239"/>
        <v>41.5</v>
      </c>
      <c r="G7334" s="30" t="s">
        <v>10</v>
      </c>
      <c r="J7334" s="30" t="s">
        <v>392</v>
      </c>
    </row>
    <row r="7335" spans="1:12" x14ac:dyDescent="0.25">
      <c r="A7335" s="78">
        <v>46286</v>
      </c>
      <c r="B7335" s="68">
        <v>37</v>
      </c>
      <c r="C7335" s="209" t="s">
        <v>1473</v>
      </c>
      <c r="D7335" s="30">
        <v>4</v>
      </c>
      <c r="E7335" s="30">
        <v>20</v>
      </c>
      <c r="F7335" s="30">
        <f t="shared" si="239"/>
        <v>80</v>
      </c>
      <c r="G7335" s="30" t="s">
        <v>9</v>
      </c>
      <c r="J7335" s="30" t="s">
        <v>392</v>
      </c>
    </row>
    <row r="7336" spans="1:12" x14ac:dyDescent="0.25">
      <c r="A7336" s="78">
        <v>46286</v>
      </c>
      <c r="B7336" s="68">
        <v>37</v>
      </c>
      <c r="C7336" s="205" t="s">
        <v>678</v>
      </c>
      <c r="D7336" s="30">
        <v>1</v>
      </c>
      <c r="E7336" s="30">
        <v>10</v>
      </c>
      <c r="F7336" s="30">
        <f t="shared" si="239"/>
        <v>10</v>
      </c>
      <c r="G7336" s="30" t="s">
        <v>9</v>
      </c>
      <c r="J7336" s="30" t="s">
        <v>392</v>
      </c>
    </row>
    <row r="7337" spans="1:12" x14ac:dyDescent="0.25">
      <c r="A7337" s="78">
        <v>46286</v>
      </c>
      <c r="B7337" s="68">
        <v>38</v>
      </c>
      <c r="C7337" s="205" t="s">
        <v>1130</v>
      </c>
      <c r="D7337" s="30">
        <v>1</v>
      </c>
      <c r="E7337" s="30">
        <v>110</v>
      </c>
      <c r="F7337" s="30">
        <f t="shared" si="239"/>
        <v>110</v>
      </c>
      <c r="G7337" s="30" t="s">
        <v>9</v>
      </c>
      <c r="J7337" s="30" t="s">
        <v>392</v>
      </c>
    </row>
    <row r="7338" spans="1:12" x14ac:dyDescent="0.25">
      <c r="A7338" s="78">
        <v>46286</v>
      </c>
      <c r="B7338" s="68">
        <v>39</v>
      </c>
      <c r="C7338" s="209" t="s">
        <v>1479</v>
      </c>
      <c r="D7338" s="30">
        <v>0.1</v>
      </c>
      <c r="E7338" s="30">
        <v>100</v>
      </c>
      <c r="F7338" s="30">
        <f t="shared" si="239"/>
        <v>10</v>
      </c>
      <c r="G7338" s="30" t="s">
        <v>9</v>
      </c>
      <c r="J7338" s="30" t="s">
        <v>392</v>
      </c>
    </row>
    <row r="7339" spans="1:12" x14ac:dyDescent="0.25">
      <c r="A7339" s="78">
        <v>46286</v>
      </c>
      <c r="B7339" s="68">
        <v>39</v>
      </c>
      <c r="C7339" s="209" t="s">
        <v>1473</v>
      </c>
      <c r="D7339" s="30">
        <v>1</v>
      </c>
      <c r="E7339" s="30">
        <v>20</v>
      </c>
      <c r="F7339" s="30">
        <f t="shared" si="239"/>
        <v>20</v>
      </c>
      <c r="G7339" s="30" t="s">
        <v>9</v>
      </c>
      <c r="J7339" s="30" t="s">
        <v>392</v>
      </c>
    </row>
    <row r="7340" spans="1:12" x14ac:dyDescent="0.25">
      <c r="A7340" s="78">
        <v>46286</v>
      </c>
      <c r="B7340" s="68">
        <v>40</v>
      </c>
      <c r="C7340" s="209" t="s">
        <v>1513</v>
      </c>
      <c r="D7340" s="30">
        <v>2</v>
      </c>
      <c r="E7340" s="30">
        <v>8.5</v>
      </c>
      <c r="F7340" s="30">
        <f t="shared" si="239"/>
        <v>17</v>
      </c>
      <c r="G7340" s="30" t="s">
        <v>9</v>
      </c>
      <c r="J7340" s="30" t="s">
        <v>392</v>
      </c>
    </row>
    <row r="7341" spans="1:12" s="199" customFormat="1" ht="31.5" x14ac:dyDescent="0.25">
      <c r="A7341" s="196">
        <v>46286</v>
      </c>
      <c r="B7341" s="197" t="s">
        <v>1248</v>
      </c>
      <c r="C7341" s="198">
        <f>MAX(B7301:B7341)</f>
        <v>40</v>
      </c>
      <c r="D7341" s="197" t="s">
        <v>1249</v>
      </c>
      <c r="E7341" s="199">
        <f>SUMIF(G7301:G7341,"UPI",F7301:F7341)</f>
        <v>5681.3</v>
      </c>
      <c r="H7341" s="200" t="s">
        <v>1251</v>
      </c>
      <c r="I7341" s="200">
        <f>SUMIF(G7301:G7341, "&lt;&gt;UPI",F7301:F7341)</f>
        <v>703.96</v>
      </c>
    </row>
    <row r="7342" spans="1:12" s="5" customFormat="1" ht="15.75" x14ac:dyDescent="0.25">
      <c r="A7342" s="201">
        <v>46286</v>
      </c>
      <c r="B7342" s="2"/>
      <c r="C7342" s="14"/>
      <c r="H7342" s="2" t="s">
        <v>1250</v>
      </c>
      <c r="I7342" s="2">
        <f>SUMIF(G7275:G7341, "&lt;&gt;UPI",F7275:F7341)</f>
        <v>983.96</v>
      </c>
    </row>
    <row r="7343" spans="1:12" s="202" customFormat="1" ht="18.75" customHeight="1" x14ac:dyDescent="0.3">
      <c r="A7343" s="146">
        <v>46286</v>
      </c>
      <c r="B7343" s="147" t="s">
        <v>987</v>
      </c>
      <c r="C7343" s="148">
        <f>MAX(B7275:B7342)</f>
        <v>40</v>
      </c>
      <c r="D7343" s="147" t="s">
        <v>988</v>
      </c>
      <c r="E7343" s="202">
        <f>SUMIF(G7275:G7341,"UPI",F7275:F7341)</f>
        <v>6265.3</v>
      </c>
      <c r="F7343" s="227" t="s">
        <v>437</v>
      </c>
      <c r="G7343" s="228"/>
      <c r="H7343" s="229"/>
      <c r="I7343" s="227">
        <f>SUM(F7275:F7342)</f>
        <v>7249.26</v>
      </c>
      <c r="J7343" s="228"/>
      <c r="K7343" s="228"/>
      <c r="L7343" s="229"/>
    </row>
    <row r="7344" spans="1:12" x14ac:dyDescent="0.25">
      <c r="A7344" s="78">
        <v>46287</v>
      </c>
      <c r="B7344" s="68">
        <v>1</v>
      </c>
      <c r="C7344" s="209" t="s">
        <v>1419</v>
      </c>
      <c r="D7344" s="30">
        <v>1</v>
      </c>
      <c r="E7344" s="30">
        <v>10</v>
      </c>
      <c r="F7344" s="30">
        <f>E7344*D7344</f>
        <v>10</v>
      </c>
      <c r="G7344" s="30" t="s">
        <v>9</v>
      </c>
      <c r="J7344" s="30" t="s">
        <v>391</v>
      </c>
    </row>
    <row r="7345" spans="1:10" x14ac:dyDescent="0.25">
      <c r="A7345" s="78">
        <v>46287</v>
      </c>
      <c r="B7345" s="68">
        <v>1</v>
      </c>
      <c r="C7345" s="209" t="s">
        <v>1452</v>
      </c>
      <c r="D7345" s="30">
        <v>1</v>
      </c>
      <c r="E7345" s="30">
        <v>10</v>
      </c>
      <c r="F7345" s="30">
        <f t="shared" ref="F7345:F7369" si="240">E7345*D7345</f>
        <v>10</v>
      </c>
      <c r="G7345" s="30" t="s">
        <v>9</v>
      </c>
      <c r="J7345" s="30" t="s">
        <v>391</v>
      </c>
    </row>
    <row r="7346" spans="1:10" x14ac:dyDescent="0.25">
      <c r="A7346" s="78">
        <v>46287</v>
      </c>
      <c r="B7346" s="68">
        <v>2</v>
      </c>
      <c r="C7346" s="205" t="s">
        <v>742</v>
      </c>
      <c r="D7346" s="30">
        <v>1</v>
      </c>
      <c r="E7346" s="30">
        <v>35</v>
      </c>
      <c r="F7346" s="30">
        <f t="shared" si="240"/>
        <v>35</v>
      </c>
      <c r="G7346" s="30" t="s">
        <v>9</v>
      </c>
      <c r="J7346" s="30" t="s">
        <v>391</v>
      </c>
    </row>
    <row r="7347" spans="1:10" x14ac:dyDescent="0.25">
      <c r="A7347" s="78">
        <v>46287</v>
      </c>
      <c r="B7347" s="68">
        <v>2</v>
      </c>
      <c r="C7347" s="209" t="s">
        <v>1513</v>
      </c>
      <c r="D7347" s="30">
        <v>4</v>
      </c>
      <c r="E7347" s="30">
        <v>8.8000000000000007</v>
      </c>
      <c r="F7347" s="30">
        <f t="shared" si="240"/>
        <v>35.200000000000003</v>
      </c>
      <c r="G7347" s="30" t="s">
        <v>9</v>
      </c>
      <c r="J7347" s="30" t="s">
        <v>391</v>
      </c>
    </row>
    <row r="7348" spans="1:10" x14ac:dyDescent="0.25">
      <c r="A7348" s="78">
        <v>46287</v>
      </c>
      <c r="B7348" s="68">
        <v>3</v>
      </c>
      <c r="C7348" s="209" t="s">
        <v>1465</v>
      </c>
      <c r="D7348" s="30">
        <v>1</v>
      </c>
      <c r="E7348" s="30">
        <v>10</v>
      </c>
      <c r="F7348" s="30">
        <f t="shared" si="240"/>
        <v>10</v>
      </c>
      <c r="G7348" s="30" t="s">
        <v>9</v>
      </c>
      <c r="J7348" s="30" t="s">
        <v>391</v>
      </c>
    </row>
    <row r="7349" spans="1:10" x14ac:dyDescent="0.25">
      <c r="A7349" s="78">
        <v>46287</v>
      </c>
      <c r="B7349" s="68">
        <v>3</v>
      </c>
      <c r="C7349" s="209" t="s">
        <v>1503</v>
      </c>
      <c r="D7349" s="30">
        <v>5</v>
      </c>
      <c r="E7349" s="30">
        <v>2</v>
      </c>
      <c r="F7349" s="30">
        <f t="shared" si="240"/>
        <v>10</v>
      </c>
      <c r="G7349" s="30" t="s">
        <v>9</v>
      </c>
      <c r="J7349" s="30" t="s">
        <v>391</v>
      </c>
    </row>
    <row r="7350" spans="1:10" ht="30" x14ac:dyDescent="0.25">
      <c r="A7350" s="78">
        <v>46287</v>
      </c>
      <c r="B7350" s="68">
        <v>4</v>
      </c>
      <c r="C7350" s="209" t="s">
        <v>1389</v>
      </c>
      <c r="D7350" s="30">
        <v>1</v>
      </c>
      <c r="E7350" s="30">
        <v>65</v>
      </c>
      <c r="F7350" s="30">
        <f t="shared" si="240"/>
        <v>65</v>
      </c>
      <c r="G7350" s="30" t="s">
        <v>16</v>
      </c>
      <c r="I7350" s="68" t="s">
        <v>1226</v>
      </c>
      <c r="J7350" s="30" t="s">
        <v>391</v>
      </c>
    </row>
    <row r="7351" spans="1:10" ht="30" x14ac:dyDescent="0.25">
      <c r="A7351" s="78">
        <v>46287</v>
      </c>
      <c r="B7351" s="68">
        <v>5</v>
      </c>
      <c r="C7351" s="205" t="s">
        <v>1104</v>
      </c>
      <c r="D7351" s="30">
        <v>1</v>
      </c>
      <c r="E7351" s="30">
        <v>40</v>
      </c>
      <c r="F7351" s="30">
        <f t="shared" si="240"/>
        <v>40</v>
      </c>
      <c r="G7351" s="30" t="s">
        <v>9</v>
      </c>
      <c r="J7351" s="30" t="s">
        <v>391</v>
      </c>
    </row>
    <row r="7352" spans="1:10" x14ac:dyDescent="0.25">
      <c r="A7352" s="78">
        <v>46287</v>
      </c>
      <c r="B7352" s="68">
        <v>5</v>
      </c>
      <c r="C7352" s="205" t="s">
        <v>110</v>
      </c>
      <c r="D7352" s="30">
        <v>2</v>
      </c>
      <c r="E7352" s="30">
        <v>5</v>
      </c>
      <c r="F7352" s="30">
        <f t="shared" si="240"/>
        <v>10</v>
      </c>
      <c r="G7352" s="30" t="s">
        <v>9</v>
      </c>
      <c r="J7352" s="30" t="s">
        <v>391</v>
      </c>
    </row>
    <row r="7353" spans="1:10" x14ac:dyDescent="0.25">
      <c r="A7353" s="78">
        <v>46287</v>
      </c>
      <c r="B7353" s="68">
        <v>5</v>
      </c>
      <c r="C7353" s="33" t="s">
        <v>1316</v>
      </c>
      <c r="D7353" s="30">
        <v>1</v>
      </c>
      <c r="E7353" s="30">
        <v>10</v>
      </c>
      <c r="F7353" s="30">
        <f t="shared" si="240"/>
        <v>10</v>
      </c>
      <c r="G7353" s="30" t="s">
        <v>9</v>
      </c>
      <c r="J7353" s="30" t="s">
        <v>391</v>
      </c>
    </row>
    <row r="7354" spans="1:10" x14ac:dyDescent="0.25">
      <c r="A7354" s="78">
        <v>46287</v>
      </c>
      <c r="B7354" s="68">
        <v>5</v>
      </c>
      <c r="C7354" s="209" t="s">
        <v>1500</v>
      </c>
      <c r="D7354" s="30">
        <v>2</v>
      </c>
      <c r="E7354" s="30">
        <v>5</v>
      </c>
      <c r="F7354" s="30">
        <f t="shared" si="240"/>
        <v>10</v>
      </c>
      <c r="G7354" s="30" t="s">
        <v>9</v>
      </c>
      <c r="J7354" s="30" t="s">
        <v>391</v>
      </c>
    </row>
    <row r="7355" spans="1:10" x14ac:dyDescent="0.25">
      <c r="A7355" s="78">
        <v>46287</v>
      </c>
      <c r="B7355" s="68">
        <v>5</v>
      </c>
      <c r="C7355" s="33" t="s">
        <v>1530</v>
      </c>
      <c r="D7355" s="30">
        <v>2</v>
      </c>
      <c r="E7355" s="30">
        <v>5</v>
      </c>
      <c r="F7355" s="30">
        <f t="shared" si="240"/>
        <v>10</v>
      </c>
      <c r="G7355" s="30" t="s">
        <v>9</v>
      </c>
      <c r="J7355" s="30" t="s">
        <v>391</v>
      </c>
    </row>
    <row r="7356" spans="1:10" x14ac:dyDescent="0.25">
      <c r="A7356" s="78">
        <v>46287</v>
      </c>
      <c r="B7356" s="68">
        <v>6</v>
      </c>
      <c r="C7356" s="209" t="s">
        <v>1382</v>
      </c>
      <c r="D7356" s="30">
        <v>1</v>
      </c>
      <c r="E7356" s="30">
        <v>10</v>
      </c>
      <c r="F7356" s="30">
        <f t="shared" si="240"/>
        <v>10</v>
      </c>
      <c r="G7356" s="30" t="s">
        <v>10</v>
      </c>
      <c r="J7356" s="30" t="s">
        <v>391</v>
      </c>
    </row>
    <row r="7357" spans="1:10" ht="30" x14ac:dyDescent="0.25">
      <c r="A7357" s="78">
        <v>46287</v>
      </c>
      <c r="B7357" s="68">
        <v>7</v>
      </c>
      <c r="C7357" s="209" t="s">
        <v>1420</v>
      </c>
      <c r="D7357" s="30">
        <v>1</v>
      </c>
      <c r="E7357" s="30">
        <v>160</v>
      </c>
      <c r="F7357" s="30">
        <f t="shared" si="240"/>
        <v>160</v>
      </c>
      <c r="G7357" s="30" t="s">
        <v>9</v>
      </c>
      <c r="J7357" s="30" t="s">
        <v>391</v>
      </c>
    </row>
    <row r="7358" spans="1:10" x14ac:dyDescent="0.25">
      <c r="A7358" s="78">
        <v>46287</v>
      </c>
      <c r="B7358" s="68">
        <v>7</v>
      </c>
      <c r="C7358" s="205" t="s">
        <v>94</v>
      </c>
      <c r="D7358" s="30">
        <v>1</v>
      </c>
      <c r="E7358" s="30">
        <v>20</v>
      </c>
      <c r="F7358" s="30">
        <f t="shared" si="240"/>
        <v>20</v>
      </c>
      <c r="G7358" s="30" t="s">
        <v>9</v>
      </c>
      <c r="J7358" s="30" t="s">
        <v>391</v>
      </c>
    </row>
    <row r="7359" spans="1:10" ht="30" x14ac:dyDescent="0.25">
      <c r="A7359" s="78">
        <v>46287</v>
      </c>
      <c r="B7359" s="68">
        <v>8</v>
      </c>
      <c r="C7359" s="209" t="s">
        <v>1338</v>
      </c>
      <c r="D7359" s="30">
        <v>2</v>
      </c>
      <c r="E7359" s="30">
        <v>5</v>
      </c>
      <c r="F7359" s="30">
        <f t="shared" si="240"/>
        <v>10</v>
      </c>
      <c r="G7359" s="30" t="s">
        <v>10</v>
      </c>
      <c r="J7359" s="30" t="s">
        <v>391</v>
      </c>
    </row>
    <row r="7360" spans="1:10" x14ac:dyDescent="0.25">
      <c r="A7360" s="78">
        <v>46287</v>
      </c>
      <c r="B7360" s="68">
        <v>9</v>
      </c>
      <c r="C7360" s="205" t="s">
        <v>1530</v>
      </c>
      <c r="D7360" s="30">
        <v>2</v>
      </c>
      <c r="E7360" s="30">
        <v>5</v>
      </c>
      <c r="F7360" s="30">
        <f t="shared" si="240"/>
        <v>10</v>
      </c>
      <c r="G7360" s="30" t="s">
        <v>9</v>
      </c>
      <c r="J7360" s="30" t="s">
        <v>391</v>
      </c>
    </row>
    <row r="7361" spans="1:10" x14ac:dyDescent="0.25">
      <c r="A7361" s="78">
        <v>46287</v>
      </c>
      <c r="B7361" s="68">
        <v>10</v>
      </c>
      <c r="C7361" s="205" t="s">
        <v>105</v>
      </c>
      <c r="D7361" s="30">
        <v>1</v>
      </c>
      <c r="E7361" s="30">
        <v>86</v>
      </c>
      <c r="F7361" s="30">
        <f t="shared" si="240"/>
        <v>86</v>
      </c>
      <c r="G7361" s="30" t="s">
        <v>9</v>
      </c>
      <c r="J7361" s="30" t="s">
        <v>391</v>
      </c>
    </row>
    <row r="7362" spans="1:10" x14ac:dyDescent="0.25">
      <c r="A7362" s="78">
        <v>46287</v>
      </c>
      <c r="B7362" s="68">
        <v>10</v>
      </c>
      <c r="C7362" s="205" t="s">
        <v>348</v>
      </c>
      <c r="D7362" s="30">
        <v>5</v>
      </c>
      <c r="E7362" s="30">
        <v>1</v>
      </c>
      <c r="F7362" s="30">
        <f t="shared" si="240"/>
        <v>5</v>
      </c>
      <c r="G7362" s="30" t="s">
        <v>9</v>
      </c>
      <c r="J7362" s="30" t="s">
        <v>391</v>
      </c>
    </row>
    <row r="7363" spans="1:10" x14ac:dyDescent="0.25">
      <c r="A7363" s="78">
        <v>46287</v>
      </c>
      <c r="B7363" s="68">
        <v>11</v>
      </c>
      <c r="C7363" s="205" t="s">
        <v>874</v>
      </c>
      <c r="D7363" s="30">
        <v>1</v>
      </c>
      <c r="E7363" s="30">
        <v>35</v>
      </c>
      <c r="F7363" s="30">
        <f t="shared" si="240"/>
        <v>35</v>
      </c>
      <c r="G7363" s="30" t="s">
        <v>9</v>
      </c>
      <c r="J7363" s="30" t="s">
        <v>391</v>
      </c>
    </row>
    <row r="7364" spans="1:10" x14ac:dyDescent="0.25">
      <c r="A7364" s="78">
        <v>46287</v>
      </c>
      <c r="B7364" s="68">
        <v>4</v>
      </c>
      <c r="C7364" s="205" t="s">
        <v>1531</v>
      </c>
      <c r="D7364" s="30">
        <v>1</v>
      </c>
      <c r="E7364" s="30">
        <v>40</v>
      </c>
      <c r="F7364" s="30">
        <f t="shared" si="240"/>
        <v>40</v>
      </c>
      <c r="G7364" s="30" t="s">
        <v>16</v>
      </c>
      <c r="I7364" s="68" t="s">
        <v>1226</v>
      </c>
      <c r="J7364" s="30" t="s">
        <v>391</v>
      </c>
    </row>
    <row r="7365" spans="1:10" x14ac:dyDescent="0.25">
      <c r="A7365" s="78">
        <v>46287</v>
      </c>
      <c r="B7365" s="68">
        <v>12</v>
      </c>
      <c r="C7365" s="209" t="s">
        <v>1484</v>
      </c>
      <c r="D7365" s="30">
        <v>4</v>
      </c>
      <c r="E7365" s="30">
        <v>10</v>
      </c>
      <c r="F7365" s="30">
        <f t="shared" si="240"/>
        <v>40</v>
      </c>
      <c r="G7365" s="30" t="s">
        <v>10</v>
      </c>
      <c r="J7365" s="30" t="s">
        <v>391</v>
      </c>
    </row>
    <row r="7366" spans="1:10" x14ac:dyDescent="0.25">
      <c r="A7366" s="78">
        <v>46287</v>
      </c>
      <c r="B7366" s="68">
        <v>12</v>
      </c>
      <c r="C7366" s="205" t="s">
        <v>1473</v>
      </c>
      <c r="D7366" s="30">
        <v>1</v>
      </c>
      <c r="E7366" s="30">
        <v>20</v>
      </c>
      <c r="F7366" s="30">
        <f t="shared" si="240"/>
        <v>20</v>
      </c>
      <c r="G7366" s="30" t="s">
        <v>10</v>
      </c>
      <c r="J7366" s="30" t="s">
        <v>391</v>
      </c>
    </row>
    <row r="7367" spans="1:10" ht="30" x14ac:dyDescent="0.25">
      <c r="A7367" s="78">
        <v>46287</v>
      </c>
      <c r="B7367" s="68">
        <v>13</v>
      </c>
      <c r="C7367" s="205" t="s">
        <v>1172</v>
      </c>
      <c r="D7367" s="30">
        <v>1</v>
      </c>
      <c r="E7367" s="30">
        <v>210</v>
      </c>
      <c r="F7367" s="30">
        <f t="shared" si="240"/>
        <v>210</v>
      </c>
      <c r="G7367" s="30" t="s">
        <v>16</v>
      </c>
      <c r="I7367" s="68" t="s">
        <v>1200</v>
      </c>
      <c r="J7367" s="30" t="s">
        <v>391</v>
      </c>
    </row>
    <row r="7368" spans="1:10" x14ac:dyDescent="0.25">
      <c r="A7368" s="78">
        <v>46287</v>
      </c>
      <c r="B7368" s="68">
        <v>13</v>
      </c>
      <c r="C7368" s="205" t="s">
        <v>1532</v>
      </c>
      <c r="D7368" s="30">
        <v>1</v>
      </c>
      <c r="E7368" s="30">
        <v>249</v>
      </c>
      <c r="F7368" s="30">
        <f t="shared" si="240"/>
        <v>249</v>
      </c>
      <c r="G7368" s="30" t="s">
        <v>16</v>
      </c>
      <c r="I7368" s="68" t="s">
        <v>1200</v>
      </c>
      <c r="J7368" s="30" t="s">
        <v>391</v>
      </c>
    </row>
    <row r="7369" spans="1:10" x14ac:dyDescent="0.25">
      <c r="A7369" s="78">
        <v>46287</v>
      </c>
      <c r="B7369" s="68">
        <v>14</v>
      </c>
      <c r="C7369" s="205" t="s">
        <v>1254</v>
      </c>
      <c r="D7369" s="30">
        <v>2</v>
      </c>
      <c r="E7369" s="30">
        <v>10</v>
      </c>
      <c r="F7369" s="30">
        <f t="shared" si="240"/>
        <v>20</v>
      </c>
      <c r="G7369" s="30" t="s">
        <v>16</v>
      </c>
      <c r="I7369" s="68" t="s">
        <v>1525</v>
      </c>
      <c r="J7369" s="30" t="s">
        <v>391</v>
      </c>
    </row>
    <row r="7370" spans="1:10" s="199" customFormat="1" ht="31.5" x14ac:dyDescent="0.25">
      <c r="A7370" s="196">
        <v>46287</v>
      </c>
      <c r="B7370" s="197" t="s">
        <v>1245</v>
      </c>
      <c r="C7370" s="198">
        <f>MAX(B7344:B7370)</f>
        <v>14</v>
      </c>
      <c r="D7370" s="197" t="s">
        <v>1246</v>
      </c>
      <c r="E7370" s="199">
        <f>SUMIF(G7344:G7370,"UPI",F7344:F7370)</f>
        <v>80</v>
      </c>
      <c r="H7370" s="200" t="s">
        <v>1247</v>
      </c>
      <c r="I7370" s="200">
        <f>SUMIF(G7344:G7370, "&lt;&gt;UPI",F7344:F7370)</f>
        <v>1090.2</v>
      </c>
    </row>
    <row r="7371" spans="1:10" x14ac:dyDescent="0.25">
      <c r="A7371" s="78">
        <v>46287</v>
      </c>
      <c r="B7371" s="68">
        <v>15</v>
      </c>
      <c r="C7371" s="209" t="s">
        <v>1484</v>
      </c>
      <c r="D7371" s="30">
        <v>2</v>
      </c>
      <c r="E7371" s="30">
        <v>10</v>
      </c>
      <c r="F7371" s="30">
        <f t="shared" ref="F7371:F7391" si="241">E7371*D7371</f>
        <v>20</v>
      </c>
      <c r="G7371" s="30" t="s">
        <v>9</v>
      </c>
      <c r="J7371" s="30" t="s">
        <v>392</v>
      </c>
    </row>
    <row r="7372" spans="1:10" x14ac:dyDescent="0.25">
      <c r="A7372" s="78">
        <v>46287</v>
      </c>
      <c r="B7372" s="68">
        <v>16</v>
      </c>
      <c r="C7372" s="205" t="s">
        <v>699</v>
      </c>
      <c r="D7372" s="30">
        <v>1</v>
      </c>
      <c r="E7372" s="30">
        <v>15</v>
      </c>
      <c r="F7372" s="30">
        <f t="shared" si="241"/>
        <v>15</v>
      </c>
      <c r="G7372" s="30" t="s">
        <v>9</v>
      </c>
      <c r="J7372" s="30" t="s">
        <v>392</v>
      </c>
    </row>
    <row r="7373" spans="1:10" x14ac:dyDescent="0.25">
      <c r="A7373" s="78">
        <v>46287</v>
      </c>
      <c r="B7373" s="68">
        <v>17</v>
      </c>
      <c r="C7373" s="205" t="s">
        <v>815</v>
      </c>
      <c r="D7373" s="30">
        <v>0.5</v>
      </c>
      <c r="E7373" s="30">
        <v>58</v>
      </c>
      <c r="F7373" s="30">
        <f t="shared" si="241"/>
        <v>29</v>
      </c>
      <c r="G7373" s="30" t="s">
        <v>9</v>
      </c>
      <c r="J7373" s="30" t="s">
        <v>392</v>
      </c>
    </row>
    <row r="7374" spans="1:10" x14ac:dyDescent="0.25">
      <c r="A7374" s="78">
        <v>46287</v>
      </c>
      <c r="B7374" s="68">
        <v>18</v>
      </c>
      <c r="C7374" s="209" t="s">
        <v>1502</v>
      </c>
      <c r="D7374" s="30">
        <v>1</v>
      </c>
      <c r="E7374" s="30">
        <v>10</v>
      </c>
      <c r="F7374" s="30">
        <f t="shared" si="241"/>
        <v>10</v>
      </c>
      <c r="G7374" s="30" t="s">
        <v>10</v>
      </c>
      <c r="J7374" s="30" t="s">
        <v>392</v>
      </c>
    </row>
    <row r="7375" spans="1:10" x14ac:dyDescent="0.25">
      <c r="A7375" s="78">
        <v>46287</v>
      </c>
      <c r="B7375" s="68">
        <v>18</v>
      </c>
      <c r="C7375" s="209" t="s">
        <v>1484</v>
      </c>
      <c r="D7375" s="30">
        <v>1</v>
      </c>
      <c r="E7375" s="30">
        <v>10</v>
      </c>
      <c r="F7375" s="30">
        <f t="shared" si="241"/>
        <v>10</v>
      </c>
      <c r="G7375" s="30" t="s">
        <v>10</v>
      </c>
      <c r="J7375" s="30" t="s">
        <v>392</v>
      </c>
    </row>
    <row r="7376" spans="1:10" x14ac:dyDescent="0.25">
      <c r="A7376" s="78">
        <v>46287</v>
      </c>
      <c r="B7376" s="68">
        <v>18</v>
      </c>
      <c r="C7376" s="209" t="s">
        <v>1498</v>
      </c>
      <c r="D7376" s="30">
        <v>1</v>
      </c>
      <c r="E7376" s="30">
        <v>5</v>
      </c>
      <c r="F7376" s="30">
        <f t="shared" si="241"/>
        <v>5</v>
      </c>
      <c r="G7376" s="30" t="s">
        <v>10</v>
      </c>
      <c r="J7376" s="30" t="s">
        <v>392</v>
      </c>
    </row>
    <row r="7377" spans="1:10" x14ac:dyDescent="0.25">
      <c r="A7377" s="78">
        <v>46287</v>
      </c>
      <c r="B7377" s="68">
        <v>19</v>
      </c>
      <c r="C7377" s="205" t="s">
        <v>810</v>
      </c>
      <c r="D7377" s="30">
        <v>0.34</v>
      </c>
      <c r="E7377" s="30">
        <v>60</v>
      </c>
      <c r="F7377" s="30">
        <f t="shared" si="241"/>
        <v>20.400000000000002</v>
      </c>
      <c r="G7377" s="30" t="s">
        <v>10</v>
      </c>
      <c r="J7377" s="30" t="s">
        <v>392</v>
      </c>
    </row>
    <row r="7378" spans="1:10" x14ac:dyDescent="0.25">
      <c r="A7378" s="78">
        <v>46287</v>
      </c>
      <c r="B7378" s="68">
        <v>20</v>
      </c>
      <c r="C7378" s="205" t="s">
        <v>699</v>
      </c>
      <c r="D7378" s="30">
        <v>2</v>
      </c>
      <c r="E7378" s="30">
        <v>15</v>
      </c>
      <c r="F7378" s="30">
        <f t="shared" si="241"/>
        <v>30</v>
      </c>
      <c r="G7378" s="30" t="s">
        <v>9</v>
      </c>
      <c r="J7378" s="30" t="s">
        <v>392</v>
      </c>
    </row>
    <row r="7379" spans="1:10" x14ac:dyDescent="0.25">
      <c r="A7379" s="78">
        <v>46287</v>
      </c>
      <c r="B7379" s="68">
        <v>21</v>
      </c>
      <c r="C7379" s="205" t="s">
        <v>1473</v>
      </c>
      <c r="D7379" s="30">
        <v>1</v>
      </c>
      <c r="E7379" s="30">
        <v>20</v>
      </c>
      <c r="F7379" s="30">
        <f t="shared" si="241"/>
        <v>20</v>
      </c>
      <c r="G7379" s="30" t="s">
        <v>9</v>
      </c>
      <c r="J7379" s="30" t="s">
        <v>392</v>
      </c>
    </row>
    <row r="7380" spans="1:10" x14ac:dyDescent="0.25">
      <c r="A7380" s="78">
        <v>46287</v>
      </c>
      <c r="B7380" s="68">
        <v>21</v>
      </c>
      <c r="C7380" s="209" t="s">
        <v>1499</v>
      </c>
      <c r="D7380" s="30">
        <v>1</v>
      </c>
      <c r="E7380" s="30">
        <v>10</v>
      </c>
      <c r="F7380" s="30">
        <f t="shared" si="241"/>
        <v>10</v>
      </c>
      <c r="G7380" s="30" t="s">
        <v>9</v>
      </c>
      <c r="J7380" s="30" t="s">
        <v>392</v>
      </c>
    </row>
    <row r="7381" spans="1:10" x14ac:dyDescent="0.25">
      <c r="A7381" s="78">
        <v>46287</v>
      </c>
      <c r="B7381" s="68">
        <v>21</v>
      </c>
      <c r="C7381" s="209" t="s">
        <v>1451</v>
      </c>
      <c r="D7381" s="30">
        <v>1</v>
      </c>
      <c r="E7381" s="30">
        <v>10</v>
      </c>
      <c r="F7381" s="30">
        <f t="shared" si="241"/>
        <v>10</v>
      </c>
      <c r="G7381" s="30" t="s">
        <v>9</v>
      </c>
      <c r="J7381" s="30" t="s">
        <v>392</v>
      </c>
    </row>
    <row r="7382" spans="1:10" x14ac:dyDescent="0.25">
      <c r="A7382" s="78">
        <v>46287</v>
      </c>
      <c r="B7382" s="68">
        <v>22</v>
      </c>
      <c r="C7382" s="209" t="s">
        <v>1392</v>
      </c>
      <c r="D7382" s="30">
        <v>1</v>
      </c>
      <c r="E7382" s="30">
        <v>10</v>
      </c>
      <c r="F7382" s="30">
        <f t="shared" si="241"/>
        <v>10</v>
      </c>
      <c r="G7382" s="30" t="s">
        <v>9</v>
      </c>
      <c r="J7382" s="30" t="s">
        <v>392</v>
      </c>
    </row>
    <row r="7383" spans="1:10" x14ac:dyDescent="0.25">
      <c r="A7383" s="78">
        <v>46287</v>
      </c>
      <c r="B7383" s="68">
        <v>23</v>
      </c>
      <c r="C7383" s="205" t="s">
        <v>1166</v>
      </c>
      <c r="D7383" s="30">
        <v>9</v>
      </c>
      <c r="E7383" s="30">
        <v>1</v>
      </c>
      <c r="F7383" s="30">
        <f t="shared" si="241"/>
        <v>9</v>
      </c>
      <c r="G7383" s="30" t="s">
        <v>9</v>
      </c>
      <c r="J7383" s="30" t="s">
        <v>392</v>
      </c>
    </row>
    <row r="7384" spans="1:10" x14ac:dyDescent="0.25">
      <c r="A7384" s="78">
        <v>46287</v>
      </c>
      <c r="B7384" s="68">
        <v>24</v>
      </c>
      <c r="C7384" s="209" t="s">
        <v>1513</v>
      </c>
      <c r="D7384" s="30">
        <v>5</v>
      </c>
      <c r="E7384" s="30">
        <v>8</v>
      </c>
      <c r="F7384" s="30">
        <f t="shared" si="241"/>
        <v>40</v>
      </c>
      <c r="G7384" s="30" t="s">
        <v>10</v>
      </c>
      <c r="J7384" s="30" t="s">
        <v>392</v>
      </c>
    </row>
    <row r="7385" spans="1:10" ht="30" x14ac:dyDescent="0.25">
      <c r="A7385" s="78">
        <v>46287</v>
      </c>
      <c r="B7385" s="68">
        <v>24</v>
      </c>
      <c r="C7385" s="209" t="s">
        <v>1391</v>
      </c>
      <c r="D7385" s="30">
        <v>1</v>
      </c>
      <c r="E7385" s="30">
        <v>50</v>
      </c>
      <c r="F7385" s="30">
        <f t="shared" si="241"/>
        <v>50</v>
      </c>
      <c r="G7385" s="30" t="s">
        <v>10</v>
      </c>
      <c r="J7385" s="30" t="s">
        <v>392</v>
      </c>
    </row>
    <row r="7386" spans="1:10" x14ac:dyDescent="0.25">
      <c r="A7386" s="78">
        <v>46287</v>
      </c>
      <c r="B7386" s="68">
        <v>24</v>
      </c>
      <c r="C7386" s="205" t="s">
        <v>1132</v>
      </c>
      <c r="D7386" s="30">
        <v>1</v>
      </c>
      <c r="E7386" s="30">
        <v>60</v>
      </c>
      <c r="F7386" s="30">
        <f t="shared" si="241"/>
        <v>60</v>
      </c>
      <c r="G7386" s="30" t="s">
        <v>10</v>
      </c>
      <c r="J7386" s="30" t="s">
        <v>392</v>
      </c>
    </row>
    <row r="7387" spans="1:10" x14ac:dyDescent="0.25">
      <c r="A7387" s="78">
        <v>46287</v>
      </c>
      <c r="B7387" s="68">
        <v>25</v>
      </c>
      <c r="C7387" s="209" t="s">
        <v>1486</v>
      </c>
      <c r="D7387" s="30">
        <v>1</v>
      </c>
      <c r="E7387" s="30">
        <v>60</v>
      </c>
      <c r="F7387" s="30">
        <f t="shared" si="241"/>
        <v>60</v>
      </c>
      <c r="G7387" s="30" t="s">
        <v>10</v>
      </c>
      <c r="J7387" s="30" t="s">
        <v>392</v>
      </c>
    </row>
    <row r="7388" spans="1:10" x14ac:dyDescent="0.25">
      <c r="A7388" s="78">
        <v>46287</v>
      </c>
      <c r="B7388" s="68">
        <v>25</v>
      </c>
      <c r="C7388" s="205" t="s">
        <v>1351</v>
      </c>
      <c r="D7388" s="30">
        <v>5</v>
      </c>
      <c r="E7388" s="30">
        <v>5</v>
      </c>
      <c r="F7388" s="30">
        <f t="shared" si="241"/>
        <v>25</v>
      </c>
      <c r="G7388" s="30" t="s">
        <v>10</v>
      </c>
      <c r="J7388" s="30" t="s">
        <v>392</v>
      </c>
    </row>
    <row r="7389" spans="1:10" x14ac:dyDescent="0.25">
      <c r="A7389" s="78">
        <v>46287</v>
      </c>
      <c r="B7389" s="68">
        <v>25</v>
      </c>
      <c r="C7389" s="205" t="s">
        <v>1116</v>
      </c>
      <c r="D7389" s="30">
        <v>2</v>
      </c>
      <c r="E7389" s="30">
        <v>10</v>
      </c>
      <c r="F7389" s="30">
        <f t="shared" si="241"/>
        <v>20</v>
      </c>
      <c r="G7389" s="30" t="s">
        <v>10</v>
      </c>
      <c r="J7389" s="30" t="s">
        <v>392</v>
      </c>
    </row>
    <row r="7390" spans="1:10" x14ac:dyDescent="0.25">
      <c r="A7390" s="78">
        <v>46287</v>
      </c>
      <c r="B7390" s="68">
        <v>26</v>
      </c>
      <c r="C7390" s="205" t="s">
        <v>1259</v>
      </c>
      <c r="D7390" s="30">
        <v>1</v>
      </c>
      <c r="E7390" s="30">
        <v>10</v>
      </c>
      <c r="F7390" s="30">
        <f t="shared" si="241"/>
        <v>10</v>
      </c>
      <c r="G7390" s="30" t="s">
        <v>9</v>
      </c>
      <c r="J7390" s="30" t="s">
        <v>392</v>
      </c>
    </row>
    <row r="7391" spans="1:10" x14ac:dyDescent="0.25">
      <c r="A7391" s="78">
        <v>46288</v>
      </c>
      <c r="B7391" s="68">
        <v>27</v>
      </c>
      <c r="C7391" s="205" t="s">
        <v>1253</v>
      </c>
      <c r="D7391" s="30">
        <v>2</v>
      </c>
      <c r="E7391" s="30">
        <v>5</v>
      </c>
      <c r="F7391" s="30">
        <f t="shared" si="241"/>
        <v>10</v>
      </c>
      <c r="G7391" s="30" t="s">
        <v>9</v>
      </c>
      <c r="J7391" s="30" t="s">
        <v>392</v>
      </c>
    </row>
    <row r="7392" spans="1:10" s="199" customFormat="1" ht="31.5" x14ac:dyDescent="0.25">
      <c r="A7392" s="196">
        <v>46287</v>
      </c>
      <c r="B7392" s="197" t="s">
        <v>1248</v>
      </c>
      <c r="C7392" s="198">
        <f>MAX(B7371:B7392)</f>
        <v>27</v>
      </c>
      <c r="D7392" s="197" t="s">
        <v>1249</v>
      </c>
      <c r="E7392" s="199">
        <f>SUMIF(G7371:G7392,"UPI",F7371:F7392)</f>
        <v>300.39999999999998</v>
      </c>
      <c r="H7392" s="200" t="s">
        <v>1251</v>
      </c>
      <c r="I7392" s="200">
        <f>SUMIF(G7371:G7392, "&lt;&gt;UPI",F7371:F7392)</f>
        <v>173</v>
      </c>
    </row>
    <row r="7393" spans="1:12" s="5" customFormat="1" ht="15.75" x14ac:dyDescent="0.25">
      <c r="A7393" s="201">
        <v>46287</v>
      </c>
      <c r="B7393" s="2"/>
      <c r="C7393" s="14"/>
      <c r="H7393" s="2" t="s">
        <v>1250</v>
      </c>
      <c r="I7393" s="2">
        <f>SUMIF(G7344:G7392, "&lt;&gt;UPI",F7344:F7392)</f>
        <v>1263.2</v>
      </c>
    </row>
    <row r="7394" spans="1:12" s="202" customFormat="1" ht="18.75" customHeight="1" x14ac:dyDescent="0.3">
      <c r="A7394" s="146">
        <v>46287</v>
      </c>
      <c r="B7394" s="147" t="s">
        <v>987</v>
      </c>
      <c r="C7394" s="148">
        <f>MAX(B7344:B7393)</f>
        <v>27</v>
      </c>
      <c r="D7394" s="147" t="s">
        <v>988</v>
      </c>
      <c r="E7394" s="202">
        <f>SUMIF(G7344:G7392,"UPI",F7344:F7392)</f>
        <v>380.4</v>
      </c>
      <c r="F7394" s="227" t="s">
        <v>437</v>
      </c>
      <c r="G7394" s="228"/>
      <c r="H7394" s="229"/>
      <c r="I7394" s="227">
        <f>SUM(F7344:F7392)</f>
        <v>1643.6000000000001</v>
      </c>
      <c r="J7394" s="228"/>
      <c r="K7394" s="228"/>
      <c r="L7394" s="229"/>
    </row>
  </sheetData>
  <autoFilter ref="A2:I166" xr:uid="{00000000-0001-0000-0000-000000000000}"/>
  <mergeCells count="272">
    <mergeCell ref="I6339:L6339"/>
    <mergeCell ref="F6035:H6035"/>
    <mergeCell ref="I6035:L6035"/>
    <mergeCell ref="F5908:H5908"/>
    <mergeCell ref="I5908:L5908"/>
    <mergeCell ref="F6412:H6412"/>
    <mergeCell ref="I2865:L2865"/>
    <mergeCell ref="F3532:H3532"/>
    <mergeCell ref="I3988:L3988"/>
    <mergeCell ref="I3825:L3825"/>
    <mergeCell ref="F3988:H3988"/>
    <mergeCell ref="F3783:H3783"/>
    <mergeCell ref="F3954:H3954"/>
    <mergeCell ref="I3620:L3620"/>
    <mergeCell ref="F3662:H3662"/>
    <mergeCell ref="I3662:L3662"/>
    <mergeCell ref="I3632:L3632"/>
    <mergeCell ref="F3355:H3355"/>
    <mergeCell ref="I3348:L3348"/>
    <mergeCell ref="I3355:L3355"/>
    <mergeCell ref="I3585:L3585"/>
    <mergeCell ref="F3585:H3585"/>
    <mergeCell ref="I3387:L3387"/>
    <mergeCell ref="F3445:H3445"/>
    <mergeCell ref="F3550:H3550"/>
    <mergeCell ref="I3550:L3550"/>
    <mergeCell ref="F3620:H3620"/>
    <mergeCell ref="A1626:H1626"/>
    <mergeCell ref="A2275:H2275"/>
    <mergeCell ref="I2585:L2585"/>
    <mergeCell ref="I2633:L2633"/>
    <mergeCell ref="A2633:H2633"/>
    <mergeCell ref="A2585:H2585"/>
    <mergeCell ref="A1746:H1746"/>
    <mergeCell ref="A2412:H2412"/>
    <mergeCell ref="I2226:L2226"/>
    <mergeCell ref="I2275:L2275"/>
    <mergeCell ref="A2226:H2226"/>
    <mergeCell ref="A1671:H1671"/>
    <mergeCell ref="A1723:H1723"/>
    <mergeCell ref="A2330:H2330"/>
    <mergeCell ref="I2330:L2330"/>
    <mergeCell ref="I2412:L2412"/>
    <mergeCell ref="I2448:L2448"/>
    <mergeCell ref="A1825:H1825"/>
    <mergeCell ref="F3103:H3103"/>
    <mergeCell ref="I3103:L3103"/>
    <mergeCell ref="I3020:L3020"/>
    <mergeCell ref="A1290:H1290"/>
    <mergeCell ref="A1261:H1261"/>
    <mergeCell ref="A1477:H1477"/>
    <mergeCell ref="A1422:H1422"/>
    <mergeCell ref="A1106:H1106"/>
    <mergeCell ref="A1021:H1021"/>
    <mergeCell ref="A1602:H1602"/>
    <mergeCell ref="I3445:L3445"/>
    <mergeCell ref="F3387:H3387"/>
    <mergeCell ref="F3348:H3348"/>
    <mergeCell ref="I3337:L3337"/>
    <mergeCell ref="F3240:H3240"/>
    <mergeCell ref="F3280:H3280"/>
    <mergeCell ref="I3280:L3280"/>
    <mergeCell ref="I3234:L3234"/>
    <mergeCell ref="F3234:H3234"/>
    <mergeCell ref="F3146:H3146"/>
    <mergeCell ref="A1538:H1538"/>
    <mergeCell ref="A1312:H1312"/>
    <mergeCell ref="A2738:H2738"/>
    <mergeCell ref="I3146:L3146"/>
    <mergeCell ref="A2693:H2693"/>
    <mergeCell ref="I2693:L2693"/>
    <mergeCell ref="I2935:L2935"/>
    <mergeCell ref="A1:O1"/>
    <mergeCell ref="I2133:L2133"/>
    <mergeCell ref="I2218:L2218"/>
    <mergeCell ref="A2133:H2133"/>
    <mergeCell ref="A2099:H2099"/>
    <mergeCell ref="A1940:H1940"/>
    <mergeCell ref="A1912:H1912"/>
    <mergeCell ref="A1055:H1055"/>
    <mergeCell ref="A2010:H2010"/>
    <mergeCell ref="A2218:H2218"/>
    <mergeCell ref="A1978:H1978"/>
    <mergeCell ref="A1886:H1886"/>
    <mergeCell ref="A1862:H1862"/>
    <mergeCell ref="A2062:H2062"/>
    <mergeCell ref="A637:H637"/>
    <mergeCell ref="A479:H479"/>
    <mergeCell ref="A979:H979"/>
    <mergeCell ref="A2181:H2181"/>
    <mergeCell ref="A72:E72"/>
    <mergeCell ref="A616:H616"/>
    <mergeCell ref="A522:H522"/>
    <mergeCell ref="A1772:H1772"/>
    <mergeCell ref="A1137:H1137"/>
    <mergeCell ref="A1367:H1367"/>
    <mergeCell ref="A33:G33"/>
    <mergeCell ref="B289:H289"/>
    <mergeCell ref="A1219:H1219"/>
    <mergeCell ref="A929:H929"/>
    <mergeCell ref="A411:H411"/>
    <mergeCell ref="F72:G72"/>
    <mergeCell ref="A73:G73"/>
    <mergeCell ref="A329:H329"/>
    <mergeCell ref="A232:H232"/>
    <mergeCell ref="A313:H313"/>
    <mergeCell ref="A437:H437"/>
    <mergeCell ref="A362:H362"/>
    <mergeCell ref="A389:H389"/>
    <mergeCell ref="A197:H197"/>
    <mergeCell ref="A273:H273"/>
    <mergeCell ref="A683:H683"/>
    <mergeCell ref="A444:H444"/>
    <mergeCell ref="A566:H566"/>
    <mergeCell ref="A714:H714"/>
    <mergeCell ref="A742:H742"/>
    <mergeCell ref="A883:H883"/>
    <mergeCell ref="A831:H831"/>
    <mergeCell ref="A177:H177"/>
    <mergeCell ref="A254:H254"/>
    <mergeCell ref="A2448:H2448"/>
    <mergeCell ref="F3232:H3232"/>
    <mergeCell ref="I2794:L2794"/>
    <mergeCell ref="A2794:H2794"/>
    <mergeCell ref="I2738:L2738"/>
    <mergeCell ref="A2865:H2865"/>
    <mergeCell ref="F3230:H3230"/>
    <mergeCell ref="I3230:L3230"/>
    <mergeCell ref="I3232:L3232"/>
    <mergeCell ref="I2906:L2906"/>
    <mergeCell ref="A2935:H2935"/>
    <mergeCell ref="I2962:L2962"/>
    <mergeCell ref="I3082:L3082"/>
    <mergeCell ref="F3020:H3020"/>
    <mergeCell ref="F3082:H3082"/>
    <mergeCell ref="A2962:H2962"/>
    <mergeCell ref="A2906:H2906"/>
    <mergeCell ref="I2483:L2483"/>
    <mergeCell ref="I2533:L2533"/>
    <mergeCell ref="A2533:H2533"/>
    <mergeCell ref="A2483:H2483"/>
    <mergeCell ref="F3632:H3632"/>
    <mergeCell ref="I3745:L3745"/>
    <mergeCell ref="I3783:L3783"/>
    <mergeCell ref="F4109:H4109"/>
    <mergeCell ref="I4109:L4109"/>
    <mergeCell ref="I3954:L3954"/>
    <mergeCell ref="F3236:H3236"/>
    <mergeCell ref="I3236:L3236"/>
    <mergeCell ref="F3238:H3238"/>
    <mergeCell ref="I3238:L3238"/>
    <mergeCell ref="F3311:H3311"/>
    <mergeCell ref="I3311:L3311"/>
    <mergeCell ref="I3240:L3240"/>
    <mergeCell ref="F3635:H3635"/>
    <mergeCell ref="I3635:L3635"/>
    <mergeCell ref="I3868:L3868"/>
    <mergeCell ref="F3908:H3908"/>
    <mergeCell ref="I3908:L3908"/>
    <mergeCell ref="F3825:H3825"/>
    <mergeCell ref="F4010:H4010"/>
    <mergeCell ref="I3532:L3532"/>
    <mergeCell ref="F3481:H3481"/>
    <mergeCell ref="I3481:L3481"/>
    <mergeCell ref="F3337:H3337"/>
    <mergeCell ref="F4155:H4155"/>
    <mergeCell ref="I4155:L4155"/>
    <mergeCell ref="F3868:H3868"/>
    <mergeCell ref="I4681:L4681"/>
    <mergeCell ref="F4808:H4808"/>
    <mergeCell ref="F4052:H4052"/>
    <mergeCell ref="I4052:L4052"/>
    <mergeCell ref="F3679:H3679"/>
    <mergeCell ref="I3679:L3679"/>
    <mergeCell ref="F3682:H3682"/>
    <mergeCell ref="I3717:L3717"/>
    <mergeCell ref="I3682:L3682"/>
    <mergeCell ref="F3717:H3717"/>
    <mergeCell ref="F4193:H4193"/>
    <mergeCell ref="I4193:L4193"/>
    <mergeCell ref="F4258:H4258"/>
    <mergeCell ref="F4342:H4342"/>
    <mergeCell ref="I4342:L4342"/>
    <mergeCell ref="I4575:L4575"/>
    <mergeCell ref="F4575:H4575"/>
    <mergeCell ref="I4010:L4010"/>
    <mergeCell ref="F3745:H3745"/>
    <mergeCell ref="F4499:H4499"/>
    <mergeCell ref="I4499:L4499"/>
    <mergeCell ref="I4258:L4258"/>
    <mergeCell ref="F4406:H4406"/>
    <mergeCell ref="I4406:L4406"/>
    <mergeCell ref="F5612:H5612"/>
    <mergeCell ref="I5612:L5612"/>
    <mergeCell ref="F5653:H5653"/>
    <mergeCell ref="F4948:H4948"/>
    <mergeCell ref="I4808:L4808"/>
    <mergeCell ref="F4869:H4869"/>
    <mergeCell ref="I4869:L4869"/>
    <mergeCell ref="I4948:L4948"/>
    <mergeCell ref="F4757:H4757"/>
    <mergeCell ref="I4757:L4757"/>
    <mergeCell ref="I5026:L5026"/>
    <mergeCell ref="F5219:H5219"/>
    <mergeCell ref="I5219:L5219"/>
    <mergeCell ref="F5170:H5170"/>
    <mergeCell ref="I5170:L5170"/>
    <mergeCell ref="F5092:H5092"/>
    <mergeCell ref="I5092:L5092"/>
    <mergeCell ref="F5516:H5516"/>
    <mergeCell ref="I5516:L5516"/>
    <mergeCell ref="F5405:H5405"/>
    <mergeCell ref="F5026:H5026"/>
    <mergeCell ref="F4681:H4681"/>
    <mergeCell ref="I5653:L5653"/>
    <mergeCell ref="F6278:H6278"/>
    <mergeCell ref="I6278:L6278"/>
    <mergeCell ref="F6205:H6205"/>
    <mergeCell ref="I6205:L6205"/>
    <mergeCell ref="F5301:H5301"/>
    <mergeCell ref="I5301:L5301"/>
    <mergeCell ref="F7145:H7145"/>
    <mergeCell ref="I7145:L7145"/>
    <mergeCell ref="F6990:H6990"/>
    <mergeCell ref="I6990:L6990"/>
    <mergeCell ref="F6900:H6900"/>
    <mergeCell ref="I6900:L6900"/>
    <mergeCell ref="F6711:H6711"/>
    <mergeCell ref="I6711:L6711"/>
    <mergeCell ref="F6499:H6499"/>
    <mergeCell ref="I6499:L6499"/>
    <mergeCell ref="F6514:H6514"/>
    <mergeCell ref="I6514:L6514"/>
    <mergeCell ref="F6582:H6582"/>
    <mergeCell ref="I6582:L6582"/>
    <mergeCell ref="F6833:H6833"/>
    <mergeCell ref="I6833:L6833"/>
    <mergeCell ref="F6376:H6376"/>
    <mergeCell ref="I5405:L5405"/>
    <mergeCell ref="F6920:H6920"/>
    <mergeCell ref="I6920:L6920"/>
    <mergeCell ref="F6776:H6776"/>
    <mergeCell ref="I6776:L6776"/>
    <mergeCell ref="F7219:H7219"/>
    <mergeCell ref="I7219:L7219"/>
    <mergeCell ref="F7092:H7092"/>
    <mergeCell ref="I7092:L7092"/>
    <mergeCell ref="F7053:H7053"/>
    <mergeCell ref="I7053:L7053"/>
    <mergeCell ref="F5808:H5808"/>
    <mergeCell ref="I5808:L5808"/>
    <mergeCell ref="F5747:H5747"/>
    <mergeCell ref="F6114:H6114"/>
    <mergeCell ref="I6114:L6114"/>
    <mergeCell ref="F5974:H5974"/>
    <mergeCell ref="I5974:L5974"/>
    <mergeCell ref="I5747:L5747"/>
    <mergeCell ref="I6376:L6376"/>
    <mergeCell ref="F6459:H6459"/>
    <mergeCell ref="I6459:L6459"/>
    <mergeCell ref="F6339:H6339"/>
    <mergeCell ref="F7394:H7394"/>
    <mergeCell ref="I7394:L7394"/>
    <mergeCell ref="F7343:H7343"/>
    <mergeCell ref="I7343:L7343"/>
    <mergeCell ref="F7274:H7274"/>
    <mergeCell ref="I7274:L7274"/>
    <mergeCell ref="F7199:H7199"/>
    <mergeCell ref="I7199:L7199"/>
    <mergeCell ref="I6412:L6412"/>
    <mergeCell ref="F6639:H6639"/>
    <mergeCell ref="I6639:L6639"/>
  </mergeCells>
  <phoneticPr fontId="18" type="noConversion"/>
  <dataValidations count="3">
    <dataValidation type="list" allowBlank="1" showInputMessage="1" showErrorMessage="1" sqref="G34:G71 G74:G176 G2:G32 G178:G196 G198:G231 G233:G253 G255:G272 G274:G288 G290:G312 G314:G328 G330:G361 G363:G388 G390:G410 G438:G443 G412:G436 G445:G478 G480:G521 G523:G565 G567:G615 G617:G636 G638:G682 G684:G713 G715:G741 G743:G830 G832:G882 G884:G928 G930:G978 G980:G1020 G1022:G1054 G1056:G1105 G1107:G1136 G1138:G1218 G1220:G1260 G1262:G1289 G1291:G1311 G1313:G1366 G1368:G1421 G1423:G1476 G1478:G1537 G1540:G1601 G1603:G1625 G1627:G1670 G1672:G1722 G1724:G1745 G1747:G1771 G1773:G1824 G1826:G1861 G1863:G1885 G1887:G1911 G1913:G1939 G1941:G1977 G1979:G2009 G2011:G2061 G2063:G2098 G2100:G2132 G2134:G2180 G2182:G2217 G2219:G2225 G2227:G2274 G2276:G2329 G2795:G2864 G2413:G2447 G2449:G2482 G2484:G2532 G2534:G2584 G2586:G2632 G2634:G2692 G2694:G2737 G2739:G2793 G2331:G2411 G2866:G2905 G2907:G2934 G2936:G2961 G2963:G3019 G3021:G3081 G3083:G3102 G3104:G3145 G3147:G3229 G3231 G3233 G3235 G3237 G3239 G3241:G3279 G3281:G3310 G3312:G3336 G3338:G3347 G3349:G3354 G3356:G3386 G3388:G3444 G3446:G3480 G3482:G3531 G3533:G3549 G3551:G3584 G3586:G3619 G3621:G3631 G3633:G3634 G3636:G3661 G3663:G3678 G4011:G4051 G4009 G3681 G3716 G3744 G3824 G4156:G4192 G3782 G3907 G4053:G4108 G3867 G3953 G3987 G4110:G4154 G4194:G4257 G4259:G4341 G4343:G4405 G4407:G4498 G4500:G4574 G4576:G4680 G4682:G4756 G4809:G4868 G4870:G4947 G4949:G5025 G4758:G4807 G5027:G5091 G5093:G5169 G5171:G5218 G5220:G5300 G5302:G5404 G5406:G5515 G5517:G5611 G5613:G5652 G5654:G5746 G5748:G5807 G5809:G5907 G5909:G5973 G5975:G6034 G6036:G6113 G6115:G6204 G6206:G6277 G6279:G6338 G6340:G6375 G6377:G6411 G6413:G6458 G6460:G6498 G6500:G6513 G6515:G6581 G6583:G6638 G6640:G6710 G6712:G6775 G6777:G6832 G6834:G6899 G6901:G6919 G6921:G6989 G6991:G7052 G7054:G7091 G7093:G7144 G7146:G7198 G7200:G7218 G7220:G7273 G7275:G7342 G7395:G1048576 G7344:G7393" xr:uid="{00000000-0002-0000-0000-000000000000}">
      <formula1>"Cash,UPI,Card,Credit"</formula1>
    </dataValidation>
    <dataValidation type="list" allowBlank="1" sqref="C326" xr:uid="{96D2D4A3-2959-4160-9615-634E9F1CE50D}">
      <formula1>$A$2:$A$502</formula1>
    </dataValidation>
    <dataValidation type="list" allowBlank="1" sqref="C4094" xr:uid="{719555AF-6D8C-4467-A191-84D54D6120E3}">
      <formula1>$A$1:$A$498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000-000002000000}">
          <x14:formula1>
            <xm:f>PA!$A$1:$A$498</xm:f>
          </x14:formula1>
          <xm:sqref>C34:C71 C171:C172 C365:C366 C363 C359:C361 C357 C354:C355 C350:C352 C345:C348 C341 C336:C339 C334 C332 C174:C176 C135:C169 C178:C180 C117:C133 C3:C32 C182:C196 C74:C87 C89:C115 C198:C231 C233:C250 C252 C255:C268 C270:C272 C274:C276 C278:C288 C290:C312 C314:C323 C325 C327 C368 C371 C373 C375:C388 C390:C391 C393:C401 C403:C410 C412:C413 C415:C418 C421:C423 C425:C427 C431:C433 C436 C439 C441:C443 C445 C447 C449 C451 C453 C455:C456 C458:C459 C461:C462 C469 C472 C474:C477 C480:C484 C486 C492:C493 C495 C497:C505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0000"/>
  </sheetPr>
  <dimension ref="A1:J1211"/>
  <sheetViews>
    <sheetView zoomScaleNormal="100" workbookViewId="0">
      <pane ySplit="1" topLeftCell="A1011" activePane="bottomLeft" state="frozen"/>
      <selection pane="bottomLeft" activeCell="A1016" sqref="A1016:A1021"/>
    </sheetView>
  </sheetViews>
  <sheetFormatPr defaultColWidth="8.85546875" defaultRowHeight="15" x14ac:dyDescent="0.25"/>
  <cols>
    <col min="1" max="1" width="27.85546875" style="19" customWidth="1"/>
    <col min="2" max="2" width="16.7109375" style="13" bestFit="1" customWidth="1"/>
    <col min="3" max="3" width="13.28515625" style="10" bestFit="1" customWidth="1"/>
    <col min="4" max="6" width="20" style="10" customWidth="1"/>
    <col min="7" max="7" width="14" style="10" bestFit="1" customWidth="1"/>
    <col min="8" max="8" width="9.140625" style="89" bestFit="1" customWidth="1"/>
    <col min="9" max="9" width="15.28515625" style="10" bestFit="1" customWidth="1"/>
    <col min="10" max="16384" width="8.85546875" style="10"/>
  </cols>
  <sheetData>
    <row r="1" spans="1:10" s="11" customFormat="1" ht="15.6" customHeight="1" x14ac:dyDescent="0.25">
      <c r="A1" s="18" t="s">
        <v>2</v>
      </c>
      <c r="B1" s="18" t="s">
        <v>1</v>
      </c>
      <c r="C1" s="12" t="s">
        <v>164</v>
      </c>
      <c r="D1" s="12" t="s">
        <v>165</v>
      </c>
      <c r="E1" s="12" t="s">
        <v>166</v>
      </c>
      <c r="F1" s="12" t="s">
        <v>167</v>
      </c>
      <c r="G1" s="11" t="s">
        <v>168</v>
      </c>
      <c r="H1" s="88" t="s">
        <v>169</v>
      </c>
      <c r="I1" s="11" t="s">
        <v>170</v>
      </c>
      <c r="J1" s="156"/>
    </row>
    <row r="2" spans="1:10" s="77" customFormat="1" x14ac:dyDescent="0.25">
      <c r="A2" s="70" t="str">
        <f>'Purchase Register'!C239</f>
        <v xml:space="preserve">AARAM GREEN RICE LOT 2 </v>
      </c>
      <c r="B2" s="71"/>
      <c r="C2" s="72">
        <v>0</v>
      </c>
      <c r="D2" s="157">
        <f>VLOOKUP(A2, 'Purchase Register'!C:D, 2, FALSE)</f>
        <v>1</v>
      </c>
      <c r="E2" s="72">
        <f>SUMIF('Sales Register'!C:C, A2, 'Sales Register'!D:D)</f>
        <v>2</v>
      </c>
      <c r="F2" s="72">
        <f>C2+D2-E2</f>
        <v>-1</v>
      </c>
      <c r="G2" s="72"/>
      <c r="H2" s="72">
        <f>F2-G2</f>
        <v>-1</v>
      </c>
      <c r="I2" s="72" t="str">
        <f>IF(H2=0,"OK",
IF(ABS(H2)&lt;=2,"Minor Issue","SERIOUS LOSS"))</f>
        <v>Minor Issue</v>
      </c>
    </row>
    <row r="3" spans="1:10" s="77" customFormat="1" ht="30" x14ac:dyDescent="0.25">
      <c r="A3" s="70" t="str">
        <f>'Purchase Register'!C240</f>
        <v>ANNAPURNA MANGO PANA LOT 1</v>
      </c>
      <c r="B3" s="71"/>
      <c r="C3" s="72">
        <v>0</v>
      </c>
      <c r="D3" s="157">
        <f>VLOOKUP(A3, 'Purchase Register'!C:D, 2, FALSE)</f>
        <v>2</v>
      </c>
      <c r="E3" s="72">
        <f>SUMIF('Sales Register'!C:C, A3, 'Sales Register'!D:D)</f>
        <v>1</v>
      </c>
      <c r="F3" s="72">
        <f>C3+D3-E3</f>
        <v>1</v>
      </c>
      <c r="G3" s="72"/>
      <c r="H3" s="157">
        <f>F3-G3</f>
        <v>1</v>
      </c>
      <c r="I3" s="72"/>
    </row>
    <row r="4" spans="1:10" x14ac:dyDescent="0.25">
      <c r="A4" s="33" t="str">
        <f>'Purchase Register'!C241</f>
        <v>DURGABARI TEA 35 INR  LOT 1</v>
      </c>
      <c r="B4" s="28"/>
      <c r="C4" s="29">
        <v>0</v>
      </c>
      <c r="D4" s="157">
        <f>VLOOKUP(A4, 'Purchase Register'!C:D, 2, FALSE)</f>
        <v>20</v>
      </c>
      <c r="E4" s="29">
        <f>SUMIF('Sales Register'!C:C, A4, 'Sales Register'!D:D)</f>
        <v>15</v>
      </c>
      <c r="F4" s="29">
        <f>C4+D4-E4</f>
        <v>5</v>
      </c>
      <c r="G4" s="29"/>
      <c r="H4" s="157">
        <f>F4-G4</f>
        <v>5</v>
      </c>
      <c r="I4" s="29"/>
    </row>
    <row r="5" spans="1:10" s="77" customFormat="1" x14ac:dyDescent="0.25">
      <c r="A5" s="70" t="str">
        <f>'Purchase Register'!C242</f>
        <v>LOOSE KHASA RICE LOT 1</v>
      </c>
      <c r="B5" s="71"/>
      <c r="C5" s="72">
        <v>0</v>
      </c>
      <c r="D5" s="157">
        <f>VLOOKUP(A5, 'Purchase Register'!C:D, 2, FALSE)</f>
        <v>2</v>
      </c>
      <c r="E5" s="72">
        <f>SUMIF('Sales Register'!C:C, A5, 'Sales Register'!D:D)</f>
        <v>2.2250000000000001</v>
      </c>
      <c r="F5" s="72">
        <f>C5+D5-E5</f>
        <v>-0.22500000000000009</v>
      </c>
      <c r="G5" s="72"/>
      <c r="H5" s="72">
        <f>F5-G5</f>
        <v>-0.22500000000000009</v>
      </c>
      <c r="I5" s="72"/>
    </row>
    <row r="6" spans="1:10" s="77" customFormat="1" x14ac:dyDescent="0.25">
      <c r="A6" s="70" t="str">
        <f>'Purchase Register'!C243</f>
        <v>LOOSE TEA LOT 2</v>
      </c>
      <c r="B6" s="71"/>
      <c r="C6" s="72">
        <v>0</v>
      </c>
      <c r="D6" s="157">
        <f>VLOOKUP(A6, 'Purchase Register'!C:D, 2, FALSE)</f>
        <v>1</v>
      </c>
      <c r="E6" s="72">
        <f>SUMIF('Sales Register'!C:C, A6, 'Sales Register'!D:D)</f>
        <v>3.0661</v>
      </c>
      <c r="F6" s="72">
        <f>C6+D6-E6</f>
        <v>-2.0661</v>
      </c>
      <c r="G6" s="72"/>
      <c r="H6" s="72"/>
      <c r="I6" s="72"/>
    </row>
    <row r="7" spans="1:10" s="77" customFormat="1" ht="30" x14ac:dyDescent="0.25">
      <c r="A7" s="70" t="str">
        <f>'Purchase Register'!C244</f>
        <v>NESTLE EVERYDAY 15 GM LOT 2</v>
      </c>
      <c r="B7" s="71"/>
      <c r="C7" s="72">
        <v>0</v>
      </c>
      <c r="D7" s="157">
        <f>VLOOKUP(A7, 'Purchase Register'!C:D, 2, FALSE)</f>
        <v>24</v>
      </c>
      <c r="E7" s="72">
        <f>SUMIF('Sales Register'!C:C, A7, 'Sales Register'!D:D)</f>
        <v>32</v>
      </c>
      <c r="F7" s="72"/>
      <c r="G7" s="72"/>
      <c r="H7" s="72"/>
      <c r="I7" s="72"/>
    </row>
    <row r="8" spans="1:10" ht="28.9" customHeight="1" x14ac:dyDescent="0.25">
      <c r="A8" s="116" t="s">
        <v>207</v>
      </c>
      <c r="B8" s="28" t="s">
        <v>208</v>
      </c>
      <c r="C8" s="29">
        <v>2</v>
      </c>
      <c r="D8" s="157" t="e">
        <f>VLOOKUP(A8, 'Purchase Register'!C:D, 2, FALSE)</f>
        <v>#N/A</v>
      </c>
      <c r="E8" s="29">
        <f>SUMIF('Sales Register'!C:C, A8, 'Sales Register'!D:D)</f>
        <v>8</v>
      </c>
      <c r="F8" s="29" t="e">
        <f t="shared" ref="F8:F71" si="0">C8+D8-E8</f>
        <v>#N/A</v>
      </c>
      <c r="G8" s="29"/>
      <c r="H8" s="157" t="e">
        <f t="shared" ref="H8:H71" si="1">F8-G8</f>
        <v>#N/A</v>
      </c>
      <c r="I8" s="29" t="e">
        <f t="shared" ref="I8:I71" si="2">IF(H8=0,"OK",
IF(ABS(H8)&lt;=2,"Minor Issue","SERIOUS LOSS"))</f>
        <v>#N/A</v>
      </c>
    </row>
    <row r="9" spans="1:10" s="77" customFormat="1" ht="28.9" customHeight="1" x14ac:dyDescent="0.25">
      <c r="A9" s="70" t="str">
        <f>'Purchase Register'!C196</f>
        <v>MAAZA 1.2 L LOT 1</v>
      </c>
      <c r="B9" s="71" t="s">
        <v>221</v>
      </c>
      <c r="C9" s="72">
        <v>0</v>
      </c>
      <c r="D9" s="157">
        <f>VLOOKUP(A9, 'Purchase Register'!C:D, 2, FALSE)</f>
        <v>6</v>
      </c>
      <c r="E9" s="72">
        <f>SUMIF('Sales Register'!C:C, A9, 'Sales Register'!D:D)</f>
        <v>5</v>
      </c>
      <c r="F9" s="72">
        <f t="shared" si="0"/>
        <v>1</v>
      </c>
      <c r="G9" s="72"/>
      <c r="H9" s="72">
        <f t="shared" si="1"/>
        <v>1</v>
      </c>
      <c r="I9" s="72" t="str">
        <f t="shared" si="2"/>
        <v>Minor Issue</v>
      </c>
    </row>
    <row r="10" spans="1:10" x14ac:dyDescent="0.25">
      <c r="A10" s="70" t="str">
        <f>'Purchase Register'!C216</f>
        <v xml:space="preserve">HILL KING JEERA DRINK LOT 1 </v>
      </c>
      <c r="B10" s="71" t="s">
        <v>221</v>
      </c>
      <c r="C10" s="72">
        <v>0</v>
      </c>
      <c r="D10" s="157">
        <f>VLOOKUP(A10, 'Purchase Register'!C:D, 2, FALSE)</f>
        <v>24</v>
      </c>
      <c r="E10" s="72">
        <f>SUMIF('Sales Register'!C:C, A10, 'Sales Register'!D:D)</f>
        <v>13</v>
      </c>
      <c r="F10" s="72">
        <f t="shared" si="0"/>
        <v>11</v>
      </c>
      <c r="G10" s="72"/>
      <c r="H10" s="157">
        <f t="shared" si="1"/>
        <v>11</v>
      </c>
      <c r="I10" s="72" t="str">
        <f t="shared" si="2"/>
        <v>SERIOUS LOSS</v>
      </c>
    </row>
    <row r="11" spans="1:10" s="77" customFormat="1" ht="28.9" customHeight="1" x14ac:dyDescent="0.25">
      <c r="A11" s="70" t="str">
        <f>'Purchase Register'!C197</f>
        <v>MAAZA 600 ML LOT 1</v>
      </c>
      <c r="B11" s="71" t="s">
        <v>221</v>
      </c>
      <c r="C11" s="72">
        <v>0</v>
      </c>
      <c r="D11" s="157">
        <f>VLOOKUP(A11, 'Purchase Register'!C:D, 2, FALSE)</f>
        <v>4</v>
      </c>
      <c r="E11" s="72">
        <f>SUMIF('Sales Register'!C:C, A11, 'Sales Register'!D:D)</f>
        <v>4</v>
      </c>
      <c r="F11" s="72">
        <f t="shared" si="0"/>
        <v>0</v>
      </c>
      <c r="G11" s="72"/>
      <c r="H11" s="72">
        <f t="shared" si="1"/>
        <v>0</v>
      </c>
      <c r="I11" s="72" t="str">
        <f t="shared" si="2"/>
        <v>OK</v>
      </c>
    </row>
    <row r="12" spans="1:10" x14ac:dyDescent="0.25">
      <c r="A12" s="70" t="s">
        <v>296</v>
      </c>
      <c r="B12" s="71" t="s">
        <v>198</v>
      </c>
      <c r="C12" s="72">
        <v>0</v>
      </c>
      <c r="D12" s="157">
        <f>VLOOKUP(A12, 'Purchase Register'!C:D, 2, FALSE)</f>
        <v>1</v>
      </c>
      <c r="E12" s="29">
        <f>SUMIF('Sales Register'!C:C, A12, 'Sales Register'!D:D)</f>
        <v>0</v>
      </c>
      <c r="F12" s="72">
        <f t="shared" si="0"/>
        <v>1</v>
      </c>
      <c r="G12" s="72"/>
      <c r="H12" s="72">
        <f t="shared" si="1"/>
        <v>1</v>
      </c>
      <c r="I12" s="72" t="str">
        <f t="shared" si="2"/>
        <v>Minor Issue</v>
      </c>
    </row>
    <row r="13" spans="1:10" x14ac:dyDescent="0.25">
      <c r="A13" s="116" t="s">
        <v>35</v>
      </c>
      <c r="B13" s="28" t="s">
        <v>171</v>
      </c>
      <c r="C13" s="29">
        <v>2</v>
      </c>
      <c r="D13" s="157">
        <f>VLOOKUP(A13, 'Purchase Register'!C:D, 2, FALSE)</f>
        <v>2</v>
      </c>
      <c r="E13" s="29">
        <f>SUMIF('Sales Register'!C:C, A13, 'Sales Register'!D:D)</f>
        <v>3</v>
      </c>
      <c r="F13" s="29">
        <f t="shared" si="0"/>
        <v>1</v>
      </c>
      <c r="G13" s="29"/>
      <c r="H13" s="157">
        <f t="shared" si="1"/>
        <v>1</v>
      </c>
      <c r="I13" s="29" t="str">
        <f t="shared" si="2"/>
        <v>Minor Issue</v>
      </c>
    </row>
    <row r="14" spans="1:10" ht="43.15" customHeight="1" x14ac:dyDescent="0.25">
      <c r="A14" s="116" t="s">
        <v>139</v>
      </c>
      <c r="B14" s="28" t="s">
        <v>480</v>
      </c>
      <c r="C14" s="29">
        <v>2</v>
      </c>
      <c r="D14" s="157">
        <f>VLOOKUP(A14, 'Purchase Register'!C:D, 2, FALSE)</f>
        <v>2</v>
      </c>
      <c r="E14" s="29">
        <f>SUMIF('Sales Register'!C:C, A14, 'Sales Register'!D:D)</f>
        <v>5</v>
      </c>
      <c r="F14" s="29">
        <f t="shared" si="0"/>
        <v>-1</v>
      </c>
      <c r="G14" s="29"/>
      <c r="H14" s="157">
        <f t="shared" si="1"/>
        <v>-1</v>
      </c>
      <c r="I14" s="29" t="str">
        <f t="shared" si="2"/>
        <v>Minor Issue</v>
      </c>
    </row>
    <row r="15" spans="1:10" ht="30" x14ac:dyDescent="0.25">
      <c r="A15" s="33" t="s">
        <v>353</v>
      </c>
      <c r="B15" s="28" t="s">
        <v>480</v>
      </c>
      <c r="C15" s="29">
        <v>0</v>
      </c>
      <c r="D15" s="157" t="e">
        <f>VLOOKUP(A15, 'Purchase Register'!C:D, 2, FALSE)</f>
        <v>#N/A</v>
      </c>
      <c r="E15" s="29">
        <f>SUMIF('Sales Register'!C:C, A15, 'Sales Register'!D:D)</f>
        <v>1</v>
      </c>
      <c r="F15" s="29" t="e">
        <f t="shared" si="0"/>
        <v>#N/A</v>
      </c>
      <c r="G15" s="29"/>
      <c r="H15" s="157" t="e">
        <f t="shared" si="1"/>
        <v>#N/A</v>
      </c>
      <c r="I15" s="29" t="e">
        <f t="shared" si="2"/>
        <v>#N/A</v>
      </c>
    </row>
    <row r="16" spans="1:10" s="77" customFormat="1" x14ac:dyDescent="0.25">
      <c r="A16" s="158" t="s">
        <v>41</v>
      </c>
      <c r="B16" s="71" t="s">
        <v>172</v>
      </c>
      <c r="C16" s="72">
        <v>2</v>
      </c>
      <c r="D16" s="157">
        <f>VLOOKUP(A16, 'Purchase Register'!C:D, 2, FALSE)</f>
        <v>2</v>
      </c>
      <c r="E16" s="72">
        <f>SUMIF('Sales Register'!C:C, A16, 'Sales Register'!D:D)</f>
        <v>3</v>
      </c>
      <c r="F16" s="72">
        <f t="shared" si="0"/>
        <v>1</v>
      </c>
      <c r="G16" s="72"/>
      <c r="H16" s="72">
        <f t="shared" si="1"/>
        <v>1</v>
      </c>
      <c r="I16" s="72" t="str">
        <f t="shared" si="2"/>
        <v>Minor Issue</v>
      </c>
    </row>
    <row r="17" spans="1:9" s="77" customFormat="1" ht="28.9" customHeight="1" x14ac:dyDescent="0.25">
      <c r="A17" s="70" t="s">
        <v>417</v>
      </c>
      <c r="B17" s="71" t="s">
        <v>172</v>
      </c>
      <c r="C17" s="72">
        <v>0</v>
      </c>
      <c r="D17" s="157">
        <f>VLOOKUP(A17, 'Purchase Register'!C:D, 2, FALSE)</f>
        <v>6</v>
      </c>
      <c r="E17" s="72">
        <f>SUMIF('Sales Register'!C:C, A17, 'Sales Register'!D:D)</f>
        <v>6</v>
      </c>
      <c r="F17" s="72">
        <f t="shared" si="0"/>
        <v>0</v>
      </c>
      <c r="G17" s="72"/>
      <c r="H17" s="157">
        <f t="shared" si="1"/>
        <v>0</v>
      </c>
      <c r="I17" s="72" t="str">
        <f t="shared" si="2"/>
        <v>OK</v>
      </c>
    </row>
    <row r="18" spans="1:9" s="77" customFormat="1" ht="43.15" customHeight="1" x14ac:dyDescent="0.25">
      <c r="A18" s="70" t="str">
        <f>'Purchase Register'!C208</f>
        <v>AMUL TAAZA 500 ML LOT 2</v>
      </c>
      <c r="B18" s="71" t="s">
        <v>172</v>
      </c>
      <c r="C18" s="72">
        <v>0</v>
      </c>
      <c r="D18" s="157">
        <f>VLOOKUP(A18, 'Purchase Register'!C:D, 2, FALSE)</f>
        <v>24</v>
      </c>
      <c r="E18" s="72">
        <f>SUMIF('Sales Register'!C:C, A18, 'Sales Register'!D:D)</f>
        <v>10</v>
      </c>
      <c r="F18" s="72">
        <f t="shared" si="0"/>
        <v>14</v>
      </c>
      <c r="G18" s="72"/>
      <c r="H18" s="72">
        <f t="shared" si="1"/>
        <v>14</v>
      </c>
      <c r="I18" s="72" t="str">
        <f t="shared" si="2"/>
        <v>SERIOUS LOSS</v>
      </c>
    </row>
    <row r="19" spans="1:9" s="77" customFormat="1" ht="28.9" customHeight="1" x14ac:dyDescent="0.25">
      <c r="A19" s="70" t="s">
        <v>288</v>
      </c>
      <c r="B19" s="71" t="s">
        <v>294</v>
      </c>
      <c r="C19" s="72">
        <v>0</v>
      </c>
      <c r="D19" s="157">
        <f>VLOOKUP(A19, 'Purchase Register'!C:D, 2, FALSE)</f>
        <v>4</v>
      </c>
      <c r="E19" s="72">
        <f>SUMIF('Sales Register'!C:C, A19, 'Sales Register'!D:D)</f>
        <v>4</v>
      </c>
      <c r="F19" s="72">
        <f t="shared" si="0"/>
        <v>0</v>
      </c>
      <c r="G19" s="72"/>
      <c r="H19" s="72">
        <f t="shared" si="1"/>
        <v>0</v>
      </c>
      <c r="I19" s="72" t="str">
        <f t="shared" si="2"/>
        <v>OK</v>
      </c>
    </row>
    <row r="20" spans="1:9" x14ac:dyDescent="0.25">
      <c r="A20" s="33" t="s">
        <v>289</v>
      </c>
      <c r="B20" s="28" t="s">
        <v>294</v>
      </c>
      <c r="C20" s="29">
        <v>0</v>
      </c>
      <c r="D20" s="157">
        <f>VLOOKUP(A20, 'Purchase Register'!C:D, 2, FALSE)</f>
        <v>2</v>
      </c>
      <c r="E20" s="29">
        <f>SUMIF('Sales Register'!C:C, A20, 'Sales Register'!D:D)</f>
        <v>2</v>
      </c>
      <c r="F20" s="29">
        <f t="shared" si="0"/>
        <v>0</v>
      </c>
      <c r="G20" s="29"/>
      <c r="H20" s="157">
        <f t="shared" si="1"/>
        <v>0</v>
      </c>
      <c r="I20" s="29" t="str">
        <f t="shared" si="2"/>
        <v>OK</v>
      </c>
    </row>
    <row r="21" spans="1:9" ht="28.9" customHeight="1" x14ac:dyDescent="0.25">
      <c r="A21" s="33" t="s">
        <v>367</v>
      </c>
      <c r="B21" s="28" t="s">
        <v>173</v>
      </c>
      <c r="C21" s="29">
        <v>0</v>
      </c>
      <c r="D21" s="157" t="e">
        <f>VLOOKUP(A21, 'Purchase Register'!C:D, 2, FALSE)</f>
        <v>#N/A</v>
      </c>
      <c r="E21" s="29">
        <f>SUMIF('Sales Register'!C:C, A21, 'Sales Register'!D:D)</f>
        <v>0</v>
      </c>
      <c r="F21" s="29" t="e">
        <f t="shared" si="0"/>
        <v>#N/A</v>
      </c>
      <c r="G21" s="29"/>
      <c r="H21" s="157" t="e">
        <f t="shared" si="1"/>
        <v>#N/A</v>
      </c>
      <c r="I21" s="29" t="e">
        <f t="shared" si="2"/>
        <v>#N/A</v>
      </c>
    </row>
    <row r="22" spans="1:9" ht="28.9" customHeight="1" x14ac:dyDescent="0.25">
      <c r="A22" s="33" t="s">
        <v>368</v>
      </c>
      <c r="B22" s="28" t="s">
        <v>173</v>
      </c>
      <c r="C22" s="29">
        <v>0</v>
      </c>
      <c r="D22" s="157" t="e">
        <f>VLOOKUP(A22, 'Purchase Register'!C:D, 2, FALSE)</f>
        <v>#N/A</v>
      </c>
      <c r="E22" s="29">
        <f>SUMIF('Sales Register'!C:C, A22, 'Sales Register'!D:D)</f>
        <v>3</v>
      </c>
      <c r="F22" s="29" t="e">
        <f t="shared" si="0"/>
        <v>#N/A</v>
      </c>
      <c r="G22" s="29"/>
      <c r="H22" s="157" t="e">
        <f t="shared" si="1"/>
        <v>#N/A</v>
      </c>
      <c r="I22" s="29" t="e">
        <f t="shared" si="2"/>
        <v>#N/A</v>
      </c>
    </row>
    <row r="23" spans="1:9" s="77" customFormat="1" ht="28.9" customHeight="1" x14ac:dyDescent="0.25">
      <c r="A23" s="70" t="s">
        <v>369</v>
      </c>
      <c r="B23" s="71" t="s">
        <v>220</v>
      </c>
      <c r="C23" s="72">
        <v>0</v>
      </c>
      <c r="D23" s="157" t="e">
        <f>VLOOKUP(A23, 'Purchase Register'!C:D, 2, FALSE)</f>
        <v>#N/A</v>
      </c>
      <c r="E23" s="72">
        <f>SUMIF('Sales Register'!C:C, A23, 'Sales Register'!D:D)</f>
        <v>6</v>
      </c>
      <c r="F23" s="72" t="e">
        <f t="shared" si="0"/>
        <v>#N/A</v>
      </c>
      <c r="G23" s="72"/>
      <c r="H23" s="72" t="e">
        <f t="shared" si="1"/>
        <v>#N/A</v>
      </c>
      <c r="I23" s="72" t="e">
        <f t="shared" si="2"/>
        <v>#N/A</v>
      </c>
    </row>
    <row r="24" spans="1:9" ht="30" x14ac:dyDescent="0.25">
      <c r="A24" s="33" t="s">
        <v>370</v>
      </c>
      <c r="B24" s="28" t="s">
        <v>174</v>
      </c>
      <c r="C24" s="29">
        <v>0</v>
      </c>
      <c r="D24" s="157" t="e">
        <f>VLOOKUP(A24, 'Purchase Register'!C:D, 2, FALSE)</f>
        <v>#N/A</v>
      </c>
      <c r="E24" s="29">
        <f>SUMIF('Sales Register'!C:C, A24, 'Sales Register'!D:D)</f>
        <v>2</v>
      </c>
      <c r="F24" s="29" t="e">
        <f t="shared" si="0"/>
        <v>#N/A</v>
      </c>
      <c r="G24" s="29"/>
      <c r="H24" s="157" t="e">
        <f t="shared" si="1"/>
        <v>#N/A</v>
      </c>
      <c r="I24" s="29" t="e">
        <f t="shared" si="2"/>
        <v>#N/A</v>
      </c>
    </row>
    <row r="25" spans="1:9" ht="30" x14ac:dyDescent="0.25">
      <c r="A25" s="33" t="s">
        <v>371</v>
      </c>
      <c r="B25" s="28" t="s">
        <v>174</v>
      </c>
      <c r="C25" s="29">
        <v>0</v>
      </c>
      <c r="D25" s="157" t="e">
        <f>VLOOKUP(A25, 'Purchase Register'!C:D, 2, FALSE)</f>
        <v>#N/A</v>
      </c>
      <c r="E25" s="29">
        <f>SUMIF('Sales Register'!C:C, A25, 'Sales Register'!D:D)</f>
        <v>0</v>
      </c>
      <c r="F25" s="29" t="e">
        <f t="shared" si="0"/>
        <v>#N/A</v>
      </c>
      <c r="G25" s="29"/>
      <c r="H25" s="157" t="e">
        <f t="shared" si="1"/>
        <v>#N/A</v>
      </c>
      <c r="I25" s="29" t="e">
        <f t="shared" si="2"/>
        <v>#N/A</v>
      </c>
    </row>
    <row r="26" spans="1:9" ht="28.9" customHeight="1" x14ac:dyDescent="0.25">
      <c r="A26" s="33" t="s">
        <v>345</v>
      </c>
      <c r="B26" s="28" t="s">
        <v>340</v>
      </c>
      <c r="C26" s="29">
        <v>0</v>
      </c>
      <c r="D26" s="157">
        <f>VLOOKUP(A26, 'Purchase Register'!C:D, 2, FALSE)</f>
        <v>100</v>
      </c>
      <c r="E26" s="29">
        <f>SUMIF('Sales Register'!C:C, A26, 'Sales Register'!D:D)</f>
        <v>155.1</v>
      </c>
      <c r="F26" s="29">
        <f t="shared" si="0"/>
        <v>-55.099999999999994</v>
      </c>
      <c r="G26" s="29"/>
      <c r="H26" s="157">
        <f t="shared" si="1"/>
        <v>-55.099999999999994</v>
      </c>
      <c r="I26" s="29" t="str">
        <f t="shared" si="2"/>
        <v>SERIOUS LOSS</v>
      </c>
    </row>
    <row r="27" spans="1:9" s="77" customFormat="1" ht="28.9" customHeight="1" x14ac:dyDescent="0.25">
      <c r="A27" s="70" t="s">
        <v>366</v>
      </c>
      <c r="B27" s="71" t="s">
        <v>175</v>
      </c>
      <c r="C27" s="72">
        <v>0</v>
      </c>
      <c r="D27" s="157" t="e">
        <f>VLOOKUP(A27, 'Purchase Register'!C:D, 2, FALSE)</f>
        <v>#N/A</v>
      </c>
      <c r="E27" s="72">
        <f>SUMIF('Sales Register'!C:C, A27, 'Sales Register'!D:D)</f>
        <v>7</v>
      </c>
      <c r="F27" s="72" t="e">
        <f t="shared" si="0"/>
        <v>#N/A</v>
      </c>
      <c r="G27" s="72"/>
      <c r="H27" s="72" t="e">
        <f t="shared" si="1"/>
        <v>#N/A</v>
      </c>
      <c r="I27" s="72" t="e">
        <f t="shared" si="2"/>
        <v>#N/A</v>
      </c>
    </row>
    <row r="28" spans="1:9" s="77" customFormat="1" ht="28.9" customHeight="1" x14ac:dyDescent="0.25">
      <c r="A28" s="70" t="str">
        <f>'Purchase Register'!C219</f>
        <v>OXIFILL 500 ML LOT 1</v>
      </c>
      <c r="B28" s="71" t="s">
        <v>221</v>
      </c>
      <c r="C28" s="72">
        <v>0</v>
      </c>
      <c r="D28" s="157">
        <f>VLOOKUP(A28, 'Purchase Register'!C:D, 2, FALSE)</f>
        <v>24</v>
      </c>
      <c r="E28" s="72">
        <f>SUMIF('Sales Register'!C:C, A28, 'Sales Register'!D:D)</f>
        <v>21</v>
      </c>
      <c r="F28" s="72">
        <f t="shared" si="0"/>
        <v>3</v>
      </c>
      <c r="G28" s="72"/>
      <c r="H28" s="72">
        <f t="shared" si="1"/>
        <v>3</v>
      </c>
      <c r="I28" s="72" t="str">
        <f t="shared" si="2"/>
        <v>SERIOUS LOSS</v>
      </c>
    </row>
    <row r="29" spans="1:9" x14ac:dyDescent="0.25">
      <c r="A29" s="33" t="s">
        <v>372</v>
      </c>
      <c r="B29" s="28" t="s">
        <v>221</v>
      </c>
      <c r="C29" s="29">
        <v>0</v>
      </c>
      <c r="D29" s="157" t="e">
        <f>VLOOKUP(A29, 'Purchase Register'!C:D, 2, FALSE)</f>
        <v>#N/A</v>
      </c>
      <c r="E29" s="29">
        <f>SUMIF('Sales Register'!C:C, A29, 'Sales Register'!D:D)</f>
        <v>5</v>
      </c>
      <c r="F29" s="29" t="e">
        <f t="shared" si="0"/>
        <v>#N/A</v>
      </c>
      <c r="G29" s="29"/>
      <c r="H29" s="157" t="e">
        <f t="shared" si="1"/>
        <v>#N/A</v>
      </c>
      <c r="I29" s="29" t="e">
        <f t="shared" si="2"/>
        <v>#N/A</v>
      </c>
    </row>
    <row r="30" spans="1:9" x14ac:dyDescent="0.25">
      <c r="A30" s="116" t="s">
        <v>8</v>
      </c>
      <c r="B30" s="28" t="s">
        <v>176</v>
      </c>
      <c r="C30" s="29">
        <v>18</v>
      </c>
      <c r="D30" s="157">
        <f>VLOOKUP(A30, 'Purchase Register'!C:D, 2, FALSE)</f>
        <v>9</v>
      </c>
      <c r="E30" s="29">
        <f>SUMIF('Sales Register'!C:C, A30, 'Sales Register'!D:D)</f>
        <v>36</v>
      </c>
      <c r="F30" s="29">
        <f t="shared" si="0"/>
        <v>-9</v>
      </c>
      <c r="G30" s="29"/>
      <c r="H30" s="157">
        <f t="shared" si="1"/>
        <v>-9</v>
      </c>
      <c r="I30" s="29" t="str">
        <f t="shared" si="2"/>
        <v>SERIOUS LOSS</v>
      </c>
    </row>
    <row r="31" spans="1:9" ht="30" x14ac:dyDescent="0.25">
      <c r="A31" s="33" t="s">
        <v>350</v>
      </c>
      <c r="B31" s="28" t="s">
        <v>190</v>
      </c>
      <c r="C31" s="29">
        <v>0</v>
      </c>
      <c r="D31" s="157" t="e">
        <f>VLOOKUP(A31, 'Purchase Register'!C:D, 2, FALSE)</f>
        <v>#N/A</v>
      </c>
      <c r="E31" s="29">
        <f>SUMIF('Sales Register'!C:C, A31, 'Sales Register'!D:D)</f>
        <v>0</v>
      </c>
      <c r="F31" s="29" t="e">
        <f t="shared" si="0"/>
        <v>#N/A</v>
      </c>
      <c r="G31" s="29"/>
      <c r="H31" s="157" t="e">
        <f t="shared" si="1"/>
        <v>#N/A</v>
      </c>
      <c r="I31" s="29" t="e">
        <f t="shared" si="2"/>
        <v>#N/A</v>
      </c>
    </row>
    <row r="32" spans="1:9" ht="28.9" customHeight="1" x14ac:dyDescent="0.25">
      <c r="A32" s="33" t="s">
        <v>362</v>
      </c>
      <c r="B32" s="28" t="s">
        <v>177</v>
      </c>
      <c r="C32" s="29">
        <v>0</v>
      </c>
      <c r="D32" s="157" t="e">
        <f>VLOOKUP(A32, 'Purchase Register'!C:D, 2, FALSE)</f>
        <v>#N/A</v>
      </c>
      <c r="E32" s="29">
        <f>SUMIF('Sales Register'!C:C, A32, 'Sales Register'!D:D)</f>
        <v>1</v>
      </c>
      <c r="F32" s="29" t="e">
        <f t="shared" si="0"/>
        <v>#N/A</v>
      </c>
      <c r="G32" s="29"/>
      <c r="H32" s="157" t="e">
        <f t="shared" si="1"/>
        <v>#N/A</v>
      </c>
      <c r="I32" s="29" t="e">
        <f t="shared" si="2"/>
        <v>#N/A</v>
      </c>
    </row>
    <row r="33" spans="1:9" s="77" customFormat="1" ht="43.15" customHeight="1" x14ac:dyDescent="0.25">
      <c r="A33" s="70" t="str">
        <f>'Purchase Register'!C213</f>
        <v>FORTUNE SOYA HEALTH 1 LITRE LOT 2</v>
      </c>
      <c r="B33" s="71" t="s">
        <v>221</v>
      </c>
      <c r="C33" s="72">
        <v>0</v>
      </c>
      <c r="D33" s="157">
        <f>VLOOKUP(A33, 'Purchase Register'!C:D, 2, FALSE)</f>
        <v>5</v>
      </c>
      <c r="E33" s="72">
        <f>SUMIF('Sales Register'!C:C, A33, 'Sales Register'!D:D)</f>
        <v>5</v>
      </c>
      <c r="F33" s="72">
        <f t="shared" si="0"/>
        <v>0</v>
      </c>
      <c r="G33" s="72"/>
      <c r="H33" s="72">
        <f t="shared" si="1"/>
        <v>0</v>
      </c>
      <c r="I33" s="72" t="str">
        <f t="shared" si="2"/>
        <v>OK</v>
      </c>
    </row>
    <row r="34" spans="1:9" s="77" customFormat="1" ht="30" x14ac:dyDescent="0.25">
      <c r="A34" s="70" t="s">
        <v>363</v>
      </c>
      <c r="B34" s="71" t="s">
        <v>221</v>
      </c>
      <c r="C34" s="72">
        <v>0</v>
      </c>
      <c r="D34" s="157">
        <f>VLOOKUP(A34, 'Purchase Register'!C:D, 2, FALSE)</f>
        <v>24</v>
      </c>
      <c r="E34" s="72">
        <f>SUMIF('Sales Register'!C:C, A34, 'Sales Register'!D:D)</f>
        <v>26</v>
      </c>
      <c r="F34" s="72">
        <f t="shared" si="0"/>
        <v>-2</v>
      </c>
      <c r="G34" s="72"/>
      <c r="H34" s="72">
        <f t="shared" si="1"/>
        <v>-2</v>
      </c>
      <c r="I34" s="72" t="str">
        <f t="shared" si="2"/>
        <v>Minor Issue</v>
      </c>
    </row>
    <row r="35" spans="1:9" s="77" customFormat="1" ht="30" x14ac:dyDescent="0.25">
      <c r="A35" s="70" t="s">
        <v>416</v>
      </c>
      <c r="B35" s="71" t="s">
        <v>221</v>
      </c>
      <c r="C35" s="72">
        <v>0</v>
      </c>
      <c r="D35" s="157">
        <f>VLOOKUP(A35, 'Purchase Register'!C:D, 2, FALSE)</f>
        <v>12</v>
      </c>
      <c r="E35" s="72">
        <f>SUMIF('Sales Register'!C:C, A35, 'Sales Register'!D:D)</f>
        <v>14</v>
      </c>
      <c r="F35" s="72">
        <f t="shared" si="0"/>
        <v>-2</v>
      </c>
      <c r="G35" s="72"/>
      <c r="H35" s="72">
        <f t="shared" si="1"/>
        <v>-2</v>
      </c>
      <c r="I35" s="72" t="str">
        <f t="shared" si="2"/>
        <v>Minor Issue</v>
      </c>
    </row>
    <row r="36" spans="1:9" x14ac:dyDescent="0.25">
      <c r="A36" s="33" t="s">
        <v>379</v>
      </c>
      <c r="B36" s="28" t="s">
        <v>193</v>
      </c>
      <c r="C36" s="29">
        <v>0</v>
      </c>
      <c r="D36" s="157" t="e">
        <f>VLOOKUP(A36, 'Purchase Register'!C:D, 2, FALSE)</f>
        <v>#N/A</v>
      </c>
      <c r="E36" s="29">
        <f>SUMIF('Sales Register'!C:C, A36, 'Sales Register'!D:D)</f>
        <v>38</v>
      </c>
      <c r="F36" s="29" t="e">
        <f t="shared" si="0"/>
        <v>#N/A</v>
      </c>
      <c r="G36" s="29"/>
      <c r="H36" s="157" t="e">
        <f t="shared" si="1"/>
        <v>#N/A</v>
      </c>
      <c r="I36" s="29" t="e">
        <f t="shared" si="2"/>
        <v>#N/A</v>
      </c>
    </row>
    <row r="37" spans="1:9" x14ac:dyDescent="0.25">
      <c r="A37" s="33" t="s">
        <v>386</v>
      </c>
      <c r="B37" s="28" t="s">
        <v>387</v>
      </c>
      <c r="C37" s="29">
        <v>0</v>
      </c>
      <c r="D37" s="157">
        <f>VLOOKUP(A37, 'Purchase Register'!C:D, 2, FALSE)</f>
        <v>30</v>
      </c>
      <c r="E37" s="29">
        <f>SUMIF('Sales Register'!C:C, A37, 'Sales Register'!D:D)</f>
        <v>36</v>
      </c>
      <c r="F37" s="29">
        <f t="shared" si="0"/>
        <v>-6</v>
      </c>
      <c r="G37" s="29"/>
      <c r="H37" s="157">
        <f t="shared" si="1"/>
        <v>-6</v>
      </c>
      <c r="I37" s="29" t="str">
        <f t="shared" si="2"/>
        <v>SERIOUS LOSS</v>
      </c>
    </row>
    <row r="38" spans="1:9" s="77" customFormat="1" ht="30" x14ac:dyDescent="0.25">
      <c r="A38" s="70" t="s">
        <v>385</v>
      </c>
      <c r="B38" s="71" t="s">
        <v>387</v>
      </c>
      <c r="C38" s="72">
        <v>0</v>
      </c>
      <c r="D38" s="157">
        <f>VLOOKUP(A38, 'Purchase Register'!C:D, 2, FALSE)</f>
        <v>30</v>
      </c>
      <c r="E38" s="72">
        <f>SUMIF('Sales Register'!C:C, A38, 'Sales Register'!D:D)</f>
        <v>30</v>
      </c>
      <c r="F38" s="72">
        <f t="shared" si="0"/>
        <v>0</v>
      </c>
      <c r="G38" s="72"/>
      <c r="H38" s="72">
        <f t="shared" si="1"/>
        <v>0</v>
      </c>
      <c r="I38" s="72" t="str">
        <f t="shared" si="2"/>
        <v>OK</v>
      </c>
    </row>
    <row r="39" spans="1:9" x14ac:dyDescent="0.25">
      <c r="A39" s="33" t="s">
        <v>355</v>
      </c>
      <c r="B39" s="28" t="s">
        <v>178</v>
      </c>
      <c r="C39" s="29">
        <v>0</v>
      </c>
      <c r="D39" s="157" t="e">
        <f>VLOOKUP(A39, 'Purchase Register'!C:D, 2, FALSE)</f>
        <v>#N/A</v>
      </c>
      <c r="E39" s="29">
        <f>SUMIF('Sales Register'!C:C, A39, 'Sales Register'!D:D)</f>
        <v>0</v>
      </c>
      <c r="F39" s="29" t="e">
        <f t="shared" si="0"/>
        <v>#N/A</v>
      </c>
      <c r="G39" s="29"/>
      <c r="H39" s="157" t="e">
        <f t="shared" si="1"/>
        <v>#N/A</v>
      </c>
      <c r="I39" s="29" t="e">
        <f t="shared" si="2"/>
        <v>#N/A</v>
      </c>
    </row>
    <row r="40" spans="1:9" s="77" customFormat="1" x14ac:dyDescent="0.25">
      <c r="A40" s="70" t="s">
        <v>364</v>
      </c>
      <c r="B40" s="71" t="s">
        <v>178</v>
      </c>
      <c r="C40" s="72">
        <v>0</v>
      </c>
      <c r="D40" s="157" t="e">
        <f>VLOOKUP(A40, 'Purchase Register'!C:D, 2, FALSE)</f>
        <v>#N/A</v>
      </c>
      <c r="E40" s="72">
        <f>SUMIF('Sales Register'!C:C, A40, 'Sales Register'!D:D)</f>
        <v>7</v>
      </c>
      <c r="F40" s="72" t="e">
        <f t="shared" si="0"/>
        <v>#N/A</v>
      </c>
      <c r="G40" s="72"/>
      <c r="H40" s="72" t="e">
        <f t="shared" si="1"/>
        <v>#N/A</v>
      </c>
      <c r="I40" s="72" t="e">
        <f t="shared" si="2"/>
        <v>#N/A</v>
      </c>
    </row>
    <row r="41" spans="1:9" x14ac:dyDescent="0.25">
      <c r="A41" s="33" t="s">
        <v>365</v>
      </c>
      <c r="B41" s="28" t="s">
        <v>178</v>
      </c>
      <c r="C41" s="29">
        <v>0</v>
      </c>
      <c r="D41" s="157" t="e">
        <f>VLOOKUP(A41, 'Purchase Register'!C:D, 2, FALSE)</f>
        <v>#N/A</v>
      </c>
      <c r="E41" s="29">
        <f>SUMIF('Sales Register'!C:C, A41, 'Sales Register'!D:D)</f>
        <v>18</v>
      </c>
      <c r="F41" s="29" t="e">
        <f t="shared" si="0"/>
        <v>#N/A</v>
      </c>
      <c r="G41" s="29"/>
      <c r="H41" s="157" t="e">
        <f t="shared" si="1"/>
        <v>#N/A</v>
      </c>
      <c r="I41" s="29" t="e">
        <f t="shared" si="2"/>
        <v>#N/A</v>
      </c>
    </row>
    <row r="42" spans="1:9" ht="28.9" customHeight="1" x14ac:dyDescent="0.25">
      <c r="A42" s="33" t="s">
        <v>348</v>
      </c>
      <c r="B42" s="28" t="s">
        <v>193</v>
      </c>
      <c r="C42" s="29">
        <v>0</v>
      </c>
      <c r="D42" s="157" t="e">
        <f>VLOOKUP(A42, 'Purchase Register'!C:D, 2, FALSE)</f>
        <v>#N/A</v>
      </c>
      <c r="E42" s="29">
        <f>SUMIF('Sales Register'!C:C, A42, 'Sales Register'!D:D)</f>
        <v>133</v>
      </c>
      <c r="F42" s="29" t="e">
        <f t="shared" si="0"/>
        <v>#N/A</v>
      </c>
      <c r="G42" s="29"/>
      <c r="H42" s="157" t="e">
        <f t="shared" si="1"/>
        <v>#N/A</v>
      </c>
      <c r="I42" s="29" t="e">
        <f t="shared" si="2"/>
        <v>#N/A</v>
      </c>
    </row>
    <row r="43" spans="1:9" ht="28.9" customHeight="1" x14ac:dyDescent="0.25">
      <c r="A43" s="33" t="str">
        <f>'Purchase Register'!C222</f>
        <v>SAFFOLA SOYA CHUNKS 40 GM LOT 2</v>
      </c>
      <c r="B43" s="28" t="s">
        <v>481</v>
      </c>
      <c r="C43" s="29">
        <v>0</v>
      </c>
      <c r="D43" s="157">
        <f>VLOOKUP(A43, 'Purchase Register'!C:D, 2, FALSE)</f>
        <v>12</v>
      </c>
      <c r="E43" s="29">
        <f>SUMIF('Sales Register'!C:C, A43, 'Sales Register'!D:D)</f>
        <v>1</v>
      </c>
      <c r="F43" s="29">
        <f t="shared" si="0"/>
        <v>11</v>
      </c>
      <c r="G43" s="29"/>
      <c r="H43" s="157">
        <f t="shared" si="1"/>
        <v>11</v>
      </c>
      <c r="I43" s="29" t="str">
        <f t="shared" si="2"/>
        <v>SERIOUS LOSS</v>
      </c>
    </row>
    <row r="44" spans="1:9" s="77" customFormat="1" ht="30" x14ac:dyDescent="0.25">
      <c r="A44" s="158" t="s">
        <v>154</v>
      </c>
      <c r="B44" s="71" t="s">
        <v>179</v>
      </c>
      <c r="C44" s="72">
        <v>48</v>
      </c>
      <c r="D44" s="157">
        <f>VLOOKUP(A44, 'Purchase Register'!C:D, 2, FALSE)</f>
        <v>48</v>
      </c>
      <c r="E44" s="72">
        <f>SUMIF('Sales Register'!C:C, A44, 'Sales Register'!D:D)</f>
        <v>98</v>
      </c>
      <c r="F44" s="72">
        <f t="shared" si="0"/>
        <v>-2</v>
      </c>
      <c r="G44" s="72"/>
      <c r="H44" s="72">
        <f t="shared" si="1"/>
        <v>-2</v>
      </c>
      <c r="I44" s="72" t="str">
        <f t="shared" si="2"/>
        <v>Minor Issue</v>
      </c>
    </row>
    <row r="45" spans="1:9" ht="30" x14ac:dyDescent="0.25">
      <c r="A45" s="33" t="s">
        <v>127</v>
      </c>
      <c r="B45" s="28" t="s">
        <v>180</v>
      </c>
      <c r="C45" s="29">
        <v>0</v>
      </c>
      <c r="D45" s="157">
        <f>VLOOKUP(A45, 'Purchase Register'!C:D, 2, FALSE)</f>
        <v>2</v>
      </c>
      <c r="E45" s="29">
        <f>SUMIF('Sales Register'!C:C, A45, 'Sales Register'!D:D)</f>
        <v>1</v>
      </c>
      <c r="F45" s="29">
        <f t="shared" si="0"/>
        <v>1</v>
      </c>
      <c r="G45" s="29"/>
      <c r="H45" s="157">
        <f t="shared" si="1"/>
        <v>1</v>
      </c>
      <c r="I45" s="29" t="str">
        <f t="shared" si="2"/>
        <v>Minor Issue</v>
      </c>
    </row>
    <row r="46" spans="1:9" s="77" customFormat="1" x14ac:dyDescent="0.25">
      <c r="A46" s="70" t="str">
        <f>'Purchase Register'!C217</f>
        <v>LOOSE MAIDA LOT 1</v>
      </c>
      <c r="B46" s="71" t="s">
        <v>221</v>
      </c>
      <c r="C46" s="72">
        <v>0</v>
      </c>
      <c r="D46" s="157">
        <f>VLOOKUP(A46, 'Purchase Register'!C:D, 2, FALSE)</f>
        <v>5</v>
      </c>
      <c r="E46" s="72">
        <f>SUMIF('Sales Register'!C:C, A46, 'Sales Register'!D:D)</f>
        <v>6.3410000000000002</v>
      </c>
      <c r="F46" s="72">
        <f t="shared" si="0"/>
        <v>-1.3410000000000002</v>
      </c>
      <c r="G46" s="72"/>
      <c r="H46" s="72">
        <f t="shared" si="1"/>
        <v>-1.3410000000000002</v>
      </c>
      <c r="I46" s="72" t="str">
        <f t="shared" si="2"/>
        <v>Minor Issue</v>
      </c>
    </row>
    <row r="47" spans="1:9" ht="28.9" customHeight="1" x14ac:dyDescent="0.25">
      <c r="A47" s="33" t="s">
        <v>152</v>
      </c>
      <c r="B47" s="28" t="s">
        <v>181</v>
      </c>
      <c r="C47" s="29">
        <v>0</v>
      </c>
      <c r="D47" s="157">
        <f>VLOOKUP(A47, 'Purchase Register'!C:D, 2, FALSE)</f>
        <v>3</v>
      </c>
      <c r="E47" s="29">
        <f>SUMIF('Sales Register'!C:C, A47, 'Sales Register'!D:D)</f>
        <v>2</v>
      </c>
      <c r="F47" s="29">
        <f t="shared" si="0"/>
        <v>1</v>
      </c>
      <c r="G47" s="29"/>
      <c r="H47" s="157">
        <f t="shared" si="1"/>
        <v>1</v>
      </c>
      <c r="I47" s="29" t="str">
        <f t="shared" si="2"/>
        <v>Minor Issue</v>
      </c>
    </row>
    <row r="48" spans="1:9" s="77" customFormat="1" ht="43.15" customHeight="1" x14ac:dyDescent="0.25">
      <c r="A48" s="70" t="s">
        <v>478</v>
      </c>
      <c r="B48" s="71" t="s">
        <v>181</v>
      </c>
      <c r="C48" s="72">
        <v>0</v>
      </c>
      <c r="D48" s="157" t="e">
        <f>VLOOKUP(A48, 'Purchase Register'!C:D, 2, FALSE)</f>
        <v>#N/A</v>
      </c>
      <c r="E48" s="72">
        <f>SUMIF('Sales Register'!C:C, A48, 'Sales Register'!D:D)</f>
        <v>3</v>
      </c>
      <c r="F48" s="72" t="e">
        <f t="shared" si="0"/>
        <v>#N/A</v>
      </c>
      <c r="G48" s="72"/>
      <c r="H48" s="72" t="e">
        <f t="shared" si="1"/>
        <v>#N/A</v>
      </c>
      <c r="I48" s="72" t="e">
        <f t="shared" si="2"/>
        <v>#N/A</v>
      </c>
    </row>
    <row r="49" spans="1:9" ht="28.9" customHeight="1" x14ac:dyDescent="0.25">
      <c r="A49" s="33" t="s">
        <v>361</v>
      </c>
      <c r="B49" s="28" t="s">
        <v>181</v>
      </c>
      <c r="C49" s="29">
        <v>0</v>
      </c>
      <c r="D49" s="157" t="e">
        <f>VLOOKUP(A49, 'Purchase Register'!C:D, 2, FALSE)</f>
        <v>#N/A</v>
      </c>
      <c r="E49" s="29">
        <f>SUMIF('Sales Register'!C:C, A49, 'Sales Register'!D:D)</f>
        <v>11</v>
      </c>
      <c r="F49" s="29" t="e">
        <f t="shared" si="0"/>
        <v>#N/A</v>
      </c>
      <c r="G49" s="29"/>
      <c r="H49" s="157" t="e">
        <f t="shared" si="1"/>
        <v>#N/A</v>
      </c>
      <c r="I49" s="29" t="e">
        <f t="shared" si="2"/>
        <v>#N/A</v>
      </c>
    </row>
    <row r="50" spans="1:9" ht="28.9" customHeight="1" x14ac:dyDescent="0.25">
      <c r="A50" s="33" t="s">
        <v>434</v>
      </c>
      <c r="B50" s="28" t="s">
        <v>181</v>
      </c>
      <c r="C50" s="29">
        <v>0</v>
      </c>
      <c r="D50" s="157" t="e">
        <f>VLOOKUP(A50, 'Purchase Register'!C:D, 2, FALSE)</f>
        <v>#N/A</v>
      </c>
      <c r="E50" s="29">
        <f>SUMIF('Sales Register'!C:C, A50, 'Sales Register'!D:D)</f>
        <v>7</v>
      </c>
      <c r="F50" s="29" t="e">
        <f t="shared" si="0"/>
        <v>#N/A</v>
      </c>
      <c r="G50" s="29"/>
      <c r="H50" s="157" t="e">
        <f t="shared" si="1"/>
        <v>#N/A</v>
      </c>
      <c r="I50" s="29" t="e">
        <f t="shared" si="2"/>
        <v>#N/A</v>
      </c>
    </row>
    <row r="51" spans="1:9" ht="30" x14ac:dyDescent="0.25">
      <c r="A51" s="33" t="s">
        <v>381</v>
      </c>
      <c r="B51" s="28" t="s">
        <v>182</v>
      </c>
      <c r="C51" s="29">
        <v>0</v>
      </c>
      <c r="D51" s="157" t="e">
        <f>VLOOKUP(A51, 'Purchase Register'!C:D, 2, FALSE)</f>
        <v>#N/A</v>
      </c>
      <c r="E51" s="29">
        <f>SUMIF('Sales Register'!C:C, A51, 'Sales Register'!D:D)</f>
        <v>18</v>
      </c>
      <c r="F51" s="29" t="e">
        <f t="shared" si="0"/>
        <v>#N/A</v>
      </c>
      <c r="G51" s="29"/>
      <c r="H51" s="157" t="e">
        <f t="shared" si="1"/>
        <v>#N/A</v>
      </c>
      <c r="I51" s="29" t="e">
        <f t="shared" si="2"/>
        <v>#N/A</v>
      </c>
    </row>
    <row r="52" spans="1:9" x14ac:dyDescent="0.25">
      <c r="A52" s="116" t="s">
        <v>36</v>
      </c>
      <c r="B52" s="28"/>
      <c r="C52" s="29">
        <v>3</v>
      </c>
      <c r="D52" s="157">
        <f>VLOOKUP(A52, 'Purchase Register'!C:D, 2, FALSE)</f>
        <v>3</v>
      </c>
      <c r="E52" s="29">
        <f>SUMIF('Sales Register'!C:C, A52, 'Sales Register'!D:D)</f>
        <v>3</v>
      </c>
      <c r="F52" s="29">
        <f t="shared" si="0"/>
        <v>3</v>
      </c>
      <c r="G52" s="29"/>
      <c r="H52" s="157">
        <f t="shared" si="1"/>
        <v>3</v>
      </c>
      <c r="I52" s="29" t="str">
        <f t="shared" si="2"/>
        <v>SERIOUS LOSS</v>
      </c>
    </row>
    <row r="53" spans="1:9" x14ac:dyDescent="0.25">
      <c r="A53" s="33" t="s">
        <v>74</v>
      </c>
      <c r="B53" s="28" t="s">
        <v>175</v>
      </c>
      <c r="C53" s="29">
        <v>0</v>
      </c>
      <c r="D53" s="157">
        <f>VLOOKUP(A53, 'Purchase Register'!C:D, 2, FALSE)</f>
        <v>12</v>
      </c>
      <c r="E53" s="29">
        <f>SUMIF('Sales Register'!C:C, A53, 'Sales Register'!D:D)</f>
        <v>12</v>
      </c>
      <c r="F53" s="29">
        <f t="shared" si="0"/>
        <v>0</v>
      </c>
      <c r="G53" s="29"/>
      <c r="H53" s="157">
        <f t="shared" si="1"/>
        <v>0</v>
      </c>
      <c r="I53" s="29" t="str">
        <f t="shared" si="2"/>
        <v>OK</v>
      </c>
    </row>
    <row r="54" spans="1:9" ht="30" x14ac:dyDescent="0.25">
      <c r="A54" s="33" t="s">
        <v>73</v>
      </c>
      <c r="B54" s="28" t="s">
        <v>175</v>
      </c>
      <c r="C54" s="29">
        <v>0</v>
      </c>
      <c r="D54" s="157">
        <f>VLOOKUP(A54, 'Purchase Register'!C:D, 2, FALSE)</f>
        <v>12</v>
      </c>
      <c r="E54" s="29">
        <f>SUMIF('Sales Register'!C:C, A54, 'Sales Register'!D:D)</f>
        <v>12</v>
      </c>
      <c r="F54" s="29">
        <f t="shared" si="0"/>
        <v>0</v>
      </c>
      <c r="G54" s="29"/>
      <c r="H54" s="157">
        <f t="shared" si="1"/>
        <v>0</v>
      </c>
      <c r="I54" s="29" t="str">
        <f t="shared" si="2"/>
        <v>OK</v>
      </c>
    </row>
    <row r="55" spans="1:9" ht="43.15" customHeight="1" x14ac:dyDescent="0.25">
      <c r="A55" s="33" t="s">
        <v>80</v>
      </c>
      <c r="B55" s="28" t="s">
        <v>183</v>
      </c>
      <c r="C55" s="29">
        <v>0</v>
      </c>
      <c r="D55" s="157">
        <f>VLOOKUP(A55, 'Purchase Register'!C:D, 2, FALSE)</f>
        <v>3</v>
      </c>
      <c r="E55" s="29">
        <f>SUMIF('Sales Register'!C:C, A55, 'Sales Register'!D:D)</f>
        <v>2</v>
      </c>
      <c r="F55" s="29">
        <f t="shared" si="0"/>
        <v>1</v>
      </c>
      <c r="G55" s="29"/>
      <c r="H55" s="157">
        <f t="shared" si="1"/>
        <v>1</v>
      </c>
      <c r="I55" s="29" t="str">
        <f t="shared" si="2"/>
        <v>Minor Issue</v>
      </c>
    </row>
    <row r="56" spans="1:9" ht="28.9" customHeight="1" x14ac:dyDescent="0.25">
      <c r="A56" s="33" t="s">
        <v>153</v>
      </c>
      <c r="B56" s="28" t="s">
        <v>203</v>
      </c>
      <c r="C56" s="29">
        <v>0</v>
      </c>
      <c r="D56" s="157">
        <f>VLOOKUP(A56, 'Purchase Register'!C:D, 2, FALSE)</f>
        <v>26</v>
      </c>
      <c r="E56" s="29">
        <f>SUMIF('Sales Register'!C:C, A56, 'Sales Register'!D:D)</f>
        <v>3</v>
      </c>
      <c r="F56" s="29">
        <f t="shared" si="0"/>
        <v>23</v>
      </c>
      <c r="G56" s="29"/>
      <c r="H56" s="157">
        <f t="shared" si="1"/>
        <v>23</v>
      </c>
      <c r="I56" s="29" t="str">
        <f t="shared" si="2"/>
        <v>SERIOUS LOSS</v>
      </c>
    </row>
    <row r="57" spans="1:9" ht="43.15" customHeight="1" x14ac:dyDescent="0.25">
      <c r="A57" s="33" t="s">
        <v>59</v>
      </c>
      <c r="B57" s="28" t="s">
        <v>184</v>
      </c>
      <c r="C57" s="29">
        <v>0</v>
      </c>
      <c r="D57" s="157">
        <f>VLOOKUP(A57, 'Purchase Register'!C:D, 2, FALSE)</f>
        <v>2</v>
      </c>
      <c r="E57" s="29">
        <f>SUMIF('Sales Register'!C:C, A57, 'Sales Register'!D:D)</f>
        <v>1</v>
      </c>
      <c r="F57" s="29">
        <f t="shared" si="0"/>
        <v>1</v>
      </c>
      <c r="G57" s="29"/>
      <c r="H57" s="157">
        <f t="shared" si="1"/>
        <v>1</v>
      </c>
      <c r="I57" s="29" t="str">
        <f t="shared" si="2"/>
        <v>Minor Issue</v>
      </c>
    </row>
    <row r="58" spans="1:9" ht="28.9" customHeight="1" x14ac:dyDescent="0.25">
      <c r="A58" s="33" t="s">
        <v>113</v>
      </c>
      <c r="B58" s="28" t="s">
        <v>173</v>
      </c>
      <c r="C58" s="29">
        <v>0</v>
      </c>
      <c r="D58" s="157">
        <f>VLOOKUP(A58, 'Purchase Register'!C:D, 2, FALSE)</f>
        <v>20</v>
      </c>
      <c r="E58" s="29">
        <f>SUMIF('Sales Register'!C:C, A58, 'Sales Register'!D:D)</f>
        <v>4</v>
      </c>
      <c r="F58" s="29">
        <f t="shared" si="0"/>
        <v>16</v>
      </c>
      <c r="G58" s="29"/>
      <c r="H58" s="157">
        <f t="shared" si="1"/>
        <v>16</v>
      </c>
      <c r="I58" s="29" t="str">
        <f t="shared" si="2"/>
        <v>SERIOUS LOSS</v>
      </c>
    </row>
    <row r="59" spans="1:9" x14ac:dyDescent="0.25">
      <c r="A59" s="33" t="s">
        <v>120</v>
      </c>
      <c r="B59" s="28" t="s">
        <v>173</v>
      </c>
      <c r="C59" s="29">
        <v>0</v>
      </c>
      <c r="D59" s="157">
        <f>VLOOKUP(A59, 'Purchase Register'!C:D, 2, FALSE)</f>
        <v>10</v>
      </c>
      <c r="E59" s="29">
        <f>SUMIF('Sales Register'!C:C, A59, 'Sales Register'!D:D)</f>
        <v>2</v>
      </c>
      <c r="F59" s="29">
        <f t="shared" si="0"/>
        <v>8</v>
      </c>
      <c r="G59" s="29"/>
      <c r="H59" s="157">
        <f t="shared" si="1"/>
        <v>8</v>
      </c>
      <c r="I59" s="29" t="str">
        <f t="shared" si="2"/>
        <v>SERIOUS LOSS</v>
      </c>
    </row>
    <row r="60" spans="1:9" x14ac:dyDescent="0.25">
      <c r="A60" s="33" t="s">
        <v>125</v>
      </c>
      <c r="B60" s="28" t="s">
        <v>180</v>
      </c>
      <c r="C60" s="29">
        <v>0</v>
      </c>
      <c r="D60" s="157">
        <f>VLOOKUP(A60, 'Purchase Register'!C:D, 2, FALSE)</f>
        <v>2</v>
      </c>
      <c r="E60" s="29">
        <f>SUMIF('Sales Register'!C:C, A60, 'Sales Register'!D:D)</f>
        <v>1</v>
      </c>
      <c r="F60" s="29">
        <f t="shared" si="0"/>
        <v>1</v>
      </c>
      <c r="G60" s="29"/>
      <c r="H60" s="157">
        <f t="shared" si="1"/>
        <v>1</v>
      </c>
      <c r="I60" s="29" t="str">
        <f t="shared" si="2"/>
        <v>Minor Issue</v>
      </c>
    </row>
    <row r="61" spans="1:9" ht="30" x14ac:dyDescent="0.25">
      <c r="A61" s="116" t="s">
        <v>12</v>
      </c>
      <c r="B61" s="28" t="s">
        <v>179</v>
      </c>
      <c r="C61" s="29">
        <v>16</v>
      </c>
      <c r="D61" s="157">
        <f>VLOOKUP(A61, 'Purchase Register'!C:D, 2, FALSE)</f>
        <v>16</v>
      </c>
      <c r="E61" s="29">
        <f>SUMIF('Sales Register'!C:C, A61, 'Sales Register'!D:D)</f>
        <v>12</v>
      </c>
      <c r="F61" s="29">
        <f t="shared" si="0"/>
        <v>20</v>
      </c>
      <c r="G61" s="29"/>
      <c r="H61" s="157">
        <f t="shared" si="1"/>
        <v>20</v>
      </c>
      <c r="I61" s="29" t="str">
        <f t="shared" si="2"/>
        <v>SERIOUS LOSS</v>
      </c>
    </row>
    <row r="62" spans="1:9" x14ac:dyDescent="0.25">
      <c r="A62" s="33" t="s">
        <v>185</v>
      </c>
      <c r="B62" s="28" t="s">
        <v>184</v>
      </c>
      <c r="C62" s="29">
        <v>0</v>
      </c>
      <c r="D62" s="157" t="e">
        <f>VLOOKUP(A62, 'Purchase Register'!C:D, 2, FALSE)</f>
        <v>#N/A</v>
      </c>
      <c r="E62" s="29">
        <f>SUMIF('Sales Register'!C:C, A62, 'Sales Register'!D:D)</f>
        <v>0</v>
      </c>
      <c r="F62" s="29" t="e">
        <f t="shared" si="0"/>
        <v>#N/A</v>
      </c>
      <c r="G62" s="29"/>
      <c r="H62" s="157" t="e">
        <f t="shared" si="1"/>
        <v>#N/A</v>
      </c>
      <c r="I62" s="29" t="e">
        <f t="shared" si="2"/>
        <v>#N/A</v>
      </c>
    </row>
    <row r="63" spans="1:9" x14ac:dyDescent="0.25">
      <c r="A63" s="70" t="s">
        <v>389</v>
      </c>
      <c r="B63" s="71" t="s">
        <v>393</v>
      </c>
      <c r="C63" s="72">
        <v>0</v>
      </c>
      <c r="D63" s="157">
        <f>VLOOKUP(A63, 'Purchase Register'!C:D, 2, FALSE)</f>
        <v>120</v>
      </c>
      <c r="E63" s="72">
        <f>SUMIF('Sales Register'!C:C, A63, 'Sales Register'!D:D)</f>
        <v>95</v>
      </c>
      <c r="F63" s="72">
        <f t="shared" si="0"/>
        <v>25</v>
      </c>
      <c r="G63" s="72"/>
      <c r="H63" s="157">
        <f t="shared" si="1"/>
        <v>25</v>
      </c>
      <c r="I63" s="72" t="str">
        <f t="shared" si="2"/>
        <v>SERIOUS LOSS</v>
      </c>
    </row>
    <row r="64" spans="1:9" ht="28.9" customHeight="1" x14ac:dyDescent="0.25">
      <c r="A64" s="70" t="s">
        <v>388</v>
      </c>
      <c r="B64" s="71" t="s">
        <v>393</v>
      </c>
      <c r="C64" s="72">
        <v>0</v>
      </c>
      <c r="D64" s="157">
        <f>VLOOKUP(A64, 'Purchase Register'!C:D, 2, FALSE)</f>
        <v>120</v>
      </c>
      <c r="E64" s="72">
        <f>SUMIF('Sales Register'!C:C, A64, 'Sales Register'!D:D)</f>
        <v>120</v>
      </c>
      <c r="F64" s="72">
        <f t="shared" si="0"/>
        <v>0</v>
      </c>
      <c r="G64" s="72"/>
      <c r="H64" s="157">
        <f t="shared" si="1"/>
        <v>0</v>
      </c>
      <c r="I64" s="72" t="str">
        <f t="shared" si="2"/>
        <v>OK</v>
      </c>
    </row>
    <row r="65" spans="1:9" s="77" customFormat="1" x14ac:dyDescent="0.25">
      <c r="A65" s="158" t="s">
        <v>43</v>
      </c>
      <c r="B65" s="71" t="s">
        <v>186</v>
      </c>
      <c r="C65" s="72">
        <v>12</v>
      </c>
      <c r="D65" s="157">
        <f>VLOOKUP(A65, 'Purchase Register'!C:D, 2, FALSE)</f>
        <v>12</v>
      </c>
      <c r="E65" s="72">
        <f>SUMIF('Sales Register'!C:C, A65, 'Sales Register'!D:D)</f>
        <v>16</v>
      </c>
      <c r="F65" s="72">
        <f t="shared" si="0"/>
        <v>8</v>
      </c>
      <c r="G65" s="72"/>
      <c r="H65" s="72">
        <f t="shared" si="1"/>
        <v>8</v>
      </c>
      <c r="I65" s="72" t="str">
        <f t="shared" si="2"/>
        <v>SERIOUS LOSS</v>
      </c>
    </row>
    <row r="66" spans="1:9" x14ac:dyDescent="0.25">
      <c r="A66" s="33" t="s">
        <v>85</v>
      </c>
      <c r="B66" s="28" t="s">
        <v>186</v>
      </c>
      <c r="C66" s="29">
        <v>0</v>
      </c>
      <c r="D66" s="157">
        <f>VLOOKUP(A66, 'Purchase Register'!C:D, 2, FALSE)</f>
        <v>5</v>
      </c>
      <c r="E66" s="72">
        <f>SUMIF('Sales Register'!C:C, A66, 'Sales Register'!D:D)</f>
        <v>3</v>
      </c>
      <c r="F66" s="29">
        <f t="shared" si="0"/>
        <v>2</v>
      </c>
      <c r="G66" s="29"/>
      <c r="H66" s="157">
        <f t="shared" si="1"/>
        <v>2</v>
      </c>
      <c r="I66" s="29" t="str">
        <f t="shared" si="2"/>
        <v>Minor Issue</v>
      </c>
    </row>
    <row r="67" spans="1:9" x14ac:dyDescent="0.25">
      <c r="A67" s="33" t="s">
        <v>34</v>
      </c>
      <c r="B67" s="28" t="s">
        <v>186</v>
      </c>
      <c r="C67" s="29">
        <v>0</v>
      </c>
      <c r="D67" s="157">
        <f>VLOOKUP(A67, 'Purchase Register'!C:D, 2, FALSE)</f>
        <v>3</v>
      </c>
      <c r="E67" s="72">
        <f>SUMIF('Sales Register'!C:C, A67, 'Sales Register'!D:D)</f>
        <v>3</v>
      </c>
      <c r="F67" s="29">
        <f t="shared" si="0"/>
        <v>0</v>
      </c>
      <c r="G67" s="29"/>
      <c r="H67" s="157">
        <f t="shared" si="1"/>
        <v>0</v>
      </c>
      <c r="I67" s="29" t="str">
        <f t="shared" si="2"/>
        <v>OK</v>
      </c>
    </row>
    <row r="68" spans="1:9" ht="28.9" customHeight="1" x14ac:dyDescent="0.25">
      <c r="A68" s="33" t="s">
        <v>151</v>
      </c>
      <c r="B68" s="28"/>
      <c r="C68" s="29">
        <v>0</v>
      </c>
      <c r="D68" s="157">
        <f>VLOOKUP(A68, 'Purchase Register'!C:D, 2, FALSE)</f>
        <v>12</v>
      </c>
      <c r="E68" s="72">
        <f>SUMIF('Sales Register'!C:C, A68, 'Sales Register'!D:D)</f>
        <v>8</v>
      </c>
      <c r="F68" s="29">
        <f t="shared" si="0"/>
        <v>4</v>
      </c>
      <c r="G68" s="29"/>
      <c r="H68" s="157">
        <f t="shared" si="1"/>
        <v>4</v>
      </c>
      <c r="I68" s="29" t="str">
        <f t="shared" si="2"/>
        <v>SERIOUS LOSS</v>
      </c>
    </row>
    <row r="69" spans="1:9" x14ac:dyDescent="0.25">
      <c r="A69" s="33" t="s">
        <v>25</v>
      </c>
      <c r="B69" s="28" t="s">
        <v>173</v>
      </c>
      <c r="C69" s="29">
        <v>0</v>
      </c>
      <c r="D69" s="157">
        <f>VLOOKUP(A69, 'Purchase Register'!C:D, 2, FALSE)</f>
        <v>15</v>
      </c>
      <c r="E69" s="72">
        <f>SUMIF('Sales Register'!C:C, A69, 'Sales Register'!D:D)</f>
        <v>14</v>
      </c>
      <c r="F69" s="29">
        <f t="shared" si="0"/>
        <v>1</v>
      </c>
      <c r="G69" s="29"/>
      <c r="H69" s="157">
        <f t="shared" si="1"/>
        <v>1</v>
      </c>
      <c r="I69" s="29" t="str">
        <f t="shared" si="2"/>
        <v>Minor Issue</v>
      </c>
    </row>
    <row r="70" spans="1:9" x14ac:dyDescent="0.25">
      <c r="A70" s="33" t="s">
        <v>119</v>
      </c>
      <c r="B70" s="28" t="s">
        <v>173</v>
      </c>
      <c r="C70" s="29">
        <v>0</v>
      </c>
      <c r="D70" s="157">
        <f>VLOOKUP(A70, 'Purchase Register'!C:D, 2, FALSE)</f>
        <v>10</v>
      </c>
      <c r="E70" s="72">
        <f>SUMIF('Sales Register'!C:C, A70, 'Sales Register'!D:D)</f>
        <v>5</v>
      </c>
      <c r="F70" s="29">
        <f t="shared" si="0"/>
        <v>5</v>
      </c>
      <c r="G70" s="29"/>
      <c r="H70" s="157">
        <f t="shared" si="1"/>
        <v>5</v>
      </c>
      <c r="I70" s="29" t="str">
        <f t="shared" si="2"/>
        <v>SERIOUS LOSS</v>
      </c>
    </row>
    <row r="71" spans="1:9" x14ac:dyDescent="0.25">
      <c r="A71" s="33" t="s">
        <v>390</v>
      </c>
      <c r="B71" s="28" t="s">
        <v>173</v>
      </c>
      <c r="C71" s="29">
        <v>0</v>
      </c>
      <c r="D71" s="157" t="e">
        <f>VLOOKUP(A71, 'Purchase Register'!C:D, 2, FALSE)</f>
        <v>#N/A</v>
      </c>
      <c r="E71" s="72">
        <f>SUMIF('Sales Register'!C:C, A71, 'Sales Register'!D:D)</f>
        <v>3</v>
      </c>
      <c r="F71" s="29" t="e">
        <f t="shared" si="0"/>
        <v>#N/A</v>
      </c>
      <c r="G71" s="29"/>
      <c r="H71" s="157" t="e">
        <f t="shared" si="1"/>
        <v>#N/A</v>
      </c>
      <c r="I71" s="29" t="e">
        <f t="shared" si="2"/>
        <v>#N/A</v>
      </c>
    </row>
    <row r="72" spans="1:9" ht="30" x14ac:dyDescent="0.25">
      <c r="A72" s="116" t="s">
        <v>382</v>
      </c>
      <c r="B72" s="28" t="s">
        <v>223</v>
      </c>
      <c r="C72" s="29">
        <v>4</v>
      </c>
      <c r="D72" s="157" t="e">
        <f>VLOOKUP(A72, 'Purchase Register'!C:D, 2, FALSE)</f>
        <v>#N/A</v>
      </c>
      <c r="E72" s="72">
        <f>SUMIF('Sales Register'!C:C, A72, 'Sales Register'!D:D)</f>
        <v>18</v>
      </c>
      <c r="F72" s="29" t="e">
        <f t="shared" ref="F72:F135" si="3">C72+D72-E72</f>
        <v>#N/A</v>
      </c>
      <c r="G72" s="29"/>
      <c r="H72" s="157" t="e">
        <f t="shared" ref="H72:H135" si="4">F72-G72</f>
        <v>#N/A</v>
      </c>
      <c r="I72" s="29" t="e">
        <f t="shared" ref="I72:I135" si="5">IF(H72=0,"OK",
IF(ABS(H72)&lt;=2,"Minor Issue","SERIOUS LOSS"))</f>
        <v>#N/A</v>
      </c>
    </row>
    <row r="73" spans="1:9" s="77" customFormat="1" ht="30" x14ac:dyDescent="0.25">
      <c r="A73" s="70" t="s">
        <v>443</v>
      </c>
      <c r="B73" s="71" t="s">
        <v>223</v>
      </c>
      <c r="C73" s="72">
        <v>0</v>
      </c>
      <c r="D73" s="157" t="e">
        <f>VLOOKUP(A73, 'Purchase Register'!C:D, 2, FALSE)</f>
        <v>#N/A</v>
      </c>
      <c r="E73" s="72">
        <f>SUMIF('Sales Register'!C:C, A73, 'Sales Register'!D:D)</f>
        <v>4</v>
      </c>
      <c r="F73" s="72" t="e">
        <f t="shared" si="3"/>
        <v>#N/A</v>
      </c>
      <c r="G73" s="72"/>
      <c r="H73" s="157" t="e">
        <f t="shared" si="4"/>
        <v>#N/A</v>
      </c>
      <c r="I73" s="72" t="e">
        <f t="shared" si="5"/>
        <v>#N/A</v>
      </c>
    </row>
    <row r="74" spans="1:9" s="77" customFormat="1" ht="30" x14ac:dyDescent="0.25">
      <c r="A74" s="70" t="str">
        <f>'Purchase Register'!C214</f>
        <v>GENERIC BAKERY ITEMS  LOT 1</v>
      </c>
      <c r="B74" s="71" t="s">
        <v>223</v>
      </c>
      <c r="C74" s="72">
        <v>0</v>
      </c>
      <c r="D74" s="157">
        <f>VLOOKUP(A74, 'Purchase Register'!C:D, 2, FALSE)</f>
        <v>15</v>
      </c>
      <c r="E74" s="72">
        <f>SUMIF('Sales Register'!C:C, A74, 'Sales Register'!D:D)</f>
        <v>0</v>
      </c>
      <c r="F74" s="72">
        <f t="shared" si="3"/>
        <v>15</v>
      </c>
      <c r="G74" s="72"/>
      <c r="H74" s="72">
        <f t="shared" si="4"/>
        <v>15</v>
      </c>
      <c r="I74" s="72" t="str">
        <f t="shared" si="5"/>
        <v>SERIOUS LOSS</v>
      </c>
    </row>
    <row r="75" spans="1:9" x14ac:dyDescent="0.25">
      <c r="A75" s="33" t="str">
        <f>'Purchase Register'!C212</f>
        <v>COCO MALAI LOT 1</v>
      </c>
      <c r="B75" s="28" t="s">
        <v>482</v>
      </c>
      <c r="C75" s="29">
        <v>0</v>
      </c>
      <c r="D75" s="157">
        <f>VLOOKUP(A75, 'Purchase Register'!C:D, 2, FALSE)</f>
        <v>3</v>
      </c>
      <c r="E75" s="29">
        <f>SUMIF('Sales Register'!C:C, A75, 'Sales Register'!D:D)</f>
        <v>4</v>
      </c>
      <c r="F75" s="29">
        <f t="shared" si="3"/>
        <v>-1</v>
      </c>
      <c r="G75" s="29"/>
      <c r="H75" s="157">
        <f t="shared" si="4"/>
        <v>-1</v>
      </c>
      <c r="I75" s="29" t="str">
        <f t="shared" si="5"/>
        <v>Minor Issue</v>
      </c>
    </row>
    <row r="76" spans="1:9" x14ac:dyDescent="0.25">
      <c r="A76" s="33" t="s">
        <v>122</v>
      </c>
      <c r="B76" s="28" t="s">
        <v>173</v>
      </c>
      <c r="C76" s="29">
        <v>0</v>
      </c>
      <c r="D76" s="157">
        <f>VLOOKUP(A76, 'Purchase Register'!C:D, 2, FALSE)</f>
        <v>50</v>
      </c>
      <c r="E76" s="29">
        <f>SUMIF('Sales Register'!C:C, A76, 'Sales Register'!D:D)</f>
        <v>3</v>
      </c>
      <c r="F76" s="29">
        <f t="shared" si="3"/>
        <v>47</v>
      </c>
      <c r="G76" s="29"/>
      <c r="H76" s="157">
        <f t="shared" si="4"/>
        <v>47</v>
      </c>
      <c r="I76" s="29" t="str">
        <f t="shared" si="5"/>
        <v>SERIOUS LOSS</v>
      </c>
    </row>
    <row r="77" spans="1:9" ht="28.9" customHeight="1" x14ac:dyDescent="0.25">
      <c r="A77" s="33" t="s">
        <v>134</v>
      </c>
      <c r="B77" s="28" t="s">
        <v>187</v>
      </c>
      <c r="C77" s="29">
        <v>0</v>
      </c>
      <c r="D77" s="157">
        <f>VLOOKUP(A77, 'Purchase Register'!C:D, 2, FALSE)</f>
        <v>10</v>
      </c>
      <c r="E77" s="29">
        <f>SUMIF('Sales Register'!C:C, A77, 'Sales Register'!D:D)</f>
        <v>8</v>
      </c>
      <c r="F77" s="29">
        <f t="shared" si="3"/>
        <v>2</v>
      </c>
      <c r="G77" s="29"/>
      <c r="H77" s="157">
        <f t="shared" si="4"/>
        <v>2</v>
      </c>
      <c r="I77" s="29" t="str">
        <f t="shared" si="5"/>
        <v>Minor Issue</v>
      </c>
    </row>
    <row r="78" spans="1:9" ht="28.9" customHeight="1" x14ac:dyDescent="0.25">
      <c r="A78" s="33" t="s">
        <v>135</v>
      </c>
      <c r="B78" s="28" t="s">
        <v>188</v>
      </c>
      <c r="C78" s="29">
        <v>0</v>
      </c>
      <c r="D78" s="157">
        <f>VLOOKUP(A78, 'Purchase Register'!C:D, 2, FALSE)</f>
        <v>10</v>
      </c>
      <c r="E78" s="29">
        <f>SUMIF('Sales Register'!C:C, A78, 'Sales Register'!D:D)</f>
        <v>8</v>
      </c>
      <c r="F78" s="29">
        <f t="shared" si="3"/>
        <v>2</v>
      </c>
      <c r="G78" s="29"/>
      <c r="H78" s="157">
        <f t="shared" si="4"/>
        <v>2</v>
      </c>
      <c r="I78" s="29" t="str">
        <f t="shared" si="5"/>
        <v>Minor Issue</v>
      </c>
    </row>
    <row r="79" spans="1:9" ht="28.9" customHeight="1" x14ac:dyDescent="0.25">
      <c r="A79" s="33" t="s">
        <v>109</v>
      </c>
      <c r="B79" s="28" t="s">
        <v>189</v>
      </c>
      <c r="C79" s="29">
        <v>0</v>
      </c>
      <c r="D79" s="157">
        <f>VLOOKUP(A79, 'Purchase Register'!C:D, 2, FALSE)</f>
        <v>10</v>
      </c>
      <c r="E79" s="29">
        <f>SUMIF('Sales Register'!C:C, A79, 'Sales Register'!D:D)</f>
        <v>6</v>
      </c>
      <c r="F79" s="29">
        <f t="shared" si="3"/>
        <v>4</v>
      </c>
      <c r="G79" s="29"/>
      <c r="H79" s="157">
        <f t="shared" si="4"/>
        <v>4</v>
      </c>
      <c r="I79" s="29" t="str">
        <f t="shared" si="5"/>
        <v>SERIOUS LOSS</v>
      </c>
    </row>
    <row r="80" spans="1:9" ht="28.9" customHeight="1" x14ac:dyDescent="0.25">
      <c r="A80" s="33" t="s">
        <v>426</v>
      </c>
      <c r="B80" s="28" t="s">
        <v>190</v>
      </c>
      <c r="C80" s="29">
        <v>0</v>
      </c>
      <c r="D80" s="157" t="e">
        <f>VLOOKUP(A80, 'Purchase Register'!C:D, 2, FALSE)</f>
        <v>#N/A</v>
      </c>
      <c r="E80" s="29">
        <f>SUMIF('Sales Register'!C:C, A80, 'Sales Register'!D:D)</f>
        <v>16</v>
      </c>
      <c r="F80" s="29" t="e">
        <f t="shared" si="3"/>
        <v>#N/A</v>
      </c>
      <c r="G80" s="29"/>
      <c r="H80" s="157" t="e">
        <f t="shared" si="4"/>
        <v>#N/A</v>
      </c>
      <c r="I80" s="29" t="e">
        <f t="shared" si="5"/>
        <v>#N/A</v>
      </c>
    </row>
    <row r="81" spans="1:9" ht="28.9" customHeight="1" x14ac:dyDescent="0.25">
      <c r="A81" s="33" t="s">
        <v>88</v>
      </c>
      <c r="B81" s="28" t="s">
        <v>191</v>
      </c>
      <c r="C81" s="29">
        <v>0</v>
      </c>
      <c r="D81" s="157">
        <f>VLOOKUP(A81, 'Purchase Register'!C:D, 2, FALSE)</f>
        <v>4</v>
      </c>
      <c r="E81" s="29">
        <f>SUMIF('Sales Register'!C:C, A81, 'Sales Register'!D:D)</f>
        <v>3</v>
      </c>
      <c r="F81" s="29">
        <f t="shared" si="3"/>
        <v>1</v>
      </c>
      <c r="G81" s="29"/>
      <c r="H81" s="157">
        <f t="shared" si="4"/>
        <v>1</v>
      </c>
      <c r="I81" s="29" t="str">
        <f t="shared" si="5"/>
        <v>Minor Issue</v>
      </c>
    </row>
    <row r="82" spans="1:9" ht="28.9" customHeight="1" x14ac:dyDescent="0.25">
      <c r="A82" s="116" t="s">
        <v>87</v>
      </c>
      <c r="B82" s="28" t="s">
        <v>191</v>
      </c>
      <c r="C82" s="29">
        <v>4</v>
      </c>
      <c r="D82" s="157">
        <f>VLOOKUP(A82, 'Purchase Register'!C:D, 2, FALSE)</f>
        <v>4</v>
      </c>
      <c r="E82" s="29">
        <f>SUMIF('Sales Register'!C:C, A82, 'Sales Register'!D:D)</f>
        <v>7</v>
      </c>
      <c r="F82" s="29">
        <f t="shared" si="3"/>
        <v>1</v>
      </c>
      <c r="G82" s="29"/>
      <c r="H82" s="157">
        <f t="shared" si="4"/>
        <v>1</v>
      </c>
      <c r="I82" s="29" t="str">
        <f t="shared" si="5"/>
        <v>Minor Issue</v>
      </c>
    </row>
    <row r="83" spans="1:9" ht="28.9" customHeight="1" x14ac:dyDescent="0.25">
      <c r="A83" s="33" t="s">
        <v>192</v>
      </c>
      <c r="B83" s="28" t="s">
        <v>193</v>
      </c>
      <c r="C83" s="29">
        <v>0</v>
      </c>
      <c r="D83" s="157" t="e">
        <f>VLOOKUP(A83, 'Purchase Register'!C:D, 2, FALSE)</f>
        <v>#N/A</v>
      </c>
      <c r="E83" s="29">
        <f>SUMIF('Sales Register'!C:C, A83, 'Sales Register'!D:D)</f>
        <v>31</v>
      </c>
      <c r="F83" s="29" t="e">
        <f t="shared" si="3"/>
        <v>#N/A</v>
      </c>
      <c r="G83" s="29"/>
      <c r="H83" s="157" t="e">
        <f t="shared" si="4"/>
        <v>#N/A</v>
      </c>
      <c r="I83" s="29" t="e">
        <f t="shared" si="5"/>
        <v>#N/A</v>
      </c>
    </row>
    <row r="84" spans="1:9" ht="28.9" customHeight="1" x14ac:dyDescent="0.25">
      <c r="A84" s="33" t="s">
        <v>57</v>
      </c>
      <c r="B84" s="28" t="s">
        <v>193</v>
      </c>
      <c r="C84" s="29">
        <v>0</v>
      </c>
      <c r="D84" s="157">
        <f>VLOOKUP(A84, 'Purchase Register'!C:D, 2, FALSE)</f>
        <v>170</v>
      </c>
      <c r="E84" s="29">
        <f>SUMIF('Sales Register'!C:C, A84, 'Sales Register'!D:D)</f>
        <v>74</v>
      </c>
      <c r="F84" s="29">
        <f t="shared" si="3"/>
        <v>96</v>
      </c>
      <c r="G84" s="29"/>
      <c r="H84" s="157">
        <f t="shared" si="4"/>
        <v>96</v>
      </c>
      <c r="I84" s="29" t="str">
        <f t="shared" si="5"/>
        <v>SERIOUS LOSS</v>
      </c>
    </row>
    <row r="85" spans="1:9" ht="28.9" customHeight="1" x14ac:dyDescent="0.25">
      <c r="A85" s="33" t="s">
        <v>84</v>
      </c>
      <c r="B85" s="28" t="s">
        <v>194</v>
      </c>
      <c r="C85" s="29">
        <v>0</v>
      </c>
      <c r="D85" s="157">
        <f>VLOOKUP(A85, 'Purchase Register'!C:D, 2, FALSE)</f>
        <v>4</v>
      </c>
      <c r="E85" s="29">
        <f>SUMIF('Sales Register'!C:C, A85, 'Sales Register'!D:D)</f>
        <v>1</v>
      </c>
      <c r="F85" s="29">
        <f t="shared" si="3"/>
        <v>3</v>
      </c>
      <c r="G85" s="29"/>
      <c r="H85" s="157">
        <f t="shared" si="4"/>
        <v>3</v>
      </c>
      <c r="I85" s="29" t="str">
        <f t="shared" si="5"/>
        <v>SERIOUS LOSS</v>
      </c>
    </row>
    <row r="86" spans="1:9" x14ac:dyDescent="0.25">
      <c r="A86" s="33" t="s">
        <v>115</v>
      </c>
      <c r="B86" s="28" t="s">
        <v>173</v>
      </c>
      <c r="C86" s="29">
        <v>0</v>
      </c>
      <c r="D86" s="157">
        <f>VLOOKUP(A86, 'Purchase Register'!C:D, 2, FALSE)</f>
        <v>10</v>
      </c>
      <c r="E86" s="29">
        <f>SUMIF('Sales Register'!C:C, A86, 'Sales Register'!D:D)</f>
        <v>2</v>
      </c>
      <c r="F86" s="29">
        <f t="shared" si="3"/>
        <v>8</v>
      </c>
      <c r="G86" s="29"/>
      <c r="H86" s="157">
        <f t="shared" si="4"/>
        <v>8</v>
      </c>
      <c r="I86" s="29" t="str">
        <f t="shared" si="5"/>
        <v>SERIOUS LOSS</v>
      </c>
    </row>
    <row r="87" spans="1:9" ht="30" x14ac:dyDescent="0.25">
      <c r="A87" s="33" t="s">
        <v>63</v>
      </c>
      <c r="B87" s="28" t="s">
        <v>179</v>
      </c>
      <c r="C87" s="29">
        <v>0</v>
      </c>
      <c r="D87" s="157">
        <f>VLOOKUP(A87, 'Purchase Register'!C:D, 2, FALSE)</f>
        <v>20</v>
      </c>
      <c r="E87" s="29">
        <f>SUMIF('Sales Register'!C:C, A87, 'Sales Register'!D:D)</f>
        <v>18</v>
      </c>
      <c r="F87" s="29">
        <f t="shared" si="3"/>
        <v>2</v>
      </c>
      <c r="G87" s="29"/>
      <c r="H87" s="157">
        <f t="shared" si="4"/>
        <v>2</v>
      </c>
      <c r="I87" s="29" t="str">
        <f t="shared" si="5"/>
        <v>Minor Issue</v>
      </c>
    </row>
    <row r="88" spans="1:9" s="77" customFormat="1" ht="43.15" customHeight="1" x14ac:dyDescent="0.25">
      <c r="A88" s="70" t="s">
        <v>376</v>
      </c>
      <c r="B88" s="71" t="s">
        <v>179</v>
      </c>
      <c r="C88" s="72">
        <v>0</v>
      </c>
      <c r="D88" s="157" t="e">
        <f>VLOOKUP(A88, 'Purchase Register'!C:D, 2, FALSE)</f>
        <v>#N/A</v>
      </c>
      <c r="E88" s="72">
        <f>SUMIF('Sales Register'!C:C, A88, 'Sales Register'!D:D)</f>
        <v>35</v>
      </c>
      <c r="F88" s="72" t="e">
        <f t="shared" si="3"/>
        <v>#N/A</v>
      </c>
      <c r="G88" s="72"/>
      <c r="H88" s="72" t="e">
        <f t="shared" si="4"/>
        <v>#N/A</v>
      </c>
      <c r="I88" s="72" t="e">
        <f t="shared" si="5"/>
        <v>#N/A</v>
      </c>
    </row>
    <row r="89" spans="1:9" s="77" customFormat="1" ht="43.15" customHeight="1" x14ac:dyDescent="0.25">
      <c r="A89" s="70" t="str">
        <f>'Purchase Register'!C220</f>
        <v>PRABHUJI BHUJIYA LOT 1</v>
      </c>
      <c r="B89" s="71" t="s">
        <v>180</v>
      </c>
      <c r="C89" s="72">
        <v>0</v>
      </c>
      <c r="D89" s="157">
        <f>VLOOKUP(A89, 'Purchase Register'!C:D, 2, FALSE)</f>
        <v>24</v>
      </c>
      <c r="E89" s="72">
        <f>SUMIF('Sales Register'!C:C, A89, 'Sales Register'!D:D)</f>
        <v>30</v>
      </c>
      <c r="F89" s="72">
        <f t="shared" si="3"/>
        <v>-6</v>
      </c>
      <c r="G89" s="72"/>
      <c r="H89" s="72">
        <f t="shared" si="4"/>
        <v>-6</v>
      </c>
      <c r="I89" s="72" t="str">
        <f t="shared" si="5"/>
        <v>SERIOUS LOSS</v>
      </c>
    </row>
    <row r="90" spans="1:9" ht="28.9" customHeight="1" x14ac:dyDescent="0.25">
      <c r="A90" s="33" t="s">
        <v>128</v>
      </c>
      <c r="B90" s="28" t="s">
        <v>180</v>
      </c>
      <c r="C90" s="29">
        <v>0</v>
      </c>
      <c r="D90" s="157">
        <f>VLOOKUP(A90, 'Purchase Register'!C:D, 2, FALSE)</f>
        <v>2</v>
      </c>
      <c r="E90" s="29">
        <f>SUMIF('Sales Register'!C:C, A90, 'Sales Register'!D:D)</f>
        <v>1</v>
      </c>
      <c r="F90" s="29">
        <f t="shared" si="3"/>
        <v>1</v>
      </c>
      <c r="G90" s="29"/>
      <c r="H90" s="157">
        <f t="shared" si="4"/>
        <v>1</v>
      </c>
      <c r="I90" s="29" t="str">
        <f t="shared" si="5"/>
        <v>Minor Issue</v>
      </c>
    </row>
    <row r="91" spans="1:9" s="77" customFormat="1" ht="28.9" customHeight="1" x14ac:dyDescent="0.25">
      <c r="A91" s="70" t="str">
        <f>'Purchase Register'!C209</f>
        <v>BISK FARM RUSKIT LOT 1</v>
      </c>
      <c r="B91" s="71" t="s">
        <v>387</v>
      </c>
      <c r="C91" s="72">
        <v>0</v>
      </c>
      <c r="D91" s="157">
        <f>VLOOKUP(A91, 'Purchase Register'!C:D, 2, FALSE)</f>
        <v>2</v>
      </c>
      <c r="E91" s="72">
        <f>SUMIF('Sales Register'!C:C, A91, 'Sales Register'!D:D)</f>
        <v>2</v>
      </c>
      <c r="F91" s="72">
        <f t="shared" si="3"/>
        <v>0</v>
      </c>
      <c r="G91" s="72"/>
      <c r="H91" s="72">
        <f t="shared" si="4"/>
        <v>0</v>
      </c>
      <c r="I91" s="72" t="str">
        <f t="shared" si="5"/>
        <v>OK</v>
      </c>
    </row>
    <row r="92" spans="1:9" ht="28.9" customHeight="1" x14ac:dyDescent="0.25">
      <c r="A92" s="33" t="s">
        <v>116</v>
      </c>
      <c r="B92" s="28" t="s">
        <v>173</v>
      </c>
      <c r="C92" s="29">
        <v>0</v>
      </c>
      <c r="D92" s="157">
        <f>VLOOKUP(A92, 'Purchase Register'!C:D, 2, FALSE)</f>
        <v>4</v>
      </c>
      <c r="E92" s="29">
        <f>SUMIF('Sales Register'!C:C, A92, 'Sales Register'!D:D)</f>
        <v>0</v>
      </c>
      <c r="F92" s="29">
        <f t="shared" si="3"/>
        <v>4</v>
      </c>
      <c r="G92" s="29"/>
      <c r="H92" s="157">
        <f t="shared" si="4"/>
        <v>4</v>
      </c>
      <c r="I92" s="29" t="str">
        <f t="shared" si="5"/>
        <v>SERIOUS LOSS</v>
      </c>
    </row>
    <row r="93" spans="1:9" ht="30" x14ac:dyDescent="0.25">
      <c r="A93" s="33" t="str">
        <f>'Purchase Register'!C192</f>
        <v>LAYS SPANISH TOMATO TANGO LOT 1</v>
      </c>
      <c r="B93" s="28"/>
      <c r="C93" s="29">
        <v>0</v>
      </c>
      <c r="D93" s="157">
        <f>VLOOKUP(A93, 'Purchase Register'!C:D, 2, FALSE)</f>
        <v>12</v>
      </c>
      <c r="E93" s="29">
        <f>SUMIF('Sales Register'!C:C, A93, 'Sales Register'!D:D)</f>
        <v>4</v>
      </c>
      <c r="F93" s="29">
        <f t="shared" si="3"/>
        <v>8</v>
      </c>
      <c r="G93" s="29"/>
      <c r="H93" s="157">
        <f t="shared" si="4"/>
        <v>8</v>
      </c>
      <c r="I93" s="29" t="str">
        <f t="shared" si="5"/>
        <v>SERIOUS LOSS</v>
      </c>
    </row>
    <row r="94" spans="1:9" x14ac:dyDescent="0.25">
      <c r="A94" s="33" t="s">
        <v>401</v>
      </c>
      <c r="B94" s="28"/>
      <c r="C94" s="29">
        <v>0</v>
      </c>
      <c r="D94" s="157">
        <f>VLOOKUP(A94, 'Purchase Register'!C:D, 2, FALSE)</f>
        <v>5</v>
      </c>
      <c r="E94" s="29">
        <f>SUMIF('Sales Register'!C:C, A94, 'Sales Register'!D:D)</f>
        <v>3</v>
      </c>
      <c r="F94" s="29">
        <f t="shared" si="3"/>
        <v>2</v>
      </c>
      <c r="G94" s="29"/>
      <c r="H94" s="157">
        <f t="shared" si="4"/>
        <v>2</v>
      </c>
      <c r="I94" s="29" t="str">
        <f t="shared" si="5"/>
        <v>Minor Issue</v>
      </c>
    </row>
    <row r="95" spans="1:9" ht="28.9" customHeight="1" x14ac:dyDescent="0.25">
      <c r="A95" s="33" t="s">
        <v>375</v>
      </c>
      <c r="B95" s="28" t="s">
        <v>195</v>
      </c>
      <c r="C95" s="29">
        <v>0</v>
      </c>
      <c r="D95" s="157">
        <f>VLOOKUP(A95, 'Purchase Register'!C:D, 2, FALSE)</f>
        <v>240</v>
      </c>
      <c r="E95" s="29">
        <f>SUMIF('Sales Register'!C:C, A95, 'Sales Register'!D:D)</f>
        <v>253</v>
      </c>
      <c r="F95" s="29">
        <f t="shared" si="3"/>
        <v>-13</v>
      </c>
      <c r="G95" s="29"/>
      <c r="H95" s="157">
        <f t="shared" si="4"/>
        <v>-13</v>
      </c>
      <c r="I95" s="29" t="str">
        <f t="shared" si="5"/>
        <v>SERIOUS LOSS</v>
      </c>
    </row>
    <row r="96" spans="1:9" ht="30" x14ac:dyDescent="0.25">
      <c r="A96" s="33" t="str">
        <f>'Purchase Register'!C205</f>
        <v>UNCLE CHIPS REGULAR PLAIN SALTED LOT 1</v>
      </c>
      <c r="B96" s="28" t="s">
        <v>439</v>
      </c>
      <c r="C96" s="29">
        <v>0</v>
      </c>
      <c r="D96" s="157">
        <f>VLOOKUP(A96, 'Purchase Register'!C:D, 2, FALSE)</f>
        <v>12</v>
      </c>
      <c r="E96" s="29">
        <f>SUMIF('Sales Register'!C:C, A96, 'Sales Register'!D:D)</f>
        <v>8</v>
      </c>
      <c r="F96" s="29">
        <f t="shared" si="3"/>
        <v>4</v>
      </c>
      <c r="G96" s="29"/>
      <c r="H96" s="157">
        <f t="shared" si="4"/>
        <v>4</v>
      </c>
      <c r="I96" s="29" t="str">
        <f t="shared" si="5"/>
        <v>SERIOUS LOSS</v>
      </c>
    </row>
    <row r="97" spans="1:9" ht="28.9" customHeight="1" x14ac:dyDescent="0.25">
      <c r="A97" s="33" t="s">
        <v>404</v>
      </c>
      <c r="B97" s="28" t="s">
        <v>483</v>
      </c>
      <c r="C97" s="29">
        <v>0</v>
      </c>
      <c r="D97" s="157">
        <f>VLOOKUP(A97, 'Purchase Register'!C:D, 2, FALSE)</f>
        <v>5</v>
      </c>
      <c r="E97" s="29">
        <f>SUMIF('Sales Register'!C:C, A97, 'Sales Register'!D:D)</f>
        <v>5</v>
      </c>
      <c r="F97" s="29">
        <f t="shared" si="3"/>
        <v>0</v>
      </c>
      <c r="G97" s="29"/>
      <c r="H97" s="157">
        <f t="shared" si="4"/>
        <v>0</v>
      </c>
      <c r="I97" s="29" t="str">
        <f t="shared" si="5"/>
        <v>OK</v>
      </c>
    </row>
    <row r="98" spans="1:9" ht="28.9" customHeight="1" x14ac:dyDescent="0.25">
      <c r="A98" s="33" t="s">
        <v>133</v>
      </c>
      <c r="B98" s="28" t="s">
        <v>187</v>
      </c>
      <c r="C98" s="29">
        <v>0</v>
      </c>
      <c r="D98" s="157">
        <f>VLOOKUP(A98, 'Purchase Register'!C:D, 2, FALSE)</f>
        <v>12</v>
      </c>
      <c r="E98" s="29">
        <f>SUMIF('Sales Register'!C:C, A98, 'Sales Register'!D:D)</f>
        <v>8</v>
      </c>
      <c r="F98" s="29">
        <f t="shared" si="3"/>
        <v>4</v>
      </c>
      <c r="G98" s="29"/>
      <c r="H98" s="157">
        <f t="shared" si="4"/>
        <v>4</v>
      </c>
      <c r="I98" s="29" t="str">
        <f t="shared" si="5"/>
        <v>SERIOUS LOSS</v>
      </c>
    </row>
    <row r="99" spans="1:9" ht="28.9" customHeight="1" x14ac:dyDescent="0.25">
      <c r="A99" s="33" t="str">
        <f>'Purchase Register'!C203</f>
        <v>SPRITE 2.2 ML LOT 1</v>
      </c>
      <c r="B99" s="28" t="s">
        <v>439</v>
      </c>
      <c r="C99" s="29">
        <v>0</v>
      </c>
      <c r="D99" s="157">
        <f>VLOOKUP(A99, 'Purchase Register'!C:D, 2, FALSE)</f>
        <v>4</v>
      </c>
      <c r="E99" s="29">
        <f>SUMIF('Sales Register'!C:C, A99, 'Sales Register'!D:D)</f>
        <v>4</v>
      </c>
      <c r="F99" s="29">
        <f t="shared" si="3"/>
        <v>0</v>
      </c>
      <c r="G99" s="29"/>
      <c r="H99" s="157">
        <f t="shared" si="4"/>
        <v>0</v>
      </c>
      <c r="I99" s="29" t="str">
        <f t="shared" si="5"/>
        <v>OK</v>
      </c>
    </row>
    <row r="100" spans="1:9" ht="28.9" customHeight="1" x14ac:dyDescent="0.25">
      <c r="A100" s="33" t="str">
        <f>'Purchase Register'!C206</f>
        <v>UNCLE CHIPS SPICY TREAT LOT 1</v>
      </c>
      <c r="B100" s="28" t="s">
        <v>439</v>
      </c>
      <c r="C100" s="29">
        <v>0</v>
      </c>
      <c r="D100" s="157">
        <f>VLOOKUP(A100, 'Purchase Register'!C:D, 2, FALSE)</f>
        <v>24</v>
      </c>
      <c r="E100" s="29">
        <f>SUMIF('Sales Register'!C:C, A100, 'Sales Register'!D:D)</f>
        <v>17</v>
      </c>
      <c r="F100" s="29">
        <f t="shared" si="3"/>
        <v>7</v>
      </c>
      <c r="G100" s="29"/>
      <c r="H100" s="157">
        <f t="shared" si="4"/>
        <v>7</v>
      </c>
      <c r="I100" s="29" t="str">
        <f t="shared" si="5"/>
        <v>SERIOUS LOSS</v>
      </c>
    </row>
    <row r="101" spans="1:9" ht="28.9" customHeight="1" x14ac:dyDescent="0.25">
      <c r="A101" s="33" t="str">
        <f>'Purchase Register'!C202</f>
        <v>SMALL PAPER PLATE LOT 1</v>
      </c>
      <c r="B101" s="28" t="s">
        <v>439</v>
      </c>
      <c r="C101" s="29">
        <v>0</v>
      </c>
      <c r="D101" s="157">
        <f>VLOOKUP(A101, 'Purchase Register'!C:D, 2, FALSE)</f>
        <v>5</v>
      </c>
      <c r="E101" s="29">
        <f>SUMIF('Sales Register'!C:C, A101, 'Sales Register'!D:D)</f>
        <v>2</v>
      </c>
      <c r="F101" s="29">
        <f t="shared" si="3"/>
        <v>3</v>
      </c>
      <c r="G101" s="29"/>
      <c r="H101" s="157">
        <f t="shared" si="4"/>
        <v>3</v>
      </c>
      <c r="I101" s="29" t="str">
        <f t="shared" si="5"/>
        <v>SERIOUS LOSS</v>
      </c>
    </row>
    <row r="102" spans="1:9" ht="28.9" customHeight="1" x14ac:dyDescent="0.25">
      <c r="A102" s="33" t="str">
        <f>'Purchase Register'!C201</f>
        <v>MODERN DALMOOT 250 GM LOT 1</v>
      </c>
      <c r="B102" s="28" t="s">
        <v>439</v>
      </c>
      <c r="C102" s="29">
        <v>0</v>
      </c>
      <c r="D102" s="157">
        <f>VLOOKUP(A102, 'Purchase Register'!C:D, 2, FALSE)</f>
        <v>4</v>
      </c>
      <c r="E102" s="29">
        <f>SUMIF('Sales Register'!C:C, A102, 'Sales Register'!D:D)</f>
        <v>2</v>
      </c>
      <c r="F102" s="29">
        <f t="shared" si="3"/>
        <v>2</v>
      </c>
      <c r="G102" s="29"/>
      <c r="H102" s="157">
        <f t="shared" si="4"/>
        <v>2</v>
      </c>
      <c r="I102" s="29" t="str">
        <f t="shared" si="5"/>
        <v>Minor Issue</v>
      </c>
    </row>
    <row r="103" spans="1:9" ht="28.9" customHeight="1" x14ac:dyDescent="0.25">
      <c r="A103" s="33" t="str">
        <f>'Purchase Register'!C204</f>
        <v>TISSUE LOT 1</v>
      </c>
      <c r="B103" s="28" t="s">
        <v>439</v>
      </c>
      <c r="C103" s="29">
        <v>0</v>
      </c>
      <c r="D103" s="157">
        <f>VLOOKUP(A103, 'Purchase Register'!C:D, 2, FALSE)</f>
        <v>5</v>
      </c>
      <c r="E103" s="29">
        <f>SUMIF('Sales Register'!C:C, A103, 'Sales Register'!D:D)</f>
        <v>2</v>
      </c>
      <c r="F103" s="29">
        <f t="shared" si="3"/>
        <v>3</v>
      </c>
      <c r="G103" s="29"/>
      <c r="H103" s="157">
        <f t="shared" si="4"/>
        <v>3</v>
      </c>
      <c r="I103" s="29" t="str">
        <f t="shared" si="5"/>
        <v>SERIOUS LOSS</v>
      </c>
    </row>
    <row r="104" spans="1:9" s="77" customFormat="1" ht="28.9" customHeight="1" x14ac:dyDescent="0.25">
      <c r="A104" s="70" t="s">
        <v>11</v>
      </c>
      <c r="B104" s="71" t="s">
        <v>184</v>
      </c>
      <c r="C104" s="72">
        <v>0</v>
      </c>
      <c r="D104" s="157">
        <f>VLOOKUP(A104, 'Purchase Register'!C:D, 2, FALSE)</f>
        <v>2</v>
      </c>
      <c r="E104" s="72">
        <f>SUMIF('Sales Register'!C:C, A104, 'Sales Register'!D:D)</f>
        <v>5</v>
      </c>
      <c r="F104" s="72">
        <f t="shared" si="3"/>
        <v>-3</v>
      </c>
      <c r="G104" s="72"/>
      <c r="H104" s="72">
        <f t="shared" si="4"/>
        <v>-3</v>
      </c>
      <c r="I104" s="72" t="str">
        <f t="shared" si="5"/>
        <v>SERIOUS LOSS</v>
      </c>
    </row>
    <row r="105" spans="1:9" ht="28.9" customHeight="1" x14ac:dyDescent="0.25">
      <c r="A105" s="33" t="s">
        <v>58</v>
      </c>
      <c r="B105" s="28" t="s">
        <v>184</v>
      </c>
      <c r="C105" s="29">
        <v>0</v>
      </c>
      <c r="D105" s="157">
        <f>VLOOKUP(A105, 'Purchase Register'!C:D, 2, FALSE)</f>
        <v>2</v>
      </c>
      <c r="E105" s="29">
        <f>SUMIF('Sales Register'!C:C, A105, 'Sales Register'!D:D)</f>
        <v>1</v>
      </c>
      <c r="F105" s="29">
        <f t="shared" si="3"/>
        <v>1</v>
      </c>
      <c r="G105" s="29"/>
      <c r="H105" s="157">
        <f t="shared" si="4"/>
        <v>1</v>
      </c>
      <c r="I105" s="29" t="str">
        <f t="shared" si="5"/>
        <v>Minor Issue</v>
      </c>
    </row>
    <row r="106" spans="1:9" ht="28.9" customHeight="1" x14ac:dyDescent="0.25">
      <c r="A106" s="33" t="s">
        <v>107</v>
      </c>
      <c r="B106" s="28" t="s">
        <v>197</v>
      </c>
      <c r="C106" s="29">
        <v>0</v>
      </c>
      <c r="D106" s="157">
        <f>VLOOKUP(A106, 'Purchase Register'!C:D, 2, FALSE)</f>
        <v>4</v>
      </c>
      <c r="E106" s="29">
        <f>SUMIF('Sales Register'!C:C, A106, 'Sales Register'!D:D)</f>
        <v>3</v>
      </c>
      <c r="F106" s="29">
        <f t="shared" si="3"/>
        <v>1</v>
      </c>
      <c r="G106" s="29"/>
      <c r="H106" s="157">
        <f t="shared" si="4"/>
        <v>1</v>
      </c>
      <c r="I106" s="29" t="str">
        <f t="shared" si="5"/>
        <v>Minor Issue</v>
      </c>
    </row>
    <row r="107" spans="1:9" s="77" customFormat="1" ht="28.9" customHeight="1" x14ac:dyDescent="0.25">
      <c r="A107" s="70" t="s">
        <v>326</v>
      </c>
      <c r="B107" s="71" t="s">
        <v>198</v>
      </c>
      <c r="C107" s="72">
        <v>0</v>
      </c>
      <c r="D107" s="157">
        <f>VLOOKUP(A107, 'Purchase Register'!C:D, 2, FALSE)</f>
        <v>52</v>
      </c>
      <c r="E107" s="72">
        <f>SUMIF('Sales Register'!C:C, A107, 'Sales Register'!D:D)</f>
        <v>52</v>
      </c>
      <c r="F107" s="72">
        <f t="shared" si="3"/>
        <v>0</v>
      </c>
      <c r="G107" s="72"/>
      <c r="H107" s="72">
        <f t="shared" si="4"/>
        <v>0</v>
      </c>
      <c r="I107" s="72" t="str">
        <f t="shared" si="5"/>
        <v>OK</v>
      </c>
    </row>
    <row r="108" spans="1:9" s="77" customFormat="1" ht="28.9" customHeight="1" x14ac:dyDescent="0.25">
      <c r="A108" s="70" t="s">
        <v>159</v>
      </c>
      <c r="B108" s="71" t="s">
        <v>226</v>
      </c>
      <c r="C108" s="72">
        <v>0</v>
      </c>
      <c r="D108" s="157">
        <f>VLOOKUP(A108, 'Purchase Register'!C:D, 2, FALSE)</f>
        <v>5</v>
      </c>
      <c r="E108" s="72">
        <f>SUMIF('Sales Register'!C:C, A108, 'Sales Register'!D:D)</f>
        <v>4.8940000000000001</v>
      </c>
      <c r="F108" s="72">
        <f t="shared" si="3"/>
        <v>0.10599999999999987</v>
      </c>
      <c r="G108" s="72"/>
      <c r="H108" s="72">
        <f t="shared" si="4"/>
        <v>0.10599999999999987</v>
      </c>
      <c r="I108" s="72" t="str">
        <f t="shared" si="5"/>
        <v>Minor Issue</v>
      </c>
    </row>
    <row r="109" spans="1:9" ht="28.9" customHeight="1" x14ac:dyDescent="0.25">
      <c r="A109" s="33" t="s">
        <v>28</v>
      </c>
      <c r="B109" s="28" t="s">
        <v>198</v>
      </c>
      <c r="C109" s="29">
        <v>0</v>
      </c>
      <c r="D109" s="157">
        <f>VLOOKUP(A109, 'Purchase Register'!C:D, 2, FALSE)</f>
        <v>2</v>
      </c>
      <c r="E109" s="29">
        <f>SUMIF('Sales Register'!C:C, A109, 'Sales Register'!D:D)</f>
        <v>1.75</v>
      </c>
      <c r="F109" s="29">
        <f t="shared" si="3"/>
        <v>0.25</v>
      </c>
      <c r="G109" s="29"/>
      <c r="H109" s="157">
        <f t="shared" si="4"/>
        <v>0.25</v>
      </c>
      <c r="I109" s="29" t="str">
        <f t="shared" si="5"/>
        <v>Minor Issue</v>
      </c>
    </row>
    <row r="110" spans="1:9" s="77" customFormat="1" ht="28.9" customHeight="1" x14ac:dyDescent="0.25">
      <c r="A110" s="70" t="s">
        <v>30</v>
      </c>
      <c r="B110" s="71" t="s">
        <v>226</v>
      </c>
      <c r="C110" s="72">
        <v>0</v>
      </c>
      <c r="D110" s="157">
        <f>VLOOKUP(A110, 'Purchase Register'!C:D, 2, FALSE)</f>
        <v>1</v>
      </c>
      <c r="E110" s="72">
        <f>SUMIF('Sales Register'!C:C, A110, 'Sales Register'!D:D)</f>
        <v>2.802</v>
      </c>
      <c r="F110" s="72">
        <f t="shared" si="3"/>
        <v>-1.802</v>
      </c>
      <c r="G110" s="72"/>
      <c r="H110" s="72">
        <f t="shared" si="4"/>
        <v>-1.802</v>
      </c>
      <c r="I110" s="72" t="str">
        <f t="shared" si="5"/>
        <v>Minor Issue</v>
      </c>
    </row>
    <row r="111" spans="1:9" s="77" customFormat="1" ht="28.9" customHeight="1" x14ac:dyDescent="0.25">
      <c r="A111" s="70" t="s">
        <v>400</v>
      </c>
      <c r="B111" s="71" t="s">
        <v>484</v>
      </c>
      <c r="C111" s="72">
        <v>0</v>
      </c>
      <c r="D111" s="157">
        <f>VLOOKUP(A111, 'Purchase Register'!C:D, 2, FALSE)</f>
        <v>2</v>
      </c>
      <c r="E111" s="72">
        <f>SUMIF('Sales Register'!C:C, A111, 'Sales Register'!D:D)</f>
        <v>4.29</v>
      </c>
      <c r="F111" s="72">
        <f t="shared" si="3"/>
        <v>-2.29</v>
      </c>
      <c r="G111" s="72"/>
      <c r="H111" s="72">
        <f t="shared" si="4"/>
        <v>-2.29</v>
      </c>
      <c r="I111" s="72" t="str">
        <f t="shared" si="5"/>
        <v>SERIOUS LOSS</v>
      </c>
    </row>
    <row r="112" spans="1:9" s="77" customFormat="1" ht="28.9" customHeight="1" x14ac:dyDescent="0.25">
      <c r="A112" s="70" t="s">
        <v>143</v>
      </c>
      <c r="B112" s="71" t="s">
        <v>204</v>
      </c>
      <c r="C112" s="72">
        <v>0</v>
      </c>
      <c r="D112" s="157">
        <f>VLOOKUP(A112, 'Purchase Register'!C:D, 2, FALSE)</f>
        <v>0.5</v>
      </c>
      <c r="E112" s="72">
        <f>SUMIF('Sales Register'!C:C, A112, 'Sales Register'!D:D)</f>
        <v>0.49999999999999994</v>
      </c>
      <c r="F112" s="72">
        <f t="shared" si="3"/>
        <v>0</v>
      </c>
      <c r="G112" s="72"/>
      <c r="H112" s="72">
        <f t="shared" si="4"/>
        <v>0</v>
      </c>
      <c r="I112" s="72" t="str">
        <f t="shared" si="5"/>
        <v>OK</v>
      </c>
    </row>
    <row r="113" spans="1:9" ht="28.9" customHeight="1" x14ac:dyDescent="0.25">
      <c r="A113" s="33" t="s">
        <v>31</v>
      </c>
      <c r="B113" s="28" t="s">
        <v>226</v>
      </c>
      <c r="C113" s="29">
        <v>0</v>
      </c>
      <c r="D113" s="157">
        <f>VLOOKUP(A113, 'Purchase Register'!C:D, 2, FALSE)</f>
        <v>1</v>
      </c>
      <c r="E113" s="29">
        <f>SUMIF('Sales Register'!C:C, A113, 'Sales Register'!D:D)</f>
        <v>0.7</v>
      </c>
      <c r="F113" s="29">
        <f t="shared" si="3"/>
        <v>0.30000000000000004</v>
      </c>
      <c r="G113" s="29"/>
      <c r="H113" s="157">
        <f t="shared" si="4"/>
        <v>0.30000000000000004</v>
      </c>
      <c r="I113" s="29" t="str">
        <f t="shared" si="5"/>
        <v>Minor Issue</v>
      </c>
    </row>
    <row r="114" spans="1:9" ht="28.9" customHeight="1" x14ac:dyDescent="0.25">
      <c r="A114" s="33" t="s">
        <v>29</v>
      </c>
      <c r="B114" s="28" t="s">
        <v>228</v>
      </c>
      <c r="C114" s="29">
        <v>0</v>
      </c>
      <c r="D114" s="157">
        <f>VLOOKUP(A114, 'Purchase Register'!C:D, 2, FALSE)</f>
        <v>0.25</v>
      </c>
      <c r="E114" s="29">
        <f>SUMIF('Sales Register'!C:C, A114, 'Sales Register'!D:D)</f>
        <v>0.57499999999999996</v>
      </c>
      <c r="F114" s="29">
        <f t="shared" si="3"/>
        <v>-0.32499999999999996</v>
      </c>
      <c r="G114" s="29"/>
      <c r="H114" s="157">
        <f t="shared" si="4"/>
        <v>-0.32499999999999996</v>
      </c>
      <c r="I114" s="29" t="str">
        <f t="shared" si="5"/>
        <v>Minor Issue</v>
      </c>
    </row>
    <row r="115" spans="1:9" ht="28.9" customHeight="1" x14ac:dyDescent="0.25">
      <c r="A115" s="33" t="str">
        <f>'Purchase Register'!C228</f>
        <v>UJALA 10 INR BOTTLE LOT 2</v>
      </c>
      <c r="B115" s="28"/>
      <c r="C115" s="29">
        <v>0</v>
      </c>
      <c r="D115" s="157">
        <f>VLOOKUP(A115, 'Purchase Register'!C:D, 2, FALSE)</f>
        <v>12</v>
      </c>
      <c r="E115" s="29">
        <f>SUMIF('Sales Register'!C:C, A115, 'Sales Register'!D:D)</f>
        <v>0</v>
      </c>
      <c r="F115" s="29">
        <f t="shared" si="3"/>
        <v>12</v>
      </c>
      <c r="G115" s="29"/>
      <c r="H115" s="157">
        <f t="shared" si="4"/>
        <v>12</v>
      </c>
      <c r="I115" s="29" t="str">
        <f t="shared" si="5"/>
        <v>SERIOUS LOSS</v>
      </c>
    </row>
    <row r="116" spans="1:9" s="77" customFormat="1" ht="28.9" customHeight="1" x14ac:dyDescent="0.25">
      <c r="A116" s="70" t="s">
        <v>160</v>
      </c>
      <c r="B116" s="71" t="s">
        <v>226</v>
      </c>
      <c r="C116" s="72">
        <v>0</v>
      </c>
      <c r="D116" s="157">
        <f>VLOOKUP(A116, 'Purchase Register'!C:D, 2, FALSE)</f>
        <v>5</v>
      </c>
      <c r="E116" s="72">
        <f>SUMIF('Sales Register'!C:C, A116, 'Sales Register'!D:D)</f>
        <v>4.8860000000000001</v>
      </c>
      <c r="F116" s="72">
        <f t="shared" si="3"/>
        <v>0.11399999999999988</v>
      </c>
      <c r="G116" s="72"/>
      <c r="H116" s="72">
        <f t="shared" si="4"/>
        <v>0.11399999999999988</v>
      </c>
      <c r="I116" s="72" t="str">
        <f t="shared" si="5"/>
        <v>Minor Issue</v>
      </c>
    </row>
    <row r="117" spans="1:9" s="77" customFormat="1" ht="43.15" customHeight="1" x14ac:dyDescent="0.25">
      <c r="A117" s="70" t="s">
        <v>399</v>
      </c>
      <c r="B117" s="71" t="s">
        <v>485</v>
      </c>
      <c r="C117" s="72">
        <v>0</v>
      </c>
      <c r="D117" s="157">
        <f>VLOOKUP(A117, 'Purchase Register'!C:D, 2, FALSE)</f>
        <v>3</v>
      </c>
      <c r="E117" s="29">
        <f>SUMIF('Sales Register'!C:C, A117, 'Sales Register'!D:D)</f>
        <v>2.8529999999999998</v>
      </c>
      <c r="F117" s="72">
        <f t="shared" si="3"/>
        <v>0.14700000000000024</v>
      </c>
      <c r="G117" s="72"/>
      <c r="H117" s="72">
        <f t="shared" si="4"/>
        <v>0.14700000000000024</v>
      </c>
      <c r="I117" s="72" t="str">
        <f t="shared" si="5"/>
        <v>Minor Issue</v>
      </c>
    </row>
    <row r="118" spans="1:9" x14ac:dyDescent="0.25">
      <c r="A118" s="33" t="s">
        <v>158</v>
      </c>
      <c r="B118" s="28"/>
      <c r="C118" s="29">
        <v>0</v>
      </c>
      <c r="D118" s="157">
        <f>VLOOKUP(A118, 'Purchase Register'!C:D, 2, FALSE)</f>
        <v>0.5</v>
      </c>
      <c r="E118" s="29">
        <f>SUMIF('Sales Register'!C:C, A118, 'Sales Register'!D:D)</f>
        <v>0.49399999999999999</v>
      </c>
      <c r="F118" s="29">
        <f t="shared" si="3"/>
        <v>6.0000000000000053E-3</v>
      </c>
      <c r="G118" s="29"/>
      <c r="H118" s="157">
        <f t="shared" si="4"/>
        <v>6.0000000000000053E-3</v>
      </c>
      <c r="I118" s="29" t="str">
        <f t="shared" si="5"/>
        <v>Minor Issue</v>
      </c>
    </row>
    <row r="119" spans="1:9" s="77" customFormat="1" x14ac:dyDescent="0.25">
      <c r="A119" s="70" t="s">
        <v>157</v>
      </c>
      <c r="B119" s="71" t="s">
        <v>226</v>
      </c>
      <c r="C119" s="72">
        <v>0</v>
      </c>
      <c r="D119" s="157">
        <f>VLOOKUP(A119, 'Purchase Register'!C:D, 2, FALSE)</f>
        <v>5</v>
      </c>
      <c r="E119" s="72">
        <f>SUMIF('Sales Register'!C:C, A119, 'Sales Register'!D:D)</f>
        <v>4.1539999999999999</v>
      </c>
      <c r="F119" s="72">
        <f t="shared" si="3"/>
        <v>0.84600000000000009</v>
      </c>
      <c r="G119" s="72"/>
      <c r="H119" s="72">
        <f t="shared" si="4"/>
        <v>0.84600000000000009</v>
      </c>
      <c r="I119" s="72" t="str">
        <f t="shared" si="5"/>
        <v>Minor Issue</v>
      </c>
    </row>
    <row r="120" spans="1:9" s="77" customFormat="1" ht="28.9" customHeight="1" x14ac:dyDescent="0.25">
      <c r="A120" s="70" t="str">
        <f>'Purchase Register'!C227</f>
        <v>TOP BUTTER MUNCH LOT 1</v>
      </c>
      <c r="B120" s="71" t="s">
        <v>486</v>
      </c>
      <c r="C120" s="72">
        <v>0</v>
      </c>
      <c r="D120" s="157">
        <f>VLOOKUP(A120, 'Purchase Register'!C:D, 2, FALSE)</f>
        <v>2</v>
      </c>
      <c r="E120" s="29">
        <f>SUMIF('Sales Register'!C:C, A120, 'Sales Register'!D:D)</f>
        <v>2</v>
      </c>
      <c r="F120" s="72">
        <f t="shared" si="3"/>
        <v>0</v>
      </c>
      <c r="G120" s="72"/>
      <c r="H120" s="72">
        <f t="shared" si="4"/>
        <v>0</v>
      </c>
      <c r="I120" s="72" t="str">
        <f t="shared" si="5"/>
        <v>OK</v>
      </c>
    </row>
    <row r="121" spans="1:9" x14ac:dyDescent="0.25">
      <c r="A121" s="70" t="s">
        <v>374</v>
      </c>
      <c r="B121" s="71" t="s">
        <v>209</v>
      </c>
      <c r="C121" s="72">
        <v>0</v>
      </c>
      <c r="D121" s="157" t="e">
        <f>VLOOKUP(A121, 'Purchase Register'!C:D, 2, FALSE)</f>
        <v>#N/A</v>
      </c>
      <c r="E121" s="29">
        <f>SUMIF('Sales Register'!C:C, A121, 'Sales Register'!D:D)</f>
        <v>1</v>
      </c>
      <c r="F121" s="72" t="e">
        <f t="shared" si="3"/>
        <v>#N/A</v>
      </c>
      <c r="G121" s="72"/>
      <c r="H121" s="157" t="e">
        <f t="shared" si="4"/>
        <v>#N/A</v>
      </c>
      <c r="I121" s="29" t="e">
        <f t="shared" si="5"/>
        <v>#N/A</v>
      </c>
    </row>
    <row r="122" spans="1:9" x14ac:dyDescent="0.25">
      <c r="A122" s="33" t="s">
        <v>395</v>
      </c>
      <c r="B122" s="28" t="s">
        <v>204</v>
      </c>
      <c r="C122" s="29">
        <v>0</v>
      </c>
      <c r="D122" s="157" t="e">
        <f>VLOOKUP(A122, 'Purchase Register'!C:D, 2, FALSE)</f>
        <v>#N/A</v>
      </c>
      <c r="E122" s="29">
        <f>SUMIF('Sales Register'!C:C, A122, 'Sales Register'!D:D)</f>
        <v>23</v>
      </c>
      <c r="F122" s="29" t="e">
        <f t="shared" si="3"/>
        <v>#N/A</v>
      </c>
      <c r="G122" s="29"/>
      <c r="H122" s="157" t="e">
        <f t="shared" si="4"/>
        <v>#N/A</v>
      </c>
      <c r="I122" s="29" t="e">
        <f t="shared" si="5"/>
        <v>#N/A</v>
      </c>
    </row>
    <row r="123" spans="1:9" s="77" customFormat="1" x14ac:dyDescent="0.25">
      <c r="A123" s="70" t="s">
        <v>20</v>
      </c>
      <c r="B123" s="71" t="s">
        <v>184</v>
      </c>
      <c r="C123" s="72">
        <v>0</v>
      </c>
      <c r="D123" s="157">
        <f>VLOOKUP(A123, 'Purchase Register'!C:D, 2, FALSE)</f>
        <v>2</v>
      </c>
      <c r="E123" s="72">
        <f>SUMIF('Sales Register'!C:C, A123, 'Sales Register'!D:D)</f>
        <v>2</v>
      </c>
      <c r="F123" s="72">
        <f t="shared" si="3"/>
        <v>0</v>
      </c>
      <c r="G123" s="72"/>
      <c r="H123" s="72">
        <f t="shared" si="4"/>
        <v>0</v>
      </c>
      <c r="I123" s="72" t="str">
        <f t="shared" si="5"/>
        <v>OK</v>
      </c>
    </row>
    <row r="124" spans="1:9" x14ac:dyDescent="0.25">
      <c r="A124" s="33" t="s">
        <v>114</v>
      </c>
      <c r="B124" s="28" t="s">
        <v>173</v>
      </c>
      <c r="C124" s="29">
        <v>0</v>
      </c>
      <c r="D124" s="157">
        <f>VLOOKUP(A124, 'Purchase Register'!C:D, 2, FALSE)</f>
        <v>10</v>
      </c>
      <c r="E124" s="29">
        <f>SUMIF('Sales Register'!C:C, A124, 'Sales Register'!D:D)</f>
        <v>2</v>
      </c>
      <c r="F124" s="29">
        <f t="shared" si="3"/>
        <v>8</v>
      </c>
      <c r="G124" s="29"/>
      <c r="H124" s="157">
        <f t="shared" si="4"/>
        <v>8</v>
      </c>
      <c r="I124" s="29" t="str">
        <f t="shared" si="5"/>
        <v>SERIOUS LOSS</v>
      </c>
    </row>
    <row r="125" spans="1:9" ht="57.6" customHeight="1" x14ac:dyDescent="0.25">
      <c r="A125" s="116" t="s">
        <v>91</v>
      </c>
      <c r="B125" s="28" t="s">
        <v>197</v>
      </c>
      <c r="C125" s="29">
        <v>1</v>
      </c>
      <c r="D125" s="157">
        <f>VLOOKUP(A125, 'Purchase Register'!C:D, 2, FALSE)</f>
        <v>1</v>
      </c>
      <c r="E125" s="29">
        <f>SUMIF('Sales Register'!C:C, A125, 'Sales Register'!D:D)</f>
        <v>1</v>
      </c>
      <c r="F125" s="29">
        <f t="shared" si="3"/>
        <v>1</v>
      </c>
      <c r="G125" s="29"/>
      <c r="H125" s="157">
        <f t="shared" si="4"/>
        <v>1</v>
      </c>
      <c r="I125" s="29" t="str">
        <f t="shared" si="5"/>
        <v>Minor Issue</v>
      </c>
    </row>
    <row r="126" spans="1:9" x14ac:dyDescent="0.25">
      <c r="A126" s="33" t="s">
        <v>413</v>
      </c>
      <c r="B126" s="28" t="s">
        <v>487</v>
      </c>
      <c r="C126" s="29">
        <v>0</v>
      </c>
      <c r="D126" s="157">
        <f>VLOOKUP(A126, 'Purchase Register'!C:D, 2, FALSE)</f>
        <v>6</v>
      </c>
      <c r="E126" s="29">
        <f>SUMIF('Sales Register'!C:C, A126, 'Sales Register'!D:D)</f>
        <v>5</v>
      </c>
      <c r="F126" s="29">
        <f t="shared" si="3"/>
        <v>1</v>
      </c>
      <c r="G126" s="29"/>
      <c r="H126" s="157">
        <f t="shared" si="4"/>
        <v>1</v>
      </c>
      <c r="I126" s="29" t="str">
        <f t="shared" si="5"/>
        <v>Minor Issue</v>
      </c>
    </row>
    <row r="127" spans="1:9" x14ac:dyDescent="0.25">
      <c r="A127" s="33" t="s">
        <v>414</v>
      </c>
      <c r="B127" s="28" t="s">
        <v>487</v>
      </c>
      <c r="C127" s="29">
        <v>0</v>
      </c>
      <c r="D127" s="157">
        <f>VLOOKUP(A127, 'Purchase Register'!C:D, 2, FALSE)</f>
        <v>4</v>
      </c>
      <c r="E127" s="29">
        <f>SUMIF('Sales Register'!C:C, A127, 'Sales Register'!D:D)</f>
        <v>4</v>
      </c>
      <c r="F127" s="29">
        <f t="shared" si="3"/>
        <v>0</v>
      </c>
      <c r="G127" s="29"/>
      <c r="H127" s="157">
        <f t="shared" si="4"/>
        <v>0</v>
      </c>
      <c r="I127" s="29" t="str">
        <f t="shared" si="5"/>
        <v>OK</v>
      </c>
    </row>
    <row r="128" spans="1:9" s="77" customFormat="1" x14ac:dyDescent="0.25">
      <c r="A128" s="70" t="s">
        <v>360</v>
      </c>
      <c r="B128" s="71" t="s">
        <v>292</v>
      </c>
      <c r="C128" s="72">
        <v>0</v>
      </c>
      <c r="D128" s="157" t="e">
        <f>VLOOKUP(A128, 'Purchase Register'!C:D, 2, FALSE)</f>
        <v>#N/A</v>
      </c>
      <c r="E128" s="29">
        <f>SUMIF('Sales Register'!C:C, A128, 'Sales Register'!D:D)</f>
        <v>12</v>
      </c>
      <c r="F128" s="72" t="e">
        <f t="shared" si="3"/>
        <v>#N/A</v>
      </c>
      <c r="G128" s="72"/>
      <c r="H128" s="157" t="e">
        <f t="shared" si="4"/>
        <v>#N/A</v>
      </c>
      <c r="I128" s="72" t="e">
        <f t="shared" si="5"/>
        <v>#N/A</v>
      </c>
    </row>
    <row r="129" spans="1:9" s="77" customFormat="1" x14ac:dyDescent="0.25">
      <c r="A129" s="70" t="str">
        <f>'Purchase Register'!C195</f>
        <v>LOOSE MURI LOT 1</v>
      </c>
      <c r="B129" s="71" t="s">
        <v>292</v>
      </c>
      <c r="C129" s="72">
        <v>0</v>
      </c>
      <c r="D129" s="157">
        <f>VLOOKUP(A129, 'Purchase Register'!C:D, 2, FALSE)</f>
        <v>3</v>
      </c>
      <c r="E129" s="29">
        <f>SUMIF('Sales Register'!C:C, A129, 'Sales Register'!D:D)</f>
        <v>2.8529999999999998</v>
      </c>
      <c r="F129" s="72">
        <f t="shared" si="3"/>
        <v>0.14700000000000024</v>
      </c>
      <c r="G129" s="72"/>
      <c r="H129" s="72">
        <f t="shared" si="4"/>
        <v>0.14700000000000024</v>
      </c>
      <c r="I129" s="72" t="str">
        <f t="shared" si="5"/>
        <v>Minor Issue</v>
      </c>
    </row>
    <row r="130" spans="1:9" s="77" customFormat="1" x14ac:dyDescent="0.25">
      <c r="A130" s="70" t="s">
        <v>356</v>
      </c>
      <c r="B130" s="71" t="s">
        <v>292</v>
      </c>
      <c r="C130" s="72">
        <v>0</v>
      </c>
      <c r="D130" s="157" t="e">
        <f>VLOOKUP(A130, 'Purchase Register'!C:D, 2, FALSE)</f>
        <v>#N/A</v>
      </c>
      <c r="E130" s="29">
        <f>SUMIF('Sales Register'!C:C, A130, 'Sales Register'!D:D)</f>
        <v>4</v>
      </c>
      <c r="F130" s="72" t="e">
        <f t="shared" si="3"/>
        <v>#N/A</v>
      </c>
      <c r="G130" s="72"/>
      <c r="H130" s="72" t="e">
        <f t="shared" si="4"/>
        <v>#N/A</v>
      </c>
      <c r="I130" s="72" t="e">
        <f t="shared" si="5"/>
        <v>#N/A</v>
      </c>
    </row>
    <row r="131" spans="1:9" x14ac:dyDescent="0.25">
      <c r="A131" s="33" t="s">
        <v>110</v>
      </c>
      <c r="B131" s="28" t="s">
        <v>199</v>
      </c>
      <c r="C131" s="29">
        <v>0</v>
      </c>
      <c r="D131" s="157">
        <f>VLOOKUP(A131, 'Purchase Register'!C:D, 2, FALSE)</f>
        <v>60</v>
      </c>
      <c r="E131" s="29">
        <f>SUMIF('Sales Register'!C:C, A131, 'Sales Register'!D:D)</f>
        <v>27</v>
      </c>
      <c r="F131" s="29">
        <f t="shared" si="3"/>
        <v>33</v>
      </c>
      <c r="G131" s="29"/>
      <c r="H131" s="157">
        <f t="shared" si="4"/>
        <v>33</v>
      </c>
      <c r="I131" s="29" t="str">
        <f t="shared" si="5"/>
        <v>SERIOUS LOSS</v>
      </c>
    </row>
    <row r="132" spans="1:9" x14ac:dyDescent="0.25">
      <c r="A132" s="33" t="s">
        <v>38</v>
      </c>
      <c r="B132" s="28" t="s">
        <v>175</v>
      </c>
      <c r="C132" s="29">
        <v>0</v>
      </c>
      <c r="D132" s="157">
        <f>VLOOKUP(A132, 'Purchase Register'!C:D, 2, FALSE)</f>
        <v>4</v>
      </c>
      <c r="E132" s="29">
        <f>SUMIF('Sales Register'!C:C, A132, 'Sales Register'!D:D)</f>
        <v>4</v>
      </c>
      <c r="F132" s="29">
        <f t="shared" si="3"/>
        <v>0</v>
      </c>
      <c r="G132" s="29"/>
      <c r="H132" s="157">
        <f t="shared" si="4"/>
        <v>0</v>
      </c>
      <c r="I132" s="29" t="str">
        <f t="shared" si="5"/>
        <v>OK</v>
      </c>
    </row>
    <row r="133" spans="1:9" x14ac:dyDescent="0.25">
      <c r="A133" s="116" t="s">
        <v>27</v>
      </c>
      <c r="B133" s="28" t="s">
        <v>200</v>
      </c>
      <c r="C133" s="29">
        <v>2</v>
      </c>
      <c r="D133" s="157">
        <f>VLOOKUP(A133, 'Purchase Register'!C:D, 2, FALSE)</f>
        <v>2</v>
      </c>
      <c r="E133" s="29">
        <f>SUMIF('Sales Register'!C:C, A133, 'Sales Register'!D:D)</f>
        <v>5</v>
      </c>
      <c r="F133" s="29">
        <f t="shared" si="3"/>
        <v>-1</v>
      </c>
      <c r="G133" s="29"/>
      <c r="H133" s="157">
        <f t="shared" si="4"/>
        <v>-1</v>
      </c>
      <c r="I133" s="29" t="str">
        <f t="shared" si="5"/>
        <v>Minor Issue</v>
      </c>
    </row>
    <row r="134" spans="1:9" s="77" customFormat="1" x14ac:dyDescent="0.25">
      <c r="A134" s="70" t="s">
        <v>149</v>
      </c>
      <c r="B134" s="71" t="s">
        <v>200</v>
      </c>
      <c r="C134" s="72">
        <v>0</v>
      </c>
      <c r="D134" s="157">
        <f>VLOOKUP(A134, 'Purchase Register'!C:D, 2, FALSE)</f>
        <v>1</v>
      </c>
      <c r="E134" s="72">
        <f>SUMIF('Sales Register'!C:C, A134, 'Sales Register'!D:D)</f>
        <v>2</v>
      </c>
      <c r="F134" s="72">
        <f t="shared" si="3"/>
        <v>-1</v>
      </c>
      <c r="G134" s="72"/>
      <c r="H134" s="72">
        <f t="shared" si="4"/>
        <v>-1</v>
      </c>
      <c r="I134" s="72" t="str">
        <f t="shared" si="5"/>
        <v>Minor Issue</v>
      </c>
    </row>
    <row r="135" spans="1:9" s="77" customFormat="1" x14ac:dyDescent="0.25">
      <c r="A135" s="70" t="str">
        <f>'Purchase Register'!C194</f>
        <v>LOOSE CHIWDA HARD LOT 1</v>
      </c>
      <c r="B135" s="71" t="s">
        <v>488</v>
      </c>
      <c r="C135" s="72">
        <v>0</v>
      </c>
      <c r="D135" s="157">
        <f>VLOOKUP(A135, 'Purchase Register'!C:D, 2, FALSE)</f>
        <v>2</v>
      </c>
      <c r="E135" s="72">
        <f>SUMIF('Sales Register'!C:C, A135, 'Sales Register'!D:D)</f>
        <v>4.29</v>
      </c>
      <c r="F135" s="72">
        <f t="shared" si="3"/>
        <v>-2.29</v>
      </c>
      <c r="G135" s="72"/>
      <c r="H135" s="72">
        <f t="shared" si="4"/>
        <v>-2.29</v>
      </c>
      <c r="I135" s="72" t="str">
        <f t="shared" si="5"/>
        <v>SERIOUS LOSS</v>
      </c>
    </row>
    <row r="136" spans="1:9" x14ac:dyDescent="0.25">
      <c r="A136" s="33" t="str">
        <f>'Purchase Register'!C198</f>
        <v>MAGGI 10 INR LOT 2</v>
      </c>
      <c r="B136" s="28" t="s">
        <v>488</v>
      </c>
      <c r="C136" s="29">
        <v>0</v>
      </c>
      <c r="D136" s="157">
        <f>VLOOKUP(A136, 'Purchase Register'!C:D, 2, FALSE)</f>
        <v>12</v>
      </c>
      <c r="E136" s="29">
        <f>SUMIF('Sales Register'!C:C, A136, 'Sales Register'!D:D)</f>
        <v>29</v>
      </c>
      <c r="F136" s="29">
        <f t="shared" ref="F136:F199" si="6">C136+D136-E136</f>
        <v>-17</v>
      </c>
      <c r="G136" s="29"/>
      <c r="H136" s="157">
        <f t="shared" ref="H136:H199" si="7">F136-G136</f>
        <v>-17</v>
      </c>
      <c r="I136" s="29" t="str">
        <f t="shared" ref="I136:I199" si="8">IF(H136=0,"OK",
IF(ABS(H136)&lt;=2,"Minor Issue","SERIOUS LOSS"))</f>
        <v>SERIOUS LOSS</v>
      </c>
    </row>
    <row r="137" spans="1:9" ht="30" x14ac:dyDescent="0.25">
      <c r="A137" s="33" t="str">
        <f>'Purchase Register'!C199</f>
        <v>MODERN DALMOOT 10 INR LOT 1</v>
      </c>
      <c r="B137" s="28" t="s">
        <v>488</v>
      </c>
      <c r="C137" s="29">
        <v>0</v>
      </c>
      <c r="D137" s="157">
        <f>VLOOKUP(A137, 'Purchase Register'!C:D, 2, FALSE)</f>
        <v>20</v>
      </c>
      <c r="E137" s="29">
        <f>SUMIF('Sales Register'!C:C, A137, 'Sales Register'!D:D)</f>
        <v>16</v>
      </c>
      <c r="F137" s="29">
        <f t="shared" si="6"/>
        <v>4</v>
      </c>
      <c r="G137" s="29"/>
      <c r="H137" s="157">
        <f t="shared" si="7"/>
        <v>4</v>
      </c>
      <c r="I137" s="29" t="str">
        <f t="shared" si="8"/>
        <v>SERIOUS LOSS</v>
      </c>
    </row>
    <row r="138" spans="1:9" ht="30" x14ac:dyDescent="0.25">
      <c r="A138" s="33" t="str">
        <f>'Purchase Register'!C238</f>
        <v>MOUNTAIN DEW 400 ML LOT 1</v>
      </c>
      <c r="B138" s="28" t="s">
        <v>387</v>
      </c>
      <c r="C138" s="29">
        <v>0</v>
      </c>
      <c r="D138" s="157">
        <f>VLOOKUP(A138, 'Purchase Register'!C:D, 2, FALSE)</f>
        <v>30</v>
      </c>
      <c r="E138" s="29">
        <f>SUMIF('Sales Register'!C:C, A138, 'Sales Register'!D:D)</f>
        <v>31</v>
      </c>
      <c r="F138" s="29">
        <f t="shared" si="6"/>
        <v>-1</v>
      </c>
      <c r="G138" s="29"/>
      <c r="H138" s="157">
        <f t="shared" si="7"/>
        <v>-1</v>
      </c>
      <c r="I138" s="29" t="str">
        <f t="shared" si="8"/>
        <v>Minor Issue</v>
      </c>
    </row>
    <row r="139" spans="1:9" x14ac:dyDescent="0.25">
      <c r="A139" s="33" t="s">
        <v>346</v>
      </c>
      <c r="B139" s="28" t="s">
        <v>193</v>
      </c>
      <c r="C139" s="29">
        <v>0</v>
      </c>
      <c r="D139" s="157" t="e">
        <f>VLOOKUP(A139, 'Purchase Register'!C:D, 2, FALSE)</f>
        <v>#N/A</v>
      </c>
      <c r="E139" s="29">
        <f>SUMIF('Sales Register'!C:C, A139, 'Sales Register'!D:D)</f>
        <v>35</v>
      </c>
      <c r="F139" s="29" t="e">
        <f t="shared" si="6"/>
        <v>#N/A</v>
      </c>
      <c r="G139" s="29"/>
      <c r="H139" s="157" t="e">
        <f t="shared" si="7"/>
        <v>#N/A</v>
      </c>
      <c r="I139" s="29" t="e">
        <f t="shared" si="8"/>
        <v>#N/A</v>
      </c>
    </row>
    <row r="140" spans="1:9" ht="30" x14ac:dyDescent="0.25">
      <c r="A140" s="33" t="s">
        <v>82</v>
      </c>
      <c r="B140" s="28" t="s">
        <v>174</v>
      </c>
      <c r="C140" s="29">
        <v>0</v>
      </c>
      <c r="D140" s="157">
        <f>VLOOKUP(A140, 'Purchase Register'!C:D, 2, FALSE)</f>
        <v>2</v>
      </c>
      <c r="E140" s="29">
        <f>SUMIF('Sales Register'!C:C, A140, 'Sales Register'!D:D)</f>
        <v>1</v>
      </c>
      <c r="F140" s="29">
        <f t="shared" si="6"/>
        <v>1</v>
      </c>
      <c r="G140" s="29"/>
      <c r="H140" s="157">
        <f t="shared" si="7"/>
        <v>1</v>
      </c>
      <c r="I140" s="29" t="str">
        <f t="shared" si="8"/>
        <v>Minor Issue</v>
      </c>
    </row>
    <row r="141" spans="1:9" s="77" customFormat="1" ht="30" x14ac:dyDescent="0.25">
      <c r="A141" s="70" t="s">
        <v>352</v>
      </c>
      <c r="B141" s="71" t="s">
        <v>480</v>
      </c>
      <c r="C141" s="72">
        <v>0</v>
      </c>
      <c r="D141" s="157" t="e">
        <f>VLOOKUP(A141, 'Purchase Register'!C:D, 2, FALSE)</f>
        <v>#N/A</v>
      </c>
      <c r="E141" s="29">
        <f>SUMIF('Sales Register'!C:C, A141, 'Sales Register'!D:D)</f>
        <v>12</v>
      </c>
      <c r="F141" s="72" t="e">
        <f t="shared" si="6"/>
        <v>#N/A</v>
      </c>
      <c r="G141" s="72"/>
      <c r="H141" s="157" t="e">
        <f t="shared" si="7"/>
        <v>#N/A</v>
      </c>
      <c r="I141" s="72" t="e">
        <f t="shared" si="8"/>
        <v>#N/A</v>
      </c>
    </row>
    <row r="142" spans="1:9" s="77" customFormat="1" ht="30" x14ac:dyDescent="0.25">
      <c r="A142" s="70" t="s">
        <v>351</v>
      </c>
      <c r="B142" s="71" t="s">
        <v>480</v>
      </c>
      <c r="C142" s="72">
        <v>0</v>
      </c>
      <c r="D142" s="157" t="e">
        <f>VLOOKUP(A142, 'Purchase Register'!C:D, 2, FALSE)</f>
        <v>#N/A</v>
      </c>
      <c r="E142" s="72">
        <f>SUMIF('Sales Register'!C:C, A142, 'Sales Register'!D:D)</f>
        <v>7</v>
      </c>
      <c r="F142" s="72" t="e">
        <f t="shared" si="6"/>
        <v>#N/A</v>
      </c>
      <c r="G142" s="72"/>
      <c r="H142" s="72" t="e">
        <f t="shared" si="7"/>
        <v>#N/A</v>
      </c>
      <c r="I142" s="72" t="e">
        <f t="shared" si="8"/>
        <v>#N/A</v>
      </c>
    </row>
    <row r="143" spans="1:9" ht="30" x14ac:dyDescent="0.25">
      <c r="A143" s="70" t="s">
        <v>359</v>
      </c>
      <c r="B143" s="71" t="s">
        <v>480</v>
      </c>
      <c r="C143" s="72">
        <v>0</v>
      </c>
      <c r="D143" s="157" t="e">
        <f>VLOOKUP(A143, 'Purchase Register'!C:D, 2, FALSE)</f>
        <v>#N/A</v>
      </c>
      <c r="E143" s="29">
        <f>SUMIF('Sales Register'!C:C, A143, 'Sales Register'!D:D)</f>
        <v>2</v>
      </c>
      <c r="F143" s="72" t="e">
        <f t="shared" si="6"/>
        <v>#N/A</v>
      </c>
      <c r="G143" s="72"/>
      <c r="H143" s="157" t="e">
        <f t="shared" si="7"/>
        <v>#N/A</v>
      </c>
      <c r="I143" s="72" t="e">
        <f t="shared" si="8"/>
        <v>#N/A</v>
      </c>
    </row>
    <row r="144" spans="1:9" s="77" customFormat="1" x14ac:dyDescent="0.25">
      <c r="A144" s="70" t="str">
        <f>'Purchase Register'!C207</f>
        <v>10 INR RUSK LOT 1</v>
      </c>
      <c r="B144" s="71" t="s">
        <v>176</v>
      </c>
      <c r="C144" s="72">
        <v>0</v>
      </c>
      <c r="D144" s="157">
        <f>VLOOKUP(A144, 'Purchase Register'!C:D, 2, FALSE)</f>
        <v>6</v>
      </c>
      <c r="E144" s="72">
        <f>SUMIF('Sales Register'!C:C, A144, 'Sales Register'!D:D)</f>
        <v>6</v>
      </c>
      <c r="F144" s="72">
        <f t="shared" si="6"/>
        <v>0</v>
      </c>
      <c r="G144" s="72"/>
      <c r="H144" s="72">
        <f t="shared" si="7"/>
        <v>0</v>
      </c>
      <c r="I144" s="72" t="str">
        <f t="shared" si="8"/>
        <v>OK</v>
      </c>
    </row>
    <row r="145" spans="1:9" x14ac:dyDescent="0.25">
      <c r="A145" s="33" t="s">
        <v>68</v>
      </c>
      <c r="B145" s="28" t="s">
        <v>201</v>
      </c>
      <c r="C145" s="29">
        <v>0</v>
      </c>
      <c r="D145" s="157">
        <f>VLOOKUP(A145, 'Purchase Register'!C:D, 2, FALSE)</f>
        <v>10</v>
      </c>
      <c r="E145" s="29">
        <f>SUMIF('Sales Register'!C:C, A145, 'Sales Register'!D:D)</f>
        <v>10</v>
      </c>
      <c r="F145" s="29">
        <f t="shared" si="6"/>
        <v>0</v>
      </c>
      <c r="G145" s="29"/>
      <c r="H145" s="157">
        <f t="shared" si="7"/>
        <v>0</v>
      </c>
      <c r="I145" s="29" t="str">
        <f t="shared" si="8"/>
        <v>OK</v>
      </c>
    </row>
    <row r="146" spans="1:9" s="77" customFormat="1" ht="30" x14ac:dyDescent="0.25">
      <c r="A146" s="70" t="s">
        <v>13</v>
      </c>
      <c r="B146" s="71" t="s">
        <v>201</v>
      </c>
      <c r="C146" s="72">
        <v>0</v>
      </c>
      <c r="D146" s="157">
        <f>VLOOKUP(A146, 'Purchase Register'!C:D, 2, FALSE)</f>
        <v>10</v>
      </c>
      <c r="E146" s="72">
        <f>SUMIF('Sales Register'!C:C, A146, 'Sales Register'!D:D)</f>
        <v>10</v>
      </c>
      <c r="F146" s="72">
        <f t="shared" si="6"/>
        <v>0</v>
      </c>
      <c r="G146" s="72"/>
      <c r="H146" s="72">
        <f t="shared" si="7"/>
        <v>0</v>
      </c>
      <c r="I146" s="72" t="str">
        <f t="shared" si="8"/>
        <v>OK</v>
      </c>
    </row>
    <row r="147" spans="1:9" s="77" customFormat="1" x14ac:dyDescent="0.25">
      <c r="A147" s="70" t="s">
        <v>67</v>
      </c>
      <c r="B147" s="71" t="s">
        <v>202</v>
      </c>
      <c r="C147" s="72">
        <v>0</v>
      </c>
      <c r="D147" s="157">
        <f>VLOOKUP(A147, 'Purchase Register'!C:D, 2, FALSE)</f>
        <v>10</v>
      </c>
      <c r="E147" s="72">
        <f>SUMIF('Sales Register'!C:C, A147, 'Sales Register'!D:D)</f>
        <v>10</v>
      </c>
      <c r="F147" s="72">
        <f t="shared" si="6"/>
        <v>0</v>
      </c>
      <c r="G147" s="72"/>
      <c r="H147" s="72">
        <f t="shared" si="7"/>
        <v>0</v>
      </c>
      <c r="I147" s="72" t="str">
        <f t="shared" si="8"/>
        <v>OK</v>
      </c>
    </row>
    <row r="148" spans="1:9" x14ac:dyDescent="0.25">
      <c r="A148" s="33" t="s">
        <v>15</v>
      </c>
      <c r="B148" s="28" t="s">
        <v>174</v>
      </c>
      <c r="C148" s="29">
        <v>0</v>
      </c>
      <c r="D148" s="157">
        <f>VLOOKUP(A148, 'Purchase Register'!C:D, 2, FALSE)</f>
        <v>10</v>
      </c>
      <c r="E148" s="29">
        <f>SUMIF('Sales Register'!C:C, A148, 'Sales Register'!D:D)</f>
        <v>6</v>
      </c>
      <c r="F148" s="29">
        <f t="shared" si="6"/>
        <v>4</v>
      </c>
      <c r="G148" s="29"/>
      <c r="H148" s="157">
        <f t="shared" si="7"/>
        <v>4</v>
      </c>
      <c r="I148" s="29" t="str">
        <f t="shared" si="8"/>
        <v>SERIOUS LOSS</v>
      </c>
    </row>
    <row r="149" spans="1:9" x14ac:dyDescent="0.25">
      <c r="A149" s="33" t="s">
        <v>81</v>
      </c>
      <c r="B149" s="28" t="s">
        <v>195</v>
      </c>
      <c r="C149" s="29">
        <v>0</v>
      </c>
      <c r="D149" s="157">
        <f>VLOOKUP(A149, 'Purchase Register'!C:D, 2, FALSE)</f>
        <v>161</v>
      </c>
      <c r="E149" s="29">
        <f>SUMIF('Sales Register'!C:C, A149, 'Sales Register'!D:D)</f>
        <v>85</v>
      </c>
      <c r="F149" s="29">
        <f t="shared" si="6"/>
        <v>76</v>
      </c>
      <c r="G149" s="29"/>
      <c r="H149" s="157">
        <f t="shared" si="7"/>
        <v>76</v>
      </c>
      <c r="I149" s="29" t="str">
        <f t="shared" si="8"/>
        <v>SERIOUS LOSS</v>
      </c>
    </row>
    <row r="150" spans="1:9" x14ac:dyDescent="0.25">
      <c r="A150" s="33" t="s">
        <v>54</v>
      </c>
      <c r="B150" s="28" t="s">
        <v>193</v>
      </c>
      <c r="C150" s="29">
        <v>0</v>
      </c>
      <c r="D150" s="157">
        <f>VLOOKUP(A150, 'Purchase Register'!C:D, 2, FALSE)</f>
        <v>175</v>
      </c>
      <c r="E150" s="29">
        <f>SUMIF('Sales Register'!C:C, A150, 'Sales Register'!D:D)</f>
        <v>27</v>
      </c>
      <c r="F150" s="29">
        <f t="shared" si="6"/>
        <v>148</v>
      </c>
      <c r="G150" s="29"/>
      <c r="H150" s="157">
        <f t="shared" si="7"/>
        <v>148</v>
      </c>
      <c r="I150" s="29" t="str">
        <f t="shared" si="8"/>
        <v>SERIOUS LOSS</v>
      </c>
    </row>
    <row r="151" spans="1:9" ht="30" x14ac:dyDescent="0.25">
      <c r="A151" s="33" t="s">
        <v>396</v>
      </c>
      <c r="B151" s="28" t="s">
        <v>186</v>
      </c>
      <c r="C151" s="29">
        <v>0</v>
      </c>
      <c r="D151" s="157" t="e">
        <f>VLOOKUP(A151, 'Purchase Register'!C:D, 2, FALSE)</f>
        <v>#N/A</v>
      </c>
      <c r="E151" s="29">
        <f>SUMIF('Sales Register'!C:C, A151, 'Sales Register'!D:D)</f>
        <v>4</v>
      </c>
      <c r="F151" s="29" t="e">
        <f t="shared" si="6"/>
        <v>#N/A</v>
      </c>
      <c r="G151" s="29"/>
      <c r="H151" s="157" t="e">
        <f t="shared" si="7"/>
        <v>#N/A</v>
      </c>
      <c r="I151" s="29" t="e">
        <f t="shared" si="8"/>
        <v>#N/A</v>
      </c>
    </row>
    <row r="152" spans="1:9" s="77" customFormat="1" ht="30" x14ac:dyDescent="0.25">
      <c r="A152" s="70" t="s">
        <v>70</v>
      </c>
      <c r="B152" s="71" t="s">
        <v>186</v>
      </c>
      <c r="C152" s="72">
        <v>0</v>
      </c>
      <c r="D152" s="157">
        <f>VLOOKUP(A152, 'Purchase Register'!C:D, 2, FALSE)</f>
        <v>6</v>
      </c>
      <c r="E152" s="72">
        <f>SUMIF('Sales Register'!C:C, A152, 'Sales Register'!D:D)</f>
        <v>6</v>
      </c>
      <c r="F152" s="72">
        <f t="shared" si="6"/>
        <v>0</v>
      </c>
      <c r="G152" s="72"/>
      <c r="H152" s="72">
        <f t="shared" si="7"/>
        <v>0</v>
      </c>
      <c r="I152" s="72" t="str">
        <f t="shared" si="8"/>
        <v>OK</v>
      </c>
    </row>
    <row r="153" spans="1:9" ht="30" x14ac:dyDescent="0.25">
      <c r="A153" s="33" t="s">
        <v>136</v>
      </c>
      <c r="B153" s="28" t="s">
        <v>184</v>
      </c>
      <c r="C153" s="29">
        <v>0</v>
      </c>
      <c r="D153" s="157">
        <f>VLOOKUP(A153, 'Purchase Register'!C:D, 2, FALSE)</f>
        <v>3</v>
      </c>
      <c r="E153" s="29">
        <f>SUMIF('Sales Register'!C:C, A153, 'Sales Register'!D:D)</f>
        <v>3</v>
      </c>
      <c r="F153" s="29">
        <f t="shared" si="6"/>
        <v>0</v>
      </c>
      <c r="G153" s="29"/>
      <c r="H153" s="157">
        <f t="shared" si="7"/>
        <v>0</v>
      </c>
      <c r="I153" s="29" t="str">
        <f t="shared" si="8"/>
        <v>OK</v>
      </c>
    </row>
    <row r="154" spans="1:9" ht="30" x14ac:dyDescent="0.25">
      <c r="A154" s="33" t="s">
        <v>108</v>
      </c>
      <c r="B154" s="28" t="s">
        <v>184</v>
      </c>
      <c r="C154" s="29">
        <v>0</v>
      </c>
      <c r="D154" s="157">
        <f>VLOOKUP(A154, 'Purchase Register'!C:D, 2, FALSE)</f>
        <v>2</v>
      </c>
      <c r="E154" s="29">
        <f>SUMIF('Sales Register'!C:C, A154, 'Sales Register'!D:D)</f>
        <v>1</v>
      </c>
      <c r="F154" s="29">
        <f t="shared" si="6"/>
        <v>1</v>
      </c>
      <c r="G154" s="29"/>
      <c r="H154" s="157">
        <f t="shared" si="7"/>
        <v>1</v>
      </c>
      <c r="I154" s="29" t="str">
        <f t="shared" si="8"/>
        <v>Minor Issue</v>
      </c>
    </row>
    <row r="155" spans="1:9" s="77" customFormat="1" ht="30" x14ac:dyDescent="0.25">
      <c r="A155" s="70" t="s">
        <v>373</v>
      </c>
      <c r="B155" s="71" t="s">
        <v>184</v>
      </c>
      <c r="C155" s="72">
        <v>1</v>
      </c>
      <c r="D155" s="157" t="e">
        <f>VLOOKUP(A155, 'Purchase Register'!C:D, 2, FALSE)</f>
        <v>#N/A</v>
      </c>
      <c r="E155" s="72">
        <f>SUMIF('Sales Register'!C:C, A155, 'Sales Register'!D:D)</f>
        <v>1</v>
      </c>
      <c r="F155" s="72" t="e">
        <f t="shared" si="6"/>
        <v>#N/A</v>
      </c>
      <c r="G155" s="72"/>
      <c r="H155" s="72" t="e">
        <f t="shared" si="7"/>
        <v>#N/A</v>
      </c>
      <c r="I155" s="72" t="e">
        <f t="shared" si="8"/>
        <v>#N/A</v>
      </c>
    </row>
    <row r="156" spans="1:9" x14ac:dyDescent="0.25">
      <c r="A156" s="33" t="s">
        <v>117</v>
      </c>
      <c r="B156" s="28" t="s">
        <v>173</v>
      </c>
      <c r="C156" s="29">
        <v>0</v>
      </c>
      <c r="D156" s="157">
        <f>VLOOKUP(A156, 'Purchase Register'!C:D, 2, FALSE)</f>
        <v>60</v>
      </c>
      <c r="E156" s="29">
        <f>SUMIF('Sales Register'!C:C, A156, 'Sales Register'!D:D)</f>
        <v>16</v>
      </c>
      <c r="F156" s="29">
        <f t="shared" si="6"/>
        <v>44</v>
      </c>
      <c r="G156" s="29"/>
      <c r="H156" s="157">
        <f t="shared" si="7"/>
        <v>44</v>
      </c>
      <c r="I156" s="29" t="str">
        <f t="shared" si="8"/>
        <v>SERIOUS LOSS</v>
      </c>
    </row>
    <row r="157" spans="1:9" ht="30" x14ac:dyDescent="0.25">
      <c r="A157" s="33" t="s">
        <v>347</v>
      </c>
      <c r="B157" s="28" t="s">
        <v>210</v>
      </c>
      <c r="C157" s="29">
        <v>0</v>
      </c>
      <c r="D157" s="157" t="e">
        <f>VLOOKUP(A157, 'Purchase Register'!C:D, 2, FALSE)</f>
        <v>#N/A</v>
      </c>
      <c r="E157" s="29">
        <f>SUMIF('Sales Register'!C:C, A157, 'Sales Register'!D:D)</f>
        <v>20</v>
      </c>
      <c r="F157" s="29" t="e">
        <f t="shared" si="6"/>
        <v>#N/A</v>
      </c>
      <c r="G157" s="29"/>
      <c r="H157" s="157" t="e">
        <f t="shared" si="7"/>
        <v>#N/A</v>
      </c>
      <c r="I157" s="29" t="e">
        <f t="shared" si="8"/>
        <v>#N/A</v>
      </c>
    </row>
    <row r="158" spans="1:9" s="77" customFormat="1" ht="30" x14ac:dyDescent="0.25">
      <c r="A158" s="70" t="str">
        <f>'Purchase Register'!C211</f>
        <v>CLEAN AND CLEAR FACE WASH 50 ML LOT 1</v>
      </c>
      <c r="B158" s="71" t="s">
        <v>489</v>
      </c>
      <c r="C158" s="72">
        <v>0</v>
      </c>
      <c r="D158" s="157">
        <f>VLOOKUP(A158, 'Purchase Register'!C:D, 2, FALSE)</f>
        <v>3</v>
      </c>
      <c r="E158" s="72">
        <f>SUMIF('Sales Register'!C:C, A158, 'Sales Register'!D:D)</f>
        <v>1</v>
      </c>
      <c r="F158" s="72">
        <f t="shared" si="6"/>
        <v>2</v>
      </c>
      <c r="G158" s="72"/>
      <c r="H158" s="72">
        <f t="shared" si="7"/>
        <v>2</v>
      </c>
      <c r="I158" s="72" t="str">
        <f t="shared" si="8"/>
        <v>Minor Issue</v>
      </c>
    </row>
    <row r="159" spans="1:9" ht="30" x14ac:dyDescent="0.25">
      <c r="A159" s="33" t="str">
        <f>'Purchase Register'!C210</f>
        <v>BRITANNIA MARIE GOLD LOT 1</v>
      </c>
      <c r="B159" s="28" t="s">
        <v>487</v>
      </c>
      <c r="C159" s="29">
        <v>0</v>
      </c>
      <c r="D159" s="157">
        <f>VLOOKUP(A159, 'Purchase Register'!C:D, 2, FALSE)</f>
        <v>3</v>
      </c>
      <c r="E159" s="29">
        <f>SUMIF('Sales Register'!C:C, A159, 'Sales Register'!D:D)</f>
        <v>4</v>
      </c>
      <c r="F159" s="29">
        <f t="shared" si="6"/>
        <v>-1</v>
      </c>
      <c r="G159" s="29"/>
      <c r="H159" s="157">
        <f t="shared" si="7"/>
        <v>-1</v>
      </c>
      <c r="I159" s="29" t="str">
        <f t="shared" si="8"/>
        <v>Minor Issue</v>
      </c>
    </row>
    <row r="160" spans="1:9" ht="30" x14ac:dyDescent="0.25">
      <c r="A160" s="33" t="s">
        <v>349</v>
      </c>
      <c r="B160" s="28" t="s">
        <v>490</v>
      </c>
      <c r="C160" s="29">
        <v>0</v>
      </c>
      <c r="D160" s="157" t="e">
        <f>VLOOKUP(A160, 'Purchase Register'!C:D, 2, FALSE)</f>
        <v>#N/A</v>
      </c>
      <c r="E160" s="29">
        <f>SUMIF('Sales Register'!C:C, A160, 'Sales Register'!D:D)</f>
        <v>1</v>
      </c>
      <c r="F160" s="29" t="e">
        <f t="shared" si="6"/>
        <v>#N/A</v>
      </c>
      <c r="G160" s="29"/>
      <c r="H160" s="157" t="e">
        <f t="shared" si="7"/>
        <v>#N/A</v>
      </c>
      <c r="I160" s="29" t="e">
        <f t="shared" si="8"/>
        <v>#N/A</v>
      </c>
    </row>
    <row r="161" spans="1:9" x14ac:dyDescent="0.25">
      <c r="A161" s="33" t="s">
        <v>40</v>
      </c>
      <c r="B161" s="28"/>
      <c r="C161" s="29">
        <v>0</v>
      </c>
      <c r="D161" s="157">
        <f>VLOOKUP(A161, 'Purchase Register'!C:D, 2, FALSE)</f>
        <v>2</v>
      </c>
      <c r="E161" s="29">
        <f>SUMIF('Sales Register'!C:C, A161, 'Sales Register'!D:D)</f>
        <v>2</v>
      </c>
      <c r="F161" s="29">
        <f t="shared" si="6"/>
        <v>0</v>
      </c>
      <c r="G161" s="29"/>
      <c r="H161" s="157">
        <f t="shared" si="7"/>
        <v>0</v>
      </c>
      <c r="I161" s="29" t="str">
        <f t="shared" si="8"/>
        <v>OK</v>
      </c>
    </row>
    <row r="162" spans="1:9" ht="30" x14ac:dyDescent="0.25">
      <c r="A162" s="33" t="s">
        <v>377</v>
      </c>
      <c r="B162" s="28" t="s">
        <v>293</v>
      </c>
      <c r="C162" s="29">
        <v>0</v>
      </c>
      <c r="D162" s="157" t="e">
        <f>VLOOKUP(A162, 'Purchase Register'!C:D, 2, FALSE)</f>
        <v>#N/A</v>
      </c>
      <c r="E162" s="29">
        <f>SUMIF('Sales Register'!C:C, A162, 'Sales Register'!D:D)</f>
        <v>45</v>
      </c>
      <c r="F162" s="29" t="e">
        <f t="shared" si="6"/>
        <v>#N/A</v>
      </c>
      <c r="G162" s="29"/>
      <c r="H162" s="157" t="e">
        <f t="shared" si="7"/>
        <v>#N/A</v>
      </c>
      <c r="I162" s="29" t="e">
        <f t="shared" si="8"/>
        <v>#N/A</v>
      </c>
    </row>
    <row r="163" spans="1:9" ht="30" x14ac:dyDescent="0.25">
      <c r="A163" s="33" t="str">
        <f>'Purchase Register'!C225</f>
        <v>SHALIMAR COCONUT OIL 85 ML LOT 1</v>
      </c>
      <c r="B163" s="28" t="s">
        <v>293</v>
      </c>
      <c r="C163" s="29">
        <v>0</v>
      </c>
      <c r="D163" s="157">
        <f>VLOOKUP(A163, 'Purchase Register'!C:D, 2, FALSE)</f>
        <v>3</v>
      </c>
      <c r="E163" s="29">
        <f>SUMIF('Sales Register'!C:C, A163, 'Sales Register'!D:D)</f>
        <v>2</v>
      </c>
      <c r="F163" s="29">
        <f t="shared" si="6"/>
        <v>1</v>
      </c>
      <c r="G163" s="29"/>
      <c r="H163" s="157">
        <f t="shared" si="7"/>
        <v>1</v>
      </c>
      <c r="I163" s="29" t="str">
        <f t="shared" si="8"/>
        <v>Minor Issue</v>
      </c>
    </row>
    <row r="164" spans="1:9" x14ac:dyDescent="0.25">
      <c r="A164" s="33" t="str">
        <f>'Purchase Register'!C224</f>
        <v>SARTAJ SOOJI 500 GM LOT 1</v>
      </c>
      <c r="B164" s="28" t="s">
        <v>293</v>
      </c>
      <c r="C164" s="29">
        <v>0</v>
      </c>
      <c r="D164" s="157">
        <f>VLOOKUP(A164, 'Purchase Register'!C:D, 2, FALSE)</f>
        <v>5</v>
      </c>
      <c r="E164" s="29">
        <f>SUMIF('Sales Register'!C:C, A164, 'Sales Register'!D:D)</f>
        <v>5</v>
      </c>
      <c r="F164" s="29">
        <f t="shared" si="6"/>
        <v>0</v>
      </c>
      <c r="G164" s="29"/>
      <c r="H164" s="157">
        <f t="shared" si="7"/>
        <v>0</v>
      </c>
      <c r="I164" s="29" t="str">
        <f t="shared" si="8"/>
        <v>OK</v>
      </c>
    </row>
    <row r="165" spans="1:9" ht="30" x14ac:dyDescent="0.25">
      <c r="A165" s="33" t="str">
        <f>'Purchase Register'!C223</f>
        <v>SAFFOLA SOYA MINI CHUNKS LOT 1</v>
      </c>
      <c r="B165" s="28" t="s">
        <v>491</v>
      </c>
      <c r="C165" s="29">
        <v>0</v>
      </c>
      <c r="D165" s="157">
        <f>VLOOKUP(A165, 'Purchase Register'!C:D, 2, FALSE)</f>
        <v>24</v>
      </c>
      <c r="E165" s="29">
        <f>SUMIF('Sales Register'!C:C, A165, 'Sales Register'!D:D)</f>
        <v>2</v>
      </c>
      <c r="F165" s="29">
        <f t="shared" si="6"/>
        <v>22</v>
      </c>
      <c r="G165" s="29"/>
      <c r="H165" s="157">
        <f t="shared" si="7"/>
        <v>22</v>
      </c>
      <c r="I165" s="29" t="str">
        <f t="shared" si="8"/>
        <v>SERIOUS LOSS</v>
      </c>
    </row>
    <row r="166" spans="1:9" x14ac:dyDescent="0.25">
      <c r="A166" s="33" t="s">
        <v>137</v>
      </c>
      <c r="B166" s="28" t="s">
        <v>203</v>
      </c>
      <c r="C166" s="29">
        <v>0</v>
      </c>
      <c r="D166" s="157">
        <f>VLOOKUP(A166, 'Purchase Register'!C:D, 2, FALSE)</f>
        <v>3</v>
      </c>
      <c r="E166" s="29">
        <f>SUMIF('Sales Register'!C:C, A166, 'Sales Register'!D:D)</f>
        <v>1</v>
      </c>
      <c r="F166" s="29">
        <f t="shared" si="6"/>
        <v>2</v>
      </c>
      <c r="G166" s="29"/>
      <c r="H166" s="157">
        <f t="shared" si="7"/>
        <v>2</v>
      </c>
      <c r="I166" s="29" t="str">
        <f t="shared" si="8"/>
        <v>Minor Issue</v>
      </c>
    </row>
    <row r="167" spans="1:9" s="77" customFormat="1" x14ac:dyDescent="0.25">
      <c r="A167" s="70" t="s">
        <v>380</v>
      </c>
      <c r="B167" s="71" t="s">
        <v>184</v>
      </c>
      <c r="C167" s="72">
        <v>0</v>
      </c>
      <c r="D167" s="157" t="e">
        <f>VLOOKUP(A167, 'Purchase Register'!C:D, 2, FALSE)</f>
        <v>#N/A</v>
      </c>
      <c r="E167" s="72">
        <f>SUMIF('Sales Register'!C:C, A167, 'Sales Register'!D:D)</f>
        <v>2</v>
      </c>
      <c r="F167" s="72" t="e">
        <f t="shared" si="6"/>
        <v>#N/A</v>
      </c>
      <c r="G167" s="72"/>
      <c r="H167" s="72" t="e">
        <f t="shared" si="7"/>
        <v>#N/A</v>
      </c>
      <c r="I167" s="72" t="e">
        <f t="shared" si="8"/>
        <v>#N/A</v>
      </c>
    </row>
    <row r="168" spans="1:9" x14ac:dyDescent="0.25">
      <c r="A168" s="33" t="str">
        <f>'Purchase Register'!C221</f>
        <v>REAL KOOLERZ MANGO LOT 1</v>
      </c>
      <c r="B168" s="28" t="s">
        <v>492</v>
      </c>
      <c r="C168" s="29">
        <v>0</v>
      </c>
      <c r="D168" s="157">
        <f>VLOOKUP(A168, 'Purchase Register'!C:D, 2, FALSE)</f>
        <v>40</v>
      </c>
      <c r="E168" s="29">
        <f>SUMIF('Sales Register'!C:C, A168, 'Sales Register'!D:D)</f>
        <v>22</v>
      </c>
      <c r="F168" s="29">
        <f t="shared" si="6"/>
        <v>18</v>
      </c>
      <c r="G168" s="29"/>
      <c r="H168" s="157">
        <f t="shared" si="7"/>
        <v>18</v>
      </c>
      <c r="I168" s="29" t="str">
        <f t="shared" si="8"/>
        <v>SERIOUS LOSS</v>
      </c>
    </row>
    <row r="169" spans="1:9" x14ac:dyDescent="0.25">
      <c r="A169" s="33" t="s">
        <v>79</v>
      </c>
      <c r="B169" s="28" t="s">
        <v>175</v>
      </c>
      <c r="C169" s="29">
        <v>0</v>
      </c>
      <c r="D169" s="157">
        <f>VLOOKUP(A169, 'Purchase Register'!C:D, 2, FALSE)</f>
        <v>6</v>
      </c>
      <c r="E169" s="29">
        <f>SUMIF('Sales Register'!C:C, A169, 'Sales Register'!D:D)</f>
        <v>4</v>
      </c>
      <c r="F169" s="29">
        <f t="shared" si="6"/>
        <v>2</v>
      </c>
      <c r="G169" s="29"/>
      <c r="H169" s="157">
        <f t="shared" si="7"/>
        <v>2</v>
      </c>
      <c r="I169" s="29" t="str">
        <f t="shared" si="8"/>
        <v>Minor Issue</v>
      </c>
    </row>
    <row r="170" spans="1:9" ht="30" x14ac:dyDescent="0.25">
      <c r="A170" s="33" t="s">
        <v>97</v>
      </c>
      <c r="B170" s="28" t="s">
        <v>204</v>
      </c>
      <c r="C170" s="29">
        <v>0</v>
      </c>
      <c r="D170" s="157">
        <f>VLOOKUP(A170, 'Purchase Register'!C:D, 2, FALSE)</f>
        <v>10</v>
      </c>
      <c r="E170" s="29">
        <f>SUMIF('Sales Register'!C:C, A170, 'Sales Register'!D:D)</f>
        <v>7</v>
      </c>
      <c r="F170" s="29">
        <f t="shared" si="6"/>
        <v>3</v>
      </c>
      <c r="G170" s="29"/>
      <c r="H170" s="157">
        <f t="shared" si="7"/>
        <v>3</v>
      </c>
      <c r="I170" s="29" t="str">
        <f t="shared" si="8"/>
        <v>SERIOUS LOSS</v>
      </c>
    </row>
    <row r="171" spans="1:9" ht="30" x14ac:dyDescent="0.25">
      <c r="A171" s="33" t="s">
        <v>99</v>
      </c>
      <c r="B171" s="28" t="s">
        <v>204</v>
      </c>
      <c r="C171" s="29">
        <v>0</v>
      </c>
      <c r="D171" s="157">
        <f>VLOOKUP(A171, 'Purchase Register'!C:D, 2, FALSE)</f>
        <v>26</v>
      </c>
      <c r="E171" s="29">
        <f>SUMIF('Sales Register'!C:C, A171, 'Sales Register'!D:D)</f>
        <v>8</v>
      </c>
      <c r="F171" s="29">
        <f t="shared" si="6"/>
        <v>18</v>
      </c>
      <c r="G171" s="29"/>
      <c r="H171" s="157">
        <f t="shared" si="7"/>
        <v>18</v>
      </c>
      <c r="I171" s="29" t="str">
        <f t="shared" si="8"/>
        <v>SERIOUS LOSS</v>
      </c>
    </row>
    <row r="172" spans="1:9" ht="30" x14ac:dyDescent="0.25">
      <c r="A172" s="33" t="s">
        <v>96</v>
      </c>
      <c r="B172" s="28" t="s">
        <v>204</v>
      </c>
      <c r="C172" s="29">
        <v>0</v>
      </c>
      <c r="D172" s="157">
        <f>VLOOKUP(A172, 'Purchase Register'!C:D, 2, FALSE)</f>
        <v>4</v>
      </c>
      <c r="E172" s="29">
        <f>SUMIF('Sales Register'!C:C, A172, 'Sales Register'!D:D)</f>
        <v>2</v>
      </c>
      <c r="F172" s="29">
        <f t="shared" si="6"/>
        <v>2</v>
      </c>
      <c r="G172" s="29"/>
      <c r="H172" s="157">
        <f t="shared" si="7"/>
        <v>2</v>
      </c>
      <c r="I172" s="29" t="str">
        <f t="shared" si="8"/>
        <v>Minor Issue</v>
      </c>
    </row>
    <row r="173" spans="1:9" ht="30" x14ac:dyDescent="0.25">
      <c r="A173" s="33" t="s">
        <v>98</v>
      </c>
      <c r="B173" s="28" t="s">
        <v>204</v>
      </c>
      <c r="C173" s="29">
        <v>0</v>
      </c>
      <c r="D173" s="157">
        <f>VLOOKUP(A173, 'Purchase Register'!C:D, 2, FALSE)</f>
        <v>25</v>
      </c>
      <c r="E173" s="29">
        <f>SUMIF('Sales Register'!C:C, A173, 'Sales Register'!D:D)</f>
        <v>9</v>
      </c>
      <c r="F173" s="29">
        <f t="shared" si="6"/>
        <v>16</v>
      </c>
      <c r="G173" s="29"/>
      <c r="H173" s="157">
        <f t="shared" si="7"/>
        <v>16</v>
      </c>
      <c r="I173" s="29" t="str">
        <f t="shared" si="8"/>
        <v>SERIOUS LOSS</v>
      </c>
    </row>
    <row r="174" spans="1:9" ht="30" x14ac:dyDescent="0.25">
      <c r="A174" s="33" t="s">
        <v>142</v>
      </c>
      <c r="B174" s="28" t="s">
        <v>204</v>
      </c>
      <c r="C174" s="29">
        <v>0</v>
      </c>
      <c r="D174" s="157">
        <f>VLOOKUP(A174, 'Purchase Register'!C:D, 2, FALSE)</f>
        <v>3</v>
      </c>
      <c r="E174" s="29">
        <f>SUMIF('Sales Register'!C:C, A174, 'Sales Register'!D:D)</f>
        <v>2</v>
      </c>
      <c r="F174" s="29">
        <f t="shared" si="6"/>
        <v>1</v>
      </c>
      <c r="G174" s="29"/>
      <c r="H174" s="157">
        <f t="shared" si="7"/>
        <v>1</v>
      </c>
      <c r="I174" s="29" t="str">
        <f t="shared" si="8"/>
        <v>Minor Issue</v>
      </c>
    </row>
    <row r="175" spans="1:9" ht="30" x14ac:dyDescent="0.25">
      <c r="A175" s="33" t="s">
        <v>101</v>
      </c>
      <c r="B175" s="28" t="s">
        <v>204</v>
      </c>
      <c r="C175" s="29">
        <v>0</v>
      </c>
      <c r="D175" s="157">
        <f>VLOOKUP(A175, 'Purchase Register'!C:D, 2, FALSE)</f>
        <v>10</v>
      </c>
      <c r="E175" s="29">
        <f>SUMIF('Sales Register'!C:C, A175, 'Sales Register'!D:D)</f>
        <v>8</v>
      </c>
      <c r="F175" s="29">
        <f t="shared" si="6"/>
        <v>2</v>
      </c>
      <c r="G175" s="29"/>
      <c r="H175" s="157">
        <f t="shared" si="7"/>
        <v>2</v>
      </c>
      <c r="I175" s="29" t="str">
        <f t="shared" si="8"/>
        <v>Minor Issue</v>
      </c>
    </row>
    <row r="176" spans="1:9" ht="30" x14ac:dyDescent="0.25">
      <c r="A176" s="33" t="s">
        <v>103</v>
      </c>
      <c r="B176" s="28" t="s">
        <v>204</v>
      </c>
      <c r="C176" s="29">
        <v>0</v>
      </c>
      <c r="D176" s="157">
        <f>VLOOKUP(A176, 'Purchase Register'!C:D, 2, FALSE)</f>
        <v>26</v>
      </c>
      <c r="E176" s="29">
        <f>SUMIF('Sales Register'!C:C, A176, 'Sales Register'!D:D)</f>
        <v>7</v>
      </c>
      <c r="F176" s="29">
        <f t="shared" si="6"/>
        <v>19</v>
      </c>
      <c r="G176" s="29"/>
      <c r="H176" s="157">
        <f t="shared" si="7"/>
        <v>19</v>
      </c>
      <c r="I176" s="29" t="str">
        <f t="shared" si="8"/>
        <v>SERIOUS LOSS</v>
      </c>
    </row>
    <row r="177" spans="1:9" ht="30" x14ac:dyDescent="0.25">
      <c r="A177" s="33" t="s">
        <v>100</v>
      </c>
      <c r="B177" s="28" t="s">
        <v>204</v>
      </c>
      <c r="C177" s="29">
        <v>0</v>
      </c>
      <c r="D177" s="157">
        <f>VLOOKUP(A177, 'Purchase Register'!C:D, 2, FALSE)</f>
        <v>4</v>
      </c>
      <c r="E177" s="29">
        <f>SUMIF('Sales Register'!C:C, A177, 'Sales Register'!D:D)</f>
        <v>2</v>
      </c>
      <c r="F177" s="29">
        <f t="shared" si="6"/>
        <v>2</v>
      </c>
      <c r="G177" s="29"/>
      <c r="H177" s="157">
        <f t="shared" si="7"/>
        <v>2</v>
      </c>
      <c r="I177" s="29" t="str">
        <f t="shared" si="8"/>
        <v>Minor Issue</v>
      </c>
    </row>
    <row r="178" spans="1:9" ht="30" x14ac:dyDescent="0.25">
      <c r="A178" s="33" t="s">
        <v>102</v>
      </c>
      <c r="B178" s="28" t="s">
        <v>204</v>
      </c>
      <c r="C178" s="29">
        <v>0</v>
      </c>
      <c r="D178" s="157">
        <f>VLOOKUP(A178, 'Purchase Register'!C:D, 2, FALSE)</f>
        <v>25</v>
      </c>
      <c r="E178" s="29">
        <f>SUMIF('Sales Register'!C:C, A178, 'Sales Register'!D:D)</f>
        <v>17</v>
      </c>
      <c r="F178" s="29">
        <f t="shared" si="6"/>
        <v>8</v>
      </c>
      <c r="G178" s="29"/>
      <c r="H178" s="157">
        <f t="shared" si="7"/>
        <v>8</v>
      </c>
      <c r="I178" s="29" t="str">
        <f t="shared" si="8"/>
        <v>SERIOUS LOSS</v>
      </c>
    </row>
    <row r="179" spans="1:9" ht="30" x14ac:dyDescent="0.25">
      <c r="A179" s="33" t="s">
        <v>93</v>
      </c>
      <c r="B179" s="28" t="s">
        <v>204</v>
      </c>
      <c r="C179" s="29">
        <v>0</v>
      </c>
      <c r="D179" s="157">
        <f>VLOOKUP(A179, 'Purchase Register'!C:D, 2, FALSE)</f>
        <v>10</v>
      </c>
      <c r="E179" s="29">
        <f>SUMIF('Sales Register'!C:C, A179, 'Sales Register'!D:D)</f>
        <v>8</v>
      </c>
      <c r="F179" s="29">
        <f t="shared" si="6"/>
        <v>2</v>
      </c>
      <c r="G179" s="29"/>
      <c r="H179" s="157">
        <f t="shared" si="7"/>
        <v>2</v>
      </c>
      <c r="I179" s="29" t="str">
        <f t="shared" si="8"/>
        <v>Minor Issue</v>
      </c>
    </row>
    <row r="180" spans="1:9" ht="30" x14ac:dyDescent="0.25">
      <c r="A180" s="33" t="s">
        <v>95</v>
      </c>
      <c r="B180" s="28" t="s">
        <v>204</v>
      </c>
      <c r="C180" s="29">
        <v>0</v>
      </c>
      <c r="D180" s="157">
        <f>VLOOKUP(A180, 'Purchase Register'!C:D, 2, FALSE)</f>
        <v>26</v>
      </c>
      <c r="E180" s="29">
        <f>SUMIF('Sales Register'!C:C, A180, 'Sales Register'!D:D)</f>
        <v>12</v>
      </c>
      <c r="F180" s="29">
        <f t="shared" si="6"/>
        <v>14</v>
      </c>
      <c r="G180" s="29"/>
      <c r="H180" s="157">
        <f t="shared" si="7"/>
        <v>14</v>
      </c>
      <c r="I180" s="29" t="str">
        <f t="shared" si="8"/>
        <v>SERIOUS LOSS</v>
      </c>
    </row>
    <row r="181" spans="1:9" s="77" customFormat="1" ht="30" x14ac:dyDescent="0.25">
      <c r="A181" s="70" t="s">
        <v>33</v>
      </c>
      <c r="B181" s="71" t="s">
        <v>204</v>
      </c>
      <c r="C181" s="72">
        <v>0</v>
      </c>
      <c r="D181" s="157">
        <f>VLOOKUP(A181, 'Purchase Register'!C:D, 2, FALSE)</f>
        <v>4</v>
      </c>
      <c r="E181" s="72">
        <f>SUMIF('Sales Register'!C:C, A181, 'Sales Register'!D:D)</f>
        <v>5</v>
      </c>
      <c r="F181" s="72">
        <f t="shared" si="6"/>
        <v>-1</v>
      </c>
      <c r="G181" s="72"/>
      <c r="H181" s="72">
        <f t="shared" si="7"/>
        <v>-1</v>
      </c>
      <c r="I181" s="72" t="str">
        <f t="shared" si="8"/>
        <v>Minor Issue</v>
      </c>
    </row>
    <row r="182" spans="1:9" ht="30" x14ac:dyDescent="0.25">
      <c r="A182" s="33" t="s">
        <v>94</v>
      </c>
      <c r="B182" s="28" t="s">
        <v>204</v>
      </c>
      <c r="C182" s="29">
        <v>0</v>
      </c>
      <c r="D182" s="157">
        <f>VLOOKUP(A182, 'Purchase Register'!C:D, 2, FALSE)</f>
        <v>25</v>
      </c>
      <c r="E182" s="29">
        <f>SUMIF('Sales Register'!C:C, A182, 'Sales Register'!D:D)</f>
        <v>17</v>
      </c>
      <c r="F182" s="29">
        <f t="shared" si="6"/>
        <v>8</v>
      </c>
      <c r="G182" s="29"/>
      <c r="H182" s="157">
        <f t="shared" si="7"/>
        <v>8</v>
      </c>
      <c r="I182" s="29" t="str">
        <f t="shared" si="8"/>
        <v>SERIOUS LOSS</v>
      </c>
    </row>
    <row r="183" spans="1:9" x14ac:dyDescent="0.25">
      <c r="A183" s="33" t="s">
        <v>403</v>
      </c>
      <c r="B183" s="28" t="s">
        <v>483</v>
      </c>
      <c r="C183" s="29">
        <v>0</v>
      </c>
      <c r="D183" s="157">
        <f>VLOOKUP(A183, 'Purchase Register'!C:D, 2, FALSE)</f>
        <v>5</v>
      </c>
      <c r="E183" s="29">
        <f>SUMIF('Sales Register'!C:C, A183, 'Sales Register'!D:D)</f>
        <v>2</v>
      </c>
      <c r="F183" s="29">
        <f t="shared" si="6"/>
        <v>3</v>
      </c>
      <c r="G183" s="29"/>
      <c r="H183" s="157">
        <f t="shared" si="7"/>
        <v>3</v>
      </c>
      <c r="I183" s="29" t="str">
        <f t="shared" si="8"/>
        <v>SERIOUS LOSS</v>
      </c>
    </row>
    <row r="184" spans="1:9" s="77" customFormat="1" x14ac:dyDescent="0.25">
      <c r="A184" s="70" t="s">
        <v>415</v>
      </c>
      <c r="B184" s="71" t="s">
        <v>387</v>
      </c>
      <c r="C184" s="72">
        <v>0</v>
      </c>
      <c r="D184" s="157">
        <f>VLOOKUP(A184, 'Purchase Register'!C:D, 2, FALSE)</f>
        <v>4</v>
      </c>
      <c r="E184" s="72">
        <f>SUMIF('Sales Register'!C:C, A184, 'Sales Register'!D:D)</f>
        <v>4</v>
      </c>
      <c r="F184" s="72">
        <f t="shared" si="6"/>
        <v>0</v>
      </c>
      <c r="G184" s="72"/>
      <c r="H184" s="72">
        <f t="shared" si="7"/>
        <v>0</v>
      </c>
      <c r="I184" s="72" t="str">
        <f t="shared" si="8"/>
        <v>OK</v>
      </c>
    </row>
    <row r="185" spans="1:9" s="77" customFormat="1" ht="30" x14ac:dyDescent="0.25">
      <c r="A185" s="70" t="s">
        <v>86</v>
      </c>
      <c r="B185" s="71" t="s">
        <v>191</v>
      </c>
      <c r="C185" s="72">
        <v>0</v>
      </c>
      <c r="D185" s="157">
        <f>VLOOKUP(A185, 'Purchase Register'!C:D, 2, FALSE)</f>
        <v>12</v>
      </c>
      <c r="E185" s="72">
        <f>SUMIF('Sales Register'!C:C, A185, 'Sales Register'!D:D)</f>
        <v>10</v>
      </c>
      <c r="F185" s="72">
        <f t="shared" si="6"/>
        <v>2</v>
      </c>
      <c r="G185" s="72"/>
      <c r="H185" s="72">
        <f t="shared" si="7"/>
        <v>2</v>
      </c>
      <c r="I185" s="72" t="str">
        <f t="shared" si="8"/>
        <v>Minor Issue</v>
      </c>
    </row>
    <row r="186" spans="1:9" ht="30" x14ac:dyDescent="0.25">
      <c r="A186" s="33" t="str">
        <f>'Purchase Register'!C226</f>
        <v>SUNRISE GARAM MASALA LOT 1</v>
      </c>
      <c r="B186" s="28" t="s">
        <v>204</v>
      </c>
      <c r="C186" s="29">
        <v>0</v>
      </c>
      <c r="D186" s="157">
        <f>VLOOKUP(A186, 'Purchase Register'!C:D, 2, FALSE)</f>
        <v>20</v>
      </c>
      <c r="E186" s="29">
        <f>SUMIF('Sales Register'!C:C, A186, 'Sales Register'!D:D)</f>
        <v>20</v>
      </c>
      <c r="F186" s="29">
        <f t="shared" si="6"/>
        <v>0</v>
      </c>
      <c r="G186" s="29"/>
      <c r="H186" s="157">
        <f t="shared" si="7"/>
        <v>0</v>
      </c>
      <c r="I186" s="29" t="str">
        <f t="shared" si="8"/>
        <v>OK</v>
      </c>
    </row>
    <row r="187" spans="1:9" x14ac:dyDescent="0.25">
      <c r="A187" s="33" t="s">
        <v>162</v>
      </c>
      <c r="B187" s="28" t="s">
        <v>204</v>
      </c>
      <c r="C187" s="29">
        <v>0</v>
      </c>
      <c r="D187" s="157">
        <f>VLOOKUP(A187, 'Purchase Register'!C:D, 2, FALSE)</f>
        <v>25</v>
      </c>
      <c r="E187" s="29">
        <f>SUMIF('Sales Register'!C:C, A187, 'Sales Register'!D:D)</f>
        <v>2</v>
      </c>
      <c r="F187" s="29">
        <f t="shared" si="6"/>
        <v>23</v>
      </c>
      <c r="G187" s="29"/>
      <c r="H187" s="157">
        <f t="shared" si="7"/>
        <v>23</v>
      </c>
      <c r="I187" s="29" t="str">
        <f t="shared" si="8"/>
        <v>SERIOUS LOSS</v>
      </c>
    </row>
    <row r="188" spans="1:9" s="77" customFormat="1" ht="30" x14ac:dyDescent="0.25">
      <c r="A188" s="158" t="s">
        <v>22</v>
      </c>
      <c r="B188" s="71" t="s">
        <v>179</v>
      </c>
      <c r="C188" s="72">
        <v>32</v>
      </c>
      <c r="D188" s="157">
        <f>VLOOKUP(A188, 'Purchase Register'!C:D, 2, FALSE)</f>
        <v>32</v>
      </c>
      <c r="E188" s="72">
        <f>SUMIF('Sales Register'!C:C, A188, 'Sales Register'!D:D)</f>
        <v>85</v>
      </c>
      <c r="F188" s="72">
        <f t="shared" si="6"/>
        <v>-21</v>
      </c>
      <c r="G188" s="72"/>
      <c r="H188" s="72">
        <f t="shared" si="7"/>
        <v>-21</v>
      </c>
      <c r="I188" s="72" t="str">
        <f t="shared" si="8"/>
        <v>SERIOUS LOSS</v>
      </c>
    </row>
    <row r="189" spans="1:9" ht="30" x14ac:dyDescent="0.25">
      <c r="A189" s="33" t="s">
        <v>105</v>
      </c>
      <c r="B189" s="28" t="s">
        <v>180</v>
      </c>
      <c r="C189" s="29">
        <v>0</v>
      </c>
      <c r="D189" s="157">
        <f>VLOOKUP(A189, 'Purchase Register'!C:D, 2, FALSE)</f>
        <v>2</v>
      </c>
      <c r="E189" s="29">
        <f>SUMIF('Sales Register'!C:C, A189, 'Sales Register'!D:D)</f>
        <v>2</v>
      </c>
      <c r="F189" s="29">
        <f t="shared" si="6"/>
        <v>0</v>
      </c>
      <c r="G189" s="29"/>
      <c r="H189" s="157">
        <f t="shared" si="7"/>
        <v>0</v>
      </c>
      <c r="I189" s="29" t="str">
        <f t="shared" si="8"/>
        <v>OK</v>
      </c>
    </row>
    <row r="190" spans="1:9" ht="30" x14ac:dyDescent="0.25">
      <c r="A190" s="33" t="s">
        <v>126</v>
      </c>
      <c r="B190" s="28" t="s">
        <v>180</v>
      </c>
      <c r="C190" s="29">
        <v>0</v>
      </c>
      <c r="D190" s="157">
        <f>VLOOKUP(A190, 'Purchase Register'!C:D, 2, FALSE)</f>
        <v>2</v>
      </c>
      <c r="E190" s="29">
        <f>SUMIF('Sales Register'!C:C, A190, 'Sales Register'!D:D)</f>
        <v>0</v>
      </c>
      <c r="F190" s="29">
        <f t="shared" si="6"/>
        <v>2</v>
      </c>
      <c r="G190" s="29"/>
      <c r="H190" s="157">
        <f t="shared" si="7"/>
        <v>2</v>
      </c>
      <c r="I190" s="29" t="str">
        <f t="shared" si="8"/>
        <v>Minor Issue</v>
      </c>
    </row>
    <row r="191" spans="1:9" ht="30" x14ac:dyDescent="0.25">
      <c r="A191" s="33" t="s">
        <v>106</v>
      </c>
      <c r="B191" s="28" t="s">
        <v>180</v>
      </c>
      <c r="C191" s="29">
        <v>0</v>
      </c>
      <c r="D191" s="157">
        <f>VLOOKUP(A191, 'Purchase Register'!C:D, 2, FALSE)</f>
        <v>2</v>
      </c>
      <c r="E191" s="29">
        <f>SUMIF('Sales Register'!C:C, A191, 'Sales Register'!D:D)</f>
        <v>2</v>
      </c>
      <c r="F191" s="29">
        <f t="shared" si="6"/>
        <v>0</v>
      </c>
      <c r="G191" s="29"/>
      <c r="H191" s="157">
        <f t="shared" si="7"/>
        <v>0</v>
      </c>
      <c r="I191" s="29" t="str">
        <f t="shared" si="8"/>
        <v>OK</v>
      </c>
    </row>
    <row r="192" spans="1:9" ht="30" x14ac:dyDescent="0.25">
      <c r="A192" s="33" t="s">
        <v>83</v>
      </c>
      <c r="B192" s="28" t="s">
        <v>205</v>
      </c>
      <c r="C192" s="29">
        <v>0</v>
      </c>
      <c r="D192" s="157">
        <f>VLOOKUP(A192, 'Purchase Register'!C:D, 2, FALSE)</f>
        <v>6</v>
      </c>
      <c r="E192" s="29">
        <f>SUMIF('Sales Register'!C:C, A192, 'Sales Register'!D:D)</f>
        <v>4</v>
      </c>
      <c r="F192" s="29">
        <f t="shared" si="6"/>
        <v>2</v>
      </c>
      <c r="G192" s="29"/>
      <c r="H192" s="157">
        <f t="shared" si="7"/>
        <v>2</v>
      </c>
      <c r="I192" s="29" t="str">
        <f t="shared" si="8"/>
        <v>Minor Issue</v>
      </c>
    </row>
    <row r="193" spans="1:9" s="77" customFormat="1" x14ac:dyDescent="0.25">
      <c r="A193" s="158" t="s">
        <v>24</v>
      </c>
      <c r="B193" s="71" t="s">
        <v>206</v>
      </c>
      <c r="C193" s="72">
        <v>5</v>
      </c>
      <c r="D193" s="157">
        <f>VLOOKUP(A193, 'Purchase Register'!C:D, 2, FALSE)</f>
        <v>3</v>
      </c>
      <c r="E193" s="72">
        <f>SUMIF('Sales Register'!C:C, A193, 'Sales Register'!D:D)</f>
        <v>9</v>
      </c>
      <c r="F193" s="72">
        <f t="shared" si="6"/>
        <v>-1</v>
      </c>
      <c r="G193" s="72"/>
      <c r="H193" s="72">
        <f t="shared" si="7"/>
        <v>-1</v>
      </c>
      <c r="I193" s="72" t="str">
        <f t="shared" si="8"/>
        <v>Minor Issue</v>
      </c>
    </row>
    <row r="194" spans="1:9" s="77" customFormat="1" x14ac:dyDescent="0.25">
      <c r="A194" s="70" t="s">
        <v>19</v>
      </c>
      <c r="B194" s="71" t="s">
        <v>206</v>
      </c>
      <c r="C194" s="72">
        <v>0</v>
      </c>
      <c r="D194" s="157">
        <f>VLOOKUP(A194, 'Purchase Register'!C:D, 2, FALSE)</f>
        <v>12</v>
      </c>
      <c r="E194" s="72">
        <f>SUMIF('Sales Register'!C:C, A194, 'Sales Register'!D:D)</f>
        <v>12</v>
      </c>
      <c r="F194" s="72">
        <f t="shared" si="6"/>
        <v>0</v>
      </c>
      <c r="G194" s="72"/>
      <c r="H194" s="72">
        <f t="shared" si="7"/>
        <v>0</v>
      </c>
      <c r="I194" s="72" t="str">
        <f t="shared" si="8"/>
        <v>OK</v>
      </c>
    </row>
    <row r="195" spans="1:9" s="77" customFormat="1" x14ac:dyDescent="0.25">
      <c r="A195" s="70" t="s">
        <v>354</v>
      </c>
      <c r="B195" s="71" t="s">
        <v>206</v>
      </c>
      <c r="C195" s="72">
        <v>0</v>
      </c>
      <c r="D195" s="157" t="e">
        <f>VLOOKUP(A195, 'Purchase Register'!C:D, 2, FALSE)</f>
        <v>#N/A</v>
      </c>
      <c r="E195" s="72">
        <f>SUMIF('Sales Register'!C:C, A195, 'Sales Register'!D:D)</f>
        <v>12</v>
      </c>
      <c r="F195" s="72" t="e">
        <f t="shared" si="6"/>
        <v>#N/A</v>
      </c>
      <c r="G195" s="72"/>
      <c r="H195" s="72" t="e">
        <f t="shared" si="7"/>
        <v>#N/A</v>
      </c>
      <c r="I195" s="72" t="e">
        <f t="shared" si="8"/>
        <v>#N/A</v>
      </c>
    </row>
    <row r="196" spans="1:9" ht="30" x14ac:dyDescent="0.25">
      <c r="A196" s="116" t="s">
        <v>23</v>
      </c>
      <c r="B196" s="28" t="s">
        <v>190</v>
      </c>
      <c r="C196" s="29">
        <v>4</v>
      </c>
      <c r="D196" s="157">
        <f>VLOOKUP(A196, 'Purchase Register'!C:D, 2, FALSE)</f>
        <v>4</v>
      </c>
      <c r="E196" s="29">
        <f>SUMIF('Sales Register'!C:C, A196, 'Sales Register'!D:D)</f>
        <v>7</v>
      </c>
      <c r="F196" s="29">
        <f t="shared" si="6"/>
        <v>1</v>
      </c>
      <c r="G196" s="29"/>
      <c r="H196" s="157">
        <f t="shared" si="7"/>
        <v>1</v>
      </c>
      <c r="I196" s="29" t="str">
        <f t="shared" si="8"/>
        <v>Minor Issue</v>
      </c>
    </row>
    <row r="197" spans="1:9" s="77" customFormat="1" x14ac:dyDescent="0.25">
      <c r="A197" s="158" t="s">
        <v>37</v>
      </c>
      <c r="B197" s="71"/>
      <c r="C197" s="72">
        <v>5</v>
      </c>
      <c r="D197" s="157">
        <f>VLOOKUP(A197, 'Purchase Register'!C:D, 2, FALSE)</f>
        <v>5</v>
      </c>
      <c r="E197" s="72">
        <f>SUMIF('Sales Register'!C:C, A197, 'Sales Register'!D:D)</f>
        <v>8</v>
      </c>
      <c r="F197" s="72">
        <f t="shared" si="6"/>
        <v>2</v>
      </c>
      <c r="G197" s="72"/>
      <c r="H197" s="72">
        <f t="shared" si="7"/>
        <v>2</v>
      </c>
      <c r="I197" s="72" t="str">
        <f t="shared" si="8"/>
        <v>Minor Issue</v>
      </c>
    </row>
    <row r="198" spans="1:9" x14ac:dyDescent="0.25">
      <c r="A198" s="33" t="s">
        <v>69</v>
      </c>
      <c r="B198" s="28" t="s">
        <v>205</v>
      </c>
      <c r="C198" s="29">
        <v>0</v>
      </c>
      <c r="D198" s="157">
        <f>VLOOKUP(A198, 'Purchase Register'!C:D, 2, FALSE)</f>
        <v>6</v>
      </c>
      <c r="E198" s="29">
        <f>SUMIF('Sales Register'!C:C, A198, 'Sales Register'!D:D)</f>
        <v>1</v>
      </c>
      <c r="F198" s="29">
        <f t="shared" si="6"/>
        <v>5</v>
      </c>
      <c r="G198" s="29"/>
      <c r="H198" s="157">
        <f t="shared" si="7"/>
        <v>5</v>
      </c>
      <c r="I198" s="29" t="str">
        <f t="shared" si="8"/>
        <v>SERIOUS LOSS</v>
      </c>
    </row>
    <row r="199" spans="1:9" x14ac:dyDescent="0.25">
      <c r="A199" s="33" t="s">
        <v>402</v>
      </c>
      <c r="B199" s="28" t="s">
        <v>408</v>
      </c>
      <c r="C199" s="29">
        <v>0</v>
      </c>
      <c r="D199" s="157">
        <f>VLOOKUP(A199, 'Purchase Register'!C:D, 2, FALSE)</f>
        <v>5</v>
      </c>
      <c r="E199" s="29">
        <f>SUMIF('Sales Register'!C:C, A199, 'Sales Register'!D:D)</f>
        <v>2</v>
      </c>
      <c r="F199" s="29">
        <f t="shared" si="6"/>
        <v>3</v>
      </c>
      <c r="G199" s="29"/>
      <c r="H199" s="157">
        <f t="shared" si="7"/>
        <v>3</v>
      </c>
      <c r="I199" s="29" t="str">
        <f t="shared" si="8"/>
        <v>SERIOUS LOSS</v>
      </c>
    </row>
    <row r="200" spans="1:9" s="77" customFormat="1" x14ac:dyDescent="0.25">
      <c r="A200" s="70" t="str">
        <f>'Purchase Register'!C218</f>
        <v>LOOSE SUGAR LOT 1</v>
      </c>
      <c r="B200" s="71" t="s">
        <v>221</v>
      </c>
      <c r="C200" s="72">
        <v>0</v>
      </c>
      <c r="D200" s="157">
        <f>VLOOKUP(A200, 'Purchase Register'!C:D, 2, FALSE)</f>
        <v>5</v>
      </c>
      <c r="E200" s="29">
        <f>SUMIF('Sales Register'!C:C, A200, 'Sales Register'!D:D)</f>
        <v>4.18</v>
      </c>
      <c r="F200" s="72">
        <f t="shared" ref="F200:F263" si="9">C200+D200-E200</f>
        <v>0.82000000000000028</v>
      </c>
      <c r="G200" s="72"/>
      <c r="H200" s="72">
        <f t="shared" ref="H200:H263" si="10">F200-G200</f>
        <v>0.82000000000000028</v>
      </c>
      <c r="I200" s="72" t="str">
        <f t="shared" ref="I200:I263" si="11">IF(H200=0,"OK",
IF(ABS(H200)&lt;=2,"Minor Issue","SERIOUS LOSS"))</f>
        <v>Minor Issue</v>
      </c>
    </row>
    <row r="201" spans="1:9" s="77" customFormat="1" ht="30" x14ac:dyDescent="0.25">
      <c r="A201" s="70" t="s">
        <v>444</v>
      </c>
      <c r="B201" s="71" t="s">
        <v>179</v>
      </c>
      <c r="C201" s="72">
        <v>0</v>
      </c>
      <c r="D201" s="157" t="e">
        <f>VLOOKUP(A201, 'Purchase Register'!C:D, 2, FALSE)</f>
        <v>#N/A</v>
      </c>
      <c r="E201" s="72">
        <f>SUMIF('Sales Register'!C:C, A201, 'Sales Register'!D:D)</f>
        <v>25</v>
      </c>
      <c r="F201" s="72" t="e">
        <f t="shared" si="9"/>
        <v>#N/A</v>
      </c>
      <c r="G201" s="72"/>
      <c r="H201" s="72" t="e">
        <f t="shared" si="10"/>
        <v>#N/A</v>
      </c>
      <c r="I201" s="72" t="e">
        <f t="shared" si="11"/>
        <v>#N/A</v>
      </c>
    </row>
    <row r="202" spans="1:9" x14ac:dyDescent="0.25">
      <c r="A202" s="33" t="s">
        <v>18</v>
      </c>
      <c r="B202" s="28"/>
      <c r="C202" s="29">
        <v>0</v>
      </c>
      <c r="D202" s="157">
        <f>VLOOKUP(A202, 'Purchase Register'!C:D, 2, FALSE)</f>
        <v>12</v>
      </c>
      <c r="E202" s="29">
        <f>SUMIF('Sales Register'!C:C, A202, 'Sales Register'!D:D)</f>
        <v>0</v>
      </c>
      <c r="F202" s="29">
        <f t="shared" si="9"/>
        <v>12</v>
      </c>
      <c r="G202" s="29"/>
      <c r="H202" s="157">
        <f t="shared" si="10"/>
        <v>12</v>
      </c>
      <c r="I202" s="29" t="str">
        <f t="shared" si="11"/>
        <v>SERIOUS LOSS</v>
      </c>
    </row>
    <row r="203" spans="1:9" ht="30" x14ac:dyDescent="0.25">
      <c r="A203" s="33" t="str">
        <f>'Purchase Register'!C215</f>
        <v>HEAD AND SHOULDERS SATCHET LOT 2</v>
      </c>
      <c r="B203" s="28"/>
      <c r="C203" s="29">
        <v>0</v>
      </c>
      <c r="D203" s="157">
        <f>VLOOKUP(A203, 'Purchase Register'!C:D, 2, FALSE)</f>
        <v>32</v>
      </c>
      <c r="E203" s="29">
        <f>SUMIF('Sales Register'!C:C, A203, 'Sales Register'!D:D)</f>
        <v>8</v>
      </c>
      <c r="F203" s="29">
        <f t="shared" si="9"/>
        <v>24</v>
      </c>
      <c r="G203" s="29"/>
      <c r="H203" s="157">
        <f t="shared" si="10"/>
        <v>24</v>
      </c>
      <c r="I203" s="29" t="str">
        <f t="shared" si="11"/>
        <v>SERIOUS LOSS</v>
      </c>
    </row>
    <row r="204" spans="1:9" x14ac:dyDescent="0.25">
      <c r="A204" s="33" t="s">
        <v>315</v>
      </c>
      <c r="B204" s="28"/>
      <c r="C204" s="29">
        <v>0</v>
      </c>
      <c r="D204" s="157">
        <f>VLOOKUP(A204, 'Purchase Register'!C:D, 2, FALSE)</f>
        <v>2</v>
      </c>
      <c r="E204" s="29">
        <f>SUMIF('Sales Register'!C:C, A204, 'Sales Register'!D:D)</f>
        <v>0</v>
      </c>
      <c r="F204" s="29">
        <f t="shared" si="9"/>
        <v>2</v>
      </c>
      <c r="G204" s="29"/>
      <c r="H204" s="157">
        <f t="shared" si="10"/>
        <v>2</v>
      </c>
      <c r="I204" s="29" t="str">
        <f t="shared" si="11"/>
        <v>Minor Issue</v>
      </c>
    </row>
    <row r="205" spans="1:9" x14ac:dyDescent="0.25">
      <c r="A205" s="33" t="s">
        <v>316</v>
      </c>
      <c r="B205" s="28"/>
      <c r="C205" s="29">
        <v>0</v>
      </c>
      <c r="D205" s="157">
        <f>VLOOKUP(A205, 'Purchase Register'!C:D, 2, FALSE)</f>
        <v>6</v>
      </c>
      <c r="E205" s="29">
        <f>SUMIF('Sales Register'!C:C, A205, 'Sales Register'!D:D)</f>
        <v>1</v>
      </c>
      <c r="F205" s="29">
        <f t="shared" si="9"/>
        <v>5</v>
      </c>
      <c r="G205" s="29"/>
      <c r="H205" s="157">
        <f t="shared" si="10"/>
        <v>5</v>
      </c>
      <c r="I205" s="29" t="str">
        <f t="shared" si="11"/>
        <v>SERIOUS LOSS</v>
      </c>
    </row>
    <row r="206" spans="1:9" ht="30" x14ac:dyDescent="0.25">
      <c r="A206" s="33" t="str">
        <f>'Purchase Register'!C200</f>
        <v>MODERN DALMOOT 20 INR LOT 1</v>
      </c>
      <c r="B206" s="28"/>
      <c r="C206" s="29">
        <v>0</v>
      </c>
      <c r="D206" s="157">
        <f>VLOOKUP(A206, 'Purchase Register'!C:D, 2, FALSE)</f>
        <v>20</v>
      </c>
      <c r="E206" s="29">
        <f>SUMIF('Sales Register'!C:C, A206, 'Sales Register'!D:D)</f>
        <v>16</v>
      </c>
      <c r="F206" s="29">
        <f t="shared" si="9"/>
        <v>4</v>
      </c>
      <c r="G206" s="29"/>
      <c r="H206" s="157">
        <f t="shared" si="10"/>
        <v>4</v>
      </c>
      <c r="I206" s="29" t="str">
        <f t="shared" si="11"/>
        <v>SERIOUS LOSS</v>
      </c>
    </row>
    <row r="207" spans="1:9" ht="30" x14ac:dyDescent="0.25">
      <c r="A207" s="33" t="str">
        <f>'Purchase Register'!C193</f>
        <v>LAYS WEST INDIESHOT N SWEET CHILLI LOT 1</v>
      </c>
      <c r="B207" s="28"/>
      <c r="C207" s="29">
        <v>0</v>
      </c>
      <c r="D207" s="157">
        <f>VLOOKUP(A207, 'Purchase Register'!C:D, 2, FALSE)</f>
        <v>24</v>
      </c>
      <c r="E207" s="29">
        <f>SUMIF('Sales Register'!C:C, A207, 'Sales Register'!D:D)</f>
        <v>7</v>
      </c>
      <c r="F207" s="29">
        <f t="shared" si="9"/>
        <v>17</v>
      </c>
      <c r="G207" s="29"/>
      <c r="H207" s="157">
        <f t="shared" si="10"/>
        <v>17</v>
      </c>
      <c r="I207" s="29" t="str">
        <f t="shared" si="11"/>
        <v>SERIOUS LOSS</v>
      </c>
    </row>
    <row r="208" spans="1:9" ht="30" x14ac:dyDescent="0.25">
      <c r="A208" s="33" t="s">
        <v>90</v>
      </c>
      <c r="B208" s="28" t="s">
        <v>210</v>
      </c>
      <c r="C208" s="29">
        <v>0</v>
      </c>
      <c r="D208" s="157">
        <f>VLOOKUP(A208, 'Purchase Register'!C:D, 2, FALSE)</f>
        <v>48</v>
      </c>
      <c r="E208" s="29">
        <f>SUMIF('Sales Register'!C:C, A208, 'Sales Register'!D:D)</f>
        <v>0</v>
      </c>
      <c r="F208" s="29">
        <f t="shared" si="9"/>
        <v>48</v>
      </c>
      <c r="G208" s="29"/>
      <c r="H208" s="157">
        <f t="shared" si="10"/>
        <v>48</v>
      </c>
      <c r="I208" s="29" t="str">
        <f t="shared" si="11"/>
        <v>SERIOUS LOSS</v>
      </c>
    </row>
    <row r="209" spans="1:9" ht="30" x14ac:dyDescent="0.25">
      <c r="A209" s="33" t="s">
        <v>104</v>
      </c>
      <c r="B209" s="28" t="s">
        <v>210</v>
      </c>
      <c r="C209" s="29">
        <v>0</v>
      </c>
      <c r="D209" s="157">
        <f>VLOOKUP(A209, 'Purchase Register'!C:D, 2, FALSE)</f>
        <v>2</v>
      </c>
      <c r="E209" s="29">
        <f>SUMIF('Sales Register'!C:C, A209, 'Sales Register'!D:D)</f>
        <v>0</v>
      </c>
      <c r="F209" s="29">
        <f t="shared" si="9"/>
        <v>2</v>
      </c>
      <c r="G209" s="29"/>
      <c r="H209" s="157">
        <f t="shared" si="10"/>
        <v>2</v>
      </c>
      <c r="I209" s="29" t="str">
        <f t="shared" si="11"/>
        <v>Minor Issue</v>
      </c>
    </row>
    <row r="210" spans="1:9" s="77" customFormat="1" x14ac:dyDescent="0.25">
      <c r="A210" s="33" t="s">
        <v>150</v>
      </c>
      <c r="B210" s="71"/>
      <c r="C210" s="72">
        <v>0</v>
      </c>
      <c r="D210" s="157">
        <f>VLOOKUP(A210, 'Purchase Register'!C:D, 2, FALSE)</f>
        <v>4</v>
      </c>
      <c r="E210" s="72">
        <f>SUMIF('Sales Register'!C:C, A210, 'Sales Register'!D:D)</f>
        <v>2</v>
      </c>
      <c r="F210" s="72">
        <f t="shared" si="9"/>
        <v>2</v>
      </c>
      <c r="G210" s="72"/>
      <c r="H210" s="72">
        <f t="shared" si="10"/>
        <v>2</v>
      </c>
      <c r="I210" s="72" t="str">
        <f t="shared" si="11"/>
        <v>Minor Issue</v>
      </c>
    </row>
    <row r="211" spans="1:9" x14ac:dyDescent="0.25">
      <c r="A211" s="116" t="s">
        <v>62</v>
      </c>
      <c r="B211" s="28" t="s">
        <v>184</v>
      </c>
      <c r="C211" s="29">
        <v>5</v>
      </c>
      <c r="D211" s="157">
        <f>VLOOKUP(A211, 'Purchase Register'!C:D, 2, FALSE)</f>
        <v>5</v>
      </c>
      <c r="E211" s="29">
        <f>SUMIF('Sales Register'!C:C, A211, 'Sales Register'!D:D)</f>
        <v>1</v>
      </c>
      <c r="F211" s="29">
        <f t="shared" si="9"/>
        <v>9</v>
      </c>
      <c r="G211" s="29"/>
      <c r="H211" s="157">
        <f t="shared" si="10"/>
        <v>9</v>
      </c>
      <c r="I211" s="29" t="str">
        <f t="shared" si="11"/>
        <v>SERIOUS LOSS</v>
      </c>
    </row>
    <row r="212" spans="1:9" x14ac:dyDescent="0.25">
      <c r="A212" s="116" t="s">
        <v>60</v>
      </c>
      <c r="B212" s="28" t="s">
        <v>184</v>
      </c>
      <c r="C212" s="29">
        <v>2</v>
      </c>
      <c r="D212" s="157">
        <f>VLOOKUP(A212, 'Purchase Register'!C:D, 2, FALSE)</f>
        <v>2</v>
      </c>
      <c r="E212" s="29">
        <f>SUMIF('Sales Register'!C:C, A212, 'Sales Register'!D:D)</f>
        <v>5</v>
      </c>
      <c r="F212" s="29">
        <f t="shared" si="9"/>
        <v>-1</v>
      </c>
      <c r="G212" s="29"/>
      <c r="H212" s="157">
        <f t="shared" si="10"/>
        <v>-1</v>
      </c>
      <c r="I212" s="29" t="str">
        <f t="shared" si="11"/>
        <v>Minor Issue</v>
      </c>
    </row>
    <row r="213" spans="1:9" x14ac:dyDescent="0.25">
      <c r="A213" s="33" t="str">
        <f>'Purchase Register'!C229</f>
        <v>WHOLE DARCHINI LOT 1</v>
      </c>
      <c r="B213" s="28"/>
      <c r="C213" s="29">
        <v>0</v>
      </c>
      <c r="D213" s="157">
        <f>VLOOKUP(A213, 'Purchase Register'!C:D, 2, FALSE)</f>
        <v>0.2</v>
      </c>
      <c r="E213" s="29">
        <f>SUMIF('Sales Register'!C:C, A213, 'Sales Register'!D:D)</f>
        <v>6.0000000000000005E-2</v>
      </c>
      <c r="F213" s="29">
        <f t="shared" si="9"/>
        <v>0.14000000000000001</v>
      </c>
      <c r="G213" s="29"/>
      <c r="H213" s="157">
        <f t="shared" si="10"/>
        <v>0.14000000000000001</v>
      </c>
      <c r="I213" s="29" t="str">
        <f t="shared" si="11"/>
        <v>Minor Issue</v>
      </c>
    </row>
    <row r="214" spans="1:9" x14ac:dyDescent="0.25">
      <c r="A214" s="33" t="str">
        <f>'Purchase Register'!C232</f>
        <v>WHOLE GOL MORICH LOT 1</v>
      </c>
      <c r="B214" s="28"/>
      <c r="C214" s="29">
        <v>0</v>
      </c>
      <c r="D214" s="157">
        <f>VLOOKUP(A214, 'Purchase Register'!C:D, 2, FALSE)</f>
        <v>0.2</v>
      </c>
      <c r="E214" s="29">
        <f>SUMIF('Sales Register'!C:C, A214, 'Sales Register'!D:D)</f>
        <v>0</v>
      </c>
      <c r="F214" s="29">
        <f t="shared" si="9"/>
        <v>0.2</v>
      </c>
      <c r="G214" s="29"/>
      <c r="H214" s="157">
        <f t="shared" si="10"/>
        <v>0.2</v>
      </c>
      <c r="I214" s="29" t="str">
        <f t="shared" si="11"/>
        <v>Minor Issue</v>
      </c>
    </row>
    <row r="215" spans="1:9" x14ac:dyDescent="0.25">
      <c r="A215" s="33" t="str">
        <f>'Purchase Register'!C230</f>
        <v>WHOLE DHANIA LOT 1</v>
      </c>
      <c r="B215" s="28"/>
      <c r="C215" s="29">
        <v>0</v>
      </c>
      <c r="D215" s="157">
        <f>VLOOKUP(A215, 'Purchase Register'!C:D, 2, FALSE)</f>
        <v>0.2</v>
      </c>
      <c r="E215" s="29">
        <f>SUMIF('Sales Register'!C:C, A215, 'Sales Register'!D:D)</f>
        <v>1.302</v>
      </c>
      <c r="F215" s="29">
        <f t="shared" si="9"/>
        <v>-1.1020000000000001</v>
      </c>
      <c r="G215" s="29"/>
      <c r="H215" s="157">
        <f t="shared" si="10"/>
        <v>-1.1020000000000001</v>
      </c>
      <c r="I215" s="29" t="str">
        <f t="shared" si="11"/>
        <v>Minor Issue</v>
      </c>
    </row>
    <row r="216" spans="1:9" x14ac:dyDescent="0.25">
      <c r="A216" s="33" t="str">
        <f>'Purchase Register'!C237</f>
        <v>WHOLE MOURI LOT 1</v>
      </c>
      <c r="B216" s="28"/>
      <c r="C216" s="29">
        <v>0</v>
      </c>
      <c r="D216" s="157">
        <f>VLOOKUP(A216, 'Purchase Register'!C:D, 2, FALSE)</f>
        <v>0.2</v>
      </c>
      <c r="E216" s="29">
        <f>SUMIF('Sales Register'!C:C, A216, 'Sales Register'!D:D)</f>
        <v>0.27500000000000002</v>
      </c>
      <c r="F216" s="29">
        <f t="shared" si="9"/>
        <v>-7.5000000000000011E-2</v>
      </c>
      <c r="G216" s="29"/>
      <c r="H216" s="157">
        <f t="shared" si="10"/>
        <v>-7.5000000000000011E-2</v>
      </c>
      <c r="I216" s="29" t="str">
        <f t="shared" si="11"/>
        <v>Minor Issue</v>
      </c>
    </row>
    <row r="217" spans="1:9" s="77" customFormat="1" x14ac:dyDescent="0.25">
      <c r="A217" s="70" t="str">
        <f>'Purchase Register'!C231</f>
        <v>WHOLE ELACHI LOT 1</v>
      </c>
      <c r="B217" s="71"/>
      <c r="C217" s="72">
        <v>0</v>
      </c>
      <c r="D217" s="157">
        <f>VLOOKUP(A217, 'Purchase Register'!C:D, 2, FALSE)</f>
        <v>0.1</v>
      </c>
      <c r="E217" s="72">
        <f>SUMIF('Sales Register'!C:C, A217, 'Sales Register'!D:D)</f>
        <v>0.15100000000000002</v>
      </c>
      <c r="F217" s="72">
        <f t="shared" si="9"/>
        <v>-5.1000000000000018E-2</v>
      </c>
      <c r="G217" s="72"/>
      <c r="H217" s="72">
        <f t="shared" si="10"/>
        <v>-5.1000000000000018E-2</v>
      </c>
      <c r="I217" s="72" t="str">
        <f t="shared" si="11"/>
        <v>Minor Issue</v>
      </c>
    </row>
    <row r="218" spans="1:9" x14ac:dyDescent="0.25">
      <c r="A218" s="33" t="str">
        <f>'Purchase Register'!C233</f>
        <v>WHOLE JEERA LOT 1</v>
      </c>
      <c r="B218" s="28"/>
      <c r="C218" s="29">
        <v>0</v>
      </c>
      <c r="D218" s="157">
        <f>VLOOKUP(A218, 'Purchase Register'!C:D, 2, FALSE)</f>
        <v>0.2</v>
      </c>
      <c r="E218" s="29">
        <f>SUMIF('Sales Register'!C:C, A218, 'Sales Register'!D:D)</f>
        <v>0.21599999999999997</v>
      </c>
      <c r="F218" s="29">
        <f t="shared" si="9"/>
        <v>-1.5999999999999959E-2</v>
      </c>
      <c r="G218" s="29"/>
      <c r="H218" s="157">
        <f t="shared" si="10"/>
        <v>-1.5999999999999959E-2</v>
      </c>
      <c r="I218" s="29" t="str">
        <f t="shared" si="11"/>
        <v>Minor Issue</v>
      </c>
    </row>
    <row r="219" spans="1:9" x14ac:dyDescent="0.25">
      <c r="A219" s="33" t="str">
        <f>'Purchase Register'!C236</f>
        <v>WHOLE MEETHI LOT 1</v>
      </c>
      <c r="B219" s="28"/>
      <c r="C219" s="29">
        <v>0</v>
      </c>
      <c r="D219" s="157">
        <f>VLOOKUP(A219, 'Purchase Register'!C:D, 2, FALSE)</f>
        <v>0.2</v>
      </c>
      <c r="E219" s="29">
        <f>SUMIF('Sales Register'!C:C, A219, 'Sales Register'!D:D)</f>
        <v>0.24700000000000003</v>
      </c>
      <c r="F219" s="29">
        <f t="shared" si="9"/>
        <v>-4.7000000000000014E-2</v>
      </c>
      <c r="G219" s="29"/>
      <c r="H219" s="157">
        <f t="shared" si="10"/>
        <v>-4.7000000000000014E-2</v>
      </c>
      <c r="I219" s="29" t="str">
        <f t="shared" si="11"/>
        <v>Minor Issue</v>
      </c>
    </row>
    <row r="220" spans="1:9" s="77" customFormat="1" x14ac:dyDescent="0.25">
      <c r="A220" s="70" t="str">
        <f>'Purchase Register'!C234</f>
        <v>WHOLE KALIJEERA LOT 1</v>
      </c>
      <c r="B220" s="71"/>
      <c r="C220" s="72">
        <v>0</v>
      </c>
      <c r="D220" s="157">
        <f>VLOOKUP(A220, 'Purchase Register'!C:D, 2, FALSE)</f>
        <v>0.2</v>
      </c>
      <c r="E220" s="72">
        <f>SUMIF('Sales Register'!C:C, A220, 'Sales Register'!D:D)</f>
        <v>0.21700000000000003</v>
      </c>
      <c r="F220" s="72">
        <f t="shared" si="9"/>
        <v>-1.7000000000000015E-2</v>
      </c>
      <c r="G220" s="72"/>
      <c r="H220" s="72">
        <f t="shared" si="10"/>
        <v>-1.7000000000000015E-2</v>
      </c>
      <c r="I220" s="72" t="str">
        <f t="shared" si="11"/>
        <v>Minor Issue</v>
      </c>
    </row>
    <row r="221" spans="1:9" s="77" customFormat="1" x14ac:dyDescent="0.25">
      <c r="A221" s="70" t="str">
        <f>'Purchase Register'!C235</f>
        <v>WHOLE LONG LOT 1</v>
      </c>
      <c r="B221" s="71"/>
      <c r="C221" s="72">
        <v>0</v>
      </c>
      <c r="D221" s="157">
        <f>VLOOKUP(A221, 'Purchase Register'!C:D, 2, FALSE)</f>
        <v>0.2</v>
      </c>
      <c r="E221" s="72">
        <f>SUMIF('Sales Register'!C:C, A221, 'Sales Register'!D:D)</f>
        <v>0.13900000000000001</v>
      </c>
      <c r="F221" s="72">
        <f t="shared" si="9"/>
        <v>6.0999999999999999E-2</v>
      </c>
      <c r="G221" s="72"/>
      <c r="H221" s="72">
        <f t="shared" si="10"/>
        <v>6.0999999999999999E-2</v>
      </c>
      <c r="I221" s="72" t="str">
        <f t="shared" si="11"/>
        <v>Minor Issue</v>
      </c>
    </row>
    <row r="222" spans="1:9" s="77" customFormat="1" ht="30" x14ac:dyDescent="0.25">
      <c r="A222" s="70" t="s">
        <v>501</v>
      </c>
      <c r="B222" s="71"/>
      <c r="C222" s="72">
        <v>0</v>
      </c>
      <c r="D222" s="157">
        <f>VLOOKUP(A222, 'Purchase Register'!C:D, 2, FALSE)</f>
        <v>20</v>
      </c>
      <c r="E222" s="72">
        <f>SUMIF('Sales Register'!C:C, A222, 'Sales Register'!D:D)</f>
        <v>21</v>
      </c>
      <c r="F222" s="72">
        <f t="shared" si="9"/>
        <v>-1</v>
      </c>
      <c r="G222" s="72"/>
      <c r="H222" s="72">
        <f t="shared" si="10"/>
        <v>-1</v>
      </c>
      <c r="I222" s="72" t="str">
        <f t="shared" si="11"/>
        <v>Minor Issue</v>
      </c>
    </row>
    <row r="223" spans="1:9" s="77" customFormat="1" ht="30" x14ac:dyDescent="0.25">
      <c r="A223" s="70" t="s">
        <v>502</v>
      </c>
      <c r="B223" s="71"/>
      <c r="C223" s="72">
        <v>0</v>
      </c>
      <c r="D223" s="157">
        <f>VLOOKUP(A223, 'Purchase Register'!C:D, 2, FALSE)</f>
        <v>24</v>
      </c>
      <c r="E223" s="72">
        <f>SUMIF('Sales Register'!C:C, A223, 'Sales Register'!D:D)</f>
        <v>32</v>
      </c>
      <c r="F223" s="72">
        <f t="shared" si="9"/>
        <v>-8</v>
      </c>
      <c r="G223" s="72"/>
      <c r="H223" s="72">
        <f t="shared" si="10"/>
        <v>-8</v>
      </c>
      <c r="I223" s="72" t="str">
        <f t="shared" si="11"/>
        <v>SERIOUS LOSS</v>
      </c>
    </row>
    <row r="224" spans="1:9" ht="30" x14ac:dyDescent="0.25">
      <c r="A224" s="33" t="s">
        <v>503</v>
      </c>
      <c r="B224" s="28"/>
      <c r="C224" s="29">
        <v>0</v>
      </c>
      <c r="D224" s="157">
        <f>VLOOKUP(A224, 'Purchase Register'!C:D, 2, FALSE)</f>
        <v>40</v>
      </c>
      <c r="E224" s="29">
        <f>SUMIF('Sales Register'!C:C, A224, 'Sales Register'!D:D)</f>
        <v>23</v>
      </c>
      <c r="F224" s="29">
        <f t="shared" si="9"/>
        <v>17</v>
      </c>
      <c r="G224" s="29"/>
      <c r="H224" s="157">
        <f t="shared" si="10"/>
        <v>17</v>
      </c>
      <c r="I224" s="29" t="str">
        <f t="shared" si="11"/>
        <v>SERIOUS LOSS</v>
      </c>
    </row>
    <row r="225" spans="1:9" s="77" customFormat="1" ht="30" x14ac:dyDescent="0.25">
      <c r="A225" s="70" t="s">
        <v>509</v>
      </c>
      <c r="B225" s="71"/>
      <c r="C225" s="72">
        <v>0</v>
      </c>
      <c r="D225" s="157">
        <f>VLOOKUP(A225, 'Purchase Register'!C:D, 2, FALSE)</f>
        <v>6</v>
      </c>
      <c r="E225" s="72">
        <f>SUMIF('Sales Register'!C:C, A225, 'Sales Register'!D:D)</f>
        <v>5.7119999999999997</v>
      </c>
      <c r="F225" s="72">
        <f t="shared" si="9"/>
        <v>0.28800000000000026</v>
      </c>
      <c r="G225" s="72"/>
      <c r="H225" s="72">
        <f t="shared" si="10"/>
        <v>0.28800000000000026</v>
      </c>
      <c r="I225" s="72" t="str">
        <f t="shared" si="11"/>
        <v>Minor Issue</v>
      </c>
    </row>
    <row r="226" spans="1:9" s="77" customFormat="1" ht="30" x14ac:dyDescent="0.25">
      <c r="A226" s="70" t="s">
        <v>510</v>
      </c>
      <c r="B226" s="71"/>
      <c r="C226" s="72">
        <v>0</v>
      </c>
      <c r="D226" s="157">
        <f>VLOOKUP(A226, 'Purchase Register'!C:D, 2, FALSE)</f>
        <v>3</v>
      </c>
      <c r="E226" s="72">
        <f>SUMIF('Sales Register'!C:C, A226, 'Sales Register'!D:D)</f>
        <v>3</v>
      </c>
      <c r="F226" s="72">
        <f t="shared" si="9"/>
        <v>0</v>
      </c>
      <c r="G226" s="72"/>
      <c r="H226" s="72">
        <f t="shared" si="10"/>
        <v>0</v>
      </c>
      <c r="I226" s="72" t="str">
        <f t="shared" si="11"/>
        <v>OK</v>
      </c>
    </row>
    <row r="227" spans="1:9" ht="30" x14ac:dyDescent="0.25">
      <c r="A227" s="33" t="s">
        <v>511</v>
      </c>
      <c r="B227" s="28"/>
      <c r="C227" s="29">
        <v>0</v>
      </c>
      <c r="D227" s="157">
        <f>VLOOKUP(A227, 'Purchase Register'!C:D, 2, FALSE)</f>
        <v>3</v>
      </c>
      <c r="E227" s="29">
        <f>SUMIF('Sales Register'!C:C, A227, 'Sales Register'!D:D)</f>
        <v>1</v>
      </c>
      <c r="F227" s="29">
        <f t="shared" si="9"/>
        <v>2</v>
      </c>
      <c r="G227" s="29"/>
      <c r="H227" s="157">
        <f t="shared" si="10"/>
        <v>2</v>
      </c>
      <c r="I227" s="29" t="str">
        <f t="shared" si="11"/>
        <v>Minor Issue</v>
      </c>
    </row>
    <row r="228" spans="1:9" s="77" customFormat="1" x14ac:dyDescent="0.25">
      <c r="A228" s="70" t="s">
        <v>512</v>
      </c>
      <c r="B228" s="71"/>
      <c r="C228" s="72">
        <v>0</v>
      </c>
      <c r="D228" s="157">
        <f>VLOOKUP(A228, 'Purchase Register'!C:D, 2, FALSE)</f>
        <v>6</v>
      </c>
      <c r="E228" s="72">
        <f>SUMIF('Sales Register'!C:C, A228, 'Sales Register'!D:D)</f>
        <v>9</v>
      </c>
      <c r="F228" s="72">
        <f t="shared" si="9"/>
        <v>-3</v>
      </c>
      <c r="G228" s="72"/>
      <c r="H228" s="72">
        <f t="shared" si="10"/>
        <v>-3</v>
      </c>
      <c r="I228" s="72" t="str">
        <f t="shared" si="11"/>
        <v>SERIOUS LOSS</v>
      </c>
    </row>
    <row r="229" spans="1:9" x14ac:dyDescent="0.25">
      <c r="A229" s="33" t="s">
        <v>513</v>
      </c>
      <c r="B229" s="28"/>
      <c r="C229" s="29">
        <v>0</v>
      </c>
      <c r="D229" s="157">
        <f>VLOOKUP(A229, 'Purchase Register'!C:D, 2, FALSE)</f>
        <v>3</v>
      </c>
      <c r="E229" s="29">
        <f>SUMIF('Sales Register'!C:C, A229, 'Sales Register'!D:D)</f>
        <v>4</v>
      </c>
      <c r="F229" s="29">
        <f t="shared" si="9"/>
        <v>-1</v>
      </c>
      <c r="G229" s="29"/>
      <c r="H229" s="157">
        <f t="shared" si="10"/>
        <v>-1</v>
      </c>
      <c r="I229" s="29" t="str">
        <f t="shared" si="11"/>
        <v>Minor Issue</v>
      </c>
    </row>
    <row r="230" spans="1:9" ht="30" x14ac:dyDescent="0.25">
      <c r="A230" s="33" t="s">
        <v>514</v>
      </c>
      <c r="B230" s="28"/>
      <c r="C230" s="29">
        <v>0</v>
      </c>
      <c r="D230" s="157">
        <f>VLOOKUP(A230, 'Purchase Register'!C:D, 2, FALSE)</f>
        <v>4</v>
      </c>
      <c r="E230" s="29">
        <f>SUMIF('Sales Register'!C:C, A230, 'Sales Register'!D:D)</f>
        <v>0</v>
      </c>
      <c r="F230" s="29">
        <f t="shared" si="9"/>
        <v>4</v>
      </c>
      <c r="G230" s="29"/>
      <c r="H230" s="157">
        <f t="shared" si="10"/>
        <v>4</v>
      </c>
      <c r="I230" s="29" t="str">
        <f t="shared" si="11"/>
        <v>SERIOUS LOSS</v>
      </c>
    </row>
    <row r="231" spans="1:9" x14ac:dyDescent="0.25">
      <c r="A231" s="33" t="s">
        <v>515</v>
      </c>
      <c r="B231" s="28"/>
      <c r="C231" s="29">
        <v>0</v>
      </c>
      <c r="D231" s="157">
        <f>VLOOKUP(A231, 'Purchase Register'!C:D, 2, FALSE)</f>
        <v>1</v>
      </c>
      <c r="E231" s="29">
        <f>SUMIF('Sales Register'!C:C, A231, 'Sales Register'!D:D)</f>
        <v>0.875</v>
      </c>
      <c r="F231" s="29">
        <f t="shared" si="9"/>
        <v>0.125</v>
      </c>
      <c r="G231" s="29"/>
      <c r="H231" s="157">
        <f t="shared" si="10"/>
        <v>0.125</v>
      </c>
      <c r="I231" s="29" t="str">
        <f t="shared" si="11"/>
        <v>Minor Issue</v>
      </c>
    </row>
    <row r="232" spans="1:9" ht="30" x14ac:dyDescent="0.25">
      <c r="A232" s="33" t="s">
        <v>516</v>
      </c>
      <c r="B232" s="28"/>
      <c r="C232" s="29">
        <v>0</v>
      </c>
      <c r="D232" s="157">
        <f>VLOOKUP(A232, 'Purchase Register'!C:D, 2, FALSE)</f>
        <v>2</v>
      </c>
      <c r="E232" s="29">
        <f>SUMIF('Sales Register'!C:C, A232, 'Sales Register'!D:D)</f>
        <v>4</v>
      </c>
      <c r="F232" s="29">
        <f t="shared" si="9"/>
        <v>-2</v>
      </c>
      <c r="G232" s="29"/>
      <c r="H232" s="157">
        <f t="shared" si="10"/>
        <v>-2</v>
      </c>
      <c r="I232" s="29" t="str">
        <f t="shared" si="11"/>
        <v>Minor Issue</v>
      </c>
    </row>
    <row r="233" spans="1:9" s="77" customFormat="1" x14ac:dyDescent="0.25">
      <c r="A233" s="70" t="s">
        <v>517</v>
      </c>
      <c r="B233" s="71"/>
      <c r="C233" s="72">
        <v>0</v>
      </c>
      <c r="D233" s="157">
        <f>VLOOKUP(A233, 'Purchase Register'!C:D, 2, FALSE)</f>
        <v>3</v>
      </c>
      <c r="E233" s="72">
        <f>SUMIF('Sales Register'!C:C, A233, 'Sales Register'!D:D)</f>
        <v>4</v>
      </c>
      <c r="F233" s="72">
        <f t="shared" si="9"/>
        <v>-1</v>
      </c>
      <c r="G233" s="72"/>
      <c r="H233" s="72">
        <f t="shared" si="10"/>
        <v>-1</v>
      </c>
      <c r="I233" s="72" t="str">
        <f t="shared" si="11"/>
        <v>Minor Issue</v>
      </c>
    </row>
    <row r="234" spans="1:9" s="77" customFormat="1" x14ac:dyDescent="0.25">
      <c r="A234" s="70" t="s">
        <v>518</v>
      </c>
      <c r="B234" s="71"/>
      <c r="C234" s="72">
        <v>0</v>
      </c>
      <c r="D234" s="157">
        <f>VLOOKUP(A234, 'Purchase Register'!C:D, 2, FALSE)</f>
        <v>4</v>
      </c>
      <c r="E234" s="72">
        <f>SUMIF('Sales Register'!C:C, A234, 'Sales Register'!D:D)</f>
        <v>4</v>
      </c>
      <c r="F234" s="72">
        <f t="shared" si="9"/>
        <v>0</v>
      </c>
      <c r="G234" s="72"/>
      <c r="H234" s="72">
        <f t="shared" si="10"/>
        <v>0</v>
      </c>
      <c r="I234" s="72" t="str">
        <f t="shared" si="11"/>
        <v>OK</v>
      </c>
    </row>
    <row r="235" spans="1:9" x14ac:dyDescent="0.25">
      <c r="A235" s="33" t="s">
        <v>519</v>
      </c>
      <c r="B235" s="28"/>
      <c r="C235" s="29">
        <v>0</v>
      </c>
      <c r="D235" s="157">
        <f>VLOOKUP(A235, 'Purchase Register'!C:D, 2, FALSE)</f>
        <v>12</v>
      </c>
      <c r="E235" s="29">
        <f>SUMIF('Sales Register'!C:C, A235, 'Sales Register'!D:D)</f>
        <v>12</v>
      </c>
      <c r="F235" s="29">
        <f t="shared" si="9"/>
        <v>0</v>
      </c>
      <c r="G235" s="29"/>
      <c r="H235" s="157">
        <f t="shared" si="10"/>
        <v>0</v>
      </c>
      <c r="I235" s="29" t="str">
        <f t="shared" si="11"/>
        <v>OK</v>
      </c>
    </row>
    <row r="236" spans="1:9" ht="30" x14ac:dyDescent="0.25">
      <c r="A236" s="33" t="s">
        <v>520</v>
      </c>
      <c r="B236" s="28"/>
      <c r="C236" s="29">
        <v>0</v>
      </c>
      <c r="D236" s="157">
        <f>VLOOKUP(A236, 'Purchase Register'!C:D, 2, FALSE)</f>
        <v>12</v>
      </c>
      <c r="E236" s="29">
        <f>SUMIF('Sales Register'!C:C, A236, 'Sales Register'!D:D)</f>
        <v>8</v>
      </c>
      <c r="F236" s="29">
        <f t="shared" si="9"/>
        <v>4</v>
      </c>
      <c r="G236" s="29"/>
      <c r="H236" s="157">
        <f t="shared" si="10"/>
        <v>4</v>
      </c>
      <c r="I236" s="29" t="str">
        <f t="shared" si="11"/>
        <v>SERIOUS LOSS</v>
      </c>
    </row>
    <row r="237" spans="1:9" s="77" customFormat="1" x14ac:dyDescent="0.25">
      <c r="A237" s="70" t="s">
        <v>521</v>
      </c>
      <c r="B237" s="71"/>
      <c r="C237" s="72">
        <v>0</v>
      </c>
      <c r="D237" s="157">
        <f>VLOOKUP(A237, 'Purchase Register'!C:D, 2, FALSE)</f>
        <v>10</v>
      </c>
      <c r="E237" s="72">
        <f>SUMIF('Sales Register'!C:C, A237, 'Sales Register'!D:D)</f>
        <v>1</v>
      </c>
      <c r="F237" s="72">
        <f t="shared" si="9"/>
        <v>9</v>
      </c>
      <c r="G237" s="72"/>
      <c r="H237" s="72">
        <f t="shared" si="10"/>
        <v>9</v>
      </c>
      <c r="I237" s="72" t="str">
        <f t="shared" si="11"/>
        <v>SERIOUS LOSS</v>
      </c>
    </row>
    <row r="238" spans="1:9" s="77" customFormat="1" x14ac:dyDescent="0.25">
      <c r="A238" s="70" t="s">
        <v>522</v>
      </c>
      <c r="B238" s="71"/>
      <c r="C238" s="72">
        <v>0</v>
      </c>
      <c r="D238" s="157">
        <f>VLOOKUP(A238, 'Purchase Register'!C:D, 2, FALSE)</f>
        <v>6</v>
      </c>
      <c r="E238" s="72">
        <f>SUMIF('Sales Register'!C:C, A238, 'Sales Register'!D:D)</f>
        <v>12</v>
      </c>
      <c r="F238" s="72">
        <f t="shared" si="9"/>
        <v>-6</v>
      </c>
      <c r="G238" s="72"/>
      <c r="H238" s="72">
        <f t="shared" si="10"/>
        <v>-6</v>
      </c>
      <c r="I238" s="72" t="str">
        <f t="shared" si="11"/>
        <v>SERIOUS LOSS</v>
      </c>
    </row>
    <row r="239" spans="1:9" x14ac:dyDescent="0.25">
      <c r="A239" s="33" t="s">
        <v>523</v>
      </c>
      <c r="B239" s="28"/>
      <c r="C239" s="29">
        <v>0</v>
      </c>
      <c r="D239" s="157">
        <f>VLOOKUP(A239, 'Purchase Register'!C:D, 2, FALSE)</f>
        <v>5</v>
      </c>
      <c r="E239" s="29">
        <f>SUMIF('Sales Register'!C:C, A239, 'Sales Register'!D:D)</f>
        <v>4.6004285714285729</v>
      </c>
      <c r="F239" s="29">
        <f t="shared" si="9"/>
        <v>0.39957142857142713</v>
      </c>
      <c r="G239" s="29"/>
      <c r="H239" s="157">
        <f t="shared" si="10"/>
        <v>0.39957142857142713</v>
      </c>
      <c r="I239" s="29" t="str">
        <f t="shared" si="11"/>
        <v>Minor Issue</v>
      </c>
    </row>
    <row r="240" spans="1:9" x14ac:dyDescent="0.25">
      <c r="A240" s="33" t="s">
        <v>524</v>
      </c>
      <c r="B240" s="28"/>
      <c r="C240" s="29">
        <v>0</v>
      </c>
      <c r="D240" s="157">
        <f>VLOOKUP(A240, 'Purchase Register'!C:D, 2, FALSE)</f>
        <v>200</v>
      </c>
      <c r="E240" s="29">
        <f>SUMIF('Sales Register'!C:C, A240, 'Sales Register'!D:D)</f>
        <v>97</v>
      </c>
      <c r="F240" s="29">
        <f t="shared" si="9"/>
        <v>103</v>
      </c>
      <c r="G240" s="29"/>
      <c r="H240" s="157">
        <f t="shared" si="10"/>
        <v>103</v>
      </c>
      <c r="I240" s="29" t="str">
        <f t="shared" si="11"/>
        <v>SERIOUS LOSS</v>
      </c>
    </row>
    <row r="241" spans="1:9" ht="30" x14ac:dyDescent="0.25">
      <c r="A241" s="33" t="s">
        <v>525</v>
      </c>
      <c r="B241" s="28"/>
      <c r="C241" s="29">
        <v>0</v>
      </c>
      <c r="D241" s="157">
        <f>VLOOKUP(A241, 'Purchase Register'!C:D, 2, FALSE)</f>
        <v>25</v>
      </c>
      <c r="E241" s="29">
        <f>SUMIF('Sales Register'!C:C, A241, 'Sales Register'!D:D)</f>
        <v>11</v>
      </c>
      <c r="F241" s="29">
        <f t="shared" si="9"/>
        <v>14</v>
      </c>
      <c r="G241" s="29"/>
      <c r="H241" s="157">
        <f t="shared" si="10"/>
        <v>14</v>
      </c>
      <c r="I241" s="29" t="str">
        <f t="shared" si="11"/>
        <v>SERIOUS LOSS</v>
      </c>
    </row>
    <row r="242" spans="1:9" ht="30" x14ac:dyDescent="0.25">
      <c r="A242" s="33" t="s">
        <v>526</v>
      </c>
      <c r="B242" s="28"/>
      <c r="C242" s="29">
        <v>0</v>
      </c>
      <c r="D242" s="157">
        <f>VLOOKUP(A242, 'Purchase Register'!C:D, 2, FALSE)</f>
        <v>10</v>
      </c>
      <c r="E242" s="29">
        <f>SUMIF('Sales Register'!C:C, A242, 'Sales Register'!D:D)</f>
        <v>11</v>
      </c>
      <c r="F242" s="29">
        <f t="shared" si="9"/>
        <v>-1</v>
      </c>
      <c r="G242" s="29"/>
      <c r="H242" s="157">
        <f t="shared" si="10"/>
        <v>-1</v>
      </c>
      <c r="I242" s="29" t="str">
        <f t="shared" si="11"/>
        <v>Minor Issue</v>
      </c>
    </row>
    <row r="243" spans="1:9" x14ac:dyDescent="0.25">
      <c r="A243" s="33" t="s">
        <v>527</v>
      </c>
      <c r="B243" s="28"/>
      <c r="C243" s="29">
        <v>0</v>
      </c>
      <c r="D243" s="157">
        <f>VLOOKUP(A243, 'Purchase Register'!C:D, 2, FALSE)</f>
        <v>5</v>
      </c>
      <c r="E243" s="29">
        <f>SUMIF('Sales Register'!C:C, A243, 'Sales Register'!D:D)</f>
        <v>4</v>
      </c>
      <c r="F243" s="29">
        <f t="shared" si="9"/>
        <v>1</v>
      </c>
      <c r="G243" s="29"/>
      <c r="H243" s="157">
        <f t="shared" si="10"/>
        <v>1</v>
      </c>
      <c r="I243" s="29" t="str">
        <f t="shared" si="11"/>
        <v>Minor Issue</v>
      </c>
    </row>
    <row r="244" spans="1:9" x14ac:dyDescent="0.25">
      <c r="A244" s="33" t="s">
        <v>528</v>
      </c>
      <c r="B244" s="28"/>
      <c r="C244" s="29">
        <v>0</v>
      </c>
      <c r="D244" s="157">
        <f>VLOOKUP(A244, 'Purchase Register'!C:D, 2, FALSE)</f>
        <v>0.5</v>
      </c>
      <c r="E244" s="29">
        <f>SUMIF('Sales Register'!C:C, A244, 'Sales Register'!D:D)</f>
        <v>0.4</v>
      </c>
      <c r="F244" s="29">
        <f t="shared" si="9"/>
        <v>9.9999999999999978E-2</v>
      </c>
      <c r="G244" s="29"/>
      <c r="H244" s="157">
        <f t="shared" si="10"/>
        <v>9.9999999999999978E-2</v>
      </c>
      <c r="I244" s="29" t="str">
        <f t="shared" si="11"/>
        <v>Minor Issue</v>
      </c>
    </row>
    <row r="245" spans="1:9" s="77" customFormat="1" x14ac:dyDescent="0.25">
      <c r="A245" s="70" t="s">
        <v>529</v>
      </c>
      <c r="B245" s="71"/>
      <c r="C245" s="72">
        <v>0</v>
      </c>
      <c r="D245" s="157">
        <f>VLOOKUP(A245, 'Purchase Register'!C:D, 2, FALSE)</f>
        <v>10</v>
      </c>
      <c r="E245" s="72">
        <f>SUMIF('Sales Register'!C:C, A245, 'Sales Register'!D:D)</f>
        <v>10</v>
      </c>
      <c r="F245" s="72">
        <f t="shared" si="9"/>
        <v>0</v>
      </c>
      <c r="G245" s="72"/>
      <c r="H245" s="72">
        <f t="shared" si="10"/>
        <v>0</v>
      </c>
      <c r="I245" s="72" t="str">
        <f t="shared" si="11"/>
        <v>OK</v>
      </c>
    </row>
    <row r="246" spans="1:9" x14ac:dyDescent="0.25">
      <c r="A246" s="33" t="s">
        <v>531</v>
      </c>
      <c r="B246" s="28"/>
      <c r="C246" s="29">
        <v>0</v>
      </c>
      <c r="D246" s="157">
        <f>VLOOKUP(A246, 'Purchase Register'!C:D, 2, FALSE)</f>
        <v>16</v>
      </c>
      <c r="E246" s="29">
        <f>SUMIF('Sales Register'!C:C, A246, 'Sales Register'!D:D)</f>
        <v>16</v>
      </c>
      <c r="F246" s="29">
        <f t="shared" si="9"/>
        <v>0</v>
      </c>
      <c r="G246" s="29"/>
      <c r="H246" s="157">
        <f t="shared" si="10"/>
        <v>0</v>
      </c>
      <c r="I246" s="29" t="str">
        <f t="shared" si="11"/>
        <v>OK</v>
      </c>
    </row>
    <row r="247" spans="1:9" ht="30" x14ac:dyDescent="0.25">
      <c r="A247" s="33" t="s">
        <v>530</v>
      </c>
      <c r="B247" s="28"/>
      <c r="C247" s="29">
        <v>0</v>
      </c>
      <c r="D247" s="157">
        <f>VLOOKUP(A247, 'Purchase Register'!C:D, 2, FALSE)</f>
        <v>18</v>
      </c>
      <c r="E247" s="29">
        <f>SUMIF('Sales Register'!C:C, A247, 'Sales Register'!D:D)</f>
        <v>16</v>
      </c>
      <c r="F247" s="29">
        <f t="shared" si="9"/>
        <v>2</v>
      </c>
      <c r="G247" s="29"/>
      <c r="H247" s="157">
        <f t="shared" si="10"/>
        <v>2</v>
      </c>
      <c r="I247" s="29" t="str">
        <f t="shared" si="11"/>
        <v>Minor Issue</v>
      </c>
    </row>
    <row r="248" spans="1:9" s="77" customFormat="1" x14ac:dyDescent="0.25">
      <c r="A248" s="70" t="s">
        <v>532</v>
      </c>
      <c r="B248" s="71"/>
      <c r="C248" s="72">
        <v>0</v>
      </c>
      <c r="D248" s="157">
        <f>VLOOKUP(A248, 'Purchase Register'!C:D, 2, FALSE)</f>
        <v>60</v>
      </c>
      <c r="E248" s="72">
        <f>SUMIF('Sales Register'!C:C, A248, 'Sales Register'!D:D)</f>
        <v>60</v>
      </c>
      <c r="F248" s="72">
        <f t="shared" si="9"/>
        <v>0</v>
      </c>
      <c r="G248" s="72"/>
      <c r="H248" s="72">
        <f t="shared" si="10"/>
        <v>0</v>
      </c>
      <c r="I248" s="72" t="str">
        <f t="shared" si="11"/>
        <v>OK</v>
      </c>
    </row>
    <row r="249" spans="1:9" x14ac:dyDescent="0.25">
      <c r="A249" s="33" t="s">
        <v>533</v>
      </c>
      <c r="B249" s="28"/>
      <c r="C249" s="29">
        <v>0</v>
      </c>
      <c r="D249" s="157">
        <f>VLOOKUP(A249, 'Purchase Register'!C:D, 2, FALSE)</f>
        <v>18</v>
      </c>
      <c r="E249" s="29">
        <f>SUMIF('Sales Register'!C:C, A249, 'Sales Register'!D:D)</f>
        <v>26</v>
      </c>
      <c r="F249" s="29">
        <f t="shared" si="9"/>
        <v>-8</v>
      </c>
      <c r="G249" s="29"/>
      <c r="H249" s="157">
        <f t="shared" si="10"/>
        <v>-8</v>
      </c>
      <c r="I249" s="29" t="str">
        <f t="shared" si="11"/>
        <v>SERIOUS LOSS</v>
      </c>
    </row>
    <row r="250" spans="1:9" x14ac:dyDescent="0.25">
      <c r="A250" s="33" t="s">
        <v>534</v>
      </c>
      <c r="B250" s="28"/>
      <c r="C250" s="29">
        <v>0</v>
      </c>
      <c r="D250" s="157">
        <f>VLOOKUP(A250, 'Purchase Register'!C:D, 2, FALSE)</f>
        <v>12</v>
      </c>
      <c r="E250" s="29">
        <f>SUMIF('Sales Register'!C:C, A250, 'Sales Register'!D:D)</f>
        <v>7</v>
      </c>
      <c r="F250" s="29">
        <f t="shared" si="9"/>
        <v>5</v>
      </c>
      <c r="G250" s="29"/>
      <c r="H250" s="157">
        <f t="shared" si="10"/>
        <v>5</v>
      </c>
      <c r="I250" s="29" t="str">
        <f t="shared" si="11"/>
        <v>SERIOUS LOSS</v>
      </c>
    </row>
    <row r="251" spans="1:9" s="77" customFormat="1" x14ac:dyDescent="0.25">
      <c r="A251" s="70" t="s">
        <v>535</v>
      </c>
      <c r="B251" s="71"/>
      <c r="C251" s="72">
        <v>0</v>
      </c>
      <c r="D251" s="157">
        <f>VLOOKUP(A251, 'Purchase Register'!C:D, 2, FALSE)</f>
        <v>48</v>
      </c>
      <c r="E251" s="72">
        <f>SUMIF('Sales Register'!C:C, A251, 'Sales Register'!D:D)</f>
        <v>33</v>
      </c>
      <c r="F251" s="72">
        <f t="shared" si="9"/>
        <v>15</v>
      </c>
      <c r="G251" s="72"/>
      <c r="H251" s="72">
        <f t="shared" si="10"/>
        <v>15</v>
      </c>
      <c r="I251" s="72" t="str">
        <f t="shared" si="11"/>
        <v>SERIOUS LOSS</v>
      </c>
    </row>
    <row r="252" spans="1:9" x14ac:dyDescent="0.25">
      <c r="A252" s="33" t="s">
        <v>536</v>
      </c>
      <c r="B252" s="28"/>
      <c r="C252" s="29">
        <v>0</v>
      </c>
      <c r="D252" s="157">
        <f>VLOOKUP(A252, 'Purchase Register'!C:D, 2, FALSE)</f>
        <v>50</v>
      </c>
      <c r="E252" s="29">
        <f>SUMIF('Sales Register'!C:C, A252, 'Sales Register'!D:D)</f>
        <v>7</v>
      </c>
      <c r="F252" s="29">
        <f t="shared" si="9"/>
        <v>43</v>
      </c>
      <c r="G252" s="29"/>
      <c r="H252" s="157">
        <f t="shared" si="10"/>
        <v>43</v>
      </c>
      <c r="I252" s="29" t="str">
        <f t="shared" si="11"/>
        <v>SERIOUS LOSS</v>
      </c>
    </row>
    <row r="253" spans="1:9" s="77" customFormat="1" x14ac:dyDescent="0.25">
      <c r="A253" s="70" t="s">
        <v>537</v>
      </c>
      <c r="B253" s="71"/>
      <c r="C253" s="72">
        <v>0</v>
      </c>
      <c r="D253" s="157">
        <f>VLOOKUP(A253, 'Purchase Register'!C:D, 2, FALSE)</f>
        <v>2</v>
      </c>
      <c r="E253" s="29">
        <f>SUMIF('Sales Register'!C:C, A253, 'Sales Register'!D:D)</f>
        <v>2</v>
      </c>
      <c r="F253" s="72">
        <f t="shared" si="9"/>
        <v>0</v>
      </c>
      <c r="G253" s="72"/>
      <c r="H253" s="72">
        <f t="shared" si="10"/>
        <v>0</v>
      </c>
      <c r="I253" s="72" t="str">
        <f t="shared" si="11"/>
        <v>OK</v>
      </c>
    </row>
    <row r="254" spans="1:9" x14ac:dyDescent="0.25">
      <c r="A254" s="33" t="s">
        <v>540</v>
      </c>
      <c r="B254" s="28"/>
      <c r="C254" s="29">
        <v>0</v>
      </c>
      <c r="D254" s="157">
        <f>VLOOKUP(A254, 'Purchase Register'!C:D, 2, FALSE)</f>
        <v>24</v>
      </c>
      <c r="E254" s="29">
        <f>SUMIF('Sales Register'!C:C, A254, 'Sales Register'!D:D)</f>
        <v>6</v>
      </c>
      <c r="F254" s="29">
        <f t="shared" si="9"/>
        <v>18</v>
      </c>
      <c r="G254" s="29"/>
      <c r="H254" s="157">
        <f t="shared" si="10"/>
        <v>18</v>
      </c>
      <c r="I254" s="29" t="str">
        <f t="shared" si="11"/>
        <v>SERIOUS LOSS</v>
      </c>
    </row>
    <row r="255" spans="1:9" ht="30" x14ac:dyDescent="0.25">
      <c r="A255" s="33" t="s">
        <v>539</v>
      </c>
      <c r="B255" s="28"/>
      <c r="C255" s="29">
        <v>0</v>
      </c>
      <c r="D255" s="157">
        <f>VLOOKUP(A255, 'Purchase Register'!C:D, 2, FALSE)</f>
        <v>12</v>
      </c>
      <c r="E255" s="29">
        <f>SUMIF('Sales Register'!C:C, A255, 'Sales Register'!D:D)</f>
        <v>12</v>
      </c>
      <c r="F255" s="29">
        <f t="shared" si="9"/>
        <v>0</v>
      </c>
      <c r="G255" s="29"/>
      <c r="H255" s="157">
        <f t="shared" si="10"/>
        <v>0</v>
      </c>
      <c r="I255" s="29" t="str">
        <f t="shared" si="11"/>
        <v>OK</v>
      </c>
    </row>
    <row r="256" spans="1:9" s="77" customFormat="1" x14ac:dyDescent="0.25">
      <c r="A256" s="70" t="s">
        <v>541</v>
      </c>
      <c r="B256" s="71"/>
      <c r="C256" s="72">
        <v>0</v>
      </c>
      <c r="D256" s="157">
        <f>VLOOKUP(A256, 'Purchase Register'!C:D, 2, FALSE)</f>
        <v>22</v>
      </c>
      <c r="E256" s="72">
        <f>SUMIF('Sales Register'!C:C, A256, 'Sales Register'!D:D)</f>
        <v>23.679000000000002</v>
      </c>
      <c r="F256" s="72">
        <f t="shared" si="9"/>
        <v>-1.679000000000002</v>
      </c>
      <c r="G256" s="72"/>
      <c r="H256" s="72">
        <f t="shared" si="10"/>
        <v>-1.679000000000002</v>
      </c>
      <c r="I256" s="72" t="str">
        <f t="shared" si="11"/>
        <v>Minor Issue</v>
      </c>
    </row>
    <row r="257" spans="1:9" s="77" customFormat="1" x14ac:dyDescent="0.25">
      <c r="A257" s="70" t="s">
        <v>542</v>
      </c>
      <c r="B257" s="71"/>
      <c r="C257" s="72">
        <v>0</v>
      </c>
      <c r="D257" s="157">
        <f>VLOOKUP(A257, 'Purchase Register'!C:D, 2, FALSE)</f>
        <v>2</v>
      </c>
      <c r="E257" s="72">
        <f>SUMIF('Sales Register'!C:C, A257, 'Sales Register'!D:D)</f>
        <v>2.0550000000000002</v>
      </c>
      <c r="F257" s="72">
        <f t="shared" si="9"/>
        <v>-5.500000000000016E-2</v>
      </c>
      <c r="G257" s="72"/>
      <c r="H257" s="72">
        <f t="shared" si="10"/>
        <v>-5.500000000000016E-2</v>
      </c>
      <c r="I257" s="72" t="str">
        <f t="shared" si="11"/>
        <v>Minor Issue</v>
      </c>
    </row>
    <row r="258" spans="1:9" s="77" customFormat="1" x14ac:dyDescent="0.25">
      <c r="A258" s="70" t="s">
        <v>543</v>
      </c>
      <c r="B258" s="71"/>
      <c r="C258" s="72">
        <v>0</v>
      </c>
      <c r="D258" s="157">
        <f>VLOOKUP(A258, 'Purchase Register'!C:D, 2, FALSE)</f>
        <v>3</v>
      </c>
      <c r="E258" s="72">
        <f>SUMIF('Sales Register'!C:C, A258, 'Sales Register'!D:D)</f>
        <v>6</v>
      </c>
      <c r="F258" s="72">
        <f t="shared" si="9"/>
        <v>-3</v>
      </c>
      <c r="G258" s="72"/>
      <c r="H258" s="72">
        <f t="shared" si="10"/>
        <v>-3</v>
      </c>
      <c r="I258" s="72" t="str">
        <f t="shared" si="11"/>
        <v>SERIOUS LOSS</v>
      </c>
    </row>
    <row r="259" spans="1:9" s="77" customFormat="1" x14ac:dyDescent="0.25">
      <c r="A259" s="70" t="s">
        <v>544</v>
      </c>
      <c r="B259" s="71"/>
      <c r="C259" s="72">
        <v>0</v>
      </c>
      <c r="D259" s="157">
        <f>VLOOKUP(A259, 'Purchase Register'!C:D, 2, FALSE)</f>
        <v>2</v>
      </c>
      <c r="E259" s="29">
        <f>SUMIF('Sales Register'!C:C, A259, 'Sales Register'!D:D)</f>
        <v>2</v>
      </c>
      <c r="F259" s="72">
        <f t="shared" si="9"/>
        <v>0</v>
      </c>
      <c r="G259" s="72"/>
      <c r="H259" s="72">
        <f t="shared" si="10"/>
        <v>0</v>
      </c>
      <c r="I259" s="72" t="str">
        <f t="shared" si="11"/>
        <v>OK</v>
      </c>
    </row>
    <row r="260" spans="1:9" x14ac:dyDescent="0.25">
      <c r="A260" s="33" t="s">
        <v>545</v>
      </c>
      <c r="B260" s="28"/>
      <c r="C260" s="29">
        <v>0</v>
      </c>
      <c r="D260" s="157">
        <f>VLOOKUP(A260, 'Purchase Register'!C:D, 2, FALSE)</f>
        <v>6</v>
      </c>
      <c r="E260" s="29">
        <f>SUMIF('Sales Register'!C:C, A260, 'Sales Register'!D:D)</f>
        <v>6</v>
      </c>
      <c r="F260" s="29">
        <f t="shared" si="9"/>
        <v>0</v>
      </c>
      <c r="G260" s="29"/>
      <c r="H260" s="157">
        <f t="shared" si="10"/>
        <v>0</v>
      </c>
      <c r="I260" s="29" t="str">
        <f t="shared" si="11"/>
        <v>OK</v>
      </c>
    </row>
    <row r="261" spans="1:9" s="77" customFormat="1" x14ac:dyDescent="0.25">
      <c r="A261" s="70" t="s">
        <v>546</v>
      </c>
      <c r="B261" s="71"/>
      <c r="C261" s="72">
        <v>0</v>
      </c>
      <c r="D261" s="157">
        <f>VLOOKUP(A261, 'Purchase Register'!C:D, 2, FALSE)</f>
        <v>2</v>
      </c>
      <c r="E261" s="72">
        <f>SUMIF('Sales Register'!C:C, A261, 'Sales Register'!D:D)</f>
        <v>2</v>
      </c>
      <c r="F261" s="72">
        <f t="shared" si="9"/>
        <v>0</v>
      </c>
      <c r="G261" s="72"/>
      <c r="H261" s="72">
        <f t="shared" si="10"/>
        <v>0</v>
      </c>
      <c r="I261" s="72" t="str">
        <f t="shared" si="11"/>
        <v>OK</v>
      </c>
    </row>
    <row r="262" spans="1:9" x14ac:dyDescent="0.25">
      <c r="A262" s="70" t="s">
        <v>547</v>
      </c>
      <c r="B262" s="71"/>
      <c r="C262" s="72">
        <v>0</v>
      </c>
      <c r="D262" s="157">
        <f>VLOOKUP(A262, 'Purchase Register'!C:D, 2, FALSE)</f>
        <v>30</v>
      </c>
      <c r="E262" s="29">
        <f>SUMIF('Sales Register'!C:C, A262, 'Sales Register'!D:D)</f>
        <v>30</v>
      </c>
      <c r="F262" s="72">
        <f t="shared" si="9"/>
        <v>0</v>
      </c>
      <c r="G262" s="72"/>
      <c r="H262" s="157">
        <f t="shared" si="10"/>
        <v>0</v>
      </c>
      <c r="I262" s="72" t="str">
        <f t="shared" si="11"/>
        <v>OK</v>
      </c>
    </row>
    <row r="263" spans="1:9" x14ac:dyDescent="0.25">
      <c r="A263" s="70" t="s">
        <v>548</v>
      </c>
      <c r="B263" s="71"/>
      <c r="C263" s="72">
        <v>0</v>
      </c>
      <c r="D263" s="157">
        <f>VLOOKUP(A263, 'Purchase Register'!C:D, 2, FALSE)</f>
        <v>30</v>
      </c>
      <c r="E263" s="29">
        <f>SUMIF('Sales Register'!C:C, A263, 'Sales Register'!D:D)</f>
        <v>30</v>
      </c>
      <c r="F263" s="72">
        <f t="shared" si="9"/>
        <v>0</v>
      </c>
      <c r="G263" s="72"/>
      <c r="H263" s="157">
        <f t="shared" si="10"/>
        <v>0</v>
      </c>
      <c r="I263" s="72" t="str">
        <f t="shared" si="11"/>
        <v>OK</v>
      </c>
    </row>
    <row r="264" spans="1:9" x14ac:dyDescent="0.25">
      <c r="A264" s="33" t="s">
        <v>549</v>
      </c>
      <c r="B264" s="28"/>
      <c r="C264" s="29">
        <v>0</v>
      </c>
      <c r="D264" s="157">
        <f>VLOOKUP(A264, 'Purchase Register'!C:D, 2, FALSE)</f>
        <v>32</v>
      </c>
      <c r="E264" s="29">
        <f>SUMIF('Sales Register'!C:C, A264, 'Sales Register'!D:D)</f>
        <v>23</v>
      </c>
      <c r="F264" s="29">
        <f t="shared" ref="F264:F294" si="12">C264+D264-E264</f>
        <v>9</v>
      </c>
      <c r="G264" s="29"/>
      <c r="H264" s="157">
        <f t="shared" ref="H264:H293" si="13">F264-G264</f>
        <v>9</v>
      </c>
      <c r="I264" s="29" t="str">
        <f t="shared" ref="I264:I293" si="14">IF(H264=0,"OK",
IF(ABS(H264)&lt;=2,"Minor Issue","SERIOUS LOSS"))</f>
        <v>SERIOUS LOSS</v>
      </c>
    </row>
    <row r="265" spans="1:9" s="77" customFormat="1" x14ac:dyDescent="0.25">
      <c r="A265" s="70" t="s">
        <v>551</v>
      </c>
      <c r="B265" s="71"/>
      <c r="C265" s="72">
        <v>0</v>
      </c>
      <c r="D265" s="157">
        <f>VLOOKUP(A265, 'Purchase Register'!C:D, 2, FALSE)</f>
        <v>36</v>
      </c>
      <c r="E265" s="72">
        <f>SUMIF('Sales Register'!C:C, A265, 'Sales Register'!D:D)</f>
        <v>37</v>
      </c>
      <c r="F265" s="72">
        <f t="shared" si="12"/>
        <v>-1</v>
      </c>
      <c r="G265" s="72"/>
      <c r="H265" s="72">
        <f t="shared" si="13"/>
        <v>-1</v>
      </c>
      <c r="I265" s="72" t="str">
        <f t="shared" si="14"/>
        <v>Minor Issue</v>
      </c>
    </row>
    <row r="266" spans="1:9" x14ac:dyDescent="0.25">
      <c r="A266" s="33" t="s">
        <v>553</v>
      </c>
      <c r="B266" s="28"/>
      <c r="C266" s="29">
        <v>0</v>
      </c>
      <c r="D266" s="157">
        <f>VLOOKUP(A266, 'Purchase Register'!C:D, 2, FALSE)</f>
        <v>48</v>
      </c>
      <c r="E266" s="29">
        <f>SUMIF('Sales Register'!C:C, A266, 'Sales Register'!D:D)</f>
        <v>12</v>
      </c>
      <c r="F266" s="29">
        <f t="shared" si="12"/>
        <v>36</v>
      </c>
      <c r="G266" s="29"/>
      <c r="H266" s="157">
        <f t="shared" si="13"/>
        <v>36</v>
      </c>
      <c r="I266" s="29" t="str">
        <f t="shared" si="14"/>
        <v>SERIOUS LOSS</v>
      </c>
    </row>
    <row r="267" spans="1:9" s="77" customFormat="1" x14ac:dyDescent="0.25">
      <c r="A267" s="33" t="s">
        <v>554</v>
      </c>
      <c r="B267" s="71"/>
      <c r="C267" s="72">
        <v>0</v>
      </c>
      <c r="D267" s="157">
        <f>VLOOKUP(A267, 'Purchase Register'!C:D, 2, FALSE)</f>
        <v>25</v>
      </c>
      <c r="E267" s="72">
        <f>SUMIF('Sales Register'!C:C, A267, 'Sales Register'!D:D)</f>
        <v>7</v>
      </c>
      <c r="F267" s="72">
        <f t="shared" si="12"/>
        <v>18</v>
      </c>
      <c r="G267" s="72"/>
      <c r="H267" s="72">
        <f t="shared" si="13"/>
        <v>18</v>
      </c>
      <c r="I267" s="72" t="str">
        <f t="shared" si="14"/>
        <v>SERIOUS LOSS</v>
      </c>
    </row>
    <row r="268" spans="1:9" ht="30" x14ac:dyDescent="0.25">
      <c r="A268" s="33" t="s">
        <v>555</v>
      </c>
      <c r="B268" s="28"/>
      <c r="C268" s="29">
        <v>0</v>
      </c>
      <c r="D268" s="157">
        <f>VLOOKUP(A268, 'Purchase Register'!C:D, 2, FALSE)</f>
        <v>3</v>
      </c>
      <c r="E268" s="29">
        <f>SUMIF('Sales Register'!C:C, A268, 'Sales Register'!D:D)</f>
        <v>2</v>
      </c>
      <c r="F268" s="29">
        <f t="shared" si="12"/>
        <v>1</v>
      </c>
      <c r="G268" s="29"/>
      <c r="H268" s="157">
        <f t="shared" si="13"/>
        <v>1</v>
      </c>
      <c r="I268" s="29" t="str">
        <f t="shared" si="14"/>
        <v>Minor Issue</v>
      </c>
    </row>
    <row r="269" spans="1:9" s="77" customFormat="1" x14ac:dyDescent="0.25">
      <c r="A269" s="70" t="s">
        <v>556</v>
      </c>
      <c r="B269" s="71"/>
      <c r="C269" s="72">
        <v>0</v>
      </c>
      <c r="D269" s="157">
        <f>VLOOKUP(A269, 'Purchase Register'!C:D, 2, FALSE)</f>
        <v>24</v>
      </c>
      <c r="E269" s="72">
        <f>SUMIF('Sales Register'!C:C, A269, 'Sales Register'!D:D)</f>
        <v>4</v>
      </c>
      <c r="F269" s="72">
        <f t="shared" si="12"/>
        <v>20</v>
      </c>
      <c r="G269" s="72"/>
      <c r="H269" s="72">
        <f t="shared" si="13"/>
        <v>20</v>
      </c>
      <c r="I269" s="72" t="str">
        <f t="shared" si="14"/>
        <v>SERIOUS LOSS</v>
      </c>
    </row>
    <row r="270" spans="1:9" s="77" customFormat="1" x14ac:dyDescent="0.25">
      <c r="A270" s="70" t="s">
        <v>557</v>
      </c>
      <c r="B270" s="71"/>
      <c r="C270" s="72">
        <v>0</v>
      </c>
      <c r="D270" s="157">
        <f>VLOOKUP(A270, 'Purchase Register'!C:D, 2, FALSE)</f>
        <v>2</v>
      </c>
      <c r="E270" s="72">
        <f>SUMIF('Sales Register'!C:C, A270, 'Sales Register'!D:D)</f>
        <v>3</v>
      </c>
      <c r="F270" s="72">
        <f t="shared" si="12"/>
        <v>-1</v>
      </c>
      <c r="G270" s="72"/>
      <c r="H270" s="72">
        <f t="shared" si="13"/>
        <v>-1</v>
      </c>
      <c r="I270" s="72" t="str">
        <f t="shared" si="14"/>
        <v>Minor Issue</v>
      </c>
    </row>
    <row r="271" spans="1:9" s="77" customFormat="1" x14ac:dyDescent="0.25">
      <c r="A271" s="70" t="s">
        <v>558</v>
      </c>
      <c r="B271" s="71"/>
      <c r="C271" s="72">
        <v>0</v>
      </c>
      <c r="D271" s="157">
        <f>VLOOKUP(A271, 'Purchase Register'!C:D, 2, FALSE)</f>
        <v>12</v>
      </c>
      <c r="E271" s="72">
        <f>SUMIF('Sales Register'!C:C, A271, 'Sales Register'!D:D)</f>
        <v>14</v>
      </c>
      <c r="F271" s="72">
        <f t="shared" si="12"/>
        <v>-2</v>
      </c>
      <c r="G271" s="72"/>
      <c r="H271" s="72">
        <f t="shared" si="13"/>
        <v>-2</v>
      </c>
      <c r="I271" s="72" t="str">
        <f t="shared" si="14"/>
        <v>Minor Issue</v>
      </c>
    </row>
    <row r="272" spans="1:9" s="77" customFormat="1" x14ac:dyDescent="0.25">
      <c r="A272" s="70" t="s">
        <v>559</v>
      </c>
      <c r="B272" s="71"/>
      <c r="C272" s="72">
        <v>0</v>
      </c>
      <c r="D272" s="157">
        <f>VLOOKUP(A272, 'Purchase Register'!C:D, 2, FALSE)</f>
        <v>3</v>
      </c>
      <c r="E272" s="72">
        <f>SUMIF('Sales Register'!C:C, A272, 'Sales Register'!D:D)</f>
        <v>3</v>
      </c>
      <c r="F272" s="72">
        <f t="shared" si="12"/>
        <v>0</v>
      </c>
      <c r="G272" s="72"/>
      <c r="H272" s="72">
        <f t="shared" si="13"/>
        <v>0</v>
      </c>
      <c r="I272" s="72" t="str">
        <f t="shared" si="14"/>
        <v>OK</v>
      </c>
    </row>
    <row r="273" spans="1:9" s="77" customFormat="1" x14ac:dyDescent="0.25">
      <c r="A273" s="70" t="s">
        <v>560</v>
      </c>
      <c r="B273" s="71"/>
      <c r="C273" s="72">
        <v>0</v>
      </c>
      <c r="D273" s="157">
        <f>VLOOKUP(A273, 'Purchase Register'!C:D, 2, FALSE)</f>
        <v>12</v>
      </c>
      <c r="E273" s="72">
        <f>SUMIF('Sales Register'!C:C, A273, 'Sales Register'!D:D)</f>
        <v>16</v>
      </c>
      <c r="F273" s="72">
        <f t="shared" si="12"/>
        <v>-4</v>
      </c>
      <c r="G273" s="72"/>
      <c r="H273" s="72">
        <f t="shared" si="13"/>
        <v>-4</v>
      </c>
      <c r="I273" s="72" t="str">
        <f t="shared" si="14"/>
        <v>SERIOUS LOSS</v>
      </c>
    </row>
    <row r="274" spans="1:9" ht="30" x14ac:dyDescent="0.25">
      <c r="A274" s="33" t="s">
        <v>561</v>
      </c>
      <c r="B274" s="28"/>
      <c r="C274" s="29">
        <v>0</v>
      </c>
      <c r="D274" s="157">
        <f>VLOOKUP(A274, 'Purchase Register'!C:D, 2, FALSE)</f>
        <v>24</v>
      </c>
      <c r="E274" s="29">
        <f>SUMIF('Sales Register'!C:C, A274, 'Sales Register'!D:D)</f>
        <v>9</v>
      </c>
      <c r="F274" s="29">
        <f t="shared" si="12"/>
        <v>15</v>
      </c>
      <c r="G274" s="29"/>
      <c r="H274" s="157">
        <f t="shared" si="13"/>
        <v>15</v>
      </c>
      <c r="I274" s="29" t="str">
        <f t="shared" si="14"/>
        <v>SERIOUS LOSS</v>
      </c>
    </row>
    <row r="275" spans="1:9" s="77" customFormat="1" ht="30" x14ac:dyDescent="0.25">
      <c r="A275" s="70" t="s">
        <v>562</v>
      </c>
      <c r="B275" s="71"/>
      <c r="C275" s="72">
        <v>0</v>
      </c>
      <c r="D275" s="157">
        <f>VLOOKUP(A275, 'Purchase Register'!C:D, 2, FALSE)</f>
        <v>32</v>
      </c>
      <c r="E275" s="72">
        <f>SUMIF('Sales Register'!C:C, A275, 'Sales Register'!D:D)</f>
        <v>32</v>
      </c>
      <c r="F275" s="72">
        <f t="shared" si="12"/>
        <v>0</v>
      </c>
      <c r="G275" s="72"/>
      <c r="H275" s="72">
        <f t="shared" si="13"/>
        <v>0</v>
      </c>
      <c r="I275" s="72" t="str">
        <f t="shared" si="14"/>
        <v>OK</v>
      </c>
    </row>
    <row r="276" spans="1:9" s="77" customFormat="1" x14ac:dyDescent="0.25">
      <c r="A276" s="70" t="s">
        <v>563</v>
      </c>
      <c r="B276" s="71"/>
      <c r="C276" s="72">
        <v>0</v>
      </c>
      <c r="D276" s="157">
        <f>VLOOKUP(A276, 'Purchase Register'!C:D, 2, FALSE)</f>
        <v>10</v>
      </c>
      <c r="E276" s="72">
        <f>SUMIF('Sales Register'!C:C, A276, 'Sales Register'!D:D)</f>
        <v>16.802999999999997</v>
      </c>
      <c r="F276" s="72">
        <f t="shared" si="12"/>
        <v>-6.8029999999999973</v>
      </c>
      <c r="G276" s="72"/>
      <c r="H276" s="72">
        <f t="shared" si="13"/>
        <v>-6.8029999999999973</v>
      </c>
      <c r="I276" s="72" t="str">
        <f t="shared" si="14"/>
        <v>SERIOUS LOSS</v>
      </c>
    </row>
    <row r="277" spans="1:9" x14ac:dyDescent="0.25">
      <c r="A277" s="33" t="s">
        <v>564</v>
      </c>
      <c r="B277" s="28"/>
      <c r="C277" s="29">
        <v>0</v>
      </c>
      <c r="D277" s="157">
        <f>VLOOKUP(A277, 'Purchase Register'!C:D, 2, FALSE)</f>
        <v>1</v>
      </c>
      <c r="E277" s="29">
        <f>SUMIF('Sales Register'!C:C, A277, 'Sales Register'!D:D)</f>
        <v>1.155</v>
      </c>
      <c r="F277" s="29">
        <f t="shared" si="12"/>
        <v>-0.15500000000000003</v>
      </c>
      <c r="G277" s="29"/>
      <c r="H277" s="157">
        <f t="shared" si="13"/>
        <v>-0.15500000000000003</v>
      </c>
      <c r="I277" s="29" t="str">
        <f t="shared" si="14"/>
        <v>Minor Issue</v>
      </c>
    </row>
    <row r="278" spans="1:9" x14ac:dyDescent="0.25">
      <c r="A278" s="33" t="s">
        <v>565</v>
      </c>
      <c r="B278" s="28"/>
      <c r="C278" s="29">
        <v>0</v>
      </c>
      <c r="D278" s="157">
        <f>VLOOKUP(A278, 'Purchase Register'!C:D, 2, FALSE)</f>
        <v>120</v>
      </c>
      <c r="E278" s="29">
        <f>SUMIF('Sales Register'!C:C, A278, 'Sales Register'!D:D)</f>
        <v>124</v>
      </c>
      <c r="F278" s="29">
        <f t="shared" si="12"/>
        <v>-4</v>
      </c>
      <c r="G278" s="29"/>
      <c r="H278" s="157">
        <f t="shared" si="13"/>
        <v>-4</v>
      </c>
      <c r="I278" s="29" t="str">
        <f t="shared" si="14"/>
        <v>SERIOUS LOSS</v>
      </c>
    </row>
    <row r="279" spans="1:9" x14ac:dyDescent="0.25">
      <c r="A279" s="33" t="s">
        <v>567</v>
      </c>
      <c r="B279" s="28"/>
      <c r="C279" s="29">
        <v>0</v>
      </c>
      <c r="D279" s="157">
        <f>VLOOKUP(A279, 'Purchase Register'!C:D, 2, FALSE)</f>
        <v>200</v>
      </c>
      <c r="E279" s="29">
        <f>SUMIF('Sales Register'!C:C, A279, 'Sales Register'!D:D)</f>
        <v>30</v>
      </c>
      <c r="F279" s="29">
        <f t="shared" si="12"/>
        <v>170</v>
      </c>
      <c r="G279" s="29"/>
      <c r="H279" s="157">
        <f t="shared" si="13"/>
        <v>170</v>
      </c>
      <c r="I279" s="29" t="str">
        <f t="shared" si="14"/>
        <v>SERIOUS LOSS</v>
      </c>
    </row>
    <row r="280" spans="1:9" x14ac:dyDescent="0.25">
      <c r="A280" s="33" t="s">
        <v>568</v>
      </c>
      <c r="B280" s="28"/>
      <c r="C280" s="29">
        <v>0</v>
      </c>
      <c r="D280" s="157">
        <f>VLOOKUP(A280, 'Purchase Register'!C:D, 2, FALSE)</f>
        <v>160</v>
      </c>
      <c r="E280" s="29">
        <f>SUMIF('Sales Register'!C:C, A280, 'Sales Register'!D:D)</f>
        <v>25</v>
      </c>
      <c r="F280" s="29">
        <f t="shared" si="12"/>
        <v>135</v>
      </c>
      <c r="G280" s="29"/>
      <c r="H280" s="157">
        <f t="shared" si="13"/>
        <v>135</v>
      </c>
      <c r="I280" s="29" t="str">
        <f t="shared" si="14"/>
        <v>SERIOUS LOSS</v>
      </c>
    </row>
    <row r="281" spans="1:9" x14ac:dyDescent="0.25">
      <c r="A281" s="33" t="s">
        <v>569</v>
      </c>
      <c r="B281" s="28"/>
      <c r="C281" s="29">
        <v>0</v>
      </c>
      <c r="D281" s="157">
        <f>VLOOKUP(A281, 'Purchase Register'!C:D, 2, FALSE)</f>
        <v>12</v>
      </c>
      <c r="E281" s="29">
        <f>SUMIF('Sales Register'!C:C, A281, 'Sales Register'!D:D)</f>
        <v>9</v>
      </c>
      <c r="F281" s="29">
        <f t="shared" si="12"/>
        <v>3</v>
      </c>
      <c r="G281" s="29"/>
      <c r="H281" s="157">
        <f t="shared" si="13"/>
        <v>3</v>
      </c>
      <c r="I281" s="29" t="str">
        <f t="shared" si="14"/>
        <v>SERIOUS LOSS</v>
      </c>
    </row>
    <row r="282" spans="1:9" x14ac:dyDescent="0.25">
      <c r="A282" s="33" t="s">
        <v>570</v>
      </c>
      <c r="B282" s="28"/>
      <c r="C282" s="29">
        <v>0</v>
      </c>
      <c r="D282" s="157">
        <f>VLOOKUP(A282, 'Purchase Register'!C:D, 2, FALSE)</f>
        <v>12</v>
      </c>
      <c r="E282" s="29">
        <f>SUMIF('Sales Register'!C:C, A282, 'Sales Register'!D:D)</f>
        <v>2</v>
      </c>
      <c r="F282" s="29">
        <f t="shared" si="12"/>
        <v>10</v>
      </c>
      <c r="G282" s="29"/>
      <c r="H282" s="157">
        <f t="shared" si="13"/>
        <v>10</v>
      </c>
      <c r="I282" s="29" t="str">
        <f t="shared" si="14"/>
        <v>SERIOUS LOSS</v>
      </c>
    </row>
    <row r="283" spans="1:9" x14ac:dyDescent="0.25">
      <c r="A283" s="33" t="s">
        <v>571</v>
      </c>
      <c r="B283" s="28"/>
      <c r="C283" s="29">
        <v>0</v>
      </c>
      <c r="D283" s="157">
        <f>VLOOKUP(A283, 'Purchase Register'!C:D, 2, FALSE)</f>
        <v>40</v>
      </c>
      <c r="E283" s="29">
        <f>SUMIF('Sales Register'!C:C, A283, 'Sales Register'!D:D)</f>
        <v>22</v>
      </c>
      <c r="F283" s="29">
        <f t="shared" si="12"/>
        <v>18</v>
      </c>
      <c r="G283" s="29"/>
      <c r="H283" s="157">
        <f t="shared" si="13"/>
        <v>18</v>
      </c>
      <c r="I283" s="29" t="str">
        <f t="shared" si="14"/>
        <v>SERIOUS LOSS</v>
      </c>
    </row>
    <row r="284" spans="1:9" x14ac:dyDescent="0.25">
      <c r="A284" s="33" t="s">
        <v>572</v>
      </c>
      <c r="B284" s="28"/>
      <c r="C284" s="29">
        <v>0</v>
      </c>
      <c r="D284" s="157">
        <f>VLOOKUP(A284, 'Purchase Register'!C:D, 2, FALSE)</f>
        <v>30</v>
      </c>
      <c r="E284" s="29">
        <f>SUMIF('Sales Register'!C:C, A284, 'Sales Register'!D:D)</f>
        <v>3</v>
      </c>
      <c r="F284" s="29">
        <f t="shared" si="12"/>
        <v>27</v>
      </c>
      <c r="G284" s="29"/>
      <c r="H284" s="157">
        <f t="shared" si="13"/>
        <v>27</v>
      </c>
      <c r="I284" s="29" t="str">
        <f t="shared" si="14"/>
        <v>SERIOUS LOSS</v>
      </c>
    </row>
    <row r="285" spans="1:9" x14ac:dyDescent="0.25">
      <c r="A285" s="33" t="s">
        <v>573</v>
      </c>
      <c r="B285" s="28"/>
      <c r="C285" s="29">
        <v>0</v>
      </c>
      <c r="D285" s="157">
        <f>VLOOKUP(A285, 'Purchase Register'!C:D, 2, FALSE)</f>
        <v>12</v>
      </c>
      <c r="E285" s="29">
        <f>SUMIF('Sales Register'!C:C, A285, 'Sales Register'!D:D)</f>
        <v>1</v>
      </c>
      <c r="F285" s="29">
        <f t="shared" si="12"/>
        <v>11</v>
      </c>
      <c r="G285" s="29"/>
      <c r="H285" s="157">
        <f t="shared" si="13"/>
        <v>11</v>
      </c>
      <c r="I285" s="29" t="str">
        <f t="shared" si="14"/>
        <v>SERIOUS LOSS</v>
      </c>
    </row>
    <row r="286" spans="1:9" x14ac:dyDescent="0.25">
      <c r="A286" s="33" t="s">
        <v>574</v>
      </c>
      <c r="B286" s="28"/>
      <c r="C286" s="29">
        <v>0</v>
      </c>
      <c r="D286" s="157">
        <f>VLOOKUP(A286, 'Purchase Register'!C:D, 2, FALSE)</f>
        <v>12</v>
      </c>
      <c r="E286" s="29">
        <f>SUMIF('Sales Register'!C:C, A286, 'Sales Register'!D:D)</f>
        <v>15</v>
      </c>
      <c r="F286" s="29">
        <f t="shared" si="12"/>
        <v>-3</v>
      </c>
      <c r="G286" s="29"/>
      <c r="H286" s="157">
        <f t="shared" si="13"/>
        <v>-3</v>
      </c>
      <c r="I286" s="29" t="str">
        <f t="shared" si="14"/>
        <v>SERIOUS LOSS</v>
      </c>
    </row>
    <row r="287" spans="1:9" ht="30" x14ac:dyDescent="0.25">
      <c r="A287" s="33" t="s">
        <v>575</v>
      </c>
      <c r="B287" s="28"/>
      <c r="C287" s="29">
        <v>0</v>
      </c>
      <c r="D287" s="157">
        <f>VLOOKUP(A287, 'Purchase Register'!C:D, 2, FALSE)</f>
        <v>12</v>
      </c>
      <c r="E287" s="29">
        <f>SUMIF('Sales Register'!C:C, A287, 'Sales Register'!D:D)</f>
        <v>4</v>
      </c>
      <c r="F287" s="29">
        <f t="shared" si="12"/>
        <v>8</v>
      </c>
      <c r="G287" s="29"/>
      <c r="H287" s="157">
        <f t="shared" si="13"/>
        <v>8</v>
      </c>
      <c r="I287" s="29" t="str">
        <f t="shared" si="14"/>
        <v>SERIOUS LOSS</v>
      </c>
    </row>
    <row r="288" spans="1:9" ht="30" x14ac:dyDescent="0.25">
      <c r="A288" s="33" t="s">
        <v>577</v>
      </c>
      <c r="B288" s="28"/>
      <c r="C288" s="29">
        <v>0</v>
      </c>
      <c r="D288" s="157">
        <f>VLOOKUP(A288, 'Purchase Register'!C:D, 2, FALSE)</f>
        <v>30</v>
      </c>
      <c r="E288" s="29">
        <f>SUMIF('Sales Register'!C:C, A288, 'Sales Register'!D:D)</f>
        <v>22</v>
      </c>
      <c r="F288" s="29">
        <f t="shared" si="12"/>
        <v>8</v>
      </c>
      <c r="G288" s="29"/>
      <c r="H288" s="157">
        <f t="shared" si="13"/>
        <v>8</v>
      </c>
      <c r="I288" s="29" t="str">
        <f t="shared" si="14"/>
        <v>SERIOUS LOSS</v>
      </c>
    </row>
    <row r="289" spans="1:9" x14ac:dyDescent="0.25">
      <c r="A289" s="33" t="s">
        <v>576</v>
      </c>
      <c r="B289" s="28"/>
      <c r="C289" s="29">
        <v>0</v>
      </c>
      <c r="D289" s="157">
        <f>VLOOKUP(A289, 'Purchase Register'!C:D, 2, FALSE)</f>
        <v>50</v>
      </c>
      <c r="E289" s="29">
        <f>SUMIF('Sales Register'!C:C, A289, 'Sales Register'!D:D)</f>
        <v>34</v>
      </c>
      <c r="F289" s="29">
        <f t="shared" si="12"/>
        <v>16</v>
      </c>
      <c r="G289" s="29"/>
      <c r="H289" s="157">
        <f t="shared" si="13"/>
        <v>16</v>
      </c>
      <c r="I289" s="29" t="str">
        <f t="shared" si="14"/>
        <v>SERIOUS LOSS</v>
      </c>
    </row>
    <row r="290" spans="1:9" x14ac:dyDescent="0.25">
      <c r="A290" s="33" t="s">
        <v>578</v>
      </c>
      <c r="B290" s="28"/>
      <c r="C290" s="29">
        <v>0</v>
      </c>
      <c r="D290" s="157">
        <f>VLOOKUP(A290, 'Purchase Register'!C:D, 2, FALSE)</f>
        <v>50</v>
      </c>
      <c r="E290" s="29">
        <f>SUMIF('Sales Register'!C:C, A290, 'Sales Register'!D:D)</f>
        <v>52</v>
      </c>
      <c r="F290" s="29">
        <f t="shared" si="12"/>
        <v>-2</v>
      </c>
      <c r="G290" s="29"/>
      <c r="H290" s="157">
        <f t="shared" si="13"/>
        <v>-2</v>
      </c>
      <c r="I290" s="29" t="str">
        <f t="shared" si="14"/>
        <v>Minor Issue</v>
      </c>
    </row>
    <row r="291" spans="1:9" x14ac:dyDescent="0.25">
      <c r="A291" s="33" t="s">
        <v>579</v>
      </c>
      <c r="B291" s="28"/>
      <c r="C291" s="29">
        <v>0</v>
      </c>
      <c r="D291" s="157">
        <f>VLOOKUP(A291, 'Purchase Register'!C:D, 2, FALSE)</f>
        <v>60</v>
      </c>
      <c r="E291" s="29">
        <f>SUMIF('Sales Register'!C:C, A291, 'Sales Register'!D:D)</f>
        <v>4</v>
      </c>
      <c r="F291" s="29">
        <f t="shared" si="12"/>
        <v>56</v>
      </c>
      <c r="G291" s="29"/>
      <c r="H291" s="157">
        <f t="shared" si="13"/>
        <v>56</v>
      </c>
      <c r="I291" s="29" t="str">
        <f t="shared" si="14"/>
        <v>SERIOUS LOSS</v>
      </c>
    </row>
    <row r="292" spans="1:9" x14ac:dyDescent="0.25">
      <c r="A292" s="33" t="s">
        <v>580</v>
      </c>
      <c r="B292" s="28"/>
      <c r="C292" s="29">
        <v>0</v>
      </c>
      <c r="D292" s="157">
        <f>VLOOKUP(A292, 'Purchase Register'!C:D, 2, FALSE)</f>
        <v>170</v>
      </c>
      <c r="E292" s="29">
        <f>SUMIF('Sales Register'!C:C, A292, 'Sales Register'!D:D)</f>
        <v>35</v>
      </c>
      <c r="F292" s="29">
        <f t="shared" si="12"/>
        <v>135</v>
      </c>
      <c r="G292" s="29"/>
      <c r="H292" s="157">
        <f t="shared" si="13"/>
        <v>135</v>
      </c>
      <c r="I292" s="29" t="str">
        <f t="shared" si="14"/>
        <v>SERIOUS LOSS</v>
      </c>
    </row>
    <row r="293" spans="1:9" x14ac:dyDescent="0.25">
      <c r="A293" s="33" t="s">
        <v>581</v>
      </c>
      <c r="B293" s="28"/>
      <c r="C293" s="29">
        <v>0</v>
      </c>
      <c r="D293" s="157">
        <f>VLOOKUP(A293, 'Purchase Register'!C:D, 2, FALSE)</f>
        <v>140</v>
      </c>
      <c r="E293" s="29">
        <f>SUMIF('Sales Register'!C:C, A293, 'Sales Register'!D:D)</f>
        <v>9</v>
      </c>
      <c r="F293" s="29">
        <f t="shared" si="12"/>
        <v>131</v>
      </c>
      <c r="G293" s="29"/>
      <c r="H293" s="157">
        <f t="shared" si="13"/>
        <v>131</v>
      </c>
      <c r="I293" s="29" t="str">
        <f t="shared" si="14"/>
        <v>SERIOUS LOSS</v>
      </c>
    </row>
    <row r="294" spans="1:9" x14ac:dyDescent="0.25">
      <c r="A294" s="33" t="s">
        <v>582</v>
      </c>
      <c r="B294" s="28"/>
      <c r="C294" s="29">
        <v>0</v>
      </c>
      <c r="D294" s="157">
        <f>VLOOKUP(A294, 'Purchase Register'!C:D, 2, FALSE)</f>
        <v>50</v>
      </c>
      <c r="E294" s="29">
        <f>SUMIF('Sales Register'!C:C, A294, 'Sales Register'!D:D)</f>
        <v>16</v>
      </c>
      <c r="F294" s="29">
        <f t="shared" si="12"/>
        <v>34</v>
      </c>
      <c r="G294" s="29"/>
      <c r="H294" s="157">
        <f>F294-G294</f>
        <v>34</v>
      </c>
      <c r="I294" s="29" t="str">
        <f>IF(H294=0,"OK",
IF(ABS(H294)&lt;=2,"Minor Issue","SERIOUS LOSS"))</f>
        <v>SERIOUS LOSS</v>
      </c>
    </row>
    <row r="295" spans="1:9" s="77" customFormat="1" x14ac:dyDescent="0.25">
      <c r="A295" s="70" t="s">
        <v>584</v>
      </c>
      <c r="B295" s="71"/>
      <c r="C295" s="72">
        <v>0</v>
      </c>
      <c r="D295" s="157">
        <f>VLOOKUP(A295, 'Purchase Register'!C:D, 2, FALSE)</f>
        <v>30</v>
      </c>
      <c r="E295" s="29">
        <f>SUMIF('Sales Register'!C:C, A295, 'Sales Register'!D:D)</f>
        <v>26</v>
      </c>
      <c r="F295" s="72">
        <f t="shared" ref="F295:F301" si="15">C295+D295-E295</f>
        <v>4</v>
      </c>
      <c r="G295" s="72"/>
      <c r="H295" s="72">
        <f>F295-G295</f>
        <v>4</v>
      </c>
      <c r="I295" s="72" t="str">
        <f>IF(H295=0,"OK",
IF(ABS(H295)&lt;=2,"Minor Issue","SERIOUS LOSS"))</f>
        <v>SERIOUS LOSS</v>
      </c>
    </row>
    <row r="296" spans="1:9" s="77" customFormat="1" x14ac:dyDescent="0.25">
      <c r="A296" s="70" t="s">
        <v>585</v>
      </c>
      <c r="B296" s="71"/>
      <c r="C296" s="72">
        <v>0</v>
      </c>
      <c r="D296" s="157">
        <f>VLOOKUP(A296, 'Purchase Register'!C:D, 2, FALSE)</f>
        <v>30</v>
      </c>
      <c r="E296" s="29">
        <f>SUMIF('Sales Register'!C:C, A296, 'Sales Register'!D:D)</f>
        <v>29</v>
      </c>
      <c r="F296" s="72">
        <f t="shared" si="15"/>
        <v>1</v>
      </c>
      <c r="G296" s="72"/>
      <c r="H296" s="72">
        <f>F296-G296</f>
        <v>1</v>
      </c>
      <c r="I296" s="72" t="str">
        <f>IF(H296=0,"OK",
IF(ABS(H296)&lt;=2,"Minor Issue","SERIOUS LOSS"))</f>
        <v>Minor Issue</v>
      </c>
    </row>
    <row r="297" spans="1:9" s="77" customFormat="1" x14ac:dyDescent="0.25">
      <c r="A297" s="70" t="s">
        <v>587</v>
      </c>
      <c r="B297" s="71"/>
      <c r="C297" s="72">
        <v>0</v>
      </c>
      <c r="D297" s="157">
        <f>VLOOKUP(A297, 'Purchase Register'!C:D, 2, FALSE)</f>
        <v>6</v>
      </c>
      <c r="E297" s="72">
        <f>SUMIF('Sales Register'!C:C, A297, 'Sales Register'!D:D)</f>
        <v>7.3550000000000004</v>
      </c>
      <c r="F297" s="72">
        <f t="shared" si="15"/>
        <v>-1.3550000000000004</v>
      </c>
      <c r="G297" s="72"/>
      <c r="H297" s="72">
        <f t="shared" ref="H297:H332" si="16">F297-G297</f>
        <v>-1.3550000000000004</v>
      </c>
      <c r="I297" s="72" t="str">
        <f t="shared" ref="I297:I332" si="17">IF(H297=0,"OK",
IF(ABS(H297)&lt;=2,"Minor Issue","SERIOUS LOSS"))</f>
        <v>Minor Issue</v>
      </c>
    </row>
    <row r="298" spans="1:9" x14ac:dyDescent="0.25">
      <c r="A298" s="33" t="s">
        <v>588</v>
      </c>
      <c r="B298" s="28"/>
      <c r="C298" s="29">
        <v>0</v>
      </c>
      <c r="D298" s="157">
        <f>VLOOKUP(A298, 'Purchase Register'!C:D, 2, FALSE)</f>
        <v>5</v>
      </c>
      <c r="E298" s="29">
        <f>SUMIF('Sales Register'!C:C, A298, 'Sales Register'!D:D)</f>
        <v>5.0570000000000004</v>
      </c>
      <c r="F298" s="29">
        <f t="shared" si="15"/>
        <v>-5.7000000000000384E-2</v>
      </c>
      <c r="G298" s="29"/>
      <c r="H298" s="157">
        <f t="shared" si="16"/>
        <v>-5.7000000000000384E-2</v>
      </c>
      <c r="I298" s="72" t="str">
        <f t="shared" si="17"/>
        <v>Minor Issue</v>
      </c>
    </row>
    <row r="299" spans="1:9" s="77" customFormat="1" ht="30" x14ac:dyDescent="0.25">
      <c r="A299" s="70" t="s">
        <v>589</v>
      </c>
      <c r="B299" s="71"/>
      <c r="C299" s="72">
        <v>0</v>
      </c>
      <c r="D299" s="157">
        <f>VLOOKUP(A299, 'Purchase Register'!C:D, 2, FALSE)</f>
        <v>6</v>
      </c>
      <c r="E299" s="72">
        <f>SUMIF('Sales Register'!C:C, A299, 'Sales Register'!D:D)</f>
        <v>7.4879999999999995</v>
      </c>
      <c r="F299" s="72">
        <f t="shared" si="15"/>
        <v>-1.4879999999999995</v>
      </c>
      <c r="G299" s="72"/>
      <c r="H299" s="72">
        <f t="shared" si="16"/>
        <v>-1.4879999999999995</v>
      </c>
      <c r="I299" s="72" t="str">
        <f t="shared" si="17"/>
        <v>Minor Issue</v>
      </c>
    </row>
    <row r="300" spans="1:9" x14ac:dyDescent="0.25">
      <c r="A300" s="33" t="s">
        <v>590</v>
      </c>
      <c r="B300" s="28"/>
      <c r="C300" s="29">
        <v>0</v>
      </c>
      <c r="D300" s="157">
        <f>VLOOKUP(A300, 'Purchase Register'!C:D, 2, FALSE)</f>
        <v>6</v>
      </c>
      <c r="E300" s="29">
        <f>SUMIF('Sales Register'!C:C, A300, 'Sales Register'!D:D)</f>
        <v>6.9950000000000001</v>
      </c>
      <c r="F300" s="29">
        <f t="shared" si="15"/>
        <v>-0.99500000000000011</v>
      </c>
      <c r="G300" s="29"/>
      <c r="H300" s="157">
        <f t="shared" si="16"/>
        <v>-0.99500000000000011</v>
      </c>
      <c r="I300" s="72" t="str">
        <f t="shared" si="17"/>
        <v>Minor Issue</v>
      </c>
    </row>
    <row r="301" spans="1:9" x14ac:dyDescent="0.25">
      <c r="A301" s="33" t="s">
        <v>591</v>
      </c>
      <c r="B301" s="28"/>
      <c r="C301" s="29">
        <v>0</v>
      </c>
      <c r="D301" s="157">
        <f>VLOOKUP(A301, 'Purchase Register'!C:D, 2, FALSE)</f>
        <v>6</v>
      </c>
      <c r="E301" s="29">
        <f>SUMIF('Sales Register'!C:C, A301, 'Sales Register'!D:D)</f>
        <v>3.96</v>
      </c>
      <c r="F301" s="29">
        <f t="shared" si="15"/>
        <v>2.04</v>
      </c>
      <c r="G301" s="29"/>
      <c r="H301" s="157">
        <f t="shared" si="16"/>
        <v>2.04</v>
      </c>
      <c r="I301" s="72" t="str">
        <f t="shared" si="17"/>
        <v>SERIOUS LOSS</v>
      </c>
    </row>
    <row r="302" spans="1:9" ht="30" x14ac:dyDescent="0.25">
      <c r="A302" s="33" t="s">
        <v>599</v>
      </c>
      <c r="B302" s="28"/>
      <c r="C302" s="29"/>
      <c r="D302" s="157">
        <f>VLOOKUP(A302, 'Purchase Register'!C:D, 2, FALSE)</f>
        <v>16</v>
      </c>
      <c r="E302" s="29">
        <f>SUMIF('Sales Register'!C:C, A302, 'Sales Register'!D:D)</f>
        <v>13</v>
      </c>
      <c r="F302" s="29">
        <f t="shared" ref="F302:F332" si="18">C302+D302-E302</f>
        <v>3</v>
      </c>
      <c r="G302" s="29"/>
      <c r="H302" s="157">
        <f t="shared" si="16"/>
        <v>3</v>
      </c>
      <c r="I302" s="72" t="str">
        <f t="shared" si="17"/>
        <v>SERIOUS LOSS</v>
      </c>
    </row>
    <row r="303" spans="1:9" s="77" customFormat="1" ht="30" x14ac:dyDescent="0.25">
      <c r="A303" s="70" t="s">
        <v>601</v>
      </c>
      <c r="B303" s="71"/>
      <c r="C303" s="72"/>
      <c r="D303" s="157">
        <f>VLOOKUP(A303, 'Purchase Register'!C:D, 2, FALSE)</f>
        <v>26</v>
      </c>
      <c r="E303" s="72">
        <f>SUMIF('Sales Register'!C:C, A303, 'Sales Register'!D:D)</f>
        <v>22.7</v>
      </c>
      <c r="F303" s="72">
        <f t="shared" si="18"/>
        <v>3.3000000000000007</v>
      </c>
      <c r="G303" s="72"/>
      <c r="H303" s="72">
        <f t="shared" si="16"/>
        <v>3.3000000000000007</v>
      </c>
      <c r="I303" s="72" t="str">
        <f t="shared" si="17"/>
        <v>SERIOUS LOSS</v>
      </c>
    </row>
    <row r="304" spans="1:9" s="77" customFormat="1" x14ac:dyDescent="0.25">
      <c r="A304" s="70" t="s">
        <v>603</v>
      </c>
      <c r="B304" s="71"/>
      <c r="C304" s="72"/>
      <c r="D304" s="157">
        <f>VLOOKUP(A304, 'Purchase Register'!C:D, 2, FALSE)</f>
        <v>30</v>
      </c>
      <c r="E304" s="72">
        <f>SUMIF('Sales Register'!C:C, A304, 'Sales Register'!D:D)</f>
        <v>30</v>
      </c>
      <c r="F304" s="72">
        <f t="shared" si="18"/>
        <v>0</v>
      </c>
      <c r="G304" s="72"/>
      <c r="H304" s="72">
        <f t="shared" si="16"/>
        <v>0</v>
      </c>
      <c r="I304" s="72" t="str">
        <f t="shared" si="17"/>
        <v>OK</v>
      </c>
    </row>
    <row r="305" spans="1:9" s="77" customFormat="1" x14ac:dyDescent="0.25">
      <c r="A305" s="70" t="s">
        <v>604</v>
      </c>
      <c r="B305" s="71"/>
      <c r="C305" s="72"/>
      <c r="D305" s="157">
        <f>VLOOKUP(A305, 'Purchase Register'!C:D, 2, FALSE)</f>
        <v>30</v>
      </c>
      <c r="E305" s="29">
        <f>SUMIF('Sales Register'!C:C, A305, 'Sales Register'!D:D)</f>
        <v>30</v>
      </c>
      <c r="F305" s="72">
        <f t="shared" si="18"/>
        <v>0</v>
      </c>
      <c r="G305" s="72"/>
      <c r="H305" s="72">
        <f t="shared" si="16"/>
        <v>0</v>
      </c>
      <c r="I305" s="72" t="str">
        <f t="shared" si="17"/>
        <v>OK</v>
      </c>
    </row>
    <row r="306" spans="1:9" x14ac:dyDescent="0.25">
      <c r="A306" s="33" t="s">
        <v>605</v>
      </c>
      <c r="B306" s="28"/>
      <c r="C306" s="29"/>
      <c r="D306" s="157">
        <f>VLOOKUP(A306, 'Purchase Register'!C:D, 2, FALSE)</f>
        <v>20</v>
      </c>
      <c r="E306" s="29">
        <f>SUMIF('Sales Register'!C:C, A306, 'Sales Register'!D:D)</f>
        <v>20</v>
      </c>
      <c r="F306" s="29">
        <f t="shared" si="18"/>
        <v>0</v>
      </c>
      <c r="G306" s="29"/>
      <c r="H306" s="157">
        <f t="shared" si="16"/>
        <v>0</v>
      </c>
      <c r="I306" s="72" t="str">
        <f t="shared" si="17"/>
        <v>OK</v>
      </c>
    </row>
    <row r="307" spans="1:9" s="77" customFormat="1" ht="30" x14ac:dyDescent="0.25">
      <c r="A307" s="70" t="s">
        <v>626</v>
      </c>
      <c r="B307" s="71"/>
      <c r="C307" s="72"/>
      <c r="D307" s="157">
        <f>VLOOKUP(A307, 'Purchase Register'!C:D, 2, FALSE)</f>
        <v>24</v>
      </c>
      <c r="E307" s="72">
        <f>SUMIF('Sales Register'!C:C, A307, 'Sales Register'!D:D)</f>
        <v>31</v>
      </c>
      <c r="F307" s="72">
        <f t="shared" si="18"/>
        <v>-7</v>
      </c>
      <c r="G307" s="72"/>
      <c r="H307" s="72">
        <f t="shared" si="16"/>
        <v>-7</v>
      </c>
      <c r="I307" s="72" t="str">
        <f t="shared" si="17"/>
        <v>SERIOUS LOSS</v>
      </c>
    </row>
    <row r="308" spans="1:9" x14ac:dyDescent="0.25">
      <c r="A308" s="33" t="s">
        <v>630</v>
      </c>
      <c r="B308" s="28"/>
      <c r="C308" s="29"/>
      <c r="D308" s="157">
        <f>VLOOKUP(A308, 'Purchase Register'!C:D, 2, FALSE)</f>
        <v>3</v>
      </c>
      <c r="E308" s="29">
        <f>SUMIF('Sales Register'!C:C, A308, 'Sales Register'!D:D)</f>
        <v>0</v>
      </c>
      <c r="F308" s="29">
        <f t="shared" si="18"/>
        <v>3</v>
      </c>
      <c r="G308" s="29"/>
      <c r="H308" s="157">
        <f t="shared" si="16"/>
        <v>3</v>
      </c>
      <c r="I308" s="72" t="str">
        <f t="shared" si="17"/>
        <v>SERIOUS LOSS</v>
      </c>
    </row>
    <row r="309" spans="1:9" ht="30" x14ac:dyDescent="0.25">
      <c r="A309" s="33" t="s">
        <v>627</v>
      </c>
      <c r="B309" s="28"/>
      <c r="C309" s="29"/>
      <c r="D309" s="157">
        <f>VLOOKUP(A309, 'Purchase Register'!C:D, 2, FALSE)</f>
        <v>5</v>
      </c>
      <c r="E309" s="29">
        <f>SUMIF('Sales Register'!C:C, A309, 'Sales Register'!D:D)</f>
        <v>5</v>
      </c>
      <c r="F309" s="29">
        <f t="shared" si="18"/>
        <v>0</v>
      </c>
      <c r="G309" s="29"/>
      <c r="H309" s="157">
        <f t="shared" si="16"/>
        <v>0</v>
      </c>
      <c r="I309" s="72" t="str">
        <f t="shared" si="17"/>
        <v>OK</v>
      </c>
    </row>
    <row r="310" spans="1:9" ht="30" x14ac:dyDescent="0.25">
      <c r="A310" s="33" t="s">
        <v>625</v>
      </c>
      <c r="B310" s="28"/>
      <c r="C310" s="29"/>
      <c r="D310" s="157">
        <f>VLOOKUP(A310, 'Purchase Register'!C:D, 2, FALSE)</f>
        <v>3</v>
      </c>
      <c r="E310" s="29">
        <f>SUMIF('Sales Register'!C:C, A310, 'Sales Register'!D:D)</f>
        <v>9</v>
      </c>
      <c r="F310" s="29">
        <f t="shared" si="18"/>
        <v>-6</v>
      </c>
      <c r="G310" s="29"/>
      <c r="H310" s="157">
        <f t="shared" si="16"/>
        <v>-6</v>
      </c>
      <c r="I310" s="72" t="str">
        <f t="shared" si="17"/>
        <v>SERIOUS LOSS</v>
      </c>
    </row>
    <row r="311" spans="1:9" x14ac:dyDescent="0.25">
      <c r="A311" s="33" t="s">
        <v>629</v>
      </c>
      <c r="B311" s="28"/>
      <c r="C311" s="29"/>
      <c r="D311" s="157">
        <f>VLOOKUP(A311, 'Purchase Register'!C:D, 2, FALSE)</f>
        <v>3</v>
      </c>
      <c r="E311" s="29">
        <f>SUMIF('Sales Register'!C:C, A311, 'Sales Register'!D:D)</f>
        <v>2</v>
      </c>
      <c r="F311" s="29">
        <f t="shared" si="18"/>
        <v>1</v>
      </c>
      <c r="G311" s="29"/>
      <c r="H311" s="157">
        <f t="shared" si="16"/>
        <v>1</v>
      </c>
      <c r="I311" s="72" t="str">
        <f t="shared" si="17"/>
        <v>Minor Issue</v>
      </c>
    </row>
    <row r="312" spans="1:9" s="77" customFormat="1" x14ac:dyDescent="0.25">
      <c r="A312" s="70" t="s">
        <v>628</v>
      </c>
      <c r="B312" s="71"/>
      <c r="C312" s="72"/>
      <c r="D312" s="157">
        <f>VLOOKUP(A312, 'Purchase Register'!C:D, 2, FALSE)</f>
        <v>3</v>
      </c>
      <c r="E312" s="72">
        <f>SUMIF('Sales Register'!C:C, A312, 'Sales Register'!D:D)</f>
        <v>4</v>
      </c>
      <c r="F312" s="72">
        <f t="shared" si="18"/>
        <v>-1</v>
      </c>
      <c r="G312" s="72"/>
      <c r="H312" s="72">
        <f t="shared" si="16"/>
        <v>-1</v>
      </c>
      <c r="I312" s="72" t="str">
        <f t="shared" si="17"/>
        <v>Minor Issue</v>
      </c>
    </row>
    <row r="313" spans="1:9" x14ac:dyDescent="0.25">
      <c r="A313" s="33" t="s">
        <v>613</v>
      </c>
      <c r="B313" s="28"/>
      <c r="C313" s="29"/>
      <c r="D313" s="157">
        <f>VLOOKUP(A313, 'Purchase Register'!C:D, 2, FALSE)</f>
        <v>24</v>
      </c>
      <c r="E313" s="29">
        <f>SUMIF('Sales Register'!C:C, A313, 'Sales Register'!D:D)</f>
        <v>1</v>
      </c>
      <c r="F313" s="29">
        <f t="shared" si="18"/>
        <v>23</v>
      </c>
      <c r="G313" s="29"/>
      <c r="H313" s="157">
        <f t="shared" si="16"/>
        <v>23</v>
      </c>
      <c r="I313" s="72" t="str">
        <f t="shared" si="17"/>
        <v>SERIOUS LOSS</v>
      </c>
    </row>
    <row r="314" spans="1:9" x14ac:dyDescent="0.25">
      <c r="A314" s="33" t="s">
        <v>614</v>
      </c>
      <c r="B314" s="28"/>
      <c r="C314" s="29"/>
      <c r="D314" s="157">
        <f>VLOOKUP(A314, 'Purchase Register'!C:D, 2, FALSE)</f>
        <v>5</v>
      </c>
      <c r="E314" s="29">
        <f>SUMIF('Sales Register'!C:C, A314, 'Sales Register'!D:D)</f>
        <v>5</v>
      </c>
      <c r="F314" s="29">
        <f t="shared" si="18"/>
        <v>0</v>
      </c>
      <c r="G314" s="29"/>
      <c r="H314" s="157">
        <f t="shared" si="16"/>
        <v>0</v>
      </c>
      <c r="I314" s="72" t="str">
        <f t="shared" si="17"/>
        <v>OK</v>
      </c>
    </row>
    <row r="315" spans="1:9" x14ac:dyDescent="0.25">
      <c r="A315" s="33" t="s">
        <v>615</v>
      </c>
      <c r="B315" s="28"/>
      <c r="C315" s="29"/>
      <c r="D315" s="157">
        <f>VLOOKUP(A315, 'Purchase Register'!C:D, 2, FALSE)</f>
        <v>12</v>
      </c>
      <c r="E315" s="29">
        <f>SUMIF('Sales Register'!C:C, A315, 'Sales Register'!D:D)</f>
        <v>12</v>
      </c>
      <c r="F315" s="29">
        <f t="shared" si="18"/>
        <v>0</v>
      </c>
      <c r="G315" s="29"/>
      <c r="H315" s="157">
        <f t="shared" si="16"/>
        <v>0</v>
      </c>
      <c r="I315" s="72" t="str">
        <f t="shared" si="17"/>
        <v>OK</v>
      </c>
    </row>
    <row r="316" spans="1:9" x14ac:dyDescent="0.25">
      <c r="A316" s="33" t="s">
        <v>616</v>
      </c>
      <c r="B316" s="28"/>
      <c r="C316" s="29"/>
      <c r="D316" s="157">
        <f>VLOOKUP(A316, 'Purchase Register'!C:D, 2, FALSE)</f>
        <v>6</v>
      </c>
      <c r="E316" s="29">
        <f>SUMIF('Sales Register'!C:C, A316, 'Sales Register'!D:D)</f>
        <v>4</v>
      </c>
      <c r="F316" s="29">
        <f t="shared" si="18"/>
        <v>2</v>
      </c>
      <c r="G316" s="29"/>
      <c r="H316" s="157">
        <f t="shared" si="16"/>
        <v>2</v>
      </c>
      <c r="I316" s="72" t="str">
        <f t="shared" si="17"/>
        <v>Minor Issue</v>
      </c>
    </row>
    <row r="317" spans="1:9" s="77" customFormat="1" x14ac:dyDescent="0.25">
      <c r="A317" s="70" t="s">
        <v>617</v>
      </c>
      <c r="B317" s="71"/>
      <c r="C317" s="72"/>
      <c r="D317" s="157">
        <f>VLOOKUP(A317, 'Purchase Register'!C:D, 2, FALSE)</f>
        <v>3</v>
      </c>
      <c r="E317" s="72">
        <f>SUMIF('Sales Register'!C:C, A317, 'Sales Register'!D:D)</f>
        <v>3</v>
      </c>
      <c r="F317" s="72">
        <f t="shared" si="18"/>
        <v>0</v>
      </c>
      <c r="G317" s="72"/>
      <c r="H317" s="72">
        <f t="shared" si="16"/>
        <v>0</v>
      </c>
      <c r="I317" s="72" t="str">
        <f t="shared" si="17"/>
        <v>OK</v>
      </c>
    </row>
    <row r="318" spans="1:9" x14ac:dyDescent="0.25">
      <c r="A318" s="33" t="s">
        <v>618</v>
      </c>
      <c r="B318" s="28"/>
      <c r="C318" s="29"/>
      <c r="D318" s="157">
        <f>VLOOKUP(A318, 'Purchase Register'!C:D, 2, FALSE)</f>
        <v>3</v>
      </c>
      <c r="E318" s="29">
        <f>SUMIF('Sales Register'!C:C, A318, 'Sales Register'!D:D)</f>
        <v>3</v>
      </c>
      <c r="F318" s="29">
        <f t="shared" si="18"/>
        <v>0</v>
      </c>
      <c r="G318" s="29"/>
      <c r="H318" s="157">
        <f t="shared" si="16"/>
        <v>0</v>
      </c>
      <c r="I318" s="72" t="str">
        <f t="shared" si="17"/>
        <v>OK</v>
      </c>
    </row>
    <row r="319" spans="1:9" x14ac:dyDescent="0.25">
      <c r="A319" s="33" t="s">
        <v>620</v>
      </c>
      <c r="B319" s="28"/>
      <c r="C319" s="29"/>
      <c r="D319" s="157">
        <f>VLOOKUP(A319, 'Purchase Register'!C:D, 2, FALSE)</f>
        <v>10</v>
      </c>
      <c r="E319" s="29">
        <f>SUMIF('Sales Register'!C:C, A319, 'Sales Register'!D:D)</f>
        <v>2</v>
      </c>
      <c r="F319" s="29">
        <f t="shared" si="18"/>
        <v>8</v>
      </c>
      <c r="G319" s="29"/>
      <c r="H319" s="157">
        <f t="shared" si="16"/>
        <v>8</v>
      </c>
      <c r="I319" s="72" t="str">
        <f t="shared" si="17"/>
        <v>SERIOUS LOSS</v>
      </c>
    </row>
    <row r="320" spans="1:9" ht="30" x14ac:dyDescent="0.25">
      <c r="A320" s="33" t="s">
        <v>623</v>
      </c>
      <c r="B320" s="28"/>
      <c r="C320" s="29"/>
      <c r="D320" s="157">
        <f>VLOOKUP(A320, 'Purchase Register'!C:D, 2, FALSE)</f>
        <v>60</v>
      </c>
      <c r="E320" s="29">
        <f>SUMIF('Sales Register'!C:C, A320, 'Sales Register'!D:D)</f>
        <v>31</v>
      </c>
      <c r="F320" s="29">
        <f t="shared" si="18"/>
        <v>29</v>
      </c>
      <c r="G320" s="29"/>
      <c r="H320" s="157">
        <f t="shared" si="16"/>
        <v>29</v>
      </c>
      <c r="I320" s="72" t="str">
        <f t="shared" si="17"/>
        <v>SERIOUS LOSS</v>
      </c>
    </row>
    <row r="321" spans="1:9" x14ac:dyDescent="0.25">
      <c r="A321" s="33" t="s">
        <v>624</v>
      </c>
      <c r="B321" s="28"/>
      <c r="C321" s="29"/>
      <c r="D321" s="157">
        <f>VLOOKUP(A321, 'Purchase Register'!C:D, 2, FALSE)</f>
        <v>12</v>
      </c>
      <c r="E321" s="29">
        <f>SUMIF('Sales Register'!C:C, A321, 'Sales Register'!D:D)</f>
        <v>4</v>
      </c>
      <c r="F321" s="29">
        <f t="shared" si="18"/>
        <v>8</v>
      </c>
      <c r="G321" s="29"/>
      <c r="H321" s="157">
        <f t="shared" si="16"/>
        <v>8</v>
      </c>
      <c r="I321" s="72" t="str">
        <f t="shared" si="17"/>
        <v>SERIOUS LOSS</v>
      </c>
    </row>
    <row r="322" spans="1:9" ht="30" x14ac:dyDescent="0.25">
      <c r="A322" s="33" t="s">
        <v>621</v>
      </c>
      <c r="B322" s="28"/>
      <c r="C322" s="29"/>
      <c r="D322" s="157">
        <f>VLOOKUP(A322, 'Purchase Register'!C:D, 2, FALSE)</f>
        <v>4</v>
      </c>
      <c r="E322" s="29">
        <f>SUMIF('Sales Register'!C:C, A322, 'Sales Register'!D:D)</f>
        <v>4</v>
      </c>
      <c r="F322" s="29">
        <f t="shared" si="18"/>
        <v>0</v>
      </c>
      <c r="G322" s="29"/>
      <c r="H322" s="157">
        <f t="shared" si="16"/>
        <v>0</v>
      </c>
      <c r="I322" s="72" t="str">
        <f t="shared" si="17"/>
        <v>OK</v>
      </c>
    </row>
    <row r="323" spans="1:9" x14ac:dyDescent="0.25">
      <c r="A323" s="33" t="s">
        <v>622</v>
      </c>
      <c r="B323" s="28"/>
      <c r="C323" s="29"/>
      <c r="D323" s="157">
        <f>VLOOKUP(A323, 'Purchase Register'!C:D, 2, FALSE)</f>
        <v>30</v>
      </c>
      <c r="E323" s="29">
        <f>SUMIF('Sales Register'!C:C, A323, 'Sales Register'!D:D)</f>
        <v>8</v>
      </c>
      <c r="F323" s="29">
        <f t="shared" si="18"/>
        <v>22</v>
      </c>
      <c r="G323" s="29"/>
      <c r="H323" s="157">
        <f t="shared" si="16"/>
        <v>22</v>
      </c>
      <c r="I323" s="72" t="str">
        <f t="shared" si="17"/>
        <v>SERIOUS LOSS</v>
      </c>
    </row>
    <row r="324" spans="1:9" x14ac:dyDescent="0.25">
      <c r="A324" s="33" t="s">
        <v>619</v>
      </c>
      <c r="B324" s="28"/>
      <c r="C324" s="29"/>
      <c r="D324" s="157">
        <f>VLOOKUP(A324, 'Purchase Register'!C:D, 2, FALSE)</f>
        <v>10</v>
      </c>
      <c r="E324" s="29">
        <f>SUMIF('Sales Register'!C:C, A324, 'Sales Register'!D:D)</f>
        <v>10</v>
      </c>
      <c r="F324" s="29">
        <f t="shared" si="18"/>
        <v>0</v>
      </c>
      <c r="G324" s="29"/>
      <c r="H324" s="157">
        <f t="shared" si="16"/>
        <v>0</v>
      </c>
      <c r="I324" s="72" t="str">
        <f t="shared" si="17"/>
        <v>OK</v>
      </c>
    </row>
    <row r="325" spans="1:9" s="77" customFormat="1" x14ac:dyDescent="0.25">
      <c r="A325" s="70" t="s">
        <v>606</v>
      </c>
      <c r="B325" s="71"/>
      <c r="C325" s="72"/>
      <c r="D325" s="157">
        <f>VLOOKUP(A325, 'Purchase Register'!C:D, 2, FALSE)</f>
        <v>12</v>
      </c>
      <c r="E325" s="72">
        <f>SUMIF('Sales Register'!C:C, A325, 'Sales Register'!D:D)</f>
        <v>12</v>
      </c>
      <c r="F325" s="72">
        <f t="shared" si="18"/>
        <v>0</v>
      </c>
      <c r="G325" s="72"/>
      <c r="H325" s="72">
        <f t="shared" si="16"/>
        <v>0</v>
      </c>
      <c r="I325" s="72" t="str">
        <f t="shared" si="17"/>
        <v>OK</v>
      </c>
    </row>
    <row r="326" spans="1:9" s="77" customFormat="1" x14ac:dyDescent="0.25">
      <c r="A326" s="70" t="s">
        <v>607</v>
      </c>
      <c r="B326" s="71"/>
      <c r="C326" s="72"/>
      <c r="D326" s="157">
        <f>VLOOKUP(A326, 'Purchase Register'!C:D, 2, FALSE)</f>
        <v>4</v>
      </c>
      <c r="E326" s="72">
        <f>SUMIF('Sales Register'!C:C, A326, 'Sales Register'!D:D)</f>
        <v>6</v>
      </c>
      <c r="F326" s="72">
        <f t="shared" si="18"/>
        <v>-2</v>
      </c>
      <c r="G326" s="72"/>
      <c r="H326" s="72">
        <f t="shared" si="16"/>
        <v>-2</v>
      </c>
      <c r="I326" s="72" t="str">
        <f t="shared" si="17"/>
        <v>Minor Issue</v>
      </c>
    </row>
    <row r="327" spans="1:9" s="77" customFormat="1" x14ac:dyDescent="0.25">
      <c r="A327" s="70" t="s">
        <v>608</v>
      </c>
      <c r="B327" s="71"/>
      <c r="C327" s="72"/>
      <c r="D327" s="157">
        <f>VLOOKUP(A327, 'Purchase Register'!C:D, 2, FALSE)</f>
        <v>3</v>
      </c>
      <c r="E327" s="72">
        <f>SUMIF('Sales Register'!C:C, A327, 'Sales Register'!D:D)</f>
        <v>3</v>
      </c>
      <c r="F327" s="72">
        <f t="shared" si="18"/>
        <v>0</v>
      </c>
      <c r="G327" s="72"/>
      <c r="H327" s="72">
        <f t="shared" si="16"/>
        <v>0</v>
      </c>
      <c r="I327" s="72" t="str">
        <f t="shared" si="17"/>
        <v>OK</v>
      </c>
    </row>
    <row r="328" spans="1:9" s="77" customFormat="1" x14ac:dyDescent="0.25">
      <c r="A328" s="70" t="s">
        <v>609</v>
      </c>
      <c r="B328" s="71"/>
      <c r="C328" s="72"/>
      <c r="D328" s="157">
        <f>VLOOKUP(A328, 'Purchase Register'!C:D, 2, FALSE)</f>
        <v>10</v>
      </c>
      <c r="E328" s="72">
        <f>SUMIF('Sales Register'!C:C, A328, 'Sales Register'!D:D)</f>
        <v>6</v>
      </c>
      <c r="F328" s="72">
        <f t="shared" si="18"/>
        <v>4</v>
      </c>
      <c r="G328" s="72"/>
      <c r="H328" s="72">
        <f t="shared" si="16"/>
        <v>4</v>
      </c>
      <c r="I328" s="72" t="str">
        <f t="shared" si="17"/>
        <v>SERIOUS LOSS</v>
      </c>
    </row>
    <row r="329" spans="1:9" x14ac:dyDescent="0.25">
      <c r="A329" s="33" t="s">
        <v>610</v>
      </c>
      <c r="B329" s="28"/>
      <c r="C329" s="29"/>
      <c r="D329" s="157">
        <f>VLOOKUP(A329, 'Purchase Register'!C:D, 2, FALSE)</f>
        <v>30</v>
      </c>
      <c r="E329" s="29">
        <f>SUMIF('Sales Register'!C:C, A329, 'Sales Register'!D:D)</f>
        <v>18</v>
      </c>
      <c r="F329" s="29">
        <f t="shared" si="18"/>
        <v>12</v>
      </c>
      <c r="G329" s="29"/>
      <c r="H329" s="157">
        <f t="shared" si="16"/>
        <v>12</v>
      </c>
      <c r="I329" s="72" t="str">
        <f t="shared" si="17"/>
        <v>SERIOUS LOSS</v>
      </c>
    </row>
    <row r="330" spans="1:9" s="77" customFormat="1" ht="30" x14ac:dyDescent="0.25">
      <c r="A330" s="70" t="s">
        <v>635</v>
      </c>
      <c r="B330" s="71"/>
      <c r="C330" s="72"/>
      <c r="D330" s="157">
        <f>VLOOKUP(A330, 'Purchase Register'!C:D, 2, FALSE)</f>
        <v>6</v>
      </c>
      <c r="E330" s="72">
        <f>SUMIF('Sales Register'!C:C, A330, 'Sales Register'!D:D)</f>
        <v>7</v>
      </c>
      <c r="F330" s="72">
        <f t="shared" si="18"/>
        <v>-1</v>
      </c>
      <c r="G330" s="72"/>
      <c r="H330" s="72">
        <f t="shared" si="16"/>
        <v>-1</v>
      </c>
      <c r="I330" s="72" t="str">
        <f t="shared" si="17"/>
        <v>Minor Issue</v>
      </c>
    </row>
    <row r="331" spans="1:9" s="77" customFormat="1" x14ac:dyDescent="0.25">
      <c r="A331" s="70" t="s">
        <v>611</v>
      </c>
      <c r="B331" s="71"/>
      <c r="C331" s="72"/>
      <c r="D331" s="157">
        <f>VLOOKUP(A331, 'Purchase Register'!C:D, 2, FALSE)</f>
        <v>3</v>
      </c>
      <c r="E331" s="72">
        <f>SUMIF('Sales Register'!C:C, A331, 'Sales Register'!D:D)</f>
        <v>4</v>
      </c>
      <c r="F331" s="72">
        <f t="shared" si="18"/>
        <v>-1</v>
      </c>
      <c r="G331" s="72"/>
      <c r="H331" s="72">
        <f t="shared" si="16"/>
        <v>-1</v>
      </c>
      <c r="I331" s="72" t="str">
        <f t="shared" si="17"/>
        <v>Minor Issue</v>
      </c>
    </row>
    <row r="332" spans="1:9" s="77" customFormat="1" x14ac:dyDescent="0.25">
      <c r="A332" s="70" t="s">
        <v>612</v>
      </c>
      <c r="B332" s="71"/>
      <c r="C332" s="72"/>
      <c r="D332" s="157">
        <f>VLOOKUP(A332, 'Purchase Register'!C:D, 2, FALSE)</f>
        <v>2</v>
      </c>
      <c r="E332" s="72">
        <f>SUMIF('Sales Register'!C:C, A332, 'Sales Register'!D:D)</f>
        <v>2</v>
      </c>
      <c r="F332" s="72">
        <f t="shared" si="18"/>
        <v>0</v>
      </c>
      <c r="G332" s="72"/>
      <c r="H332" s="72">
        <f t="shared" si="16"/>
        <v>0</v>
      </c>
      <c r="I332" s="72" t="str">
        <f t="shared" si="17"/>
        <v>OK</v>
      </c>
    </row>
    <row r="333" spans="1:9" x14ac:dyDescent="0.25">
      <c r="A333" s="33" t="s">
        <v>636</v>
      </c>
      <c r="B333" s="28"/>
      <c r="C333" s="29"/>
      <c r="D333" s="157">
        <f>VLOOKUP(A333, 'Purchase Register'!C:D, 2, FALSE)</f>
        <v>1000</v>
      </c>
      <c r="E333" s="29">
        <f>SUMIF('Sales Register'!C:C, A333, 'Sales Register'!D:D)</f>
        <v>1.1280000000000001</v>
      </c>
      <c r="F333" s="29">
        <f t="shared" ref="F333:F338" si="19">C333+D333-E333</f>
        <v>998.87199999999996</v>
      </c>
      <c r="G333" s="29"/>
      <c r="H333" s="157">
        <f t="shared" ref="H333:H346" si="20">F333-G333</f>
        <v>998.87199999999996</v>
      </c>
      <c r="I333" s="72" t="str">
        <f t="shared" ref="I333:I346" si="21">IF(H333=0,"OK",
IF(ABS(H333)&lt;=2,"Minor Issue","SERIOUS LOSS"))</f>
        <v>SERIOUS LOSS</v>
      </c>
    </row>
    <row r="334" spans="1:9" s="77" customFormat="1" x14ac:dyDescent="0.25">
      <c r="A334" s="70" t="s">
        <v>637</v>
      </c>
      <c r="B334" s="71"/>
      <c r="C334" s="72"/>
      <c r="D334" s="157">
        <f>VLOOKUP(A334, 'Purchase Register'!C:D, 2, FALSE)</f>
        <v>2</v>
      </c>
      <c r="E334" s="72">
        <f>SUMIF('Sales Register'!C:C, A334, 'Sales Register'!D:D)</f>
        <v>0</v>
      </c>
      <c r="F334" s="72">
        <f t="shared" si="19"/>
        <v>2</v>
      </c>
      <c r="G334" s="72"/>
      <c r="H334" s="72">
        <f t="shared" si="20"/>
        <v>2</v>
      </c>
      <c r="I334" s="72" t="str">
        <f t="shared" si="21"/>
        <v>Minor Issue</v>
      </c>
    </row>
    <row r="335" spans="1:9" s="77" customFormat="1" x14ac:dyDescent="0.25">
      <c r="A335" s="70" t="s">
        <v>638</v>
      </c>
      <c r="B335" s="71"/>
      <c r="C335" s="72"/>
      <c r="D335" s="157">
        <f>VLOOKUP(A335, 'Purchase Register'!C:D, 2, FALSE)</f>
        <v>8</v>
      </c>
      <c r="E335" s="72">
        <f>SUMIF('Sales Register'!C:C, A335, 'Sales Register'!D:D)</f>
        <v>12</v>
      </c>
      <c r="F335" s="72">
        <f t="shared" si="19"/>
        <v>-4</v>
      </c>
      <c r="G335" s="72"/>
      <c r="H335" s="72">
        <f t="shared" si="20"/>
        <v>-4</v>
      </c>
      <c r="I335" s="72" t="str">
        <f t="shared" si="21"/>
        <v>SERIOUS LOSS</v>
      </c>
    </row>
    <row r="336" spans="1:9" x14ac:dyDescent="0.25">
      <c r="A336" s="33" t="s">
        <v>639</v>
      </c>
      <c r="B336" s="28"/>
      <c r="C336" s="29"/>
      <c r="D336" s="157">
        <f>VLOOKUP(A336, 'Purchase Register'!C:D, 2, FALSE)</f>
        <v>144</v>
      </c>
      <c r="E336" s="29">
        <f>SUMIF('Sales Register'!C:C, A336, 'Sales Register'!D:D)</f>
        <v>115</v>
      </c>
      <c r="F336" s="29">
        <f t="shared" si="19"/>
        <v>29</v>
      </c>
      <c r="G336" s="29"/>
      <c r="H336" s="157">
        <f t="shared" si="20"/>
        <v>29</v>
      </c>
      <c r="I336" s="72" t="str">
        <f t="shared" si="21"/>
        <v>SERIOUS LOSS</v>
      </c>
    </row>
    <row r="337" spans="1:9" ht="30" x14ac:dyDescent="0.25">
      <c r="A337" s="33" t="s">
        <v>640</v>
      </c>
      <c r="B337" s="28"/>
      <c r="C337" s="29"/>
      <c r="D337" s="157">
        <f>VLOOKUP(A337, 'Purchase Register'!C:D, 2, FALSE)</f>
        <v>15</v>
      </c>
      <c r="E337" s="29">
        <f>SUMIF('Sales Register'!C:C, A337, 'Sales Register'!D:D)</f>
        <v>12</v>
      </c>
      <c r="F337" s="29">
        <f t="shared" si="19"/>
        <v>3</v>
      </c>
      <c r="G337" s="29"/>
      <c r="H337" s="157">
        <f t="shared" si="20"/>
        <v>3</v>
      </c>
      <c r="I337" s="72" t="str">
        <f t="shared" si="21"/>
        <v>SERIOUS LOSS</v>
      </c>
    </row>
    <row r="338" spans="1:9" ht="30" x14ac:dyDescent="0.25">
      <c r="A338" s="33" t="s">
        <v>641</v>
      </c>
      <c r="B338" s="28"/>
      <c r="C338" s="29"/>
      <c r="D338" s="157">
        <f>VLOOKUP(A338, 'Purchase Register'!C:D, 2, FALSE)</f>
        <v>2</v>
      </c>
      <c r="E338" s="29">
        <f>SUMIF('Sales Register'!C:C, A338, 'Sales Register'!D:D)</f>
        <v>3</v>
      </c>
      <c r="F338" s="29">
        <f t="shared" si="19"/>
        <v>-1</v>
      </c>
      <c r="G338" s="29"/>
      <c r="H338" s="157">
        <f t="shared" si="20"/>
        <v>-1</v>
      </c>
      <c r="I338" s="72" t="str">
        <f t="shared" si="21"/>
        <v>Minor Issue</v>
      </c>
    </row>
    <row r="339" spans="1:9" ht="30" x14ac:dyDescent="0.25">
      <c r="A339" s="33" t="s">
        <v>642</v>
      </c>
      <c r="B339" s="28"/>
      <c r="C339" s="29"/>
      <c r="D339" s="157">
        <f>VLOOKUP(A339, 'Purchase Register'!C:D, 2, FALSE)</f>
        <v>4</v>
      </c>
      <c r="E339" s="29">
        <f>SUMIF('Sales Register'!C:C, A339, 'Sales Register'!D:D)</f>
        <v>5</v>
      </c>
      <c r="F339" s="29">
        <f t="shared" ref="F339:F346" si="22">C339+D339-E339</f>
        <v>-1</v>
      </c>
      <c r="G339" s="29"/>
      <c r="H339" s="157">
        <f t="shared" si="20"/>
        <v>-1</v>
      </c>
      <c r="I339" s="72" t="str">
        <f t="shared" si="21"/>
        <v>Minor Issue</v>
      </c>
    </row>
    <row r="340" spans="1:9" s="77" customFormat="1" x14ac:dyDescent="0.25">
      <c r="A340" s="70" t="s">
        <v>643</v>
      </c>
      <c r="B340" s="71"/>
      <c r="C340" s="72"/>
      <c r="D340" s="157">
        <f>VLOOKUP(A340, 'Purchase Register'!C:D, 2, FALSE)</f>
        <v>12</v>
      </c>
      <c r="E340" s="72">
        <f>SUMIF('Sales Register'!C:C, A340, 'Sales Register'!D:D)</f>
        <v>12</v>
      </c>
      <c r="F340" s="72">
        <f t="shared" si="22"/>
        <v>0</v>
      </c>
      <c r="G340" s="72"/>
      <c r="H340" s="72">
        <f t="shared" si="20"/>
        <v>0</v>
      </c>
      <c r="I340" s="72" t="str">
        <f t="shared" si="21"/>
        <v>OK</v>
      </c>
    </row>
    <row r="341" spans="1:9" x14ac:dyDescent="0.25">
      <c r="A341" s="33" t="s">
        <v>644</v>
      </c>
      <c r="B341" s="28"/>
      <c r="C341" s="29"/>
      <c r="D341" s="157">
        <f>VLOOKUP(A341, 'Purchase Register'!C:D, 2, FALSE)</f>
        <v>1</v>
      </c>
      <c r="E341" s="29">
        <f>SUMIF('Sales Register'!C:C, A341, 'Sales Register'!D:D)</f>
        <v>1</v>
      </c>
      <c r="F341" s="29">
        <f t="shared" si="22"/>
        <v>0</v>
      </c>
      <c r="G341" s="29"/>
      <c r="H341" s="157">
        <f t="shared" si="20"/>
        <v>0</v>
      </c>
      <c r="I341" s="72" t="str">
        <f t="shared" si="21"/>
        <v>OK</v>
      </c>
    </row>
    <row r="342" spans="1:9" x14ac:dyDescent="0.25">
      <c r="A342" s="33" t="s">
        <v>645</v>
      </c>
      <c r="B342" s="28"/>
      <c r="C342" s="29"/>
      <c r="D342" s="157">
        <f>VLOOKUP(A342, 'Purchase Register'!C:D, 2, FALSE)</f>
        <v>6</v>
      </c>
      <c r="E342" s="29">
        <f>SUMIF('Sales Register'!C:C, A342, 'Sales Register'!D:D)</f>
        <v>7</v>
      </c>
      <c r="F342" s="29">
        <f t="shared" si="22"/>
        <v>-1</v>
      </c>
      <c r="G342" s="29"/>
      <c r="H342" s="157">
        <f t="shared" si="20"/>
        <v>-1</v>
      </c>
      <c r="I342" s="72" t="str">
        <f t="shared" si="21"/>
        <v>Minor Issue</v>
      </c>
    </row>
    <row r="343" spans="1:9" ht="30" x14ac:dyDescent="0.25">
      <c r="A343" s="33" t="s">
        <v>646</v>
      </c>
      <c r="B343" s="28"/>
      <c r="C343" s="29"/>
      <c r="D343" s="157">
        <f>VLOOKUP(A343, 'Purchase Register'!C:D, 2, FALSE)</f>
        <v>30</v>
      </c>
      <c r="E343" s="29">
        <f>SUMIF('Sales Register'!C:C, A343, 'Sales Register'!D:D)</f>
        <v>14</v>
      </c>
      <c r="F343" s="29">
        <f t="shared" si="22"/>
        <v>16</v>
      </c>
      <c r="G343" s="29"/>
      <c r="H343" s="157">
        <f t="shared" si="20"/>
        <v>16</v>
      </c>
      <c r="I343" s="72" t="str">
        <f t="shared" si="21"/>
        <v>SERIOUS LOSS</v>
      </c>
    </row>
    <row r="344" spans="1:9" s="77" customFormat="1" x14ac:dyDescent="0.25">
      <c r="A344" s="70" t="s">
        <v>647</v>
      </c>
      <c r="B344" s="71"/>
      <c r="C344" s="72"/>
      <c r="D344" s="157">
        <f>VLOOKUP(A344, 'Purchase Register'!C:D, 2, FALSE)</f>
        <v>6</v>
      </c>
      <c r="E344" s="72">
        <f>SUMIF('Sales Register'!C:C, A344, 'Sales Register'!D:D)</f>
        <v>6</v>
      </c>
      <c r="F344" s="72">
        <f t="shared" si="22"/>
        <v>0</v>
      </c>
      <c r="G344" s="72"/>
      <c r="H344" s="72">
        <f t="shared" si="20"/>
        <v>0</v>
      </c>
      <c r="I344" s="72" t="str">
        <f t="shared" si="21"/>
        <v>OK</v>
      </c>
    </row>
    <row r="345" spans="1:9" x14ac:dyDescent="0.25">
      <c r="A345" s="33" t="s">
        <v>648</v>
      </c>
      <c r="B345" s="28"/>
      <c r="C345" s="29"/>
      <c r="D345" s="157">
        <f>VLOOKUP(A345, 'Purchase Register'!C:D, 2, FALSE)</f>
        <v>6</v>
      </c>
      <c r="E345" s="29">
        <f>SUMIF('Sales Register'!C:C, A345, 'Sales Register'!D:D)</f>
        <v>6</v>
      </c>
      <c r="F345" s="29">
        <f t="shared" si="22"/>
        <v>0</v>
      </c>
      <c r="G345" s="29"/>
      <c r="H345" s="157">
        <f t="shared" si="20"/>
        <v>0</v>
      </c>
      <c r="I345" s="72" t="str">
        <f t="shared" si="21"/>
        <v>OK</v>
      </c>
    </row>
    <row r="346" spans="1:9" x14ac:dyDescent="0.25">
      <c r="A346" s="33" t="s">
        <v>649</v>
      </c>
      <c r="B346" s="28"/>
      <c r="C346" s="29"/>
      <c r="D346" s="157">
        <f>VLOOKUP(A346, 'Purchase Register'!C:D, 2, FALSE)</f>
        <v>20</v>
      </c>
      <c r="E346" s="29">
        <f>SUMIF('Sales Register'!C:C, A346, 'Sales Register'!D:D)</f>
        <v>20</v>
      </c>
      <c r="F346" s="29">
        <f t="shared" si="22"/>
        <v>0</v>
      </c>
      <c r="G346" s="29"/>
      <c r="H346" s="157">
        <f t="shared" si="20"/>
        <v>0</v>
      </c>
      <c r="I346" s="72" t="str">
        <f t="shared" si="21"/>
        <v>OK</v>
      </c>
    </row>
    <row r="347" spans="1:9" x14ac:dyDescent="0.25">
      <c r="A347" s="33" t="s">
        <v>684</v>
      </c>
      <c r="B347" s="28"/>
      <c r="C347" s="29"/>
      <c r="D347" s="157">
        <f>VLOOKUP(A347, 'Purchase Register'!C:D, 2, FALSE)</f>
        <v>108</v>
      </c>
      <c r="E347" s="29">
        <f>SUMIF('Sales Register'!C:C, A347, 'Sales Register'!D:D)</f>
        <v>108</v>
      </c>
      <c r="F347" s="29">
        <f t="shared" ref="F347:F354" si="23">C347+D347-E347</f>
        <v>0</v>
      </c>
      <c r="G347" s="29"/>
      <c r="H347" s="157">
        <f t="shared" ref="H347:H354" si="24">F347-G347</f>
        <v>0</v>
      </c>
      <c r="I347" s="72" t="str">
        <f t="shared" ref="I347:I354" si="25">IF(H347=0,"OK",
IF(ABS(H347)&lt;=2,"Minor Issue","SERIOUS LOSS"))</f>
        <v>OK</v>
      </c>
    </row>
    <row r="348" spans="1:9" x14ac:dyDescent="0.25">
      <c r="A348" s="70" t="s">
        <v>651</v>
      </c>
      <c r="B348" s="28"/>
      <c r="C348" s="29"/>
      <c r="D348" s="157">
        <f>VLOOKUP(A348, 'Purchase Register'!C:D, 2, FALSE)</f>
        <v>30</v>
      </c>
      <c r="E348" s="29">
        <f>SUMIF('Sales Register'!C:C, A348, 'Sales Register'!D:D)</f>
        <v>70</v>
      </c>
      <c r="F348" s="29">
        <f t="shared" si="23"/>
        <v>-40</v>
      </c>
      <c r="G348" s="29"/>
      <c r="H348" s="157">
        <f t="shared" si="24"/>
        <v>-40</v>
      </c>
      <c r="I348" s="72" t="str">
        <f t="shared" si="25"/>
        <v>SERIOUS LOSS</v>
      </c>
    </row>
    <row r="349" spans="1:9" s="77" customFormat="1" x14ac:dyDescent="0.25">
      <c r="A349" s="70" t="s">
        <v>657</v>
      </c>
      <c r="B349" s="71"/>
      <c r="C349" s="72"/>
      <c r="D349" s="157">
        <f>VLOOKUP(A349, 'Purchase Register'!C:D, 2, FALSE)</f>
        <v>6</v>
      </c>
      <c r="E349" s="72">
        <f>SUMIF('Sales Register'!C:C, A349, 'Sales Register'!D:D)</f>
        <v>6</v>
      </c>
      <c r="F349" s="72">
        <f t="shared" si="23"/>
        <v>0</v>
      </c>
      <c r="G349" s="72"/>
      <c r="H349" s="72">
        <f t="shared" si="24"/>
        <v>0</v>
      </c>
      <c r="I349" s="72" t="str">
        <f t="shared" si="25"/>
        <v>OK</v>
      </c>
    </row>
    <row r="350" spans="1:9" ht="30" x14ac:dyDescent="0.25">
      <c r="A350" s="33" t="s">
        <v>652</v>
      </c>
      <c r="B350" s="28"/>
      <c r="C350" s="29"/>
      <c r="D350" s="157">
        <f>VLOOKUP(A350, 'Purchase Register'!C:D, 2, FALSE)</f>
        <v>10</v>
      </c>
      <c r="E350" s="29">
        <f>SUMIF('Sales Register'!C:C, A350, 'Sales Register'!D:D)</f>
        <v>9</v>
      </c>
      <c r="F350" s="29">
        <f t="shared" si="23"/>
        <v>1</v>
      </c>
      <c r="G350" s="29"/>
      <c r="H350" s="157">
        <f t="shared" si="24"/>
        <v>1</v>
      </c>
      <c r="I350" s="72" t="str">
        <f t="shared" si="25"/>
        <v>Minor Issue</v>
      </c>
    </row>
    <row r="351" spans="1:9" s="77" customFormat="1" x14ac:dyDescent="0.25">
      <c r="A351" s="70" t="s">
        <v>560</v>
      </c>
      <c r="B351" s="71"/>
      <c r="C351" s="72"/>
      <c r="D351" s="157">
        <f>VLOOKUP(A351, 'Purchase Register'!C:D, 2, FALSE)</f>
        <v>12</v>
      </c>
      <c r="E351" s="72">
        <f>SUMIF('Sales Register'!C:C, A351, 'Sales Register'!D:D)</f>
        <v>16</v>
      </c>
      <c r="F351" s="72">
        <f t="shared" si="23"/>
        <v>-4</v>
      </c>
      <c r="G351" s="72"/>
      <c r="H351" s="72">
        <f t="shared" si="24"/>
        <v>-4</v>
      </c>
      <c r="I351" s="72" t="str">
        <f t="shared" si="25"/>
        <v>SERIOUS LOSS</v>
      </c>
    </row>
    <row r="352" spans="1:9" ht="30" x14ac:dyDescent="0.25">
      <c r="A352" s="33" t="s">
        <v>653</v>
      </c>
      <c r="B352" s="28"/>
      <c r="C352" s="29"/>
      <c r="D352" s="157">
        <f>VLOOKUP(A352, 'Purchase Register'!C:D, 2, FALSE)</f>
        <v>6</v>
      </c>
      <c r="E352" s="29">
        <f>SUMIF('Sales Register'!C:C, A352, 'Sales Register'!D:D)</f>
        <v>6</v>
      </c>
      <c r="F352" s="29">
        <f t="shared" si="23"/>
        <v>0</v>
      </c>
      <c r="G352" s="29"/>
      <c r="H352" s="157">
        <f t="shared" si="24"/>
        <v>0</v>
      </c>
      <c r="I352" s="72" t="str">
        <f t="shared" si="25"/>
        <v>OK</v>
      </c>
    </row>
    <row r="353" spans="1:9" x14ac:dyDescent="0.25">
      <c r="A353" s="33" t="s">
        <v>654</v>
      </c>
      <c r="B353" s="28"/>
      <c r="C353" s="29"/>
      <c r="D353" s="157">
        <f>VLOOKUP(A353, 'Purchase Register'!C:D, 2, FALSE)</f>
        <v>3</v>
      </c>
      <c r="E353" s="29">
        <f>SUMIF('Sales Register'!C:C, A353, 'Sales Register'!D:D)</f>
        <v>3</v>
      </c>
      <c r="F353" s="29">
        <f t="shared" si="23"/>
        <v>0</v>
      </c>
      <c r="G353" s="29"/>
      <c r="H353" s="157">
        <f t="shared" si="24"/>
        <v>0</v>
      </c>
      <c r="I353" s="72" t="str">
        <f t="shared" si="25"/>
        <v>OK</v>
      </c>
    </row>
    <row r="354" spans="1:9" ht="30" x14ac:dyDescent="0.25">
      <c r="A354" s="33" t="s">
        <v>655</v>
      </c>
      <c r="B354" s="28"/>
      <c r="C354" s="29"/>
      <c r="D354" s="157">
        <f>VLOOKUP(A354, 'Purchase Register'!C:D, 2, FALSE)</f>
        <v>50</v>
      </c>
      <c r="E354" s="29">
        <f>SUMIF('Sales Register'!C:C, A354, 'Sales Register'!D:D)</f>
        <v>11</v>
      </c>
      <c r="F354" s="29">
        <f t="shared" si="23"/>
        <v>39</v>
      </c>
      <c r="G354" s="29"/>
      <c r="H354" s="157">
        <f t="shared" si="24"/>
        <v>39</v>
      </c>
      <c r="I354" s="72" t="str">
        <f t="shared" si="25"/>
        <v>SERIOUS LOSS</v>
      </c>
    </row>
    <row r="355" spans="1:9" x14ac:dyDescent="0.25">
      <c r="A355" s="33" t="s">
        <v>661</v>
      </c>
      <c r="B355" s="28"/>
      <c r="C355" s="29"/>
      <c r="D355" s="157">
        <f>VLOOKUP(A355, 'Purchase Register'!C:D, 2, FALSE)</f>
        <v>26</v>
      </c>
      <c r="E355" s="29">
        <f>SUMIF('Sales Register'!C:C, A355, 'Sales Register'!D:D)</f>
        <v>26</v>
      </c>
      <c r="F355" s="29">
        <f>C355+D355-E355</f>
        <v>0</v>
      </c>
      <c r="G355" s="29"/>
      <c r="H355" s="157">
        <f>F355-G355</f>
        <v>0</v>
      </c>
      <c r="I355" s="72" t="str">
        <f>IF(H355=0,"OK",
IF(ABS(H355)&lt;=2,"Minor Issue","SERIOUS LOSS"))</f>
        <v>OK</v>
      </c>
    </row>
    <row r="356" spans="1:9" s="77" customFormat="1" ht="30" x14ac:dyDescent="0.25">
      <c r="A356" s="70" t="s">
        <v>662</v>
      </c>
      <c r="B356" s="71"/>
      <c r="C356" s="72"/>
      <c r="D356" s="157">
        <f>VLOOKUP(A356, 'Purchase Register'!C:D, 2, FALSE)</f>
        <v>26</v>
      </c>
      <c r="E356" s="72">
        <f>SUMIF('Sales Register'!C:C, A356, 'Sales Register'!D:D)</f>
        <v>29.981999999999999</v>
      </c>
      <c r="F356" s="72">
        <f>C356+D356-E356</f>
        <v>-3.9819999999999993</v>
      </c>
      <c r="G356" s="72"/>
      <c r="H356" s="72">
        <f>F356-G356</f>
        <v>-3.9819999999999993</v>
      </c>
      <c r="I356" s="72" t="str">
        <f>IF(H356=0,"OK",
IF(ABS(H356)&lt;=2,"Minor Issue","SERIOUS LOSS"))</f>
        <v>SERIOUS LOSS</v>
      </c>
    </row>
    <row r="357" spans="1:9" s="77" customFormat="1" x14ac:dyDescent="0.25">
      <c r="A357" s="70" t="s">
        <v>664</v>
      </c>
      <c r="B357" s="71"/>
      <c r="C357" s="72"/>
      <c r="D357" s="157">
        <f>VLOOKUP(A357, 'Purchase Register'!C:D, 2, FALSE)</f>
        <v>30</v>
      </c>
      <c r="E357" s="72">
        <f>SUMIF('Sales Register'!C:C, A357, 'Sales Register'!D:D)</f>
        <v>30</v>
      </c>
      <c r="F357" s="72">
        <f>C357+D357-E357</f>
        <v>0</v>
      </c>
      <c r="G357" s="72"/>
      <c r="H357" s="72">
        <f>F357-G357</f>
        <v>0</v>
      </c>
      <c r="I357" s="72" t="str">
        <f>IF(H357=0,"OK",
IF(ABS(H357)&lt;=2,"Minor Issue","SERIOUS LOSS"))</f>
        <v>OK</v>
      </c>
    </row>
    <row r="358" spans="1:9" s="77" customFormat="1" x14ac:dyDescent="0.25">
      <c r="A358" s="70" t="s">
        <v>665</v>
      </c>
      <c r="B358" s="71"/>
      <c r="C358" s="72"/>
      <c r="D358" s="157">
        <f>VLOOKUP(A358, 'Purchase Register'!C:D, 2, FALSE)</f>
        <v>9</v>
      </c>
      <c r="E358" s="72">
        <f>SUMIF('Sales Register'!C:C, A358, 'Sales Register'!D:D)</f>
        <v>11</v>
      </c>
      <c r="F358" s="72">
        <f>C358+D358-E358</f>
        <v>-2</v>
      </c>
      <c r="G358" s="72"/>
      <c r="H358" s="72">
        <f>F358-G358</f>
        <v>-2</v>
      </c>
      <c r="I358" s="72" t="str">
        <f>IF(H358=0,"OK",
IF(ABS(H358)&lt;=2,"Minor Issue","SERIOUS LOSS"))</f>
        <v>Minor Issue</v>
      </c>
    </row>
    <row r="359" spans="1:9" x14ac:dyDescent="0.25">
      <c r="A359" s="33" t="s">
        <v>666</v>
      </c>
      <c r="B359" s="28"/>
      <c r="C359" s="29"/>
      <c r="D359" s="157">
        <f>VLOOKUP(A359, 'Purchase Register'!C:D, 2, FALSE)</f>
        <v>60</v>
      </c>
      <c r="E359" s="29">
        <f>SUMIF('Sales Register'!C:C, A359, 'Sales Register'!D:D)</f>
        <v>51</v>
      </c>
      <c r="F359" s="29">
        <f>C359+D359-E359</f>
        <v>9</v>
      </c>
      <c r="G359" s="29"/>
      <c r="H359" s="157">
        <f t="shared" ref="H359:H365" si="26">F359-G359</f>
        <v>9</v>
      </c>
      <c r="I359" s="72" t="str">
        <f t="shared" ref="I359:I365" si="27">IF(H359=0,"OK",
IF(ABS(H359)&lt;=2,"Minor Issue","SERIOUS LOSS"))</f>
        <v>SERIOUS LOSS</v>
      </c>
    </row>
    <row r="360" spans="1:9" x14ac:dyDescent="0.25">
      <c r="A360" s="33" t="s">
        <v>667</v>
      </c>
      <c r="B360" s="28"/>
      <c r="C360" s="29"/>
      <c r="D360" s="157">
        <f>VLOOKUP(A360, 'Purchase Register'!C:D, 2, FALSE)</f>
        <v>48</v>
      </c>
      <c r="E360" s="29">
        <f>SUMIF('Sales Register'!C:C, A360, 'Sales Register'!D:D)</f>
        <v>38</v>
      </c>
      <c r="F360" s="29">
        <f t="shared" ref="F360:F365" si="28">C360+D360-E360</f>
        <v>10</v>
      </c>
      <c r="G360" s="29"/>
      <c r="H360" s="157">
        <f t="shared" si="26"/>
        <v>10</v>
      </c>
      <c r="I360" s="72" t="str">
        <f t="shared" si="27"/>
        <v>SERIOUS LOSS</v>
      </c>
    </row>
    <row r="361" spans="1:9" x14ac:dyDescent="0.25">
      <c r="A361" s="33" t="s">
        <v>668</v>
      </c>
      <c r="B361" s="28"/>
      <c r="C361" s="29"/>
      <c r="D361" s="157">
        <f>VLOOKUP(A361, 'Purchase Register'!C:D, 2, FALSE)</f>
        <v>24</v>
      </c>
      <c r="E361" s="29">
        <f>SUMIF('Sales Register'!C:C, A361, 'Sales Register'!D:D)</f>
        <v>19</v>
      </c>
      <c r="F361" s="29">
        <f t="shared" si="28"/>
        <v>5</v>
      </c>
      <c r="G361" s="29"/>
      <c r="H361" s="157">
        <f t="shared" si="26"/>
        <v>5</v>
      </c>
      <c r="I361" s="72" t="str">
        <f t="shared" si="27"/>
        <v>SERIOUS LOSS</v>
      </c>
    </row>
    <row r="362" spans="1:9" x14ac:dyDescent="0.25">
      <c r="A362" s="33" t="s">
        <v>669</v>
      </c>
      <c r="B362" s="28"/>
      <c r="C362" s="29"/>
      <c r="D362" s="157">
        <f>VLOOKUP(A362, 'Purchase Register'!C:D, 2, FALSE)</f>
        <v>30</v>
      </c>
      <c r="E362" s="29">
        <f>SUMIF('Sales Register'!C:C, A362, 'Sales Register'!D:D)</f>
        <v>29</v>
      </c>
      <c r="F362" s="29">
        <f t="shared" si="28"/>
        <v>1</v>
      </c>
      <c r="G362" s="29"/>
      <c r="H362" s="157">
        <f t="shared" si="26"/>
        <v>1</v>
      </c>
      <c r="I362" s="72" t="str">
        <f t="shared" si="27"/>
        <v>Minor Issue</v>
      </c>
    </row>
    <row r="363" spans="1:9" x14ac:dyDescent="0.25">
      <c r="A363" s="33" t="s">
        <v>680</v>
      </c>
      <c r="B363" s="28"/>
      <c r="C363" s="29"/>
      <c r="D363" s="157">
        <f>VLOOKUP(A363, 'Purchase Register'!C:D, 2, FALSE)</f>
        <v>24</v>
      </c>
      <c r="E363" s="29">
        <f>SUMIF('Sales Register'!C:C, A363, 'Sales Register'!D:D)</f>
        <v>31</v>
      </c>
      <c r="F363" s="29">
        <f t="shared" si="28"/>
        <v>-7</v>
      </c>
      <c r="G363" s="29"/>
      <c r="H363" s="157">
        <f t="shared" si="26"/>
        <v>-7</v>
      </c>
      <c r="I363" s="72" t="str">
        <f t="shared" si="27"/>
        <v>SERIOUS LOSS</v>
      </c>
    </row>
    <row r="364" spans="1:9" x14ac:dyDescent="0.25">
      <c r="A364" s="33" t="s">
        <v>687</v>
      </c>
      <c r="B364" s="28"/>
      <c r="C364" s="29"/>
      <c r="D364" s="157">
        <f>VLOOKUP(A364, 'Purchase Register'!C:D, 2, FALSE)</f>
        <v>12</v>
      </c>
      <c r="E364" s="29">
        <f>SUMIF('Sales Register'!C:C, A364, 'Sales Register'!D:D)</f>
        <v>0</v>
      </c>
      <c r="F364" s="29">
        <f t="shared" si="28"/>
        <v>12</v>
      </c>
      <c r="G364" s="29"/>
      <c r="H364" s="157">
        <f t="shared" si="26"/>
        <v>12</v>
      </c>
      <c r="I364" s="72" t="str">
        <f t="shared" si="27"/>
        <v>SERIOUS LOSS</v>
      </c>
    </row>
    <row r="365" spans="1:9" x14ac:dyDescent="0.25">
      <c r="A365" s="33" t="s">
        <v>670</v>
      </c>
      <c r="B365" s="28"/>
      <c r="C365" s="29"/>
      <c r="D365" s="157">
        <f>VLOOKUP(A365, 'Purchase Register'!C:D, 2, FALSE)</f>
        <v>30</v>
      </c>
      <c r="E365" s="29">
        <f>SUMIF('Sales Register'!C:C, A365, 'Sales Register'!D:D)</f>
        <v>21</v>
      </c>
      <c r="F365" s="29">
        <f t="shared" si="28"/>
        <v>9</v>
      </c>
      <c r="G365" s="29"/>
      <c r="H365" s="157">
        <f t="shared" si="26"/>
        <v>9</v>
      </c>
      <c r="I365" s="72" t="str">
        <f t="shared" si="27"/>
        <v>SERIOUS LOSS</v>
      </c>
    </row>
    <row r="366" spans="1:9" s="77" customFormat="1" x14ac:dyDescent="0.25">
      <c r="A366" s="70" t="s">
        <v>671</v>
      </c>
      <c r="B366" s="71"/>
      <c r="C366" s="72"/>
      <c r="D366" s="157">
        <f>VLOOKUP(A366, 'Purchase Register'!C:D, 2, FALSE)</f>
        <v>3</v>
      </c>
      <c r="E366" s="72">
        <f>SUMIF('Sales Register'!C:C, A366, 'Sales Register'!D:D)</f>
        <v>3</v>
      </c>
      <c r="F366" s="72">
        <f t="shared" ref="F366:F377" si="29">C366+D366-E366</f>
        <v>0</v>
      </c>
      <c r="G366" s="72"/>
      <c r="H366" s="72">
        <f t="shared" ref="H366:H377" si="30">F366-G366</f>
        <v>0</v>
      </c>
      <c r="I366" s="72" t="str">
        <f t="shared" ref="I366:I377" si="31">IF(H366=0,"OK",
IF(ABS(H366)&lt;=2,"Minor Issue","SERIOUS LOSS"))</f>
        <v>OK</v>
      </c>
    </row>
    <row r="367" spans="1:9" x14ac:dyDescent="0.25">
      <c r="A367" s="33" t="s">
        <v>672</v>
      </c>
      <c r="B367" s="28"/>
      <c r="C367" s="29"/>
      <c r="D367" s="157">
        <f>VLOOKUP(A367, 'Purchase Register'!C:D, 2, FALSE)</f>
        <v>2</v>
      </c>
      <c r="E367" s="29">
        <f>SUMIF('Sales Register'!C:C, A367, 'Sales Register'!D:D)</f>
        <v>0</v>
      </c>
      <c r="F367" s="29">
        <f t="shared" si="29"/>
        <v>2</v>
      </c>
      <c r="G367" s="29"/>
      <c r="H367" s="157">
        <f t="shared" si="30"/>
        <v>2</v>
      </c>
      <c r="I367" s="72" t="str">
        <f t="shared" si="31"/>
        <v>Minor Issue</v>
      </c>
    </row>
    <row r="368" spans="1:9" ht="30" x14ac:dyDescent="0.25">
      <c r="A368" s="33" t="s">
        <v>673</v>
      </c>
      <c r="B368" s="28"/>
      <c r="C368" s="29"/>
      <c r="D368" s="157">
        <f>VLOOKUP(A368, 'Purchase Register'!C:D, 2, FALSE)</f>
        <v>4</v>
      </c>
      <c r="E368" s="29">
        <f>SUMIF('Sales Register'!C:C, A368, 'Sales Register'!D:D)</f>
        <v>4</v>
      </c>
      <c r="F368" s="29">
        <f t="shared" si="29"/>
        <v>0</v>
      </c>
      <c r="G368" s="29"/>
      <c r="H368" s="157">
        <f t="shared" si="30"/>
        <v>0</v>
      </c>
      <c r="I368" s="72" t="str">
        <f t="shared" si="31"/>
        <v>OK</v>
      </c>
    </row>
    <row r="369" spans="1:9" x14ac:dyDescent="0.25">
      <c r="A369" s="33" t="s">
        <v>674</v>
      </c>
      <c r="B369" s="28"/>
      <c r="C369" s="29"/>
      <c r="D369" s="157">
        <f>VLOOKUP(A369, 'Purchase Register'!C:D, 2, FALSE)</f>
        <v>3</v>
      </c>
      <c r="E369" s="29">
        <f>SUMIF('Sales Register'!C:C, A369, 'Sales Register'!D:D)</f>
        <v>3</v>
      </c>
      <c r="F369" s="29">
        <f t="shared" si="29"/>
        <v>0</v>
      </c>
      <c r="G369" s="29"/>
      <c r="H369" s="157">
        <f t="shared" si="30"/>
        <v>0</v>
      </c>
      <c r="I369" s="72" t="str">
        <f t="shared" si="31"/>
        <v>OK</v>
      </c>
    </row>
    <row r="370" spans="1:9" s="77" customFormat="1" x14ac:dyDescent="0.25">
      <c r="A370" s="70" t="s">
        <v>675</v>
      </c>
      <c r="B370" s="71"/>
      <c r="C370" s="72"/>
      <c r="D370" s="157">
        <f>VLOOKUP(A370, 'Purchase Register'!C:D, 2, FALSE)</f>
        <v>4</v>
      </c>
      <c r="E370" s="72">
        <f>SUMIF('Sales Register'!C:C, A370, 'Sales Register'!D:D)</f>
        <v>4</v>
      </c>
      <c r="F370" s="72">
        <f t="shared" si="29"/>
        <v>0</v>
      </c>
      <c r="G370" s="72"/>
      <c r="H370" s="72">
        <f t="shared" si="30"/>
        <v>0</v>
      </c>
      <c r="I370" s="72" t="str">
        <f t="shared" si="31"/>
        <v>OK</v>
      </c>
    </row>
    <row r="371" spans="1:9" s="77" customFormat="1" x14ac:dyDescent="0.25">
      <c r="A371" s="70" t="s">
        <v>611</v>
      </c>
      <c r="B371" s="71"/>
      <c r="C371" s="72"/>
      <c r="D371" s="157">
        <f>VLOOKUP(A371, 'Purchase Register'!C:D, 2, FALSE)</f>
        <v>3</v>
      </c>
      <c r="E371" s="72">
        <f>SUMIF('Sales Register'!C:C, A371, 'Sales Register'!D:D)</f>
        <v>4</v>
      </c>
      <c r="F371" s="72">
        <f t="shared" si="29"/>
        <v>-1</v>
      </c>
      <c r="G371" s="72"/>
      <c r="H371" s="72">
        <f t="shared" si="30"/>
        <v>-1</v>
      </c>
      <c r="I371" s="72" t="str">
        <f t="shared" si="31"/>
        <v>Minor Issue</v>
      </c>
    </row>
    <row r="372" spans="1:9" s="77" customFormat="1" x14ac:dyDescent="0.25">
      <c r="A372" s="70" t="s">
        <v>560</v>
      </c>
      <c r="B372" s="71"/>
      <c r="C372" s="72"/>
      <c r="D372" s="157">
        <f>VLOOKUP(A372, 'Purchase Register'!C:D, 2, FALSE)</f>
        <v>12</v>
      </c>
      <c r="E372" s="72">
        <f>SUMIF('Sales Register'!C:C, A372, 'Sales Register'!D:D)</f>
        <v>16</v>
      </c>
      <c r="F372" s="72">
        <f t="shared" si="29"/>
        <v>-4</v>
      </c>
      <c r="G372" s="72"/>
      <c r="H372" s="72">
        <f t="shared" si="30"/>
        <v>-4</v>
      </c>
      <c r="I372" s="72" t="str">
        <f t="shared" si="31"/>
        <v>SERIOUS LOSS</v>
      </c>
    </row>
    <row r="373" spans="1:9" x14ac:dyDescent="0.25">
      <c r="A373" s="33" t="s">
        <v>678</v>
      </c>
      <c r="B373" s="28"/>
      <c r="C373" s="29"/>
      <c r="D373" s="157">
        <f>VLOOKUP(A373, 'Purchase Register'!C:D, 2, FALSE)</f>
        <v>25</v>
      </c>
      <c r="E373" s="29">
        <f>SUMIF('Sales Register'!C:C, A373, 'Sales Register'!D:D)</f>
        <v>6</v>
      </c>
      <c r="F373" s="29">
        <f t="shared" si="29"/>
        <v>19</v>
      </c>
      <c r="G373" s="29"/>
      <c r="H373" s="157">
        <f t="shared" si="30"/>
        <v>19</v>
      </c>
      <c r="I373" s="72" t="str">
        <f t="shared" si="31"/>
        <v>SERIOUS LOSS</v>
      </c>
    </row>
    <row r="374" spans="1:9" s="77" customFormat="1" x14ac:dyDescent="0.25">
      <c r="A374" s="70" t="s">
        <v>676</v>
      </c>
      <c r="B374" s="71"/>
      <c r="C374" s="72"/>
      <c r="D374" s="157">
        <f>VLOOKUP(A374, 'Purchase Register'!C:D, 2, FALSE)</f>
        <v>4</v>
      </c>
      <c r="E374" s="72">
        <f>SUMIF('Sales Register'!C:C, A374, 'Sales Register'!D:D)</f>
        <v>1</v>
      </c>
      <c r="F374" s="72">
        <f t="shared" si="29"/>
        <v>3</v>
      </c>
      <c r="G374" s="72"/>
      <c r="H374" s="72">
        <f t="shared" si="30"/>
        <v>3</v>
      </c>
      <c r="I374" s="72" t="str">
        <f t="shared" si="31"/>
        <v>SERIOUS LOSS</v>
      </c>
    </row>
    <row r="375" spans="1:9" x14ac:dyDescent="0.25">
      <c r="A375" s="33" t="s">
        <v>677</v>
      </c>
      <c r="B375" s="28"/>
      <c r="C375" s="29"/>
      <c r="D375" s="157">
        <f>VLOOKUP(A375, 'Purchase Register'!C:D, 2, FALSE)</f>
        <v>20</v>
      </c>
      <c r="E375" s="29">
        <f>SUMIF('Sales Register'!C:C, A375, 'Sales Register'!D:D)</f>
        <v>10</v>
      </c>
      <c r="F375" s="29">
        <f t="shared" si="29"/>
        <v>10</v>
      </c>
      <c r="G375" s="29"/>
      <c r="H375" s="157">
        <f t="shared" si="30"/>
        <v>10</v>
      </c>
      <c r="I375" s="72" t="str">
        <f t="shared" si="31"/>
        <v>SERIOUS LOSS</v>
      </c>
    </row>
    <row r="376" spans="1:9" s="77" customFormat="1" x14ac:dyDescent="0.25">
      <c r="A376" s="70" t="s">
        <v>679</v>
      </c>
      <c r="B376" s="71"/>
      <c r="C376" s="72"/>
      <c r="D376" s="157">
        <f>VLOOKUP(A376, 'Purchase Register'!C:D, 2, FALSE)</f>
        <v>9</v>
      </c>
      <c r="E376" s="72">
        <f>SUMIF('Sales Register'!C:C, A376, 'Sales Register'!D:D)</f>
        <v>8</v>
      </c>
      <c r="F376" s="72">
        <f t="shared" si="29"/>
        <v>1</v>
      </c>
      <c r="G376" s="72"/>
      <c r="H376" s="72">
        <f t="shared" si="30"/>
        <v>1</v>
      </c>
      <c r="I376" s="72" t="str">
        <f t="shared" si="31"/>
        <v>Minor Issue</v>
      </c>
    </row>
    <row r="377" spans="1:9" s="77" customFormat="1" x14ac:dyDescent="0.25">
      <c r="A377" s="70" t="s">
        <v>681</v>
      </c>
      <c r="B377" s="71"/>
      <c r="C377" s="72"/>
      <c r="D377" s="157">
        <f>VLOOKUP(A377, 'Purchase Register'!C:D, 2, FALSE)</f>
        <v>30</v>
      </c>
      <c r="E377" s="72">
        <f>SUMIF('Sales Register'!C:C, A377, 'Sales Register'!D:D)</f>
        <v>30</v>
      </c>
      <c r="F377" s="72">
        <f t="shared" si="29"/>
        <v>0</v>
      </c>
      <c r="G377" s="72"/>
      <c r="H377" s="72">
        <f t="shared" si="30"/>
        <v>0</v>
      </c>
      <c r="I377" s="72" t="str">
        <f t="shared" si="31"/>
        <v>OK</v>
      </c>
    </row>
    <row r="378" spans="1:9" x14ac:dyDescent="0.25">
      <c r="A378" s="33" t="s">
        <v>682</v>
      </c>
      <c r="B378" s="28"/>
      <c r="C378" s="29"/>
      <c r="D378" s="157">
        <f>VLOOKUP(A378, 'Purchase Register'!C:D, 2, FALSE)</f>
        <v>24</v>
      </c>
      <c r="E378" s="29">
        <f>SUMIF('Sales Register'!C:C, A378, 'Sales Register'!D:D)</f>
        <v>38</v>
      </c>
      <c r="F378" s="29">
        <f t="shared" ref="F378:F385" si="32">C378+D378-E378</f>
        <v>-14</v>
      </c>
      <c r="G378" s="29"/>
      <c r="H378" s="157">
        <f t="shared" ref="H378:H385" si="33">F378-G378</f>
        <v>-14</v>
      </c>
      <c r="I378" s="72" t="str">
        <f t="shared" ref="I378:I385" si="34">IF(H378=0,"OK",
IF(ABS(H378)&lt;=2,"Minor Issue","SERIOUS LOSS"))</f>
        <v>SERIOUS LOSS</v>
      </c>
    </row>
    <row r="379" spans="1:9" x14ac:dyDescent="0.25">
      <c r="A379" s="33" t="s">
        <v>683</v>
      </c>
      <c r="B379" s="28"/>
      <c r="C379" s="29"/>
      <c r="D379" s="157">
        <f>VLOOKUP(A379, 'Purchase Register'!C:D, 2, FALSE)</f>
        <v>40</v>
      </c>
      <c r="E379" s="29">
        <f>SUMIF('Sales Register'!C:C, A379, 'Sales Register'!D:D)</f>
        <v>52</v>
      </c>
      <c r="F379" s="29">
        <f t="shared" si="32"/>
        <v>-12</v>
      </c>
      <c r="G379" s="29"/>
      <c r="H379" s="157">
        <f t="shared" si="33"/>
        <v>-12</v>
      </c>
      <c r="I379" s="72" t="str">
        <f t="shared" si="34"/>
        <v>SERIOUS LOSS</v>
      </c>
    </row>
    <row r="380" spans="1:9" s="77" customFormat="1" x14ac:dyDescent="0.25">
      <c r="A380" s="70" t="s">
        <v>686</v>
      </c>
      <c r="B380" s="71"/>
      <c r="C380" s="72"/>
      <c r="D380" s="157">
        <f>VLOOKUP(A380, 'Purchase Register'!C:D, 2, FALSE)</f>
        <v>30</v>
      </c>
      <c r="E380" s="72">
        <f>SUMIF('Sales Register'!C:C, A380, 'Sales Register'!D:D)</f>
        <v>30</v>
      </c>
      <c r="F380" s="72">
        <f t="shared" si="32"/>
        <v>0</v>
      </c>
      <c r="G380" s="72"/>
      <c r="H380" s="72">
        <f t="shared" si="33"/>
        <v>0</v>
      </c>
      <c r="I380" s="72" t="str">
        <f t="shared" si="34"/>
        <v>OK</v>
      </c>
    </row>
    <row r="381" spans="1:9" x14ac:dyDescent="0.25">
      <c r="A381" s="33" t="s">
        <v>688</v>
      </c>
      <c r="B381" s="28"/>
      <c r="C381" s="29"/>
      <c r="D381" s="157">
        <f>VLOOKUP(A381, 'Purchase Register'!C:D, 2, FALSE)</f>
        <v>2</v>
      </c>
      <c r="E381" s="29">
        <f>SUMIF('Sales Register'!C:C, A381, 'Sales Register'!D:D)</f>
        <v>2</v>
      </c>
      <c r="F381" s="29">
        <f t="shared" si="32"/>
        <v>0</v>
      </c>
      <c r="G381" s="29"/>
      <c r="H381" s="157">
        <f t="shared" si="33"/>
        <v>0</v>
      </c>
      <c r="I381" s="72" t="str">
        <f t="shared" si="34"/>
        <v>OK</v>
      </c>
    </row>
    <row r="382" spans="1:9" ht="30" x14ac:dyDescent="0.25">
      <c r="A382" s="33" t="s">
        <v>689</v>
      </c>
      <c r="B382" s="28"/>
      <c r="C382" s="29"/>
      <c r="D382" s="157">
        <f>VLOOKUP(A382, 'Purchase Register'!C:D, 2, FALSE)</f>
        <v>5</v>
      </c>
      <c r="E382" s="29">
        <f>SUMIF('Sales Register'!C:C, A382, 'Sales Register'!D:D)</f>
        <v>5</v>
      </c>
      <c r="F382" s="29">
        <f t="shared" si="32"/>
        <v>0</v>
      </c>
      <c r="G382" s="29"/>
      <c r="H382" s="157">
        <f t="shared" si="33"/>
        <v>0</v>
      </c>
      <c r="I382" s="72" t="str">
        <f t="shared" si="34"/>
        <v>OK</v>
      </c>
    </row>
    <row r="383" spans="1:9" x14ac:dyDescent="0.25">
      <c r="A383" s="33" t="s">
        <v>690</v>
      </c>
      <c r="B383" s="28"/>
      <c r="C383" s="29"/>
      <c r="D383" s="157">
        <f>VLOOKUP(A383, 'Purchase Register'!C:D, 2, FALSE)</f>
        <v>3</v>
      </c>
      <c r="E383" s="29">
        <f>SUMIF('Sales Register'!C:C, A383, 'Sales Register'!D:D)</f>
        <v>3</v>
      </c>
      <c r="F383" s="29">
        <f t="shared" si="32"/>
        <v>0</v>
      </c>
      <c r="G383" s="29"/>
      <c r="H383" s="157">
        <f t="shared" si="33"/>
        <v>0</v>
      </c>
      <c r="I383" s="72" t="str">
        <f t="shared" si="34"/>
        <v>OK</v>
      </c>
    </row>
    <row r="384" spans="1:9" x14ac:dyDescent="0.25">
      <c r="A384" s="33" t="s">
        <v>691</v>
      </c>
      <c r="B384" s="28"/>
      <c r="C384" s="29"/>
      <c r="D384" s="157">
        <f>VLOOKUP(A384, 'Purchase Register'!C:D, 2, FALSE)</f>
        <v>2</v>
      </c>
      <c r="E384" s="29">
        <f>SUMIF('Sales Register'!C:C, A384, 'Sales Register'!D:D)</f>
        <v>2.08</v>
      </c>
      <c r="F384" s="29">
        <f t="shared" si="32"/>
        <v>-8.0000000000000071E-2</v>
      </c>
      <c r="G384" s="29"/>
      <c r="H384" s="157">
        <f t="shared" si="33"/>
        <v>-8.0000000000000071E-2</v>
      </c>
      <c r="I384" s="72" t="str">
        <f t="shared" si="34"/>
        <v>Minor Issue</v>
      </c>
    </row>
    <row r="385" spans="1:9" s="77" customFormat="1" x14ac:dyDescent="0.25">
      <c r="A385" s="70" t="s">
        <v>692</v>
      </c>
      <c r="B385" s="71"/>
      <c r="C385" s="72"/>
      <c r="D385" s="157">
        <f>VLOOKUP(A385, 'Purchase Register'!C:D, 2, FALSE)</f>
        <v>1</v>
      </c>
      <c r="E385" s="72">
        <f>SUMIF('Sales Register'!C:C, A385, 'Sales Register'!D:D)</f>
        <v>1.3000000000000003</v>
      </c>
      <c r="F385" s="72">
        <f t="shared" si="32"/>
        <v>-0.30000000000000027</v>
      </c>
      <c r="G385" s="72"/>
      <c r="H385" s="72">
        <f t="shared" si="33"/>
        <v>-0.30000000000000027</v>
      </c>
      <c r="I385" s="72" t="str">
        <f t="shared" si="34"/>
        <v>Minor Issue</v>
      </c>
    </row>
    <row r="386" spans="1:9" s="77" customFormat="1" x14ac:dyDescent="0.25">
      <c r="A386" s="70" t="s">
        <v>693</v>
      </c>
      <c r="B386" s="71"/>
      <c r="C386" s="72"/>
      <c r="D386" s="157">
        <f>VLOOKUP(A386, 'Purchase Register'!C:D, 2, FALSE)</f>
        <v>10</v>
      </c>
      <c r="E386" s="72">
        <f>SUMIF('Sales Register'!C:C, A386, 'Sales Register'!D:D)</f>
        <v>5.51</v>
      </c>
      <c r="F386" s="72">
        <f t="shared" ref="F386:F449" si="35">C386+D386-E386</f>
        <v>4.49</v>
      </c>
      <c r="G386" s="72"/>
      <c r="H386" s="72">
        <f t="shared" ref="H386:H449" si="36">F386-G386</f>
        <v>4.49</v>
      </c>
      <c r="I386" s="72" t="str">
        <f t="shared" ref="I386:I449" si="37">IF(H386=0,"OK",
IF(ABS(H386)&lt;=2,"Minor Issue","SERIOUS LOSS"))</f>
        <v>SERIOUS LOSS</v>
      </c>
    </row>
    <row r="387" spans="1:9" x14ac:dyDescent="0.25">
      <c r="A387" s="33" t="s">
        <v>694</v>
      </c>
      <c r="B387" s="28"/>
      <c r="C387" s="29"/>
      <c r="D387" s="157">
        <f>VLOOKUP(A387, 'Purchase Register'!C:D, 2, FALSE)</f>
        <v>20</v>
      </c>
      <c r="E387" s="29">
        <f>SUMIF('Sales Register'!C:C, A387, 'Sales Register'!D:D)</f>
        <v>31</v>
      </c>
      <c r="F387" s="29">
        <f t="shared" si="35"/>
        <v>-11</v>
      </c>
      <c r="G387" s="29"/>
      <c r="H387" s="157">
        <f t="shared" si="36"/>
        <v>-11</v>
      </c>
      <c r="I387" s="72" t="str">
        <f t="shared" si="37"/>
        <v>SERIOUS LOSS</v>
      </c>
    </row>
    <row r="388" spans="1:9" s="77" customFormat="1" x14ac:dyDescent="0.25">
      <c r="A388" s="70" t="s">
        <v>695</v>
      </c>
      <c r="B388" s="71"/>
      <c r="C388" s="72"/>
      <c r="D388" s="157">
        <f>VLOOKUP(A388, 'Purchase Register'!C:D, 2, FALSE)</f>
        <v>5</v>
      </c>
      <c r="E388" s="72">
        <f>SUMIF('Sales Register'!C:C, A388, 'Sales Register'!D:D)</f>
        <v>3</v>
      </c>
      <c r="F388" s="72">
        <f t="shared" si="35"/>
        <v>2</v>
      </c>
      <c r="G388" s="72"/>
      <c r="H388" s="72">
        <f t="shared" si="36"/>
        <v>2</v>
      </c>
      <c r="I388" s="72" t="str">
        <f t="shared" si="37"/>
        <v>Minor Issue</v>
      </c>
    </row>
    <row r="389" spans="1:9" x14ac:dyDescent="0.25">
      <c r="A389" s="33" t="s">
        <v>696</v>
      </c>
      <c r="B389" s="28"/>
      <c r="C389" s="29"/>
      <c r="D389" s="157">
        <f>VLOOKUP(A389, 'Purchase Register'!C:D, 2, FALSE)</f>
        <v>3</v>
      </c>
      <c r="E389" s="29">
        <f>SUMIF('Sales Register'!C:C, A389, 'Sales Register'!D:D)</f>
        <v>3</v>
      </c>
      <c r="F389" s="29">
        <f t="shared" si="35"/>
        <v>0</v>
      </c>
      <c r="G389" s="29"/>
      <c r="H389" s="157">
        <f t="shared" si="36"/>
        <v>0</v>
      </c>
      <c r="I389" s="72" t="str">
        <f t="shared" si="37"/>
        <v>OK</v>
      </c>
    </row>
    <row r="390" spans="1:9" ht="30" x14ac:dyDescent="0.25">
      <c r="A390" s="33" t="s">
        <v>697</v>
      </c>
      <c r="B390" s="28"/>
      <c r="C390" s="29"/>
      <c r="D390" s="157">
        <f>VLOOKUP(A390, 'Purchase Register'!C:D, 2, FALSE)</f>
        <v>12</v>
      </c>
      <c r="E390" s="29">
        <f>SUMIF('Sales Register'!C:C, A390, 'Sales Register'!D:D)</f>
        <v>2</v>
      </c>
      <c r="F390" s="29">
        <f t="shared" si="35"/>
        <v>10</v>
      </c>
      <c r="G390" s="29"/>
      <c r="H390" s="157">
        <f t="shared" si="36"/>
        <v>10</v>
      </c>
      <c r="I390" s="72" t="str">
        <f t="shared" si="37"/>
        <v>SERIOUS LOSS</v>
      </c>
    </row>
    <row r="391" spans="1:9" s="77" customFormat="1" ht="30" x14ac:dyDescent="0.25">
      <c r="A391" s="70" t="s">
        <v>698</v>
      </c>
      <c r="B391" s="71"/>
      <c r="C391" s="72"/>
      <c r="D391" s="157">
        <f>VLOOKUP(A391, 'Purchase Register'!C:D, 2, FALSE)</f>
        <v>3</v>
      </c>
      <c r="E391" s="72">
        <f>SUMIF('Sales Register'!C:C, A391, 'Sales Register'!D:D)</f>
        <v>3</v>
      </c>
      <c r="F391" s="72">
        <f t="shared" si="35"/>
        <v>0</v>
      </c>
      <c r="G391" s="72"/>
      <c r="H391" s="72">
        <f t="shared" si="36"/>
        <v>0</v>
      </c>
      <c r="I391" s="72" t="str">
        <f t="shared" si="37"/>
        <v>OK</v>
      </c>
    </row>
    <row r="392" spans="1:9" x14ac:dyDescent="0.25">
      <c r="A392" s="33" t="s">
        <v>699</v>
      </c>
      <c r="B392" s="28"/>
      <c r="C392" s="29"/>
      <c r="D392" s="157">
        <f>VLOOKUP(A392, 'Purchase Register'!C:D, 2, FALSE)</f>
        <v>16</v>
      </c>
      <c r="E392" s="29">
        <f>SUMIF('Sales Register'!C:C, A392, 'Sales Register'!D:D)</f>
        <v>14</v>
      </c>
      <c r="F392" s="29">
        <f t="shared" si="35"/>
        <v>2</v>
      </c>
      <c r="G392" s="29"/>
      <c r="H392" s="157">
        <f t="shared" si="36"/>
        <v>2</v>
      </c>
      <c r="I392" s="72" t="str">
        <f t="shared" si="37"/>
        <v>Minor Issue</v>
      </c>
    </row>
    <row r="393" spans="1:9" s="77" customFormat="1" x14ac:dyDescent="0.25">
      <c r="A393" s="70" t="s">
        <v>700</v>
      </c>
      <c r="B393" s="71"/>
      <c r="C393" s="72"/>
      <c r="D393" s="157">
        <f>VLOOKUP(A393, 'Purchase Register'!C:D, 2, FALSE)</f>
        <v>24</v>
      </c>
      <c r="E393" s="72">
        <f>SUMIF('Sales Register'!C:C, A393, 'Sales Register'!D:D)</f>
        <v>25</v>
      </c>
      <c r="F393" s="72">
        <f t="shared" si="35"/>
        <v>-1</v>
      </c>
      <c r="G393" s="72"/>
      <c r="H393" s="72">
        <f t="shared" si="36"/>
        <v>-1</v>
      </c>
      <c r="I393" s="72" t="str">
        <f t="shared" si="37"/>
        <v>Minor Issue</v>
      </c>
    </row>
    <row r="394" spans="1:9" s="77" customFormat="1" x14ac:dyDescent="0.25">
      <c r="A394" s="70" t="s">
        <v>701</v>
      </c>
      <c r="B394" s="71"/>
      <c r="C394" s="72"/>
      <c r="D394" s="157">
        <f>VLOOKUP(A394, 'Purchase Register'!C:D, 2, FALSE)</f>
        <v>90</v>
      </c>
      <c r="E394" s="72">
        <f>SUMIF('Sales Register'!C:C, A394, 'Sales Register'!D:D)</f>
        <v>90</v>
      </c>
      <c r="F394" s="72">
        <f t="shared" si="35"/>
        <v>0</v>
      </c>
      <c r="G394" s="72"/>
      <c r="H394" s="72">
        <f t="shared" si="36"/>
        <v>0</v>
      </c>
      <c r="I394" s="72" t="str">
        <f t="shared" si="37"/>
        <v>OK</v>
      </c>
    </row>
    <row r="395" spans="1:9" x14ac:dyDescent="0.25">
      <c r="A395" s="33" t="s">
        <v>702</v>
      </c>
      <c r="B395" s="28"/>
      <c r="C395" s="29"/>
      <c r="D395" s="157">
        <f>VLOOKUP(A395, 'Purchase Register'!C:D, 2, FALSE)</f>
        <v>48</v>
      </c>
      <c r="E395" s="29">
        <f>SUMIF('Sales Register'!C:C, A395, 'Sales Register'!D:D)</f>
        <v>21</v>
      </c>
      <c r="F395" s="29">
        <f t="shared" si="35"/>
        <v>27</v>
      </c>
      <c r="G395" s="29"/>
      <c r="H395" s="157">
        <f t="shared" si="36"/>
        <v>27</v>
      </c>
      <c r="I395" s="72" t="str">
        <f t="shared" si="37"/>
        <v>SERIOUS LOSS</v>
      </c>
    </row>
    <row r="396" spans="1:9" s="77" customFormat="1" x14ac:dyDescent="0.25">
      <c r="A396" s="70" t="s">
        <v>704</v>
      </c>
      <c r="B396" s="71"/>
      <c r="C396" s="72"/>
      <c r="D396" s="157">
        <f>VLOOKUP(A396, 'Purchase Register'!C:D, 2, FALSE)</f>
        <v>48</v>
      </c>
      <c r="E396" s="72">
        <f>SUMIF('Sales Register'!C:C, A396, 'Sales Register'!D:D)</f>
        <v>61</v>
      </c>
      <c r="F396" s="72">
        <f t="shared" si="35"/>
        <v>-13</v>
      </c>
      <c r="G396" s="72"/>
      <c r="H396" s="72">
        <f t="shared" si="36"/>
        <v>-13</v>
      </c>
      <c r="I396" s="72" t="str">
        <f t="shared" si="37"/>
        <v>SERIOUS LOSS</v>
      </c>
    </row>
    <row r="397" spans="1:9" x14ac:dyDescent="0.25">
      <c r="A397" s="33" t="s">
        <v>705</v>
      </c>
      <c r="B397" s="28"/>
      <c r="C397" s="29"/>
      <c r="D397" s="157">
        <f>VLOOKUP(A397, 'Purchase Register'!C:D, 2, FALSE)</f>
        <v>12</v>
      </c>
      <c r="E397" s="29">
        <f>SUMIF('Sales Register'!C:C, A397, 'Sales Register'!D:D)</f>
        <v>24</v>
      </c>
      <c r="F397" s="29">
        <f t="shared" si="35"/>
        <v>-12</v>
      </c>
      <c r="G397" s="29"/>
      <c r="H397" s="157">
        <f t="shared" si="36"/>
        <v>-12</v>
      </c>
      <c r="I397" s="72" t="str">
        <f t="shared" si="37"/>
        <v>SERIOUS LOSS</v>
      </c>
    </row>
    <row r="398" spans="1:9" s="77" customFormat="1" x14ac:dyDescent="0.25">
      <c r="A398" s="70" t="s">
        <v>706</v>
      </c>
      <c r="B398" s="71"/>
      <c r="C398" s="72"/>
      <c r="D398" s="157">
        <f>VLOOKUP(A398, 'Purchase Register'!C:D, 2, FALSE)</f>
        <v>24</v>
      </c>
      <c r="E398" s="72">
        <f>SUMIF('Sales Register'!C:C, A398, 'Sales Register'!D:D)</f>
        <v>24</v>
      </c>
      <c r="F398" s="72">
        <f t="shared" si="35"/>
        <v>0</v>
      </c>
      <c r="G398" s="72"/>
      <c r="H398" s="72">
        <f t="shared" si="36"/>
        <v>0</v>
      </c>
      <c r="I398" s="72" t="str">
        <f t="shared" si="37"/>
        <v>OK</v>
      </c>
    </row>
    <row r="399" spans="1:9" ht="30" x14ac:dyDescent="0.25">
      <c r="A399" s="33" t="s">
        <v>707</v>
      </c>
      <c r="B399" s="28"/>
      <c r="C399" s="29"/>
      <c r="D399" s="157">
        <f>VLOOKUP(A399, 'Purchase Register'!C:D, 2, FALSE)</f>
        <v>12</v>
      </c>
      <c r="E399" s="29">
        <f>SUMIF('Sales Register'!C:C, A399, 'Sales Register'!D:D)</f>
        <v>3</v>
      </c>
      <c r="F399" s="29">
        <f t="shared" si="35"/>
        <v>9</v>
      </c>
      <c r="G399" s="29"/>
      <c r="H399" s="157">
        <f t="shared" si="36"/>
        <v>9</v>
      </c>
      <c r="I399" s="72" t="str">
        <f t="shared" si="37"/>
        <v>SERIOUS LOSS</v>
      </c>
    </row>
    <row r="400" spans="1:9" x14ac:dyDescent="0.25">
      <c r="A400" s="33" t="s">
        <v>708</v>
      </c>
      <c r="B400" s="28"/>
      <c r="C400" s="29"/>
      <c r="D400" s="157">
        <f>VLOOKUP(A400, 'Purchase Register'!C:D, 2, FALSE)</f>
        <v>12</v>
      </c>
      <c r="E400" s="29">
        <f>SUMIF('Sales Register'!C:C, A400, 'Sales Register'!D:D)</f>
        <v>10</v>
      </c>
      <c r="F400" s="29">
        <f t="shared" si="35"/>
        <v>2</v>
      </c>
      <c r="G400" s="29"/>
      <c r="H400" s="157">
        <f t="shared" si="36"/>
        <v>2</v>
      </c>
      <c r="I400" s="72" t="str">
        <f t="shared" si="37"/>
        <v>Minor Issue</v>
      </c>
    </row>
    <row r="401" spans="1:9" x14ac:dyDescent="0.25">
      <c r="A401" s="33" t="s">
        <v>709</v>
      </c>
      <c r="B401" s="28"/>
      <c r="C401" s="29"/>
      <c r="D401" s="157">
        <f>VLOOKUP(A401, 'Purchase Register'!C:D, 2, FALSE)</f>
        <v>45</v>
      </c>
      <c r="E401" s="29">
        <f>SUMIF('Sales Register'!C:C, A401, 'Sales Register'!D:D)</f>
        <v>18</v>
      </c>
      <c r="F401" s="29">
        <f t="shared" si="35"/>
        <v>27</v>
      </c>
      <c r="G401" s="29"/>
      <c r="H401" s="157">
        <f t="shared" si="36"/>
        <v>27</v>
      </c>
      <c r="I401" s="72" t="str">
        <f t="shared" si="37"/>
        <v>SERIOUS LOSS</v>
      </c>
    </row>
    <row r="402" spans="1:9" x14ac:dyDescent="0.25">
      <c r="A402" s="33" t="s">
        <v>710</v>
      </c>
      <c r="B402" s="28"/>
      <c r="C402" s="29"/>
      <c r="D402" s="157">
        <f>VLOOKUP(A402, 'Purchase Register'!C:D, 2, FALSE)</f>
        <v>45</v>
      </c>
      <c r="E402" s="29">
        <f>SUMIF('Sales Register'!C:C, A402, 'Sales Register'!D:D)</f>
        <v>6</v>
      </c>
      <c r="F402" s="29">
        <f t="shared" si="35"/>
        <v>39</v>
      </c>
      <c r="G402" s="29"/>
      <c r="H402" s="157">
        <f t="shared" si="36"/>
        <v>39</v>
      </c>
      <c r="I402" s="72" t="str">
        <f t="shared" si="37"/>
        <v>SERIOUS LOSS</v>
      </c>
    </row>
    <row r="403" spans="1:9" ht="30" x14ac:dyDescent="0.25">
      <c r="A403" s="33" t="s">
        <v>711</v>
      </c>
      <c r="B403" s="28"/>
      <c r="C403" s="29"/>
      <c r="D403" s="157">
        <f>VLOOKUP(A403, 'Purchase Register'!C:D, 2, FALSE)</f>
        <v>2</v>
      </c>
      <c r="E403" s="29">
        <f>SUMIF('Sales Register'!C:C, A403, 'Sales Register'!D:D)</f>
        <v>0</v>
      </c>
      <c r="F403" s="29">
        <f t="shared" si="35"/>
        <v>2</v>
      </c>
      <c r="G403" s="29"/>
      <c r="H403" s="157">
        <f t="shared" si="36"/>
        <v>2</v>
      </c>
      <c r="I403" s="72" t="str">
        <f t="shared" si="37"/>
        <v>Minor Issue</v>
      </c>
    </row>
    <row r="404" spans="1:9" x14ac:dyDescent="0.25">
      <c r="A404" s="33" t="s">
        <v>712</v>
      </c>
      <c r="B404" s="28"/>
      <c r="C404" s="29"/>
      <c r="D404" s="157">
        <f>VLOOKUP(A404, 'Purchase Register'!C:D, 2, FALSE)</f>
        <v>3</v>
      </c>
      <c r="E404" s="29">
        <f>SUMIF('Sales Register'!C:C, A404, 'Sales Register'!D:D)</f>
        <v>1</v>
      </c>
      <c r="F404" s="29">
        <f t="shared" si="35"/>
        <v>2</v>
      </c>
      <c r="G404" s="29"/>
      <c r="H404" s="157">
        <f t="shared" si="36"/>
        <v>2</v>
      </c>
      <c r="I404" s="72" t="str">
        <f t="shared" si="37"/>
        <v>Minor Issue</v>
      </c>
    </row>
    <row r="405" spans="1:9" x14ac:dyDescent="0.25">
      <c r="A405" s="33" t="s">
        <v>713</v>
      </c>
      <c r="B405" s="28"/>
      <c r="C405" s="29"/>
      <c r="D405" s="157">
        <f>VLOOKUP(A405, 'Purchase Register'!C:D, 2, FALSE)</f>
        <v>2</v>
      </c>
      <c r="E405" s="29">
        <f>SUMIF('Sales Register'!C:C, A405, 'Sales Register'!D:D)</f>
        <v>0</v>
      </c>
      <c r="F405" s="29">
        <f t="shared" si="35"/>
        <v>2</v>
      </c>
      <c r="G405" s="29"/>
      <c r="H405" s="157">
        <f t="shared" si="36"/>
        <v>2</v>
      </c>
      <c r="I405" s="72" t="str">
        <f t="shared" si="37"/>
        <v>Minor Issue</v>
      </c>
    </row>
    <row r="406" spans="1:9" s="77" customFormat="1" x14ac:dyDescent="0.25">
      <c r="A406" s="70" t="s">
        <v>714</v>
      </c>
      <c r="B406" s="71"/>
      <c r="C406" s="72"/>
      <c r="D406" s="157">
        <f>VLOOKUP(A406, 'Purchase Register'!C:D, 2, FALSE)</f>
        <v>15</v>
      </c>
      <c r="E406" s="72">
        <f>SUMIF('Sales Register'!C:C, A406, 'Sales Register'!D:D)</f>
        <v>15</v>
      </c>
      <c r="F406" s="72">
        <f t="shared" si="35"/>
        <v>0</v>
      </c>
      <c r="G406" s="72"/>
      <c r="H406" s="72">
        <f t="shared" si="36"/>
        <v>0</v>
      </c>
      <c r="I406" s="72" t="str">
        <f t="shared" si="37"/>
        <v>OK</v>
      </c>
    </row>
    <row r="407" spans="1:9" x14ac:dyDescent="0.25">
      <c r="A407" s="33" t="s">
        <v>715</v>
      </c>
      <c r="B407" s="28"/>
      <c r="C407" s="29"/>
      <c r="D407" s="157">
        <f>VLOOKUP(A407, 'Purchase Register'!C:D, 2, FALSE)</f>
        <v>3</v>
      </c>
      <c r="E407" s="29">
        <f>SUMIF('Sales Register'!C:C, A407, 'Sales Register'!D:D)</f>
        <v>3</v>
      </c>
      <c r="F407" s="29">
        <f t="shared" si="35"/>
        <v>0</v>
      </c>
      <c r="G407" s="29"/>
      <c r="H407" s="157">
        <f t="shared" si="36"/>
        <v>0</v>
      </c>
      <c r="I407" s="72" t="str">
        <f t="shared" si="37"/>
        <v>OK</v>
      </c>
    </row>
    <row r="408" spans="1:9" s="77" customFormat="1" x14ac:dyDescent="0.25">
      <c r="A408" s="70" t="s">
        <v>716</v>
      </c>
      <c r="B408" s="71"/>
      <c r="C408" s="72"/>
      <c r="D408" s="157">
        <f>VLOOKUP(A408, 'Purchase Register'!C:D, 2, FALSE)</f>
        <v>3</v>
      </c>
      <c r="E408" s="72">
        <f>SUMIF('Sales Register'!C:C, A408, 'Sales Register'!D:D)</f>
        <v>2.2599999999999998</v>
      </c>
      <c r="F408" s="72">
        <f t="shared" si="35"/>
        <v>0.74000000000000021</v>
      </c>
      <c r="G408" s="72"/>
      <c r="H408" s="72">
        <f t="shared" si="36"/>
        <v>0.74000000000000021</v>
      </c>
      <c r="I408" s="72" t="str">
        <f t="shared" si="37"/>
        <v>Minor Issue</v>
      </c>
    </row>
    <row r="409" spans="1:9" ht="30" x14ac:dyDescent="0.25">
      <c r="A409" s="33" t="s">
        <v>717</v>
      </c>
      <c r="B409" s="28"/>
      <c r="C409" s="29"/>
      <c r="D409" s="157">
        <f>VLOOKUP(A409, 'Purchase Register'!C:D, 2, FALSE)</f>
        <v>3</v>
      </c>
      <c r="E409" s="29">
        <f>SUMIF('Sales Register'!C:C, A409, 'Sales Register'!D:D)</f>
        <v>3</v>
      </c>
      <c r="F409" s="29">
        <f t="shared" si="35"/>
        <v>0</v>
      </c>
      <c r="G409" s="29"/>
      <c r="H409" s="157">
        <f t="shared" si="36"/>
        <v>0</v>
      </c>
      <c r="I409" s="72" t="str">
        <f t="shared" si="37"/>
        <v>OK</v>
      </c>
    </row>
    <row r="410" spans="1:9" ht="30" x14ac:dyDescent="0.25">
      <c r="A410" s="33" t="s">
        <v>718</v>
      </c>
      <c r="B410" s="28"/>
      <c r="C410" s="29"/>
      <c r="D410" s="157">
        <f>VLOOKUP(A410, 'Purchase Register'!C:D, 2, FALSE)</f>
        <v>2</v>
      </c>
      <c r="E410" s="29">
        <f>SUMIF('Sales Register'!C:C, A410, 'Sales Register'!D:D)</f>
        <v>2</v>
      </c>
      <c r="F410" s="29">
        <f t="shared" si="35"/>
        <v>0</v>
      </c>
      <c r="G410" s="29"/>
      <c r="H410" s="157">
        <f t="shared" si="36"/>
        <v>0</v>
      </c>
      <c r="I410" s="72" t="str">
        <f t="shared" si="37"/>
        <v>OK</v>
      </c>
    </row>
    <row r="411" spans="1:9" s="77" customFormat="1" x14ac:dyDescent="0.25">
      <c r="A411" s="70" t="s">
        <v>719</v>
      </c>
      <c r="B411" s="71"/>
      <c r="C411" s="72"/>
      <c r="D411" s="157">
        <f>VLOOKUP(A411, 'Purchase Register'!C:D, 2, FALSE)</f>
        <v>6</v>
      </c>
      <c r="E411" s="72">
        <f>SUMIF('Sales Register'!C:C, A411, 'Sales Register'!D:D)</f>
        <v>4</v>
      </c>
      <c r="F411" s="72">
        <f t="shared" si="35"/>
        <v>2</v>
      </c>
      <c r="G411" s="72"/>
      <c r="H411" s="72">
        <f t="shared" si="36"/>
        <v>2</v>
      </c>
      <c r="I411" s="72" t="str">
        <f t="shared" si="37"/>
        <v>Minor Issue</v>
      </c>
    </row>
    <row r="412" spans="1:9" x14ac:dyDescent="0.25">
      <c r="A412" s="33" t="s">
        <v>720</v>
      </c>
      <c r="B412" s="28"/>
      <c r="C412" s="29"/>
      <c r="D412" s="157">
        <f>VLOOKUP(A412, 'Purchase Register'!C:D, 2, FALSE)</f>
        <v>10</v>
      </c>
      <c r="E412" s="29">
        <f>SUMIF('Sales Register'!C:C, A412, 'Sales Register'!D:D)</f>
        <v>6.0389999999999997</v>
      </c>
      <c r="F412" s="29">
        <f t="shared" si="35"/>
        <v>3.9610000000000003</v>
      </c>
      <c r="G412" s="29"/>
      <c r="H412" s="157">
        <f t="shared" si="36"/>
        <v>3.9610000000000003</v>
      </c>
      <c r="I412" s="72" t="str">
        <f t="shared" si="37"/>
        <v>SERIOUS LOSS</v>
      </c>
    </row>
    <row r="413" spans="1:9" x14ac:dyDescent="0.25">
      <c r="A413" s="33" t="s">
        <v>721</v>
      </c>
      <c r="B413" s="28"/>
      <c r="C413" s="29"/>
      <c r="D413" s="157">
        <f>VLOOKUP(A413, 'Purchase Register'!C:D, 2, FALSE)</f>
        <v>1</v>
      </c>
      <c r="E413" s="29">
        <f>SUMIF('Sales Register'!C:C, A413, 'Sales Register'!D:D)</f>
        <v>0.75500000000000012</v>
      </c>
      <c r="F413" s="29">
        <f t="shared" si="35"/>
        <v>0.24499999999999988</v>
      </c>
      <c r="G413" s="29"/>
      <c r="H413" s="157">
        <f t="shared" si="36"/>
        <v>0.24499999999999988</v>
      </c>
      <c r="I413" s="72" t="str">
        <f t="shared" si="37"/>
        <v>Minor Issue</v>
      </c>
    </row>
    <row r="414" spans="1:9" x14ac:dyDescent="0.25">
      <c r="A414" s="33" t="s">
        <v>722</v>
      </c>
      <c r="B414" s="28"/>
      <c r="C414" s="29"/>
      <c r="D414" s="157">
        <f>VLOOKUP(A414, 'Purchase Register'!C:D, 2, FALSE)</f>
        <v>1</v>
      </c>
      <c r="E414" s="29">
        <f>SUMIF('Sales Register'!C:C, A414, 'Sales Register'!D:D)</f>
        <v>0.32900000000000001</v>
      </c>
      <c r="F414" s="29">
        <f t="shared" si="35"/>
        <v>0.67100000000000004</v>
      </c>
      <c r="G414" s="29"/>
      <c r="H414" s="157">
        <f t="shared" si="36"/>
        <v>0.67100000000000004</v>
      </c>
      <c r="I414" s="72" t="str">
        <f t="shared" si="37"/>
        <v>Minor Issue</v>
      </c>
    </row>
    <row r="415" spans="1:9" s="77" customFormat="1" x14ac:dyDescent="0.25">
      <c r="A415" s="70" t="s">
        <v>730</v>
      </c>
      <c r="B415" s="71"/>
      <c r="C415" s="72"/>
      <c r="D415" s="157">
        <f>VLOOKUP(A415, 'Purchase Register'!C:D, 2, FALSE)</f>
        <v>5</v>
      </c>
      <c r="E415" s="72">
        <f>SUMIF('Sales Register'!C:C, A415, 'Sales Register'!D:D)</f>
        <v>7.7790000000000008</v>
      </c>
      <c r="F415" s="72">
        <f t="shared" si="35"/>
        <v>-2.7790000000000008</v>
      </c>
      <c r="G415" s="72"/>
      <c r="H415" s="72">
        <f t="shared" si="36"/>
        <v>-2.7790000000000008</v>
      </c>
      <c r="I415" s="72" t="str">
        <f t="shared" si="37"/>
        <v>SERIOUS LOSS</v>
      </c>
    </row>
    <row r="416" spans="1:9" x14ac:dyDescent="0.25">
      <c r="A416" s="33" t="s">
        <v>723</v>
      </c>
      <c r="B416" s="28"/>
      <c r="C416" s="29"/>
      <c r="D416" s="157">
        <f>VLOOKUP(A416, 'Purchase Register'!C:D, 2, FALSE)</f>
        <v>1</v>
      </c>
      <c r="E416" s="29">
        <f>SUMIF('Sales Register'!C:C, A416, 'Sales Register'!D:D)</f>
        <v>1.014</v>
      </c>
      <c r="F416" s="29">
        <f t="shared" si="35"/>
        <v>-1.4000000000000012E-2</v>
      </c>
      <c r="G416" s="29"/>
      <c r="H416" s="157">
        <f t="shared" si="36"/>
        <v>-1.4000000000000012E-2</v>
      </c>
      <c r="I416" s="72" t="str">
        <f t="shared" si="37"/>
        <v>Minor Issue</v>
      </c>
    </row>
    <row r="417" spans="1:9" x14ac:dyDescent="0.25">
      <c r="A417" s="33" t="s">
        <v>724</v>
      </c>
      <c r="B417" s="28"/>
      <c r="C417" s="29"/>
      <c r="D417" s="157">
        <f>VLOOKUP(A417, 'Purchase Register'!C:D, 2, FALSE)</f>
        <v>10</v>
      </c>
      <c r="E417" s="29">
        <f>SUMIF('Sales Register'!C:C, A417, 'Sales Register'!D:D)</f>
        <v>10</v>
      </c>
      <c r="F417" s="29">
        <f t="shared" si="35"/>
        <v>0</v>
      </c>
      <c r="G417" s="29"/>
      <c r="H417" s="157">
        <f t="shared" si="36"/>
        <v>0</v>
      </c>
      <c r="I417" s="72" t="str">
        <f t="shared" si="37"/>
        <v>OK</v>
      </c>
    </row>
    <row r="418" spans="1:9" x14ac:dyDescent="0.25">
      <c r="A418" s="33" t="s">
        <v>725</v>
      </c>
      <c r="B418" s="28"/>
      <c r="C418" s="29"/>
      <c r="D418" s="157">
        <f>VLOOKUP(A418, 'Purchase Register'!C:D, 2, FALSE)</f>
        <v>0.5</v>
      </c>
      <c r="E418" s="29">
        <f>SUMIF('Sales Register'!C:C, A418, 'Sales Register'!D:D)</f>
        <v>0.20500000000000002</v>
      </c>
      <c r="F418" s="29">
        <f t="shared" si="35"/>
        <v>0.29499999999999998</v>
      </c>
      <c r="G418" s="29"/>
      <c r="H418" s="157">
        <f t="shared" si="36"/>
        <v>0.29499999999999998</v>
      </c>
      <c r="I418" s="72" t="str">
        <f t="shared" si="37"/>
        <v>Minor Issue</v>
      </c>
    </row>
    <row r="419" spans="1:9" x14ac:dyDescent="0.25">
      <c r="A419" s="33" t="s">
        <v>726</v>
      </c>
      <c r="B419" s="28"/>
      <c r="C419" s="29"/>
      <c r="D419" s="157">
        <f>VLOOKUP(A419, 'Purchase Register'!C:D, 2, FALSE)</f>
        <v>5</v>
      </c>
      <c r="E419" s="29">
        <f>SUMIF('Sales Register'!C:C, A419, 'Sales Register'!D:D)</f>
        <v>3.5300000000000002</v>
      </c>
      <c r="F419" s="29">
        <f t="shared" si="35"/>
        <v>1.4699999999999998</v>
      </c>
      <c r="G419" s="29"/>
      <c r="H419" s="157">
        <f t="shared" si="36"/>
        <v>1.4699999999999998</v>
      </c>
      <c r="I419" s="72" t="str">
        <f t="shared" si="37"/>
        <v>Minor Issue</v>
      </c>
    </row>
    <row r="420" spans="1:9" x14ac:dyDescent="0.25">
      <c r="A420" s="33" t="s">
        <v>727</v>
      </c>
      <c r="B420" s="28"/>
      <c r="C420" s="29"/>
      <c r="D420" s="157">
        <f>VLOOKUP(A420, 'Purchase Register'!C:D, 2, FALSE)</f>
        <v>3</v>
      </c>
      <c r="E420" s="29">
        <f>SUMIF('Sales Register'!C:C, A420, 'Sales Register'!D:D)</f>
        <v>3.0019999999999998</v>
      </c>
      <c r="F420" s="29">
        <f t="shared" si="35"/>
        <v>-1.9999999999997797E-3</v>
      </c>
      <c r="G420" s="29"/>
      <c r="H420" s="157">
        <f t="shared" si="36"/>
        <v>-1.9999999999997797E-3</v>
      </c>
      <c r="I420" s="72" t="str">
        <f t="shared" si="37"/>
        <v>Minor Issue</v>
      </c>
    </row>
    <row r="421" spans="1:9" x14ac:dyDescent="0.25">
      <c r="A421" s="33" t="s">
        <v>728</v>
      </c>
      <c r="B421" s="28"/>
      <c r="C421" s="29"/>
      <c r="D421" s="157">
        <f>VLOOKUP(A421, 'Purchase Register'!C:D, 2, FALSE)</f>
        <v>1</v>
      </c>
      <c r="E421" s="29">
        <f>SUMIF('Sales Register'!C:C, A421, 'Sales Register'!D:D)</f>
        <v>0.51800000000000002</v>
      </c>
      <c r="F421" s="29">
        <f t="shared" si="35"/>
        <v>0.48199999999999998</v>
      </c>
      <c r="G421" s="29"/>
      <c r="H421" s="157">
        <f t="shared" si="36"/>
        <v>0.48199999999999998</v>
      </c>
      <c r="I421" s="72" t="str">
        <f t="shared" si="37"/>
        <v>Minor Issue</v>
      </c>
    </row>
    <row r="422" spans="1:9" s="77" customFormat="1" ht="30" x14ac:dyDescent="0.25">
      <c r="A422" s="70" t="s">
        <v>729</v>
      </c>
      <c r="B422" s="71"/>
      <c r="C422" s="72"/>
      <c r="D422" s="157">
        <f>VLOOKUP(A422, 'Purchase Register'!C:D, 2, FALSE)</f>
        <v>24</v>
      </c>
      <c r="E422" s="72">
        <f>SUMIF('Sales Register'!C:C, A422, 'Sales Register'!D:D)</f>
        <v>30</v>
      </c>
      <c r="F422" s="72">
        <f t="shared" si="35"/>
        <v>-6</v>
      </c>
      <c r="G422" s="72"/>
      <c r="H422" s="72">
        <f t="shared" si="36"/>
        <v>-6</v>
      </c>
      <c r="I422" s="72" t="str">
        <f t="shared" si="37"/>
        <v>SERIOUS LOSS</v>
      </c>
    </row>
    <row r="423" spans="1:9" s="77" customFormat="1" x14ac:dyDescent="0.25">
      <c r="A423" s="70" t="s">
        <v>731</v>
      </c>
      <c r="B423" s="71"/>
      <c r="C423" s="72"/>
      <c r="D423" s="157">
        <f>VLOOKUP(A423, 'Purchase Register'!C:D, 2, FALSE)</f>
        <v>2</v>
      </c>
      <c r="E423" s="72">
        <f>SUMIF('Sales Register'!C:C, A423, 'Sales Register'!D:D)</f>
        <v>3.1</v>
      </c>
      <c r="F423" s="72">
        <f t="shared" si="35"/>
        <v>-1.1000000000000001</v>
      </c>
      <c r="G423" s="72"/>
      <c r="H423" s="72">
        <f t="shared" si="36"/>
        <v>-1.1000000000000001</v>
      </c>
      <c r="I423" s="72" t="str">
        <f t="shared" si="37"/>
        <v>Minor Issue</v>
      </c>
    </row>
    <row r="424" spans="1:9" s="77" customFormat="1" ht="30" x14ac:dyDescent="0.25">
      <c r="A424" s="70" t="s">
        <v>733</v>
      </c>
      <c r="B424" s="71"/>
      <c r="C424" s="72"/>
      <c r="D424" s="157">
        <f>VLOOKUP(A424, 'Purchase Register'!C:D, 2, FALSE)</f>
        <v>104</v>
      </c>
      <c r="E424" s="72">
        <f>SUMIF('Sales Register'!C:C, A424, 'Sales Register'!D:D)</f>
        <v>105</v>
      </c>
      <c r="F424" s="72">
        <f t="shared" si="35"/>
        <v>-1</v>
      </c>
      <c r="G424" s="72"/>
      <c r="H424" s="72">
        <f t="shared" si="36"/>
        <v>-1</v>
      </c>
      <c r="I424" s="72" t="str">
        <f t="shared" si="37"/>
        <v>Minor Issue</v>
      </c>
    </row>
    <row r="425" spans="1:9" s="77" customFormat="1" ht="30" x14ac:dyDescent="0.25">
      <c r="A425" s="70" t="s">
        <v>734</v>
      </c>
      <c r="B425" s="71"/>
      <c r="C425" s="72"/>
      <c r="D425" s="157">
        <f>VLOOKUP(A425, 'Purchase Register'!C:D, 2, FALSE)</f>
        <v>26</v>
      </c>
      <c r="E425" s="72">
        <f>SUMIF('Sales Register'!C:C, A425, 'Sales Register'!D:D)</f>
        <v>16.25</v>
      </c>
      <c r="F425" s="72">
        <f t="shared" si="35"/>
        <v>9.75</v>
      </c>
      <c r="G425" s="72"/>
      <c r="H425" s="72">
        <f t="shared" si="36"/>
        <v>9.75</v>
      </c>
      <c r="I425" s="72" t="str">
        <f t="shared" si="37"/>
        <v>SERIOUS LOSS</v>
      </c>
    </row>
    <row r="426" spans="1:9" ht="30" x14ac:dyDescent="0.25">
      <c r="A426" s="33" t="s">
        <v>735</v>
      </c>
      <c r="B426" s="28"/>
      <c r="C426" s="29"/>
      <c r="D426" s="157">
        <f>VLOOKUP(A426, 'Purchase Register'!C:D, 2, FALSE)</f>
        <v>26</v>
      </c>
      <c r="E426" s="29">
        <f>SUMIF('Sales Register'!C:C, A426, 'Sales Register'!D:D)</f>
        <v>23</v>
      </c>
      <c r="F426" s="29">
        <f t="shared" si="35"/>
        <v>3</v>
      </c>
      <c r="G426" s="29"/>
      <c r="H426" s="157">
        <f t="shared" si="36"/>
        <v>3</v>
      </c>
      <c r="I426" s="72" t="str">
        <f t="shared" si="37"/>
        <v>SERIOUS LOSS</v>
      </c>
    </row>
    <row r="427" spans="1:9" x14ac:dyDescent="0.25">
      <c r="A427" s="33" t="s">
        <v>736</v>
      </c>
      <c r="B427" s="28"/>
      <c r="C427" s="29"/>
      <c r="D427" s="157">
        <f>VLOOKUP(A427, 'Purchase Register'!C:D, 2, FALSE)</f>
        <v>9</v>
      </c>
      <c r="E427" s="29">
        <f>SUMIF('Sales Register'!C:C, A427, 'Sales Register'!D:D)</f>
        <v>9</v>
      </c>
      <c r="F427" s="29">
        <f t="shared" si="35"/>
        <v>0</v>
      </c>
      <c r="G427" s="29"/>
      <c r="H427" s="157">
        <f t="shared" si="36"/>
        <v>0</v>
      </c>
      <c r="I427" s="72" t="str">
        <f t="shared" si="37"/>
        <v>OK</v>
      </c>
    </row>
    <row r="428" spans="1:9" s="77" customFormat="1" x14ac:dyDescent="0.25">
      <c r="A428" s="70" t="s">
        <v>737</v>
      </c>
      <c r="B428" s="71"/>
      <c r="C428" s="72"/>
      <c r="D428" s="157">
        <f>VLOOKUP(A428, 'Purchase Register'!C:D, 2, FALSE)</f>
        <v>6</v>
      </c>
      <c r="E428" s="72">
        <f>SUMIF('Sales Register'!C:C, A428, 'Sales Register'!D:D)</f>
        <v>7</v>
      </c>
      <c r="F428" s="72">
        <f t="shared" si="35"/>
        <v>-1</v>
      </c>
      <c r="G428" s="72"/>
      <c r="H428" s="72">
        <f t="shared" si="36"/>
        <v>-1</v>
      </c>
      <c r="I428" s="72" t="str">
        <f t="shared" si="37"/>
        <v>Minor Issue</v>
      </c>
    </row>
    <row r="429" spans="1:9" x14ac:dyDescent="0.25">
      <c r="A429" s="33" t="s">
        <v>738</v>
      </c>
      <c r="B429" s="28"/>
      <c r="C429" s="29"/>
      <c r="D429" s="157">
        <f>VLOOKUP(A429, 'Purchase Register'!C:D, 2, FALSE)</f>
        <v>2</v>
      </c>
      <c r="E429" s="29">
        <f>SUMIF('Sales Register'!C:C, A429, 'Sales Register'!D:D)</f>
        <v>2</v>
      </c>
      <c r="F429" s="29">
        <f t="shared" si="35"/>
        <v>0</v>
      </c>
      <c r="G429" s="29"/>
      <c r="H429" s="157">
        <f t="shared" si="36"/>
        <v>0</v>
      </c>
      <c r="I429" s="72" t="str">
        <f t="shared" si="37"/>
        <v>OK</v>
      </c>
    </row>
    <row r="430" spans="1:9" s="77" customFormat="1" x14ac:dyDescent="0.25">
      <c r="A430" s="70" t="s">
        <v>739</v>
      </c>
      <c r="B430" s="71"/>
      <c r="C430" s="72"/>
      <c r="D430" s="157">
        <f>VLOOKUP(A430, 'Purchase Register'!C:D, 2, FALSE)</f>
        <v>3</v>
      </c>
      <c r="E430" s="72">
        <f>SUMIF('Sales Register'!C:C, A430, 'Sales Register'!D:D)</f>
        <v>3</v>
      </c>
      <c r="F430" s="72">
        <f t="shared" si="35"/>
        <v>0</v>
      </c>
      <c r="G430" s="72"/>
      <c r="H430" s="72">
        <f t="shared" si="36"/>
        <v>0</v>
      </c>
      <c r="I430" s="72" t="str">
        <f t="shared" si="37"/>
        <v>OK</v>
      </c>
    </row>
    <row r="431" spans="1:9" x14ac:dyDescent="0.25">
      <c r="A431" s="33" t="s">
        <v>741</v>
      </c>
      <c r="B431" s="28"/>
      <c r="C431" s="29"/>
      <c r="D431" s="157">
        <f>VLOOKUP(A431, 'Purchase Register'!C:D, 2, FALSE)</f>
        <v>30</v>
      </c>
      <c r="E431" s="29">
        <f>SUMIF('Sales Register'!C:C, A431, 'Sales Register'!D:D)</f>
        <v>6</v>
      </c>
      <c r="F431" s="29">
        <f t="shared" si="35"/>
        <v>24</v>
      </c>
      <c r="G431" s="29"/>
      <c r="H431" s="157">
        <f t="shared" si="36"/>
        <v>24</v>
      </c>
      <c r="I431" s="72" t="str">
        <f t="shared" si="37"/>
        <v>SERIOUS LOSS</v>
      </c>
    </row>
    <row r="432" spans="1:9" ht="30" x14ac:dyDescent="0.25">
      <c r="A432" s="33" t="s">
        <v>740</v>
      </c>
      <c r="B432" s="28"/>
      <c r="C432" s="29"/>
      <c r="D432" s="157">
        <f>VLOOKUP(A432, 'Purchase Register'!C:D, 2, FALSE)</f>
        <v>30</v>
      </c>
      <c r="E432" s="29">
        <f>SUMIF('Sales Register'!C:C, A432, 'Sales Register'!D:D)</f>
        <v>28</v>
      </c>
      <c r="F432" s="29">
        <f t="shared" si="35"/>
        <v>2</v>
      </c>
      <c r="G432" s="29"/>
      <c r="H432" s="157">
        <f t="shared" si="36"/>
        <v>2</v>
      </c>
      <c r="I432" s="72" t="str">
        <f t="shared" si="37"/>
        <v>Minor Issue</v>
      </c>
    </row>
    <row r="433" spans="1:9" x14ac:dyDescent="0.25">
      <c r="A433" s="33" t="s">
        <v>742</v>
      </c>
      <c r="B433" s="28"/>
      <c r="C433" s="29"/>
      <c r="D433" s="157">
        <f>VLOOKUP(A433, 'Purchase Register'!C:D, 2, FALSE)</f>
        <v>3</v>
      </c>
      <c r="E433" s="29">
        <f>SUMIF('Sales Register'!C:C, A433, 'Sales Register'!D:D)</f>
        <v>4</v>
      </c>
      <c r="F433" s="29">
        <f t="shared" si="35"/>
        <v>-1</v>
      </c>
      <c r="G433" s="29"/>
      <c r="H433" s="157">
        <f t="shared" si="36"/>
        <v>-1</v>
      </c>
      <c r="I433" s="72" t="str">
        <f t="shared" si="37"/>
        <v>Minor Issue</v>
      </c>
    </row>
    <row r="434" spans="1:9" x14ac:dyDescent="0.25">
      <c r="A434" s="33" t="s">
        <v>743</v>
      </c>
      <c r="B434" s="28"/>
      <c r="C434" s="29"/>
      <c r="D434" s="157">
        <f>VLOOKUP(A434, 'Purchase Register'!C:D, 2, FALSE)</f>
        <v>1</v>
      </c>
      <c r="E434" s="29">
        <f>SUMIF('Sales Register'!C:C, A434, 'Sales Register'!D:D)</f>
        <v>0</v>
      </c>
      <c r="F434" s="29">
        <f t="shared" si="35"/>
        <v>1</v>
      </c>
      <c r="G434" s="29"/>
      <c r="H434" s="157">
        <f t="shared" si="36"/>
        <v>1</v>
      </c>
      <c r="I434" s="72" t="str">
        <f t="shared" si="37"/>
        <v>Minor Issue</v>
      </c>
    </row>
    <row r="435" spans="1:9" x14ac:dyDescent="0.25">
      <c r="A435" s="33" t="s">
        <v>744</v>
      </c>
      <c r="B435" s="28"/>
      <c r="C435" s="29"/>
      <c r="D435" s="157">
        <f>VLOOKUP(A435, 'Purchase Register'!C:D, 2, FALSE)</f>
        <v>2</v>
      </c>
      <c r="E435" s="29">
        <f>SUMIF('Sales Register'!C:C, A435, 'Sales Register'!D:D)</f>
        <v>0</v>
      </c>
      <c r="F435" s="29">
        <f t="shared" si="35"/>
        <v>2</v>
      </c>
      <c r="G435" s="29"/>
      <c r="H435" s="157">
        <f t="shared" si="36"/>
        <v>2</v>
      </c>
      <c r="I435" s="72" t="str">
        <f t="shared" si="37"/>
        <v>Minor Issue</v>
      </c>
    </row>
    <row r="436" spans="1:9" x14ac:dyDescent="0.25">
      <c r="A436" s="33" t="s">
        <v>745</v>
      </c>
      <c r="B436" s="28"/>
      <c r="C436" s="29"/>
      <c r="D436" s="157">
        <f>VLOOKUP(A436, 'Purchase Register'!C:D, 2, FALSE)</f>
        <v>20</v>
      </c>
      <c r="E436" s="29">
        <f>SUMIF('Sales Register'!C:C, A436, 'Sales Register'!D:D)</f>
        <v>3</v>
      </c>
      <c r="F436" s="29">
        <f t="shared" si="35"/>
        <v>17</v>
      </c>
      <c r="G436" s="29"/>
      <c r="H436" s="157">
        <f t="shared" si="36"/>
        <v>17</v>
      </c>
      <c r="I436" s="72" t="str">
        <f t="shared" si="37"/>
        <v>SERIOUS LOSS</v>
      </c>
    </row>
    <row r="437" spans="1:9" ht="30" x14ac:dyDescent="0.25">
      <c r="A437" s="33" t="s">
        <v>746</v>
      </c>
      <c r="B437" s="28"/>
      <c r="C437" s="29"/>
      <c r="D437" s="157">
        <f>VLOOKUP(A437, 'Purchase Register'!C:D, 2, FALSE)</f>
        <v>3</v>
      </c>
      <c r="E437" s="29">
        <f>SUMIF('Sales Register'!C:C, A437, 'Sales Register'!D:D)</f>
        <v>2</v>
      </c>
      <c r="F437" s="29">
        <f t="shared" si="35"/>
        <v>1</v>
      </c>
      <c r="G437" s="29"/>
      <c r="H437" s="157">
        <f t="shared" si="36"/>
        <v>1</v>
      </c>
      <c r="I437" s="72" t="str">
        <f t="shared" si="37"/>
        <v>Minor Issue</v>
      </c>
    </row>
    <row r="438" spans="1:9" x14ac:dyDescent="0.25">
      <c r="A438" s="33" t="s">
        <v>747</v>
      </c>
      <c r="B438" s="28"/>
      <c r="C438" s="29"/>
      <c r="D438" s="157">
        <f>VLOOKUP(A438, 'Purchase Register'!C:D, 2, FALSE)</f>
        <v>12</v>
      </c>
      <c r="E438" s="29">
        <f>SUMIF('Sales Register'!C:C, A438, 'Sales Register'!D:D)</f>
        <v>11</v>
      </c>
      <c r="F438" s="29">
        <f t="shared" si="35"/>
        <v>1</v>
      </c>
      <c r="G438" s="29"/>
      <c r="H438" s="157">
        <f t="shared" si="36"/>
        <v>1</v>
      </c>
      <c r="I438" s="72" t="str">
        <f t="shared" si="37"/>
        <v>Minor Issue</v>
      </c>
    </row>
    <row r="439" spans="1:9" s="77" customFormat="1" x14ac:dyDescent="0.25">
      <c r="A439" s="70" t="s">
        <v>748</v>
      </c>
      <c r="B439" s="71"/>
      <c r="C439" s="72"/>
      <c r="D439" s="157">
        <f>VLOOKUP(A439, 'Purchase Register'!C:D, 2, FALSE)</f>
        <v>60</v>
      </c>
      <c r="E439" s="72">
        <f>SUMIF('Sales Register'!C:C, A439, 'Sales Register'!D:D)</f>
        <v>65</v>
      </c>
      <c r="F439" s="72">
        <f t="shared" si="35"/>
        <v>-5</v>
      </c>
      <c r="G439" s="72"/>
      <c r="H439" s="72">
        <f t="shared" si="36"/>
        <v>-5</v>
      </c>
      <c r="I439" s="72" t="str">
        <f t="shared" si="37"/>
        <v>SERIOUS LOSS</v>
      </c>
    </row>
    <row r="440" spans="1:9" x14ac:dyDescent="0.25">
      <c r="A440" s="33" t="s">
        <v>749</v>
      </c>
      <c r="B440" s="28"/>
      <c r="C440" s="29"/>
      <c r="D440" s="157">
        <f>VLOOKUP(A440, 'Purchase Register'!C:D, 2, FALSE)</f>
        <v>2</v>
      </c>
      <c r="E440" s="29">
        <f>SUMIF('Sales Register'!C:C, A440, 'Sales Register'!D:D)</f>
        <v>1</v>
      </c>
      <c r="F440" s="29">
        <f t="shared" si="35"/>
        <v>1</v>
      </c>
      <c r="G440" s="29"/>
      <c r="H440" s="157">
        <f t="shared" si="36"/>
        <v>1</v>
      </c>
      <c r="I440" s="72" t="str">
        <f t="shared" si="37"/>
        <v>Minor Issue</v>
      </c>
    </row>
    <row r="441" spans="1:9" x14ac:dyDescent="0.25">
      <c r="A441" s="33" t="s">
        <v>751</v>
      </c>
      <c r="B441" s="28"/>
      <c r="C441" s="29"/>
      <c r="D441" s="157">
        <f>VLOOKUP(A441, 'Purchase Register'!C:D, 2, FALSE)</f>
        <v>2</v>
      </c>
      <c r="E441" s="29">
        <f>SUMIF('Sales Register'!C:C, A441, 'Sales Register'!D:D)</f>
        <v>2</v>
      </c>
      <c r="F441" s="29">
        <f t="shared" si="35"/>
        <v>0</v>
      </c>
      <c r="G441" s="29"/>
      <c r="H441" s="157">
        <f t="shared" si="36"/>
        <v>0</v>
      </c>
      <c r="I441" s="72" t="str">
        <f t="shared" si="37"/>
        <v>OK</v>
      </c>
    </row>
    <row r="442" spans="1:9" x14ac:dyDescent="0.25">
      <c r="A442" s="33" t="s">
        <v>750</v>
      </c>
      <c r="B442" s="28"/>
      <c r="C442" s="29"/>
      <c r="D442" s="157">
        <f>VLOOKUP(A442, 'Purchase Register'!C:D, 2, FALSE)</f>
        <v>15</v>
      </c>
      <c r="E442" s="29">
        <f>SUMIF('Sales Register'!C:C, A442, 'Sales Register'!D:D)</f>
        <v>13</v>
      </c>
      <c r="F442" s="29">
        <f t="shared" si="35"/>
        <v>2</v>
      </c>
      <c r="G442" s="29"/>
      <c r="H442" s="157">
        <f t="shared" si="36"/>
        <v>2</v>
      </c>
      <c r="I442" s="72" t="str">
        <f t="shared" si="37"/>
        <v>Minor Issue</v>
      </c>
    </row>
    <row r="443" spans="1:9" x14ac:dyDescent="0.25">
      <c r="A443" s="33" t="s">
        <v>752</v>
      </c>
      <c r="B443" s="28"/>
      <c r="C443" s="29"/>
      <c r="D443" s="157">
        <f>VLOOKUP(A443, 'Purchase Register'!C:D, 2, FALSE)</f>
        <v>15</v>
      </c>
      <c r="E443" s="29">
        <f>SUMIF('Sales Register'!C:C, A443, 'Sales Register'!D:D)</f>
        <v>12</v>
      </c>
      <c r="F443" s="29">
        <f t="shared" si="35"/>
        <v>3</v>
      </c>
      <c r="G443" s="29"/>
      <c r="H443" s="157">
        <f t="shared" si="36"/>
        <v>3</v>
      </c>
      <c r="I443" s="72" t="str">
        <f t="shared" si="37"/>
        <v>SERIOUS LOSS</v>
      </c>
    </row>
    <row r="444" spans="1:9" x14ac:dyDescent="0.25">
      <c r="A444" s="33" t="s">
        <v>753</v>
      </c>
      <c r="B444" s="28"/>
      <c r="C444" s="29"/>
      <c r="D444" s="157">
        <f>VLOOKUP(A444, 'Purchase Register'!C:D, 2, FALSE)</f>
        <v>30</v>
      </c>
      <c r="E444" s="29">
        <f>SUMIF('Sales Register'!C:C, A444, 'Sales Register'!D:D)</f>
        <v>17</v>
      </c>
      <c r="F444" s="29">
        <f t="shared" si="35"/>
        <v>13</v>
      </c>
      <c r="G444" s="29"/>
      <c r="H444" s="157">
        <f t="shared" si="36"/>
        <v>13</v>
      </c>
      <c r="I444" s="72" t="str">
        <f t="shared" si="37"/>
        <v>SERIOUS LOSS</v>
      </c>
    </row>
    <row r="445" spans="1:9" ht="30" x14ac:dyDescent="0.25">
      <c r="A445" s="33" t="s">
        <v>754</v>
      </c>
      <c r="B445" s="28"/>
      <c r="C445" s="29"/>
      <c r="D445" s="157">
        <f>VLOOKUP(A445, 'Purchase Register'!C:D, 2, FALSE)</f>
        <v>30</v>
      </c>
      <c r="E445" s="29">
        <f>SUMIF('Sales Register'!C:C, A445, 'Sales Register'!D:D)</f>
        <v>2</v>
      </c>
      <c r="F445" s="29">
        <f t="shared" si="35"/>
        <v>28</v>
      </c>
      <c r="G445" s="29"/>
      <c r="H445" s="157">
        <f t="shared" si="36"/>
        <v>28</v>
      </c>
      <c r="I445" s="72" t="str">
        <f t="shared" si="37"/>
        <v>SERIOUS LOSS</v>
      </c>
    </row>
    <row r="446" spans="1:9" s="77" customFormat="1" x14ac:dyDescent="0.25">
      <c r="A446" s="70" t="s">
        <v>755</v>
      </c>
      <c r="B446" s="71"/>
      <c r="C446" s="72"/>
      <c r="D446" s="157">
        <f>VLOOKUP(A446, 'Purchase Register'!C:D, 2, FALSE)</f>
        <v>3</v>
      </c>
      <c r="E446" s="72">
        <f>SUMIF('Sales Register'!C:C, A446, 'Sales Register'!D:D)</f>
        <v>6</v>
      </c>
      <c r="F446" s="72">
        <f t="shared" si="35"/>
        <v>-3</v>
      </c>
      <c r="G446" s="72"/>
      <c r="H446" s="72">
        <f t="shared" si="36"/>
        <v>-3</v>
      </c>
      <c r="I446" s="72" t="str">
        <f t="shared" si="37"/>
        <v>SERIOUS LOSS</v>
      </c>
    </row>
    <row r="447" spans="1:9" ht="30" x14ac:dyDescent="0.25">
      <c r="A447" s="33" t="s">
        <v>756</v>
      </c>
      <c r="B447" s="28"/>
      <c r="C447" s="29"/>
      <c r="D447" s="157">
        <f>VLOOKUP(A447, 'Purchase Register'!C:D, 2, FALSE)</f>
        <v>4</v>
      </c>
      <c r="E447" s="29">
        <f>SUMIF('Sales Register'!C:C, A447, 'Sales Register'!D:D)</f>
        <v>0</v>
      </c>
      <c r="F447" s="29">
        <f t="shared" si="35"/>
        <v>4</v>
      </c>
      <c r="G447" s="29"/>
      <c r="H447" s="157">
        <f t="shared" si="36"/>
        <v>4</v>
      </c>
      <c r="I447" s="72" t="str">
        <f t="shared" si="37"/>
        <v>SERIOUS LOSS</v>
      </c>
    </row>
    <row r="448" spans="1:9" x14ac:dyDescent="0.25">
      <c r="A448" s="33" t="s">
        <v>757</v>
      </c>
      <c r="B448" s="28"/>
      <c r="C448" s="29"/>
      <c r="D448" s="157">
        <f>VLOOKUP(A448, 'Purchase Register'!C:D, 2, FALSE)</f>
        <v>2</v>
      </c>
      <c r="E448" s="29">
        <f>SUMIF('Sales Register'!C:C, A448, 'Sales Register'!D:D)</f>
        <v>1.6800000000000002</v>
      </c>
      <c r="F448" s="29">
        <f t="shared" si="35"/>
        <v>0.31999999999999984</v>
      </c>
      <c r="G448" s="29"/>
      <c r="H448" s="157">
        <f t="shared" si="36"/>
        <v>0.31999999999999984</v>
      </c>
      <c r="I448" s="72" t="str">
        <f t="shared" si="37"/>
        <v>Minor Issue</v>
      </c>
    </row>
    <row r="449" spans="1:9" x14ac:dyDescent="0.25">
      <c r="A449" s="33" t="s">
        <v>758</v>
      </c>
      <c r="B449" s="28"/>
      <c r="C449" s="29"/>
      <c r="D449" s="157">
        <f>VLOOKUP(A449, 'Purchase Register'!C:D, 2, FALSE)</f>
        <v>3</v>
      </c>
      <c r="E449" s="29">
        <f>SUMIF('Sales Register'!C:C, A449, 'Sales Register'!D:D)</f>
        <v>1</v>
      </c>
      <c r="F449" s="29">
        <f t="shared" si="35"/>
        <v>2</v>
      </c>
      <c r="G449" s="29"/>
      <c r="H449" s="157">
        <f t="shared" si="36"/>
        <v>2</v>
      </c>
      <c r="I449" s="72" t="str">
        <f t="shared" si="37"/>
        <v>Minor Issue</v>
      </c>
    </row>
    <row r="450" spans="1:9" ht="30" x14ac:dyDescent="0.25">
      <c r="A450" s="33" t="s">
        <v>759</v>
      </c>
      <c r="B450" s="28"/>
      <c r="C450" s="29"/>
      <c r="D450" s="157">
        <f>VLOOKUP(A450, 'Purchase Register'!C:D, 2, FALSE)</f>
        <v>20</v>
      </c>
      <c r="E450" s="29">
        <f>SUMIF('Sales Register'!C:C, A450, 'Sales Register'!D:D)</f>
        <v>16</v>
      </c>
      <c r="F450" s="29">
        <f t="shared" ref="F450:F467" si="38">C450+D450-E450</f>
        <v>4</v>
      </c>
      <c r="G450" s="29"/>
      <c r="H450" s="157">
        <f t="shared" ref="H450:H513" si="39">F450-G450</f>
        <v>4</v>
      </c>
      <c r="I450" s="72" t="str">
        <f t="shared" ref="I450:I513" si="40">IF(H450=0,"OK",
IF(ABS(H450)&lt;=2,"Minor Issue","SERIOUS LOSS"))</f>
        <v>SERIOUS LOSS</v>
      </c>
    </row>
    <row r="451" spans="1:9" s="77" customFormat="1" ht="30" x14ac:dyDescent="0.25">
      <c r="A451" s="70" t="s">
        <v>760</v>
      </c>
      <c r="B451" s="71"/>
      <c r="C451" s="72"/>
      <c r="D451" s="157">
        <f>VLOOKUP(A451, 'Purchase Register'!C:D, 2, FALSE)</f>
        <v>32</v>
      </c>
      <c r="E451" s="72">
        <f>SUMIF('Sales Register'!C:C, A451, 'Sales Register'!D:D)</f>
        <v>35</v>
      </c>
      <c r="F451" s="72">
        <f t="shared" si="38"/>
        <v>-3</v>
      </c>
      <c r="G451" s="72"/>
      <c r="H451" s="72">
        <f t="shared" si="39"/>
        <v>-3</v>
      </c>
      <c r="I451" s="72" t="str">
        <f t="shared" si="40"/>
        <v>SERIOUS LOSS</v>
      </c>
    </row>
    <row r="452" spans="1:9" x14ac:dyDescent="0.25">
      <c r="A452" s="33" t="s">
        <v>761</v>
      </c>
      <c r="B452" s="28"/>
      <c r="C452" s="29"/>
      <c r="D452" s="157">
        <f>VLOOKUP(A452, 'Purchase Register'!C:D, 2, FALSE)</f>
        <v>6</v>
      </c>
      <c r="E452" s="29">
        <f>SUMIF('Sales Register'!C:C, A452, 'Sales Register'!D:D)</f>
        <v>6</v>
      </c>
      <c r="F452" s="29">
        <f t="shared" si="38"/>
        <v>0</v>
      </c>
      <c r="G452" s="29"/>
      <c r="H452" s="157">
        <f t="shared" si="39"/>
        <v>0</v>
      </c>
      <c r="I452" s="72" t="str">
        <f t="shared" si="40"/>
        <v>OK</v>
      </c>
    </row>
    <row r="453" spans="1:9" s="77" customFormat="1" x14ac:dyDescent="0.25">
      <c r="A453" s="70" t="s">
        <v>762</v>
      </c>
      <c r="B453" s="71"/>
      <c r="C453" s="72"/>
      <c r="D453" s="157">
        <f>VLOOKUP(A453, 'Purchase Register'!C:D, 2, FALSE)</f>
        <v>12</v>
      </c>
      <c r="E453" s="72">
        <f>SUMIF('Sales Register'!C:C, A453, 'Sales Register'!D:D)</f>
        <v>12</v>
      </c>
      <c r="F453" s="72">
        <f t="shared" si="38"/>
        <v>0</v>
      </c>
      <c r="G453" s="72"/>
      <c r="H453" s="72">
        <f t="shared" si="39"/>
        <v>0</v>
      </c>
      <c r="I453" s="72" t="str">
        <f t="shared" si="40"/>
        <v>OK</v>
      </c>
    </row>
    <row r="454" spans="1:9" x14ac:dyDescent="0.25">
      <c r="A454" s="33" t="s">
        <v>763</v>
      </c>
      <c r="B454" s="28"/>
      <c r="C454" s="29"/>
      <c r="D454" s="157">
        <f>VLOOKUP(A454, 'Purchase Register'!C:D, 2, FALSE)</f>
        <v>12</v>
      </c>
      <c r="E454" s="29">
        <f>SUMIF('Sales Register'!C:C, A454, 'Sales Register'!D:D)</f>
        <v>14</v>
      </c>
      <c r="F454" s="29">
        <f t="shared" si="38"/>
        <v>-2</v>
      </c>
      <c r="G454" s="29"/>
      <c r="H454" s="157">
        <f t="shared" si="39"/>
        <v>-2</v>
      </c>
      <c r="I454" s="72" t="str">
        <f t="shared" si="40"/>
        <v>Minor Issue</v>
      </c>
    </row>
    <row r="455" spans="1:9" x14ac:dyDescent="0.25">
      <c r="A455" s="33" t="s">
        <v>764</v>
      </c>
      <c r="B455" s="28"/>
      <c r="C455" s="29"/>
      <c r="D455" s="157">
        <f>VLOOKUP(A455, 'Purchase Register'!C:D, 2, FALSE)</f>
        <v>12</v>
      </c>
      <c r="E455" s="29">
        <f>SUMIF('Sales Register'!C:C, A455, 'Sales Register'!D:D)</f>
        <v>38</v>
      </c>
      <c r="F455" s="29">
        <f t="shared" si="38"/>
        <v>-26</v>
      </c>
      <c r="G455" s="29"/>
      <c r="H455" s="157">
        <f t="shared" si="39"/>
        <v>-26</v>
      </c>
      <c r="I455" s="72" t="str">
        <f t="shared" si="40"/>
        <v>SERIOUS LOSS</v>
      </c>
    </row>
    <row r="456" spans="1:9" ht="30" x14ac:dyDescent="0.25">
      <c r="A456" s="33" t="s">
        <v>765</v>
      </c>
      <c r="B456" s="28"/>
      <c r="C456" s="29"/>
      <c r="D456" s="157">
        <f>VLOOKUP(A456, 'Purchase Register'!C:D, 2, FALSE)</f>
        <v>3</v>
      </c>
      <c r="E456" s="29">
        <f>SUMIF('Sales Register'!C:C, A456, 'Sales Register'!D:D)</f>
        <v>0</v>
      </c>
      <c r="F456" s="29">
        <f t="shared" si="38"/>
        <v>3</v>
      </c>
      <c r="G456" s="29"/>
      <c r="H456" s="157">
        <f t="shared" si="39"/>
        <v>3</v>
      </c>
      <c r="I456" s="72" t="str">
        <f t="shared" si="40"/>
        <v>SERIOUS LOSS</v>
      </c>
    </row>
    <row r="457" spans="1:9" ht="30" x14ac:dyDescent="0.25">
      <c r="A457" s="33" t="s">
        <v>766</v>
      </c>
      <c r="B457" s="28"/>
      <c r="C457" s="29"/>
      <c r="D457" s="157">
        <f>VLOOKUP(A457, 'Purchase Register'!C:D, 2, FALSE)</f>
        <v>3</v>
      </c>
      <c r="E457" s="29">
        <f>SUMIF('Sales Register'!C:C, A457, 'Sales Register'!D:D)</f>
        <v>2</v>
      </c>
      <c r="F457" s="29">
        <f t="shared" si="38"/>
        <v>1</v>
      </c>
      <c r="G457" s="29"/>
      <c r="H457" s="157">
        <f t="shared" si="39"/>
        <v>1</v>
      </c>
      <c r="I457" s="72" t="str">
        <f t="shared" si="40"/>
        <v>Minor Issue</v>
      </c>
    </row>
    <row r="458" spans="1:9" x14ac:dyDescent="0.25">
      <c r="A458" s="33" t="s">
        <v>767</v>
      </c>
      <c r="B458" s="28"/>
      <c r="C458" s="29"/>
      <c r="D458" s="157">
        <f>VLOOKUP(A458, 'Purchase Register'!C:D, 2, FALSE)</f>
        <v>24</v>
      </c>
      <c r="E458" s="29">
        <f>SUMIF('Sales Register'!C:C, A458, 'Sales Register'!D:D)</f>
        <v>20</v>
      </c>
      <c r="F458" s="29">
        <f t="shared" si="38"/>
        <v>4</v>
      </c>
      <c r="G458" s="29"/>
      <c r="H458" s="157">
        <f t="shared" si="39"/>
        <v>4</v>
      </c>
      <c r="I458" s="72" t="str">
        <f t="shared" si="40"/>
        <v>SERIOUS LOSS</v>
      </c>
    </row>
    <row r="459" spans="1:9" ht="30" x14ac:dyDescent="0.25">
      <c r="A459" s="33" t="s">
        <v>768</v>
      </c>
      <c r="B459" s="28"/>
      <c r="C459" s="29"/>
      <c r="D459" s="157">
        <f>VLOOKUP(A459, 'Purchase Register'!C:D, 2, FALSE)</f>
        <v>10</v>
      </c>
      <c r="E459" s="29">
        <f>SUMIF('Sales Register'!C:C, A459, 'Sales Register'!D:D)</f>
        <v>10</v>
      </c>
      <c r="F459" s="29">
        <f t="shared" si="38"/>
        <v>0</v>
      </c>
      <c r="G459" s="29"/>
      <c r="H459" s="157">
        <f t="shared" si="39"/>
        <v>0</v>
      </c>
      <c r="I459" s="72" t="str">
        <f t="shared" si="40"/>
        <v>OK</v>
      </c>
    </row>
    <row r="460" spans="1:9" ht="30" x14ac:dyDescent="0.25">
      <c r="A460" s="33" t="s">
        <v>769</v>
      </c>
      <c r="B460" s="28"/>
      <c r="C460" s="29"/>
      <c r="D460" s="157">
        <f>VLOOKUP(A460, 'Purchase Register'!C:D, 2, FALSE)</f>
        <v>12</v>
      </c>
      <c r="E460" s="29">
        <f>SUMIF('Sales Register'!C:C, A460, 'Sales Register'!D:D)</f>
        <v>8</v>
      </c>
      <c r="F460" s="29">
        <f t="shared" si="38"/>
        <v>4</v>
      </c>
      <c r="G460" s="29"/>
      <c r="H460" s="157">
        <f t="shared" si="39"/>
        <v>4</v>
      </c>
      <c r="I460" s="72" t="str">
        <f t="shared" si="40"/>
        <v>SERIOUS LOSS</v>
      </c>
    </row>
    <row r="461" spans="1:9" ht="30" x14ac:dyDescent="0.25">
      <c r="A461" s="33" t="s">
        <v>771</v>
      </c>
      <c r="B461" s="28"/>
      <c r="C461" s="29"/>
      <c r="D461" s="157">
        <f>VLOOKUP(A461, 'Purchase Register'!C:D, 2, FALSE)</f>
        <v>3</v>
      </c>
      <c r="E461" s="29">
        <f>SUMIF('Sales Register'!C:C, A461, 'Sales Register'!D:D)</f>
        <v>4</v>
      </c>
      <c r="F461" s="29">
        <f t="shared" si="38"/>
        <v>-1</v>
      </c>
      <c r="G461" s="29"/>
      <c r="H461" s="157">
        <f t="shared" si="39"/>
        <v>-1</v>
      </c>
      <c r="I461" s="72" t="str">
        <f t="shared" si="40"/>
        <v>Minor Issue</v>
      </c>
    </row>
    <row r="462" spans="1:9" ht="30" x14ac:dyDescent="0.25">
      <c r="A462" s="33" t="s">
        <v>770</v>
      </c>
      <c r="B462" s="28"/>
      <c r="C462" s="29"/>
      <c r="D462" s="157">
        <f>VLOOKUP(A462, 'Purchase Register'!C:D, 2, FALSE)</f>
        <v>3</v>
      </c>
      <c r="E462" s="29">
        <f>SUMIF('Sales Register'!C:C, A462, 'Sales Register'!D:D)</f>
        <v>3</v>
      </c>
      <c r="F462" s="29">
        <f t="shared" si="38"/>
        <v>0</v>
      </c>
      <c r="G462" s="29"/>
      <c r="H462" s="157">
        <f t="shared" si="39"/>
        <v>0</v>
      </c>
      <c r="I462" s="72" t="str">
        <f t="shared" si="40"/>
        <v>OK</v>
      </c>
    </row>
    <row r="463" spans="1:9" ht="30" x14ac:dyDescent="0.25">
      <c r="A463" s="33" t="s">
        <v>772</v>
      </c>
      <c r="B463" s="28"/>
      <c r="C463" s="29"/>
      <c r="D463" s="157">
        <f>VLOOKUP(A463, 'Purchase Register'!C:D, 2, FALSE)</f>
        <v>10</v>
      </c>
      <c r="E463" s="29">
        <f>SUMIF('Sales Register'!C:C, A463, 'Sales Register'!D:D)</f>
        <v>9</v>
      </c>
      <c r="F463" s="29">
        <f t="shared" si="38"/>
        <v>1</v>
      </c>
      <c r="G463" s="29"/>
      <c r="H463" s="157">
        <f t="shared" si="39"/>
        <v>1</v>
      </c>
      <c r="I463" s="72" t="str">
        <f t="shared" si="40"/>
        <v>Minor Issue</v>
      </c>
    </row>
    <row r="464" spans="1:9" ht="30" x14ac:dyDescent="0.25">
      <c r="A464" s="33" t="s">
        <v>773</v>
      </c>
      <c r="B464" s="28"/>
      <c r="C464" s="29"/>
      <c r="D464" s="157">
        <f>VLOOKUP(A464, 'Purchase Register'!C:D, 2, FALSE)</f>
        <v>2</v>
      </c>
      <c r="E464" s="29">
        <f>SUMIF('Sales Register'!C:C, A464, 'Sales Register'!D:D)</f>
        <v>2</v>
      </c>
      <c r="F464" s="29">
        <f t="shared" si="38"/>
        <v>0</v>
      </c>
      <c r="G464" s="29"/>
      <c r="H464" s="157">
        <f t="shared" si="39"/>
        <v>0</v>
      </c>
      <c r="I464" s="72" t="str">
        <f t="shared" si="40"/>
        <v>OK</v>
      </c>
    </row>
    <row r="465" spans="1:9" s="77" customFormat="1" ht="30" x14ac:dyDescent="0.25">
      <c r="A465" s="70" t="s">
        <v>774</v>
      </c>
      <c r="B465" s="71"/>
      <c r="C465" s="72"/>
      <c r="D465" s="157">
        <f>VLOOKUP(A465, 'Purchase Register'!C:D, 2, FALSE)</f>
        <v>2</v>
      </c>
      <c r="E465" s="72">
        <f>SUMIF('Sales Register'!C:C, A465, 'Sales Register'!D:D)</f>
        <v>2</v>
      </c>
      <c r="F465" s="72">
        <f t="shared" si="38"/>
        <v>0</v>
      </c>
      <c r="G465" s="72"/>
      <c r="H465" s="72">
        <f t="shared" si="39"/>
        <v>0</v>
      </c>
      <c r="I465" s="72" t="str">
        <f t="shared" si="40"/>
        <v>OK</v>
      </c>
    </row>
    <row r="466" spans="1:9" s="77" customFormat="1" x14ac:dyDescent="0.25">
      <c r="A466" s="70" t="s">
        <v>775</v>
      </c>
      <c r="B466" s="71"/>
      <c r="C466" s="72"/>
      <c r="D466" s="157">
        <f>VLOOKUP(A466, 'Purchase Register'!C:D, 2, FALSE)</f>
        <v>30</v>
      </c>
      <c r="E466" s="72">
        <f>SUMIF('Sales Register'!C:C, A466, 'Sales Register'!D:D)</f>
        <v>23</v>
      </c>
      <c r="F466" s="72">
        <f t="shared" si="38"/>
        <v>7</v>
      </c>
      <c r="G466" s="72"/>
      <c r="H466" s="72">
        <f t="shared" si="39"/>
        <v>7</v>
      </c>
      <c r="I466" s="72" t="str">
        <f t="shared" si="40"/>
        <v>SERIOUS LOSS</v>
      </c>
    </row>
    <row r="467" spans="1:9" x14ac:dyDescent="0.25">
      <c r="A467" s="33" t="s">
        <v>776</v>
      </c>
      <c r="B467" s="28"/>
      <c r="C467" s="29"/>
      <c r="D467" s="157">
        <f>VLOOKUP(A467, 'Purchase Register'!C:D, 2, FALSE)</f>
        <v>19</v>
      </c>
      <c r="E467" s="29">
        <f>SUMIF('Sales Register'!C:C, A467, 'Sales Register'!D:D)</f>
        <v>2</v>
      </c>
      <c r="F467" s="29">
        <f t="shared" si="38"/>
        <v>17</v>
      </c>
      <c r="G467" s="29"/>
      <c r="H467" s="157">
        <f t="shared" si="39"/>
        <v>17</v>
      </c>
      <c r="I467" s="72" t="str">
        <f t="shared" si="40"/>
        <v>SERIOUS LOSS</v>
      </c>
    </row>
    <row r="468" spans="1:9" s="77" customFormat="1" x14ac:dyDescent="0.25">
      <c r="A468" s="70" t="s">
        <v>778</v>
      </c>
      <c r="B468" s="71"/>
      <c r="C468" s="72"/>
      <c r="D468" s="157">
        <f>VLOOKUP(A468, 'Purchase Register'!C:D, 2, FALSE)</f>
        <v>10</v>
      </c>
      <c r="E468" s="72">
        <f>SUMIF('Sales Register'!C:C, A468, 'Sales Register'!D:D)</f>
        <v>17.96</v>
      </c>
      <c r="F468" s="72">
        <f t="shared" ref="F468:F531" si="41">C468+D468-E468</f>
        <v>-7.9600000000000009</v>
      </c>
      <c r="G468" s="72"/>
      <c r="H468" s="72">
        <f t="shared" si="39"/>
        <v>-7.9600000000000009</v>
      </c>
      <c r="I468" s="72" t="str">
        <f t="shared" si="40"/>
        <v>SERIOUS LOSS</v>
      </c>
    </row>
    <row r="469" spans="1:9" s="77" customFormat="1" x14ac:dyDescent="0.25">
      <c r="A469" s="70" t="s">
        <v>779</v>
      </c>
      <c r="B469" s="71"/>
      <c r="C469" s="72"/>
      <c r="D469" s="157">
        <f>VLOOKUP(A469, 'Purchase Register'!C:D, 2, FALSE)</f>
        <v>10</v>
      </c>
      <c r="E469" s="72">
        <f>SUMIF('Sales Register'!C:C, A469, 'Sales Register'!D:D)</f>
        <v>11.307</v>
      </c>
      <c r="F469" s="72">
        <f t="shared" si="41"/>
        <v>-1.3070000000000004</v>
      </c>
      <c r="G469" s="72"/>
      <c r="H469" s="72">
        <f t="shared" si="39"/>
        <v>-1.3070000000000004</v>
      </c>
      <c r="I469" s="72" t="str">
        <f t="shared" si="40"/>
        <v>Minor Issue</v>
      </c>
    </row>
    <row r="470" spans="1:9" x14ac:dyDescent="0.25">
      <c r="A470" s="33" t="s">
        <v>780</v>
      </c>
      <c r="B470" s="28"/>
      <c r="C470" s="29"/>
      <c r="D470" s="157">
        <f>VLOOKUP(A470, 'Purchase Register'!C:D, 2, FALSE)</f>
        <v>1</v>
      </c>
      <c r="E470" s="29">
        <f>SUMIF('Sales Register'!C:C, A470, 'Sales Register'!D:D)</f>
        <v>1.6090000000000002</v>
      </c>
      <c r="F470" s="29">
        <f t="shared" si="41"/>
        <v>-0.60900000000000021</v>
      </c>
      <c r="G470" s="29"/>
      <c r="H470" s="157">
        <f t="shared" si="39"/>
        <v>-0.60900000000000021</v>
      </c>
      <c r="I470" s="72" t="str">
        <f t="shared" si="40"/>
        <v>Minor Issue</v>
      </c>
    </row>
    <row r="471" spans="1:9" x14ac:dyDescent="0.25">
      <c r="A471" s="33" t="s">
        <v>781</v>
      </c>
      <c r="B471" s="28"/>
      <c r="C471" s="29"/>
      <c r="D471" s="157">
        <f>VLOOKUP(A471, 'Purchase Register'!C:D, 2, FALSE)</f>
        <v>1</v>
      </c>
      <c r="E471" s="29">
        <f>SUMIF('Sales Register'!C:C, A471, 'Sales Register'!D:D)</f>
        <v>1.6450000000000002</v>
      </c>
      <c r="F471" s="29">
        <f t="shared" si="41"/>
        <v>-0.64500000000000024</v>
      </c>
      <c r="G471" s="29"/>
      <c r="H471" s="157">
        <f t="shared" si="39"/>
        <v>-0.64500000000000024</v>
      </c>
      <c r="I471" s="72" t="str">
        <f t="shared" si="40"/>
        <v>Minor Issue</v>
      </c>
    </row>
    <row r="472" spans="1:9" s="77" customFormat="1" x14ac:dyDescent="0.25">
      <c r="A472" s="70" t="s">
        <v>782</v>
      </c>
      <c r="B472" s="71"/>
      <c r="C472" s="72"/>
      <c r="D472" s="157">
        <f>VLOOKUP(A472, 'Purchase Register'!C:D, 2, FALSE)</f>
        <v>60</v>
      </c>
      <c r="E472" s="72">
        <f>SUMIF('Sales Register'!C:C, A472, 'Sales Register'!D:D)</f>
        <v>54</v>
      </c>
      <c r="F472" s="72">
        <f t="shared" si="41"/>
        <v>6</v>
      </c>
      <c r="G472" s="72"/>
      <c r="H472" s="72">
        <f t="shared" si="39"/>
        <v>6</v>
      </c>
      <c r="I472" s="72" t="str">
        <f t="shared" si="40"/>
        <v>SERIOUS LOSS</v>
      </c>
    </row>
    <row r="473" spans="1:9" x14ac:dyDescent="0.25">
      <c r="A473" s="33" t="s">
        <v>783</v>
      </c>
      <c r="B473" s="28"/>
      <c r="C473" s="29"/>
      <c r="D473" s="157">
        <f>VLOOKUP(A473, 'Purchase Register'!C:D, 2, FALSE)</f>
        <v>30</v>
      </c>
      <c r="E473" s="29">
        <f>SUMIF('Sales Register'!C:C, A473, 'Sales Register'!D:D)</f>
        <v>24</v>
      </c>
      <c r="F473" s="29">
        <f t="shared" si="41"/>
        <v>6</v>
      </c>
      <c r="G473" s="29"/>
      <c r="H473" s="157">
        <f t="shared" si="39"/>
        <v>6</v>
      </c>
      <c r="I473" s="72" t="str">
        <f t="shared" si="40"/>
        <v>SERIOUS LOSS</v>
      </c>
    </row>
    <row r="474" spans="1:9" x14ac:dyDescent="0.25">
      <c r="A474" s="33" t="s">
        <v>784</v>
      </c>
      <c r="B474" s="28"/>
      <c r="C474" s="29"/>
      <c r="D474" s="157">
        <f>VLOOKUP(A474, 'Purchase Register'!C:D, 2, FALSE)</f>
        <v>170</v>
      </c>
      <c r="E474" s="29">
        <f>SUMIF('Sales Register'!C:C, A474, 'Sales Register'!D:D)</f>
        <v>56</v>
      </c>
      <c r="F474" s="29">
        <f t="shared" si="41"/>
        <v>114</v>
      </c>
      <c r="G474" s="29"/>
      <c r="H474" s="157">
        <f t="shared" si="39"/>
        <v>114</v>
      </c>
      <c r="I474" s="72" t="str">
        <f t="shared" si="40"/>
        <v>SERIOUS LOSS</v>
      </c>
    </row>
    <row r="475" spans="1:9" x14ac:dyDescent="0.25">
      <c r="A475" s="33" t="s">
        <v>785</v>
      </c>
      <c r="B475" s="28"/>
      <c r="C475" s="29"/>
      <c r="D475" s="157">
        <f>VLOOKUP(A475, 'Purchase Register'!C:D, 2, FALSE)</f>
        <v>170</v>
      </c>
      <c r="E475" s="29">
        <f>SUMIF('Sales Register'!C:C, A475, 'Sales Register'!D:D)</f>
        <v>69</v>
      </c>
      <c r="F475" s="29">
        <f t="shared" si="41"/>
        <v>101</v>
      </c>
      <c r="G475" s="29"/>
      <c r="H475" s="157">
        <f t="shared" si="39"/>
        <v>101</v>
      </c>
      <c r="I475" s="72" t="str">
        <f t="shared" si="40"/>
        <v>SERIOUS LOSS</v>
      </c>
    </row>
    <row r="476" spans="1:9" ht="30" x14ac:dyDescent="0.25">
      <c r="A476" s="33" t="s">
        <v>786</v>
      </c>
      <c r="B476" s="28"/>
      <c r="C476" s="29"/>
      <c r="D476" s="157">
        <f>VLOOKUP(A476, 'Purchase Register'!C:D, 2, FALSE)</f>
        <v>5</v>
      </c>
      <c r="E476" s="29">
        <f>SUMIF('Sales Register'!C:C, A476, 'Sales Register'!D:D)</f>
        <v>5</v>
      </c>
      <c r="F476" s="29">
        <f t="shared" si="41"/>
        <v>0</v>
      </c>
      <c r="G476" s="29"/>
      <c r="H476" s="157">
        <f t="shared" si="39"/>
        <v>0</v>
      </c>
      <c r="I476" s="72" t="str">
        <f t="shared" si="40"/>
        <v>OK</v>
      </c>
    </row>
    <row r="477" spans="1:9" s="77" customFormat="1" x14ac:dyDescent="0.25">
      <c r="A477" s="70" t="s">
        <v>787</v>
      </c>
      <c r="B477" s="71"/>
      <c r="C477" s="72"/>
      <c r="D477" s="157">
        <f>VLOOKUP(A477, 'Purchase Register'!C:D, 2, FALSE)</f>
        <v>3</v>
      </c>
      <c r="E477" s="72">
        <f>SUMIF('Sales Register'!C:C, A477, 'Sales Register'!D:D)</f>
        <v>3</v>
      </c>
      <c r="F477" s="72">
        <f t="shared" si="41"/>
        <v>0</v>
      </c>
      <c r="G477" s="72"/>
      <c r="H477" s="72">
        <f t="shared" si="39"/>
        <v>0</v>
      </c>
      <c r="I477" s="72" t="str">
        <f t="shared" si="40"/>
        <v>OK</v>
      </c>
    </row>
    <row r="478" spans="1:9" x14ac:dyDescent="0.25">
      <c r="A478" s="33" t="s">
        <v>788</v>
      </c>
      <c r="B478" s="28"/>
      <c r="C478" s="29"/>
      <c r="D478" s="157">
        <f>VLOOKUP(A478, 'Purchase Register'!C:D, 2, FALSE)</f>
        <v>3</v>
      </c>
      <c r="E478" s="29">
        <f>SUMIF('Sales Register'!C:C, A478, 'Sales Register'!D:D)</f>
        <v>4</v>
      </c>
      <c r="F478" s="29">
        <f t="shared" si="41"/>
        <v>-1</v>
      </c>
      <c r="G478" s="29"/>
      <c r="H478" s="157">
        <f t="shared" si="39"/>
        <v>-1</v>
      </c>
      <c r="I478" s="72" t="str">
        <f t="shared" si="40"/>
        <v>Minor Issue</v>
      </c>
    </row>
    <row r="479" spans="1:9" x14ac:dyDescent="0.25">
      <c r="A479" s="33" t="s">
        <v>762</v>
      </c>
      <c r="B479" s="28"/>
      <c r="C479" s="29"/>
      <c r="D479" s="157">
        <f>VLOOKUP(A479, 'Purchase Register'!C:D, 2, FALSE)</f>
        <v>12</v>
      </c>
      <c r="E479" s="29">
        <f>SUMIF('Sales Register'!C:C, A479, 'Sales Register'!D:D)</f>
        <v>12</v>
      </c>
      <c r="F479" s="29">
        <f t="shared" si="41"/>
        <v>0</v>
      </c>
      <c r="G479" s="29"/>
      <c r="H479" s="157">
        <f t="shared" si="39"/>
        <v>0</v>
      </c>
      <c r="I479" s="72" t="str">
        <f t="shared" si="40"/>
        <v>OK</v>
      </c>
    </row>
    <row r="480" spans="1:9" s="77" customFormat="1" ht="30" x14ac:dyDescent="0.25">
      <c r="A480" s="70" t="s">
        <v>789</v>
      </c>
      <c r="B480" s="71"/>
      <c r="C480" s="72"/>
      <c r="D480" s="157">
        <f>VLOOKUP(A480, 'Purchase Register'!C:D, 2, FALSE)</f>
        <v>12</v>
      </c>
      <c r="E480" s="72">
        <f>SUMIF('Sales Register'!C:C, A480, 'Sales Register'!D:D)</f>
        <v>16</v>
      </c>
      <c r="F480" s="72">
        <f t="shared" si="41"/>
        <v>-4</v>
      </c>
      <c r="G480" s="72"/>
      <c r="H480" s="72">
        <f t="shared" si="39"/>
        <v>-4</v>
      </c>
      <c r="I480" s="72" t="str">
        <f t="shared" si="40"/>
        <v>SERIOUS LOSS</v>
      </c>
    </row>
    <row r="481" spans="1:9" s="77" customFormat="1" x14ac:dyDescent="0.25">
      <c r="A481" s="70" t="s">
        <v>790</v>
      </c>
      <c r="B481" s="71"/>
      <c r="C481" s="72"/>
      <c r="D481" s="157">
        <f>VLOOKUP(A481, 'Purchase Register'!C:D, 2, FALSE)</f>
        <v>4</v>
      </c>
      <c r="E481" s="72">
        <f>SUMIF('Sales Register'!C:C, A481, 'Sales Register'!D:D)</f>
        <v>3</v>
      </c>
      <c r="F481" s="72">
        <f t="shared" si="41"/>
        <v>1</v>
      </c>
      <c r="G481" s="72"/>
      <c r="H481" s="72">
        <f t="shared" si="39"/>
        <v>1</v>
      </c>
      <c r="I481" s="72" t="str">
        <f t="shared" si="40"/>
        <v>Minor Issue</v>
      </c>
    </row>
    <row r="482" spans="1:9" x14ac:dyDescent="0.25">
      <c r="A482" s="33" t="s">
        <v>791</v>
      </c>
      <c r="B482" s="28"/>
      <c r="C482" s="29"/>
      <c r="D482" s="157">
        <f>VLOOKUP(A482, 'Purchase Register'!C:D, 2, FALSE)</f>
        <v>12</v>
      </c>
      <c r="E482" s="29">
        <f>SUMIF('Sales Register'!C:C, A482, 'Sales Register'!D:D)</f>
        <v>12</v>
      </c>
      <c r="F482" s="29">
        <f t="shared" si="41"/>
        <v>0</v>
      </c>
      <c r="G482" s="29"/>
      <c r="H482" s="157">
        <f t="shared" si="39"/>
        <v>0</v>
      </c>
      <c r="I482" s="72" t="str">
        <f t="shared" si="40"/>
        <v>OK</v>
      </c>
    </row>
    <row r="483" spans="1:9" ht="30" x14ac:dyDescent="0.25">
      <c r="A483" s="33" t="s">
        <v>797</v>
      </c>
      <c r="B483" s="28"/>
      <c r="C483" s="29"/>
      <c r="D483" s="157">
        <f>VLOOKUP(A483, 'Purchase Register'!C:D, 2, FALSE)</f>
        <v>3</v>
      </c>
      <c r="E483" s="29">
        <f>SUMIF('Sales Register'!C:C, A483, 'Sales Register'!D:D)</f>
        <v>4</v>
      </c>
      <c r="F483" s="29">
        <f t="shared" si="41"/>
        <v>-1</v>
      </c>
      <c r="G483" s="29"/>
      <c r="H483" s="157">
        <f t="shared" si="39"/>
        <v>-1</v>
      </c>
      <c r="I483" s="72" t="str">
        <f t="shared" si="40"/>
        <v>Minor Issue</v>
      </c>
    </row>
    <row r="484" spans="1:9" ht="30" x14ac:dyDescent="0.25">
      <c r="A484" s="33" t="s">
        <v>792</v>
      </c>
      <c r="B484" s="28"/>
      <c r="C484" s="29"/>
      <c r="D484" s="157">
        <f>VLOOKUP(A484, 'Purchase Register'!C:D, 2, FALSE)</f>
        <v>3</v>
      </c>
      <c r="E484" s="29">
        <f>SUMIF('Sales Register'!C:C, A484, 'Sales Register'!D:D)</f>
        <v>3</v>
      </c>
      <c r="F484" s="29">
        <f t="shared" si="41"/>
        <v>0</v>
      </c>
      <c r="G484" s="29"/>
      <c r="H484" s="157">
        <f t="shared" si="39"/>
        <v>0</v>
      </c>
      <c r="I484" s="72" t="str">
        <f t="shared" si="40"/>
        <v>OK</v>
      </c>
    </row>
    <row r="485" spans="1:9" x14ac:dyDescent="0.25">
      <c r="A485" s="33" t="s">
        <v>793</v>
      </c>
      <c r="B485" s="28"/>
      <c r="C485" s="29"/>
      <c r="D485" s="157">
        <f>VLOOKUP(A485, 'Purchase Register'!C:D, 2, FALSE)</f>
        <v>6</v>
      </c>
      <c r="E485" s="29">
        <f>SUMIF('Sales Register'!C:C, A485, 'Sales Register'!D:D)</f>
        <v>0</v>
      </c>
      <c r="F485" s="29">
        <f t="shared" si="41"/>
        <v>6</v>
      </c>
      <c r="G485" s="29"/>
      <c r="H485" s="157">
        <f t="shared" si="39"/>
        <v>6</v>
      </c>
      <c r="I485" s="72" t="str">
        <f t="shared" si="40"/>
        <v>SERIOUS LOSS</v>
      </c>
    </row>
    <row r="486" spans="1:9" s="77" customFormat="1" x14ac:dyDescent="0.25">
      <c r="A486" s="70" t="s">
        <v>794</v>
      </c>
      <c r="B486" s="71"/>
      <c r="C486" s="72"/>
      <c r="D486" s="157">
        <f>VLOOKUP(A486, 'Purchase Register'!C:D, 2, FALSE)</f>
        <v>6</v>
      </c>
      <c r="E486" s="72">
        <f>SUMIF('Sales Register'!C:C, A486, 'Sales Register'!D:D)</f>
        <v>1.518</v>
      </c>
      <c r="F486" s="72">
        <f t="shared" si="41"/>
        <v>4.4820000000000002</v>
      </c>
      <c r="G486" s="72"/>
      <c r="H486" s="72">
        <f t="shared" si="39"/>
        <v>4.4820000000000002</v>
      </c>
      <c r="I486" s="72" t="str">
        <f t="shared" si="40"/>
        <v>SERIOUS LOSS</v>
      </c>
    </row>
    <row r="487" spans="1:9" x14ac:dyDescent="0.25">
      <c r="A487" s="33" t="s">
        <v>795</v>
      </c>
      <c r="B487" s="28"/>
      <c r="C487" s="29"/>
      <c r="D487" s="157">
        <f>VLOOKUP(A487, 'Purchase Register'!C:D, 2, FALSE)</f>
        <v>5</v>
      </c>
      <c r="E487" s="29">
        <f>SUMIF('Sales Register'!C:C, A487, 'Sales Register'!D:D)</f>
        <v>3.5</v>
      </c>
      <c r="F487" s="29">
        <f t="shared" si="41"/>
        <v>1.5</v>
      </c>
      <c r="G487" s="29"/>
      <c r="H487" s="157">
        <f t="shared" si="39"/>
        <v>1.5</v>
      </c>
      <c r="I487" s="72" t="str">
        <f t="shared" si="40"/>
        <v>Minor Issue</v>
      </c>
    </row>
    <row r="488" spans="1:9" x14ac:dyDescent="0.25">
      <c r="A488" s="33" t="s">
        <v>796</v>
      </c>
      <c r="B488" s="28"/>
      <c r="C488" s="29"/>
      <c r="D488" s="157">
        <f>VLOOKUP(A488, 'Purchase Register'!C:D, 2, FALSE)</f>
        <v>6</v>
      </c>
      <c r="E488" s="29">
        <f>SUMIF('Sales Register'!C:C, A488, 'Sales Register'!D:D)</f>
        <v>1.9750000000000001</v>
      </c>
      <c r="F488" s="29">
        <f t="shared" si="41"/>
        <v>4.0250000000000004</v>
      </c>
      <c r="G488" s="29"/>
      <c r="H488" s="157">
        <f t="shared" si="39"/>
        <v>4.0250000000000004</v>
      </c>
      <c r="I488" s="72" t="str">
        <f t="shared" si="40"/>
        <v>SERIOUS LOSS</v>
      </c>
    </row>
    <row r="489" spans="1:9" ht="30" x14ac:dyDescent="0.25">
      <c r="A489" s="33" t="s">
        <v>798</v>
      </c>
      <c r="B489" s="28"/>
      <c r="C489" s="29"/>
      <c r="D489" s="157">
        <f>VLOOKUP(A489, 'Purchase Register'!C:D, 2, FALSE)</f>
        <v>1</v>
      </c>
      <c r="E489" s="29">
        <f>SUMIF('Sales Register'!C:C, A489, 'Sales Register'!D:D)</f>
        <v>1</v>
      </c>
      <c r="F489" s="29">
        <f t="shared" si="41"/>
        <v>0</v>
      </c>
      <c r="G489" s="29"/>
      <c r="H489" s="157">
        <f t="shared" si="39"/>
        <v>0</v>
      </c>
      <c r="I489" s="72" t="str">
        <f t="shared" si="40"/>
        <v>OK</v>
      </c>
    </row>
    <row r="490" spans="1:9" ht="30" x14ac:dyDescent="0.25">
      <c r="A490" s="33" t="s">
        <v>799</v>
      </c>
      <c r="B490" s="28"/>
      <c r="C490" s="29"/>
      <c r="D490" s="157">
        <f>VLOOKUP(A490, 'Purchase Register'!C:D, 2, FALSE)</f>
        <v>3</v>
      </c>
      <c r="E490" s="29">
        <f>SUMIF('Sales Register'!C:C, A490, 'Sales Register'!D:D)</f>
        <v>4</v>
      </c>
      <c r="F490" s="29">
        <f t="shared" si="41"/>
        <v>-1</v>
      </c>
      <c r="G490" s="29"/>
      <c r="H490" s="157">
        <f t="shared" si="39"/>
        <v>-1</v>
      </c>
      <c r="I490" s="72" t="str">
        <f t="shared" si="40"/>
        <v>Minor Issue</v>
      </c>
    </row>
    <row r="491" spans="1:9" ht="30" x14ac:dyDescent="0.25">
      <c r="A491" s="33" t="s">
        <v>800</v>
      </c>
      <c r="B491" s="28"/>
      <c r="C491" s="29"/>
      <c r="D491" s="157">
        <f>VLOOKUP(A491, 'Purchase Register'!C:D, 2, FALSE)</f>
        <v>3</v>
      </c>
      <c r="E491" s="29">
        <f>SUMIF('Sales Register'!C:C, A491, 'Sales Register'!D:D)</f>
        <v>2</v>
      </c>
      <c r="F491" s="29">
        <f t="shared" si="41"/>
        <v>1</v>
      </c>
      <c r="G491" s="29"/>
      <c r="H491" s="157">
        <f t="shared" si="39"/>
        <v>1</v>
      </c>
      <c r="I491" s="72" t="str">
        <f t="shared" si="40"/>
        <v>Minor Issue</v>
      </c>
    </row>
    <row r="492" spans="1:9" x14ac:dyDescent="0.25">
      <c r="A492" s="33" t="s">
        <v>801</v>
      </c>
      <c r="B492" s="28"/>
      <c r="C492" s="29"/>
      <c r="D492" s="157">
        <f>VLOOKUP(A492, 'Purchase Register'!C:D, 2, FALSE)</f>
        <v>6</v>
      </c>
      <c r="E492" s="29">
        <f>SUMIF('Sales Register'!C:C, A492, 'Sales Register'!D:D)</f>
        <v>6</v>
      </c>
      <c r="F492" s="29">
        <f t="shared" si="41"/>
        <v>0</v>
      </c>
      <c r="G492" s="29"/>
      <c r="H492" s="157">
        <f t="shared" si="39"/>
        <v>0</v>
      </c>
      <c r="I492" s="72" t="str">
        <f t="shared" si="40"/>
        <v>OK</v>
      </c>
    </row>
    <row r="493" spans="1:9" x14ac:dyDescent="0.25">
      <c r="A493" s="33" t="s">
        <v>805</v>
      </c>
      <c r="B493" s="28"/>
      <c r="C493" s="29"/>
      <c r="D493" s="157">
        <f>VLOOKUP(A493, 'Purchase Register'!C:D, 2, FALSE)</f>
        <v>104</v>
      </c>
      <c r="E493" s="29">
        <f>SUMIF('Sales Register'!C:C, A493, 'Sales Register'!D:D)</f>
        <v>97</v>
      </c>
      <c r="F493" s="29">
        <f t="shared" si="41"/>
        <v>7</v>
      </c>
      <c r="G493" s="29"/>
      <c r="H493" s="157">
        <f t="shared" si="39"/>
        <v>7</v>
      </c>
      <c r="I493" s="72" t="str">
        <f t="shared" si="40"/>
        <v>SERIOUS LOSS</v>
      </c>
    </row>
    <row r="494" spans="1:9" s="77" customFormat="1" x14ac:dyDescent="0.25">
      <c r="A494" s="70" t="s">
        <v>806</v>
      </c>
      <c r="B494" s="71"/>
      <c r="C494" s="72"/>
      <c r="D494" s="157">
        <f>VLOOKUP(A494, 'Purchase Register'!C:D, 2, FALSE)</f>
        <v>90</v>
      </c>
      <c r="E494" s="72">
        <f>SUMIF('Sales Register'!C:C, A494, 'Sales Register'!D:D)</f>
        <v>94</v>
      </c>
      <c r="F494" s="72">
        <f t="shared" si="41"/>
        <v>-4</v>
      </c>
      <c r="G494" s="72"/>
      <c r="H494" s="72">
        <f t="shared" si="39"/>
        <v>-4</v>
      </c>
      <c r="I494" s="72" t="str">
        <f t="shared" si="40"/>
        <v>SERIOUS LOSS</v>
      </c>
    </row>
    <row r="495" spans="1:9" x14ac:dyDescent="0.25">
      <c r="A495" s="33" t="s">
        <v>807</v>
      </c>
      <c r="B495" s="28"/>
      <c r="C495" s="29"/>
      <c r="D495" s="157">
        <f>VLOOKUP(A495, 'Purchase Register'!C:D, 2, FALSE)</f>
        <v>17.93</v>
      </c>
      <c r="E495" s="29">
        <f>SUMIF('Sales Register'!C:C, A495, 'Sales Register'!D:D)</f>
        <v>17.930999999999997</v>
      </c>
      <c r="F495" s="29">
        <f t="shared" si="41"/>
        <v>-9.9999999999766942E-4</v>
      </c>
      <c r="G495" s="29"/>
      <c r="H495" s="157">
        <f t="shared" si="39"/>
        <v>-9.9999999999766942E-4</v>
      </c>
      <c r="I495" s="72" t="str">
        <f t="shared" si="40"/>
        <v>Minor Issue</v>
      </c>
    </row>
    <row r="496" spans="1:9" s="77" customFormat="1" x14ac:dyDescent="0.25">
      <c r="A496" s="70" t="s">
        <v>808</v>
      </c>
      <c r="B496" s="71"/>
      <c r="C496" s="72"/>
      <c r="D496" s="157">
        <f>VLOOKUP(A496, 'Purchase Register'!C:D, 2, FALSE)</f>
        <v>6</v>
      </c>
      <c r="E496" s="72">
        <f>SUMIF('Sales Register'!C:C, A496, 'Sales Register'!D:D)</f>
        <v>2</v>
      </c>
      <c r="F496" s="72">
        <f t="shared" si="41"/>
        <v>4</v>
      </c>
      <c r="G496" s="72"/>
      <c r="H496" s="72">
        <f t="shared" si="39"/>
        <v>4</v>
      </c>
      <c r="I496" s="72" t="str">
        <f t="shared" si="40"/>
        <v>SERIOUS LOSS</v>
      </c>
    </row>
    <row r="497" spans="1:9" x14ac:dyDescent="0.25">
      <c r="A497" s="33" t="s">
        <v>809</v>
      </c>
      <c r="B497" s="28"/>
      <c r="C497" s="29"/>
      <c r="D497" s="157">
        <f>VLOOKUP(A497, 'Purchase Register'!C:D, 2, FALSE)</f>
        <v>2</v>
      </c>
      <c r="E497" s="29">
        <f>SUMIF('Sales Register'!C:C, A497, 'Sales Register'!D:D)</f>
        <v>0</v>
      </c>
      <c r="F497" s="29">
        <f t="shared" si="41"/>
        <v>2</v>
      </c>
      <c r="G497" s="29"/>
      <c r="H497" s="157">
        <f t="shared" si="39"/>
        <v>2</v>
      </c>
      <c r="I497" s="72" t="str">
        <f t="shared" si="40"/>
        <v>Minor Issue</v>
      </c>
    </row>
    <row r="498" spans="1:9" x14ac:dyDescent="0.25">
      <c r="A498" s="33" t="s">
        <v>810</v>
      </c>
      <c r="B498" s="28"/>
      <c r="C498" s="29"/>
      <c r="D498" s="157">
        <f>VLOOKUP(A498, 'Purchase Register'!C:D, 2, FALSE)</f>
        <v>2</v>
      </c>
      <c r="E498" s="29">
        <f>SUMIF('Sales Register'!C:C, A498, 'Sales Register'!D:D)</f>
        <v>1.02</v>
      </c>
      <c r="F498" s="29">
        <f t="shared" si="41"/>
        <v>0.98</v>
      </c>
      <c r="G498" s="29"/>
      <c r="H498" s="157">
        <f t="shared" si="39"/>
        <v>0.98</v>
      </c>
      <c r="I498" s="72" t="str">
        <f t="shared" si="40"/>
        <v>Minor Issue</v>
      </c>
    </row>
    <row r="499" spans="1:9" x14ac:dyDescent="0.25">
      <c r="A499" s="33" t="s">
        <v>811</v>
      </c>
      <c r="B499" s="28"/>
      <c r="C499" s="29"/>
      <c r="D499" s="157">
        <f>VLOOKUP(A499, 'Purchase Register'!C:D, 2, FALSE)</f>
        <v>1</v>
      </c>
      <c r="E499" s="29">
        <f>SUMIF('Sales Register'!C:C, A499, 'Sales Register'!D:D)</f>
        <v>1.075</v>
      </c>
      <c r="F499" s="29">
        <f t="shared" si="41"/>
        <v>-7.4999999999999956E-2</v>
      </c>
      <c r="G499" s="29"/>
      <c r="H499" s="157">
        <f t="shared" si="39"/>
        <v>-7.4999999999999956E-2</v>
      </c>
      <c r="I499" s="72" t="str">
        <f t="shared" si="40"/>
        <v>Minor Issue</v>
      </c>
    </row>
    <row r="500" spans="1:9" x14ac:dyDescent="0.25">
      <c r="A500" s="33" t="s">
        <v>812</v>
      </c>
      <c r="B500" s="28"/>
      <c r="C500" s="29"/>
      <c r="D500" s="157">
        <f>VLOOKUP(A500, 'Purchase Register'!C:D, 2, FALSE)</f>
        <v>4</v>
      </c>
      <c r="E500" s="29">
        <f>SUMIF('Sales Register'!C:C, A500, 'Sales Register'!D:D)</f>
        <v>1</v>
      </c>
      <c r="F500" s="29">
        <f t="shared" si="41"/>
        <v>3</v>
      </c>
      <c r="G500" s="29"/>
      <c r="H500" s="157">
        <f t="shared" si="39"/>
        <v>3</v>
      </c>
      <c r="I500" s="72" t="str">
        <f t="shared" si="40"/>
        <v>SERIOUS LOSS</v>
      </c>
    </row>
    <row r="501" spans="1:9" x14ac:dyDescent="0.25">
      <c r="A501" s="33" t="s">
        <v>813</v>
      </c>
      <c r="B501" s="28"/>
      <c r="C501" s="29"/>
      <c r="D501" s="157">
        <f>VLOOKUP(A501, 'Purchase Register'!C:D, 2, FALSE)</f>
        <v>7</v>
      </c>
      <c r="E501" s="29">
        <f>SUMIF('Sales Register'!C:C, A501, 'Sales Register'!D:D)</f>
        <v>6</v>
      </c>
      <c r="F501" s="29">
        <f t="shared" si="41"/>
        <v>1</v>
      </c>
      <c r="G501" s="29"/>
      <c r="H501" s="157">
        <f t="shared" si="39"/>
        <v>1</v>
      </c>
      <c r="I501" s="72" t="str">
        <f t="shared" si="40"/>
        <v>Minor Issue</v>
      </c>
    </row>
    <row r="502" spans="1:9" s="77" customFormat="1" x14ac:dyDescent="0.25">
      <c r="A502" s="70" t="s">
        <v>824</v>
      </c>
      <c r="B502" s="71"/>
      <c r="C502" s="72"/>
      <c r="D502" s="157">
        <f>VLOOKUP(A502, 'Purchase Register'!C:D, 2, FALSE)</f>
        <v>1</v>
      </c>
      <c r="E502" s="72">
        <f>SUMIF('Sales Register'!C:C, A502, 'Sales Register'!D:D)</f>
        <v>1</v>
      </c>
      <c r="F502" s="72">
        <f t="shared" si="41"/>
        <v>0</v>
      </c>
      <c r="G502" s="72"/>
      <c r="H502" s="72">
        <f t="shared" si="39"/>
        <v>0</v>
      </c>
      <c r="I502" s="72" t="str">
        <f t="shared" si="40"/>
        <v>OK</v>
      </c>
    </row>
    <row r="503" spans="1:9" ht="30" x14ac:dyDescent="0.25">
      <c r="A503" s="33" t="s">
        <v>823</v>
      </c>
      <c r="B503" s="28"/>
      <c r="C503" s="29"/>
      <c r="D503" s="157">
        <f>VLOOKUP(A503, 'Purchase Register'!C:D, 2, FALSE)</f>
        <v>2</v>
      </c>
      <c r="E503" s="29">
        <f>SUMIF('Sales Register'!C:C, A503, 'Sales Register'!D:D)</f>
        <v>2</v>
      </c>
      <c r="F503" s="29">
        <f t="shared" si="41"/>
        <v>0</v>
      </c>
      <c r="G503" s="29"/>
      <c r="H503" s="157">
        <f t="shared" si="39"/>
        <v>0</v>
      </c>
      <c r="I503" s="72" t="str">
        <f t="shared" si="40"/>
        <v>OK</v>
      </c>
    </row>
    <row r="504" spans="1:9" x14ac:dyDescent="0.25">
      <c r="A504" s="33" t="s">
        <v>814</v>
      </c>
      <c r="B504" s="28"/>
      <c r="C504" s="29"/>
      <c r="D504" s="157">
        <f>VLOOKUP(A504, 'Purchase Register'!C:D, 2, FALSE)</f>
        <v>3</v>
      </c>
      <c r="E504" s="29">
        <f>SUMIF('Sales Register'!C:C, A504, 'Sales Register'!D:D)</f>
        <v>4.2299999999999995</v>
      </c>
      <c r="F504" s="29">
        <f t="shared" si="41"/>
        <v>-1.2299999999999995</v>
      </c>
      <c r="G504" s="29"/>
      <c r="H504" s="157">
        <f t="shared" si="39"/>
        <v>-1.2299999999999995</v>
      </c>
      <c r="I504" s="72" t="str">
        <f t="shared" si="40"/>
        <v>Minor Issue</v>
      </c>
    </row>
    <row r="505" spans="1:9" x14ac:dyDescent="0.25">
      <c r="A505" s="33" t="s">
        <v>815</v>
      </c>
      <c r="B505" s="28"/>
      <c r="C505" s="29"/>
      <c r="D505" s="157">
        <f>VLOOKUP(A505, 'Purchase Register'!C:D, 2, FALSE)</f>
        <v>3</v>
      </c>
      <c r="E505" s="29">
        <f>SUMIF('Sales Register'!C:C, A505, 'Sales Register'!D:D)</f>
        <v>1.4279999999999999</v>
      </c>
      <c r="F505" s="29">
        <f t="shared" si="41"/>
        <v>1.5720000000000001</v>
      </c>
      <c r="G505" s="29"/>
      <c r="H505" s="157">
        <f t="shared" si="39"/>
        <v>1.5720000000000001</v>
      </c>
      <c r="I505" s="72" t="str">
        <f t="shared" si="40"/>
        <v>Minor Issue</v>
      </c>
    </row>
    <row r="506" spans="1:9" x14ac:dyDescent="0.25">
      <c r="A506" s="33" t="s">
        <v>816</v>
      </c>
      <c r="B506" s="28"/>
      <c r="C506" s="29"/>
      <c r="D506" s="157">
        <f>VLOOKUP(A506, 'Purchase Register'!C:D, 2, FALSE)</f>
        <v>12</v>
      </c>
      <c r="E506" s="29">
        <f>SUMIF('Sales Register'!C:C, A506, 'Sales Register'!D:D)</f>
        <v>12</v>
      </c>
      <c r="F506" s="29">
        <f t="shared" si="41"/>
        <v>0</v>
      </c>
      <c r="G506" s="29"/>
      <c r="H506" s="157">
        <f t="shared" si="39"/>
        <v>0</v>
      </c>
      <c r="I506" s="72" t="str">
        <f t="shared" si="40"/>
        <v>OK</v>
      </c>
    </row>
    <row r="507" spans="1:9" x14ac:dyDescent="0.25">
      <c r="A507" s="33" t="s">
        <v>825</v>
      </c>
      <c r="B507" s="28"/>
      <c r="C507" s="29"/>
      <c r="D507" s="157">
        <f>VLOOKUP(A507, 'Purchase Register'!C:D, 2, FALSE)</f>
        <v>5</v>
      </c>
      <c r="E507" s="29">
        <f>SUMIF('Sales Register'!C:C, A507, 'Sales Register'!D:D)</f>
        <v>6</v>
      </c>
      <c r="F507" s="29">
        <f t="shared" si="41"/>
        <v>-1</v>
      </c>
      <c r="G507" s="29"/>
      <c r="H507" s="157">
        <f t="shared" si="39"/>
        <v>-1</v>
      </c>
      <c r="I507" s="72" t="str">
        <f t="shared" si="40"/>
        <v>Minor Issue</v>
      </c>
    </row>
    <row r="508" spans="1:9" ht="30" x14ac:dyDescent="0.25">
      <c r="A508" s="33" t="s">
        <v>817</v>
      </c>
      <c r="B508" s="28"/>
      <c r="C508" s="29"/>
      <c r="D508" s="157">
        <f>VLOOKUP(A508, 'Purchase Register'!C:D, 2, FALSE)</f>
        <v>4</v>
      </c>
      <c r="E508" s="29">
        <f>SUMIF('Sales Register'!C:C, A508, 'Sales Register'!D:D)</f>
        <v>0</v>
      </c>
      <c r="F508" s="29">
        <f t="shared" si="41"/>
        <v>4</v>
      </c>
      <c r="G508" s="29"/>
      <c r="H508" s="157">
        <f t="shared" si="39"/>
        <v>4</v>
      </c>
      <c r="I508" s="72" t="str">
        <f t="shared" si="40"/>
        <v>SERIOUS LOSS</v>
      </c>
    </row>
    <row r="509" spans="1:9" ht="30" x14ac:dyDescent="0.25">
      <c r="A509" s="33" t="s">
        <v>826</v>
      </c>
      <c r="B509" s="28"/>
      <c r="C509" s="29"/>
      <c r="D509" s="157">
        <f>VLOOKUP(A509, 'Purchase Register'!C:D, 2, FALSE)</f>
        <v>16</v>
      </c>
      <c r="E509" s="29">
        <f>SUMIF('Sales Register'!C:C, A509, 'Sales Register'!D:D)</f>
        <v>16</v>
      </c>
      <c r="F509" s="29">
        <f t="shared" si="41"/>
        <v>0</v>
      </c>
      <c r="G509" s="29"/>
      <c r="H509" s="157">
        <f t="shared" si="39"/>
        <v>0</v>
      </c>
      <c r="I509" s="72" t="str">
        <f t="shared" si="40"/>
        <v>OK</v>
      </c>
    </row>
    <row r="510" spans="1:9" ht="30" x14ac:dyDescent="0.25">
      <c r="A510" s="33" t="s">
        <v>818</v>
      </c>
      <c r="B510" s="28"/>
      <c r="C510" s="29"/>
      <c r="D510" s="157">
        <f>VLOOKUP(A510, 'Purchase Register'!C:D, 2, FALSE)</f>
        <v>16</v>
      </c>
      <c r="E510" s="29">
        <f>SUMIF('Sales Register'!C:C, A510, 'Sales Register'!D:D)</f>
        <v>73</v>
      </c>
      <c r="F510" s="29">
        <f t="shared" si="41"/>
        <v>-57</v>
      </c>
      <c r="G510" s="29"/>
      <c r="H510" s="157">
        <f t="shared" si="39"/>
        <v>-57</v>
      </c>
      <c r="I510" s="72" t="str">
        <f t="shared" si="40"/>
        <v>SERIOUS LOSS</v>
      </c>
    </row>
    <row r="511" spans="1:9" ht="30" x14ac:dyDescent="0.25">
      <c r="A511" s="33" t="s">
        <v>827</v>
      </c>
      <c r="B511" s="28"/>
      <c r="C511" s="29"/>
      <c r="D511" s="157">
        <f>VLOOKUP(A511, 'Purchase Register'!C:D, 2, FALSE)</f>
        <v>16</v>
      </c>
      <c r="E511" s="29">
        <f>SUMIF('Sales Register'!C:C, A511, 'Sales Register'!D:D)</f>
        <v>16</v>
      </c>
      <c r="F511" s="29">
        <f t="shared" si="41"/>
        <v>0</v>
      </c>
      <c r="G511" s="29"/>
      <c r="H511" s="157">
        <f t="shared" si="39"/>
        <v>0</v>
      </c>
      <c r="I511" s="72" t="str">
        <f t="shared" si="40"/>
        <v>OK</v>
      </c>
    </row>
    <row r="512" spans="1:9" ht="30" x14ac:dyDescent="0.25">
      <c r="A512" s="33" t="s">
        <v>828</v>
      </c>
      <c r="B512" s="28"/>
      <c r="C512" s="29"/>
      <c r="D512" s="157">
        <f>VLOOKUP(A512, 'Purchase Register'!C:D, 2, FALSE)</f>
        <v>2</v>
      </c>
      <c r="E512" s="29">
        <f>SUMIF('Sales Register'!C:C, A512, 'Sales Register'!D:D)</f>
        <v>1</v>
      </c>
      <c r="F512" s="29">
        <f t="shared" si="41"/>
        <v>1</v>
      </c>
      <c r="G512" s="29"/>
      <c r="H512" s="157">
        <f t="shared" si="39"/>
        <v>1</v>
      </c>
      <c r="I512" s="72" t="str">
        <f t="shared" si="40"/>
        <v>Minor Issue</v>
      </c>
    </row>
    <row r="513" spans="1:9" s="77" customFormat="1" x14ac:dyDescent="0.25">
      <c r="A513" s="70" t="s">
        <v>819</v>
      </c>
      <c r="B513" s="71"/>
      <c r="C513" s="72"/>
      <c r="D513" s="157">
        <f>VLOOKUP(A513, 'Purchase Register'!C:D, 2, FALSE)</f>
        <v>10</v>
      </c>
      <c r="E513" s="72">
        <f>SUMIF('Sales Register'!C:C, A513, 'Sales Register'!D:D)</f>
        <v>10</v>
      </c>
      <c r="F513" s="72">
        <f t="shared" si="41"/>
        <v>0</v>
      </c>
      <c r="G513" s="72"/>
      <c r="H513" s="72">
        <f t="shared" si="39"/>
        <v>0</v>
      </c>
      <c r="I513" s="72" t="str">
        <f t="shared" si="40"/>
        <v>OK</v>
      </c>
    </row>
    <row r="514" spans="1:9" x14ac:dyDescent="0.25">
      <c r="A514" s="33" t="s">
        <v>829</v>
      </c>
      <c r="B514" s="28"/>
      <c r="C514" s="29"/>
      <c r="D514" s="157">
        <f>VLOOKUP(A514, 'Purchase Register'!C:D, 2, FALSE)</f>
        <v>6</v>
      </c>
      <c r="E514" s="29">
        <f>SUMIF('Sales Register'!C:C, A514, 'Sales Register'!D:D)</f>
        <v>6</v>
      </c>
      <c r="F514" s="29">
        <f t="shared" si="41"/>
        <v>0</v>
      </c>
      <c r="G514" s="29"/>
      <c r="H514" s="157">
        <f t="shared" ref="H514:H577" si="42">F514-G514</f>
        <v>0</v>
      </c>
      <c r="I514" s="72" t="str">
        <f t="shared" ref="I514:I577" si="43">IF(H514=0,"OK",
IF(ABS(H514)&lt;=2,"Minor Issue","SERIOUS LOSS"))</f>
        <v>OK</v>
      </c>
    </row>
    <row r="515" spans="1:9" ht="30" x14ac:dyDescent="0.25">
      <c r="A515" s="33" t="s">
        <v>830</v>
      </c>
      <c r="B515" s="28"/>
      <c r="C515" s="29"/>
      <c r="D515" s="157">
        <f>VLOOKUP(A515, 'Purchase Register'!C:D, 2, FALSE)</f>
        <v>3</v>
      </c>
      <c r="E515" s="29">
        <f>SUMIF('Sales Register'!C:C, A515, 'Sales Register'!D:D)</f>
        <v>0</v>
      </c>
      <c r="F515" s="29">
        <f t="shared" si="41"/>
        <v>3</v>
      </c>
      <c r="G515" s="29"/>
      <c r="H515" s="157">
        <f t="shared" si="42"/>
        <v>3</v>
      </c>
      <c r="I515" s="72" t="str">
        <f t="shared" si="43"/>
        <v>SERIOUS LOSS</v>
      </c>
    </row>
    <row r="516" spans="1:9" x14ac:dyDescent="0.25">
      <c r="A516" s="33" t="s">
        <v>820</v>
      </c>
      <c r="B516" s="28"/>
      <c r="C516" s="29"/>
      <c r="D516" s="157">
        <f>VLOOKUP(A516, 'Purchase Register'!C:D, 2, FALSE)</f>
        <v>6</v>
      </c>
      <c r="E516" s="29">
        <f>SUMIF('Sales Register'!C:C, A516, 'Sales Register'!D:D)</f>
        <v>7</v>
      </c>
      <c r="F516" s="29">
        <f t="shared" si="41"/>
        <v>-1</v>
      </c>
      <c r="G516" s="29"/>
      <c r="H516" s="157">
        <f t="shared" si="42"/>
        <v>-1</v>
      </c>
      <c r="I516" s="72" t="str">
        <f t="shared" si="43"/>
        <v>Minor Issue</v>
      </c>
    </row>
    <row r="517" spans="1:9" s="77" customFormat="1" x14ac:dyDescent="0.25">
      <c r="A517" s="70" t="s">
        <v>821</v>
      </c>
      <c r="B517" s="71"/>
      <c r="C517" s="72"/>
      <c r="D517" s="157">
        <f>VLOOKUP(A517, 'Purchase Register'!C:D, 2, FALSE)</f>
        <v>10</v>
      </c>
      <c r="E517" s="72">
        <f>SUMIF('Sales Register'!C:C, A517, 'Sales Register'!D:D)</f>
        <v>6.1000000000000005</v>
      </c>
      <c r="F517" s="72">
        <f t="shared" si="41"/>
        <v>3.8999999999999995</v>
      </c>
      <c r="G517" s="72"/>
      <c r="H517" s="72">
        <f t="shared" si="42"/>
        <v>3.8999999999999995</v>
      </c>
      <c r="I517" s="72" t="str">
        <f t="shared" si="43"/>
        <v>SERIOUS LOSS</v>
      </c>
    </row>
    <row r="518" spans="1:9" x14ac:dyDescent="0.25">
      <c r="A518" s="33" t="s">
        <v>822</v>
      </c>
      <c r="B518" s="28"/>
      <c r="C518" s="29"/>
      <c r="D518" s="157">
        <f>VLOOKUP(A518, 'Purchase Register'!C:D, 2, FALSE)</f>
        <v>5</v>
      </c>
      <c r="E518" s="29">
        <f>SUMIF('Sales Register'!C:C, A518, 'Sales Register'!D:D)</f>
        <v>16.541</v>
      </c>
      <c r="F518" s="29">
        <f t="shared" si="41"/>
        <v>-11.541</v>
      </c>
      <c r="G518" s="29"/>
      <c r="H518" s="157">
        <f t="shared" si="42"/>
        <v>-11.541</v>
      </c>
      <c r="I518" s="72" t="str">
        <f t="shared" si="43"/>
        <v>SERIOUS LOSS</v>
      </c>
    </row>
    <row r="519" spans="1:9" s="77" customFormat="1" ht="30" x14ac:dyDescent="0.25">
      <c r="A519" s="70" t="s">
        <v>831</v>
      </c>
      <c r="B519" s="71"/>
      <c r="C519" s="72"/>
      <c r="D519" s="157">
        <f>VLOOKUP(A519, 'Purchase Register'!C:D, 2, FALSE)</f>
        <v>1</v>
      </c>
      <c r="E519" s="72">
        <f>SUMIF('Sales Register'!C:C, A519, 'Sales Register'!D:D)</f>
        <v>1</v>
      </c>
      <c r="F519" s="72">
        <f t="shared" si="41"/>
        <v>0</v>
      </c>
      <c r="G519" s="72"/>
      <c r="H519" s="72">
        <f t="shared" si="42"/>
        <v>0</v>
      </c>
      <c r="I519" s="72" t="str">
        <f t="shared" si="43"/>
        <v>OK</v>
      </c>
    </row>
    <row r="520" spans="1:9" ht="30" x14ac:dyDescent="0.25">
      <c r="A520" s="33" t="s">
        <v>832</v>
      </c>
      <c r="B520" s="28"/>
      <c r="C520" s="29"/>
      <c r="D520" s="157">
        <f>VLOOKUP(A520, 'Purchase Register'!C:D, 2, FALSE)</f>
        <v>1</v>
      </c>
      <c r="E520" s="29">
        <f>SUMIF('Sales Register'!C:C, A520, 'Sales Register'!D:D)</f>
        <v>0</v>
      </c>
      <c r="F520" s="29">
        <f t="shared" si="41"/>
        <v>1</v>
      </c>
      <c r="G520" s="29"/>
      <c r="H520" s="157">
        <f t="shared" si="42"/>
        <v>1</v>
      </c>
      <c r="I520" s="72" t="str">
        <f t="shared" si="43"/>
        <v>Minor Issue</v>
      </c>
    </row>
    <row r="521" spans="1:9" ht="30" x14ac:dyDescent="0.25">
      <c r="A521" s="33" t="s">
        <v>833</v>
      </c>
      <c r="B521" s="28"/>
      <c r="C521" s="29"/>
      <c r="D521" s="157">
        <f>VLOOKUP(A521, 'Purchase Register'!C:D, 2, FALSE)</f>
        <v>30</v>
      </c>
      <c r="E521" s="29">
        <f>SUMIF('Sales Register'!C:C, A521, 'Sales Register'!D:D)</f>
        <v>5</v>
      </c>
      <c r="F521" s="29">
        <f t="shared" si="41"/>
        <v>25</v>
      </c>
      <c r="G521" s="29"/>
      <c r="H521" s="157">
        <f t="shared" si="42"/>
        <v>25</v>
      </c>
      <c r="I521" s="72" t="str">
        <f t="shared" si="43"/>
        <v>SERIOUS LOSS</v>
      </c>
    </row>
    <row r="522" spans="1:9" x14ac:dyDescent="0.25">
      <c r="A522" s="33" t="s">
        <v>834</v>
      </c>
      <c r="B522" s="28"/>
      <c r="C522" s="29"/>
      <c r="D522" s="157">
        <f>VLOOKUP(A522, 'Purchase Register'!C:D, 2, FALSE)</f>
        <v>9</v>
      </c>
      <c r="E522" s="29">
        <f>SUMIF('Sales Register'!C:C, A522, 'Sales Register'!D:D)</f>
        <v>18</v>
      </c>
      <c r="F522" s="29">
        <f t="shared" si="41"/>
        <v>-9</v>
      </c>
      <c r="G522" s="29"/>
      <c r="H522" s="157">
        <f t="shared" si="42"/>
        <v>-9</v>
      </c>
      <c r="I522" s="72" t="str">
        <f t="shared" si="43"/>
        <v>SERIOUS LOSS</v>
      </c>
    </row>
    <row r="523" spans="1:9" x14ac:dyDescent="0.25">
      <c r="A523" s="33" t="s">
        <v>835</v>
      </c>
      <c r="B523" s="28"/>
      <c r="C523" s="29"/>
      <c r="D523" s="157">
        <f>VLOOKUP(A523, 'Purchase Register'!C:D, 2, FALSE)</f>
        <v>1</v>
      </c>
      <c r="E523" s="29">
        <f>SUMIF('Sales Register'!C:C, A523, 'Sales Register'!D:D)</f>
        <v>1</v>
      </c>
      <c r="F523" s="29">
        <f t="shared" si="41"/>
        <v>0</v>
      </c>
      <c r="G523" s="29"/>
      <c r="H523" s="157">
        <f t="shared" si="42"/>
        <v>0</v>
      </c>
      <c r="I523" s="72" t="str">
        <f t="shared" si="43"/>
        <v>OK</v>
      </c>
    </row>
    <row r="524" spans="1:9" x14ac:dyDescent="0.25">
      <c r="A524" s="33" t="s">
        <v>836</v>
      </c>
      <c r="B524" s="28"/>
      <c r="C524" s="29"/>
      <c r="D524" s="157">
        <f>VLOOKUP(A524, 'Purchase Register'!C:D, 2, FALSE)</f>
        <v>3</v>
      </c>
      <c r="E524" s="29">
        <f>SUMIF('Sales Register'!C:C, A524, 'Sales Register'!D:D)</f>
        <v>2</v>
      </c>
      <c r="F524" s="29">
        <f t="shared" si="41"/>
        <v>1</v>
      </c>
      <c r="G524" s="29"/>
      <c r="H524" s="157">
        <f t="shared" si="42"/>
        <v>1</v>
      </c>
      <c r="I524" s="72" t="str">
        <f t="shared" si="43"/>
        <v>Minor Issue</v>
      </c>
    </row>
    <row r="525" spans="1:9" x14ac:dyDescent="0.25">
      <c r="A525" s="33" t="s">
        <v>837</v>
      </c>
      <c r="B525" s="28"/>
      <c r="C525" s="29"/>
      <c r="D525" s="157">
        <f>VLOOKUP(A525, 'Purchase Register'!C:D, 2, FALSE)</f>
        <v>2</v>
      </c>
      <c r="E525" s="29">
        <f>SUMIF('Sales Register'!C:C, A525, 'Sales Register'!D:D)</f>
        <v>1</v>
      </c>
      <c r="F525" s="29">
        <f t="shared" si="41"/>
        <v>1</v>
      </c>
      <c r="G525" s="29"/>
      <c r="H525" s="157">
        <f t="shared" si="42"/>
        <v>1</v>
      </c>
      <c r="I525" s="72" t="str">
        <f t="shared" si="43"/>
        <v>Minor Issue</v>
      </c>
    </row>
    <row r="526" spans="1:9" s="77" customFormat="1" x14ac:dyDescent="0.25">
      <c r="A526" s="70" t="s">
        <v>838</v>
      </c>
      <c r="B526" s="71"/>
      <c r="C526" s="72"/>
      <c r="D526" s="157">
        <f>VLOOKUP(A526, 'Purchase Register'!C:D, 2, FALSE)</f>
        <v>60</v>
      </c>
      <c r="E526" s="72">
        <f>SUMIF('Sales Register'!C:C, A526, 'Sales Register'!D:D)</f>
        <v>60</v>
      </c>
      <c r="F526" s="72">
        <f t="shared" si="41"/>
        <v>0</v>
      </c>
      <c r="G526" s="72"/>
      <c r="H526" s="72">
        <f t="shared" si="42"/>
        <v>0</v>
      </c>
      <c r="I526" s="72" t="str">
        <f t="shared" si="43"/>
        <v>OK</v>
      </c>
    </row>
    <row r="527" spans="1:9" ht="30" x14ac:dyDescent="0.25">
      <c r="A527" s="33" t="s">
        <v>840</v>
      </c>
      <c r="B527" s="28"/>
      <c r="C527" s="29"/>
      <c r="D527" s="157">
        <f>VLOOKUP(A527, 'Purchase Register'!C:D, 2, FALSE)</f>
        <v>6</v>
      </c>
      <c r="E527" s="29">
        <f>SUMIF('Sales Register'!C:C, A527, 'Sales Register'!D:D)</f>
        <v>6</v>
      </c>
      <c r="F527" s="29">
        <f t="shared" si="41"/>
        <v>0</v>
      </c>
      <c r="G527" s="29"/>
      <c r="H527" s="157">
        <f t="shared" si="42"/>
        <v>0</v>
      </c>
      <c r="I527" s="72" t="str">
        <f t="shared" si="43"/>
        <v>OK</v>
      </c>
    </row>
    <row r="528" spans="1:9" ht="30" x14ac:dyDescent="0.25">
      <c r="A528" s="33" t="s">
        <v>839</v>
      </c>
      <c r="B528" s="28"/>
      <c r="C528" s="29"/>
      <c r="D528" s="157">
        <f>VLOOKUP(A528, 'Purchase Register'!C:D, 2, FALSE)</f>
        <v>6</v>
      </c>
      <c r="E528" s="29">
        <f>SUMIF('Sales Register'!C:C, A528, 'Sales Register'!D:D)</f>
        <v>2</v>
      </c>
      <c r="F528" s="29">
        <f t="shared" si="41"/>
        <v>4</v>
      </c>
      <c r="G528" s="29"/>
      <c r="H528" s="157">
        <f t="shared" si="42"/>
        <v>4</v>
      </c>
      <c r="I528" s="72" t="str">
        <f t="shared" si="43"/>
        <v>SERIOUS LOSS</v>
      </c>
    </row>
    <row r="529" spans="1:9" x14ac:dyDescent="0.25">
      <c r="A529" s="33" t="s">
        <v>842</v>
      </c>
      <c r="B529" s="28"/>
      <c r="C529" s="29"/>
      <c r="D529" s="157">
        <f>VLOOKUP(A529, 'Purchase Register'!C:D, 2, FALSE)</f>
        <v>4</v>
      </c>
      <c r="E529" s="29">
        <f>SUMIF('Sales Register'!C:C, A529, 'Sales Register'!D:D)</f>
        <v>4</v>
      </c>
      <c r="F529" s="29">
        <f t="shared" si="41"/>
        <v>0</v>
      </c>
      <c r="G529" s="29"/>
      <c r="H529" s="157">
        <f t="shared" si="42"/>
        <v>0</v>
      </c>
      <c r="I529" s="72" t="str">
        <f t="shared" si="43"/>
        <v>OK</v>
      </c>
    </row>
    <row r="530" spans="1:9" x14ac:dyDescent="0.25">
      <c r="A530" s="33" t="s">
        <v>841</v>
      </c>
      <c r="B530" s="28"/>
      <c r="C530" s="29"/>
      <c r="D530" s="157">
        <f>VLOOKUP(A530, 'Purchase Register'!C:D, 2, FALSE)</f>
        <v>0.5</v>
      </c>
      <c r="E530" s="29">
        <f>SUMIF('Sales Register'!C:C, A530, 'Sales Register'!D:D)</f>
        <v>0.18</v>
      </c>
      <c r="F530" s="29">
        <f t="shared" si="41"/>
        <v>0.32</v>
      </c>
      <c r="G530" s="29"/>
      <c r="H530" s="157">
        <f t="shared" si="42"/>
        <v>0.32</v>
      </c>
      <c r="I530" s="72" t="str">
        <f t="shared" si="43"/>
        <v>Minor Issue</v>
      </c>
    </row>
    <row r="531" spans="1:9" x14ac:dyDescent="0.25">
      <c r="A531" s="33" t="s">
        <v>843</v>
      </c>
      <c r="B531" s="28"/>
      <c r="C531" s="29"/>
      <c r="D531" s="157">
        <f>VLOOKUP(A531, 'Purchase Register'!C:D, 2, FALSE)</f>
        <v>36</v>
      </c>
      <c r="E531" s="29">
        <f>SUMIF('Sales Register'!C:C, A531, 'Sales Register'!D:D)</f>
        <v>9</v>
      </c>
      <c r="F531" s="29">
        <f t="shared" si="41"/>
        <v>27</v>
      </c>
      <c r="G531" s="29"/>
      <c r="H531" s="157">
        <f t="shared" si="42"/>
        <v>27</v>
      </c>
      <c r="I531" s="72" t="str">
        <f t="shared" si="43"/>
        <v>SERIOUS LOSS</v>
      </c>
    </row>
    <row r="532" spans="1:9" x14ac:dyDescent="0.25">
      <c r="A532" s="33" t="s">
        <v>844</v>
      </c>
      <c r="B532" s="28"/>
      <c r="C532" s="29"/>
      <c r="D532" s="157">
        <f>VLOOKUP(A532, 'Purchase Register'!C:D, 2, FALSE)</f>
        <v>2</v>
      </c>
      <c r="E532" s="29">
        <f>SUMIF('Sales Register'!C:C, A532, 'Sales Register'!D:D)</f>
        <v>0</v>
      </c>
      <c r="F532" s="29">
        <f t="shared" ref="F532:F595" si="44">C532+D532-E532</f>
        <v>2</v>
      </c>
      <c r="G532" s="29"/>
      <c r="H532" s="157">
        <f t="shared" si="42"/>
        <v>2</v>
      </c>
      <c r="I532" s="72" t="str">
        <f t="shared" si="43"/>
        <v>Minor Issue</v>
      </c>
    </row>
    <row r="533" spans="1:9" x14ac:dyDescent="0.25">
      <c r="A533" s="33" t="s">
        <v>845</v>
      </c>
      <c r="B533" s="28"/>
      <c r="C533" s="29"/>
      <c r="D533" s="157">
        <f>VLOOKUP(A533, 'Purchase Register'!C:D, 2, FALSE)</f>
        <v>0.5</v>
      </c>
      <c r="E533" s="29">
        <f>SUMIF('Sales Register'!C:C, A533, 'Sales Register'!D:D)</f>
        <v>0.16000000000000003</v>
      </c>
      <c r="F533" s="29">
        <f t="shared" si="44"/>
        <v>0.33999999999999997</v>
      </c>
      <c r="G533" s="29"/>
      <c r="H533" s="157">
        <f t="shared" si="42"/>
        <v>0.33999999999999997</v>
      </c>
      <c r="I533" s="72" t="str">
        <f t="shared" si="43"/>
        <v>Minor Issue</v>
      </c>
    </row>
    <row r="534" spans="1:9" ht="30" x14ac:dyDescent="0.25">
      <c r="A534" s="33" t="s">
        <v>846</v>
      </c>
      <c r="B534" s="28"/>
      <c r="C534" s="29"/>
      <c r="D534" s="157">
        <f>VLOOKUP(A534, 'Purchase Register'!C:D, 2, FALSE)</f>
        <v>12</v>
      </c>
      <c r="E534" s="29">
        <f>SUMIF('Sales Register'!C:C, A534, 'Sales Register'!D:D)</f>
        <v>5</v>
      </c>
      <c r="F534" s="29">
        <f t="shared" si="44"/>
        <v>7</v>
      </c>
      <c r="G534" s="29"/>
      <c r="H534" s="157">
        <f t="shared" si="42"/>
        <v>7</v>
      </c>
      <c r="I534" s="72" t="str">
        <f t="shared" si="43"/>
        <v>SERIOUS LOSS</v>
      </c>
    </row>
    <row r="535" spans="1:9" x14ac:dyDescent="0.25">
      <c r="A535" s="33" t="s">
        <v>847</v>
      </c>
      <c r="B535" s="28"/>
      <c r="C535" s="29"/>
      <c r="D535" s="157">
        <f>VLOOKUP(A535, 'Purchase Register'!C:D, 2, FALSE)</f>
        <v>6</v>
      </c>
      <c r="E535" s="29">
        <f>SUMIF('Sales Register'!C:C, A535, 'Sales Register'!D:D)</f>
        <v>3</v>
      </c>
      <c r="F535" s="29">
        <f t="shared" si="44"/>
        <v>3</v>
      </c>
      <c r="G535" s="29"/>
      <c r="H535" s="157">
        <f t="shared" si="42"/>
        <v>3</v>
      </c>
      <c r="I535" s="72" t="str">
        <f t="shared" si="43"/>
        <v>SERIOUS LOSS</v>
      </c>
    </row>
    <row r="536" spans="1:9" x14ac:dyDescent="0.25">
      <c r="A536" s="33" t="s">
        <v>848</v>
      </c>
      <c r="B536" s="28"/>
      <c r="C536" s="29"/>
      <c r="D536" s="157">
        <f>VLOOKUP(A536, 'Purchase Register'!C:D, 2, FALSE)</f>
        <v>48</v>
      </c>
      <c r="E536" s="29">
        <f>SUMIF('Sales Register'!C:C, A536, 'Sales Register'!D:D)</f>
        <v>35</v>
      </c>
      <c r="F536" s="29">
        <f t="shared" si="44"/>
        <v>13</v>
      </c>
      <c r="G536" s="29"/>
      <c r="H536" s="157">
        <f t="shared" si="42"/>
        <v>13</v>
      </c>
      <c r="I536" s="72" t="str">
        <f t="shared" si="43"/>
        <v>SERIOUS LOSS</v>
      </c>
    </row>
    <row r="537" spans="1:9" x14ac:dyDescent="0.25">
      <c r="A537" s="33" t="s">
        <v>849</v>
      </c>
      <c r="B537" s="28"/>
      <c r="C537" s="29"/>
      <c r="D537" s="157">
        <f>VLOOKUP(A537, 'Purchase Register'!C:D, 2, FALSE)</f>
        <v>3</v>
      </c>
      <c r="E537" s="29">
        <f>SUMIF('Sales Register'!C:C, A537, 'Sales Register'!D:D)</f>
        <v>3</v>
      </c>
      <c r="F537" s="29">
        <f t="shared" si="44"/>
        <v>0</v>
      </c>
      <c r="G537" s="29"/>
      <c r="H537" s="157">
        <f t="shared" si="42"/>
        <v>0</v>
      </c>
      <c r="I537" s="72" t="str">
        <f t="shared" si="43"/>
        <v>OK</v>
      </c>
    </row>
    <row r="538" spans="1:9" x14ac:dyDescent="0.25">
      <c r="A538" s="33" t="s">
        <v>850</v>
      </c>
      <c r="B538" s="28"/>
      <c r="C538" s="29"/>
      <c r="D538" s="157">
        <f>VLOOKUP(A538, 'Purchase Register'!C:D, 2, FALSE)</f>
        <v>6</v>
      </c>
      <c r="E538" s="29">
        <f>SUMIF('Sales Register'!C:C, A538, 'Sales Register'!D:D)</f>
        <v>10</v>
      </c>
      <c r="F538" s="29">
        <f t="shared" si="44"/>
        <v>-4</v>
      </c>
      <c r="G538" s="29"/>
      <c r="H538" s="157">
        <f t="shared" si="42"/>
        <v>-4</v>
      </c>
      <c r="I538" s="72" t="str">
        <f t="shared" si="43"/>
        <v>SERIOUS LOSS</v>
      </c>
    </row>
    <row r="539" spans="1:9" x14ac:dyDescent="0.25">
      <c r="A539" s="33" t="s">
        <v>851</v>
      </c>
      <c r="B539" s="28"/>
      <c r="C539" s="29"/>
      <c r="D539" s="157">
        <f>VLOOKUP(A539, 'Purchase Register'!C:D, 2, FALSE)</f>
        <v>3</v>
      </c>
      <c r="E539" s="29">
        <f>SUMIF('Sales Register'!C:C, A539, 'Sales Register'!D:D)</f>
        <v>3</v>
      </c>
      <c r="F539" s="29">
        <f t="shared" si="44"/>
        <v>0</v>
      </c>
      <c r="G539" s="29"/>
      <c r="H539" s="157">
        <f t="shared" si="42"/>
        <v>0</v>
      </c>
      <c r="I539" s="72" t="str">
        <f t="shared" si="43"/>
        <v>OK</v>
      </c>
    </row>
    <row r="540" spans="1:9" ht="30" x14ac:dyDescent="0.25">
      <c r="A540" s="33" t="s">
        <v>852</v>
      </c>
      <c r="B540" s="28"/>
      <c r="C540" s="29"/>
      <c r="D540" s="157">
        <f>VLOOKUP(A540, 'Purchase Register'!C:D, 2, FALSE)</f>
        <v>6</v>
      </c>
      <c r="E540" s="29">
        <f>SUMIF('Sales Register'!C:C, A540, 'Sales Register'!D:D)</f>
        <v>6</v>
      </c>
      <c r="F540" s="29">
        <f t="shared" si="44"/>
        <v>0</v>
      </c>
      <c r="G540" s="29"/>
      <c r="H540" s="157">
        <f t="shared" si="42"/>
        <v>0</v>
      </c>
      <c r="I540" s="72" t="str">
        <f t="shared" si="43"/>
        <v>OK</v>
      </c>
    </row>
    <row r="541" spans="1:9" x14ac:dyDescent="0.25">
      <c r="A541" s="33" t="s">
        <v>853</v>
      </c>
      <c r="B541" s="28"/>
      <c r="C541" s="29"/>
      <c r="D541" s="157">
        <f>VLOOKUP(A541, 'Purchase Register'!C:D, 2, FALSE)</f>
        <v>12</v>
      </c>
      <c r="E541" s="29">
        <f>SUMIF('Sales Register'!C:C, A541, 'Sales Register'!D:D)</f>
        <v>0</v>
      </c>
      <c r="F541" s="29">
        <f t="shared" si="44"/>
        <v>12</v>
      </c>
      <c r="G541" s="29"/>
      <c r="H541" s="157">
        <f t="shared" si="42"/>
        <v>12</v>
      </c>
      <c r="I541" s="72" t="str">
        <f t="shared" si="43"/>
        <v>SERIOUS LOSS</v>
      </c>
    </row>
    <row r="542" spans="1:9" ht="30" x14ac:dyDescent="0.25">
      <c r="A542" s="33" t="s">
        <v>854</v>
      </c>
      <c r="B542" s="28"/>
      <c r="C542" s="29"/>
      <c r="D542" s="157">
        <f>VLOOKUP(A542, 'Purchase Register'!C:D, 2, FALSE)</f>
        <v>4</v>
      </c>
      <c r="E542" s="29">
        <f>SUMIF('Sales Register'!C:C, A542, 'Sales Register'!D:D)</f>
        <v>4</v>
      </c>
      <c r="F542" s="29">
        <f t="shared" si="44"/>
        <v>0</v>
      </c>
      <c r="G542" s="29"/>
      <c r="H542" s="157">
        <f t="shared" si="42"/>
        <v>0</v>
      </c>
      <c r="I542" s="72" t="str">
        <f t="shared" si="43"/>
        <v>OK</v>
      </c>
    </row>
    <row r="543" spans="1:9" x14ac:dyDescent="0.25">
      <c r="A543" s="33" t="s">
        <v>855</v>
      </c>
      <c r="B543" s="28"/>
      <c r="C543" s="29"/>
      <c r="D543" s="157">
        <f>VLOOKUP(A543, 'Purchase Register'!C:D, 2, FALSE)</f>
        <v>12</v>
      </c>
      <c r="E543" s="29">
        <f>SUMIF('Sales Register'!C:C, A543, 'Sales Register'!D:D)</f>
        <v>6</v>
      </c>
      <c r="F543" s="29">
        <f t="shared" si="44"/>
        <v>6</v>
      </c>
      <c r="G543" s="29"/>
      <c r="H543" s="157">
        <f t="shared" si="42"/>
        <v>6</v>
      </c>
      <c r="I543" s="72" t="str">
        <f t="shared" si="43"/>
        <v>SERIOUS LOSS</v>
      </c>
    </row>
    <row r="544" spans="1:9" x14ac:dyDescent="0.25">
      <c r="A544" s="33" t="s">
        <v>856</v>
      </c>
      <c r="B544" s="28"/>
      <c r="C544" s="29"/>
      <c r="D544" s="157">
        <f>VLOOKUP(A544, 'Purchase Register'!C:D, 2, FALSE)</f>
        <v>12</v>
      </c>
      <c r="E544" s="29">
        <f>SUMIF('Sales Register'!C:C, A544, 'Sales Register'!D:D)</f>
        <v>14</v>
      </c>
      <c r="F544" s="29">
        <f t="shared" si="44"/>
        <v>-2</v>
      </c>
      <c r="G544" s="29"/>
      <c r="H544" s="157">
        <f t="shared" si="42"/>
        <v>-2</v>
      </c>
      <c r="I544" s="72" t="str">
        <f t="shared" si="43"/>
        <v>Minor Issue</v>
      </c>
    </row>
    <row r="545" spans="1:9" x14ac:dyDescent="0.25">
      <c r="A545" s="33" t="s">
        <v>857</v>
      </c>
      <c r="B545" s="28"/>
      <c r="C545" s="29"/>
      <c r="D545" s="157">
        <f>VLOOKUP(A545, 'Purchase Register'!C:D, 2, FALSE)</f>
        <v>30</v>
      </c>
      <c r="E545" s="29">
        <f>SUMIF('Sales Register'!C:C, A545, 'Sales Register'!D:D)</f>
        <v>8</v>
      </c>
      <c r="F545" s="29">
        <f t="shared" si="44"/>
        <v>22</v>
      </c>
      <c r="G545" s="29"/>
      <c r="H545" s="157">
        <f t="shared" si="42"/>
        <v>22</v>
      </c>
      <c r="I545" s="72" t="str">
        <f t="shared" si="43"/>
        <v>SERIOUS LOSS</v>
      </c>
    </row>
    <row r="546" spans="1:9" ht="30" x14ac:dyDescent="0.25">
      <c r="A546" s="33" t="s">
        <v>858</v>
      </c>
      <c r="B546" s="28"/>
      <c r="C546" s="29"/>
      <c r="D546" s="157">
        <f>VLOOKUP(A546, 'Purchase Register'!C:D, 2, FALSE)</f>
        <v>12</v>
      </c>
      <c r="E546" s="29">
        <f>SUMIF('Sales Register'!C:C, A546, 'Sales Register'!D:D)</f>
        <v>12</v>
      </c>
      <c r="F546" s="29">
        <f t="shared" si="44"/>
        <v>0</v>
      </c>
      <c r="G546" s="29"/>
      <c r="H546" s="157">
        <f t="shared" si="42"/>
        <v>0</v>
      </c>
      <c r="I546" s="72" t="str">
        <f t="shared" si="43"/>
        <v>OK</v>
      </c>
    </row>
    <row r="547" spans="1:9" x14ac:dyDescent="0.25">
      <c r="A547" s="33" t="s">
        <v>859</v>
      </c>
      <c r="B547" s="28"/>
      <c r="C547" s="29"/>
      <c r="D547" s="157">
        <f>VLOOKUP(A547, 'Purchase Register'!C:D, 2, FALSE)</f>
        <v>12</v>
      </c>
      <c r="E547" s="29">
        <f>SUMIF('Sales Register'!C:C, A547, 'Sales Register'!D:D)</f>
        <v>15</v>
      </c>
      <c r="F547" s="29">
        <f t="shared" si="44"/>
        <v>-3</v>
      </c>
      <c r="G547" s="29"/>
      <c r="H547" s="157">
        <f t="shared" si="42"/>
        <v>-3</v>
      </c>
      <c r="I547" s="72" t="str">
        <f t="shared" si="43"/>
        <v>SERIOUS LOSS</v>
      </c>
    </row>
    <row r="548" spans="1:9" x14ac:dyDescent="0.25">
      <c r="A548" s="33" t="s">
        <v>860</v>
      </c>
      <c r="B548" s="28"/>
      <c r="C548" s="29"/>
      <c r="D548" s="157">
        <f>VLOOKUP(A548, 'Purchase Register'!C:D, 2, FALSE)</f>
        <v>60</v>
      </c>
      <c r="E548" s="29">
        <f>SUMIF('Sales Register'!C:C, A548, 'Sales Register'!D:D)</f>
        <v>50</v>
      </c>
      <c r="F548" s="29">
        <f t="shared" si="44"/>
        <v>10</v>
      </c>
      <c r="G548" s="29"/>
      <c r="H548" s="157">
        <f t="shared" si="42"/>
        <v>10</v>
      </c>
      <c r="I548" s="72" t="str">
        <f t="shared" si="43"/>
        <v>SERIOUS LOSS</v>
      </c>
    </row>
    <row r="549" spans="1:9" s="77" customFormat="1" x14ac:dyDescent="0.25">
      <c r="A549" s="70" t="s">
        <v>861</v>
      </c>
      <c r="B549" s="71"/>
      <c r="C549" s="72"/>
      <c r="D549" s="157">
        <f>VLOOKUP(A549, 'Purchase Register'!C:D, 2, FALSE)</f>
        <v>10</v>
      </c>
      <c r="E549" s="72">
        <f>SUMIF('Sales Register'!C:C, A549, 'Sales Register'!D:D)</f>
        <v>9.5</v>
      </c>
      <c r="F549" s="72">
        <f t="shared" si="44"/>
        <v>0.5</v>
      </c>
      <c r="G549" s="72"/>
      <c r="H549" s="72">
        <f t="shared" si="42"/>
        <v>0.5</v>
      </c>
      <c r="I549" s="72" t="str">
        <f t="shared" si="43"/>
        <v>Minor Issue</v>
      </c>
    </row>
    <row r="550" spans="1:9" x14ac:dyDescent="0.25">
      <c r="A550" s="33" t="s">
        <v>862</v>
      </c>
      <c r="B550" s="28"/>
      <c r="C550" s="29"/>
      <c r="D550" s="157">
        <f>VLOOKUP(A550, 'Purchase Register'!C:D, 2, FALSE)</f>
        <v>5</v>
      </c>
      <c r="E550" s="29">
        <f>SUMIF('Sales Register'!C:C, A550, 'Sales Register'!D:D)</f>
        <v>0.45</v>
      </c>
      <c r="F550" s="29">
        <f t="shared" si="44"/>
        <v>4.55</v>
      </c>
      <c r="G550" s="29"/>
      <c r="H550" s="157">
        <f t="shared" si="42"/>
        <v>4.55</v>
      </c>
      <c r="I550" s="72" t="str">
        <f t="shared" si="43"/>
        <v>SERIOUS LOSS</v>
      </c>
    </row>
    <row r="551" spans="1:9" ht="30" x14ac:dyDescent="0.25">
      <c r="A551" s="33" t="s">
        <v>863</v>
      </c>
      <c r="B551" s="28"/>
      <c r="C551" s="29"/>
      <c r="D551" s="157">
        <f>VLOOKUP(A551, 'Purchase Register'!C:D, 2, FALSE)</f>
        <v>7</v>
      </c>
      <c r="E551" s="29">
        <f>SUMIF('Sales Register'!C:C, A551, 'Sales Register'!D:D)</f>
        <v>5</v>
      </c>
      <c r="F551" s="29">
        <f t="shared" si="44"/>
        <v>2</v>
      </c>
      <c r="G551" s="29"/>
      <c r="H551" s="157">
        <f t="shared" si="42"/>
        <v>2</v>
      </c>
      <c r="I551" s="72" t="str">
        <f t="shared" si="43"/>
        <v>Minor Issue</v>
      </c>
    </row>
    <row r="552" spans="1:9" s="77" customFormat="1" x14ac:dyDescent="0.25">
      <c r="A552" s="70" t="s">
        <v>864</v>
      </c>
      <c r="B552" s="71"/>
      <c r="C552" s="72"/>
      <c r="D552" s="157">
        <f>VLOOKUP(A552, 'Purchase Register'!C:D, 2, FALSE)</f>
        <v>6</v>
      </c>
      <c r="E552" s="72">
        <f>SUMIF('Sales Register'!C:C, A552, 'Sales Register'!D:D)</f>
        <v>6</v>
      </c>
      <c r="F552" s="72">
        <f t="shared" si="44"/>
        <v>0</v>
      </c>
      <c r="G552" s="72"/>
      <c r="H552" s="72">
        <f t="shared" si="42"/>
        <v>0</v>
      </c>
      <c r="I552" s="72" t="str">
        <f t="shared" si="43"/>
        <v>OK</v>
      </c>
    </row>
    <row r="553" spans="1:9" s="77" customFormat="1" x14ac:dyDescent="0.25">
      <c r="A553" s="70" t="s">
        <v>865</v>
      </c>
      <c r="B553" s="71"/>
      <c r="C553" s="72"/>
      <c r="D553" s="157">
        <f>VLOOKUP(A553, 'Purchase Register'!C:D, 2, FALSE)</f>
        <v>2</v>
      </c>
      <c r="E553" s="72">
        <f>SUMIF('Sales Register'!C:C, A553, 'Sales Register'!D:D)</f>
        <v>2.556</v>
      </c>
      <c r="F553" s="72">
        <f t="shared" si="44"/>
        <v>-0.55600000000000005</v>
      </c>
      <c r="G553" s="72"/>
      <c r="H553" s="72">
        <f t="shared" si="42"/>
        <v>-0.55600000000000005</v>
      </c>
      <c r="I553" s="72" t="str">
        <f t="shared" si="43"/>
        <v>Minor Issue</v>
      </c>
    </row>
    <row r="554" spans="1:9" ht="30" x14ac:dyDescent="0.25">
      <c r="A554" s="33" t="s">
        <v>866</v>
      </c>
      <c r="B554" s="28"/>
      <c r="C554" s="29"/>
      <c r="D554" s="157">
        <f>VLOOKUP(A554, 'Purchase Register'!C:D, 2, FALSE)</f>
        <v>1</v>
      </c>
      <c r="E554" s="29">
        <f>SUMIF('Sales Register'!C:C, A554, 'Sales Register'!D:D)</f>
        <v>1</v>
      </c>
      <c r="F554" s="29">
        <f t="shared" si="44"/>
        <v>0</v>
      </c>
      <c r="G554" s="29"/>
      <c r="H554" s="157">
        <f t="shared" si="42"/>
        <v>0</v>
      </c>
      <c r="I554" s="72" t="str">
        <f t="shared" si="43"/>
        <v>OK</v>
      </c>
    </row>
    <row r="555" spans="1:9" ht="30" x14ac:dyDescent="0.25">
      <c r="A555" s="33" t="s">
        <v>867</v>
      </c>
      <c r="B555" s="28"/>
      <c r="C555" s="29"/>
      <c r="D555" s="157">
        <f>VLOOKUP(A555, 'Purchase Register'!C:D, 2, FALSE)</f>
        <v>5</v>
      </c>
      <c r="E555" s="29">
        <f>SUMIF('Sales Register'!C:C, A555, 'Sales Register'!D:D)</f>
        <v>0</v>
      </c>
      <c r="F555" s="29">
        <f t="shared" si="44"/>
        <v>5</v>
      </c>
      <c r="G555" s="29"/>
      <c r="H555" s="157">
        <f t="shared" si="42"/>
        <v>5</v>
      </c>
      <c r="I555" s="72" t="str">
        <f t="shared" si="43"/>
        <v>SERIOUS LOSS</v>
      </c>
    </row>
    <row r="556" spans="1:9" x14ac:dyDescent="0.25">
      <c r="A556" s="33" t="s">
        <v>868</v>
      </c>
      <c r="B556" s="28"/>
      <c r="C556" s="29"/>
      <c r="D556" s="157">
        <f>VLOOKUP(A556, 'Purchase Register'!C:D, 2, FALSE)</f>
        <v>2</v>
      </c>
      <c r="E556" s="29">
        <f>SUMIF('Sales Register'!C:C, A556, 'Sales Register'!D:D)</f>
        <v>2</v>
      </c>
      <c r="F556" s="29">
        <f t="shared" si="44"/>
        <v>0</v>
      </c>
      <c r="G556" s="29"/>
      <c r="H556" s="157">
        <f t="shared" si="42"/>
        <v>0</v>
      </c>
      <c r="I556" s="72" t="str">
        <f t="shared" si="43"/>
        <v>OK</v>
      </c>
    </row>
    <row r="557" spans="1:9" x14ac:dyDescent="0.25">
      <c r="A557" s="33" t="s">
        <v>869</v>
      </c>
      <c r="B557" s="28"/>
      <c r="C557" s="29"/>
      <c r="D557" s="157">
        <f>VLOOKUP(A557, 'Purchase Register'!C:D, 2, FALSE)</f>
        <v>2</v>
      </c>
      <c r="E557" s="29">
        <f>SUMIF('Sales Register'!C:C, A557, 'Sales Register'!D:D)</f>
        <v>2</v>
      </c>
      <c r="F557" s="29">
        <f t="shared" si="44"/>
        <v>0</v>
      </c>
      <c r="G557" s="29"/>
      <c r="H557" s="157">
        <f t="shared" si="42"/>
        <v>0</v>
      </c>
      <c r="I557" s="72" t="str">
        <f t="shared" si="43"/>
        <v>OK</v>
      </c>
    </row>
    <row r="558" spans="1:9" x14ac:dyDescent="0.25">
      <c r="A558" s="33" t="s">
        <v>870</v>
      </c>
      <c r="B558" s="28"/>
      <c r="C558" s="29"/>
      <c r="D558" s="157">
        <f>VLOOKUP(A558, 'Purchase Register'!C:D, 2, FALSE)</f>
        <v>2</v>
      </c>
      <c r="E558" s="29">
        <f>SUMIF('Sales Register'!C:C, A558, 'Sales Register'!D:D)</f>
        <v>2</v>
      </c>
      <c r="F558" s="29">
        <f t="shared" si="44"/>
        <v>0</v>
      </c>
      <c r="G558" s="29"/>
      <c r="H558" s="157">
        <f t="shared" si="42"/>
        <v>0</v>
      </c>
      <c r="I558" s="72" t="str">
        <f t="shared" si="43"/>
        <v>OK</v>
      </c>
    </row>
    <row r="559" spans="1:9" ht="30" x14ac:dyDescent="0.25">
      <c r="A559" s="33" t="s">
        <v>871</v>
      </c>
      <c r="B559" s="28"/>
      <c r="C559" s="29"/>
      <c r="D559" s="157">
        <f>VLOOKUP(A559, 'Purchase Register'!C:D, 2, FALSE)</f>
        <v>2</v>
      </c>
      <c r="E559" s="29">
        <f>SUMIF('Sales Register'!C:C, A559, 'Sales Register'!D:D)</f>
        <v>2</v>
      </c>
      <c r="F559" s="29">
        <f t="shared" si="44"/>
        <v>0</v>
      </c>
      <c r="G559" s="29"/>
      <c r="H559" s="157">
        <f t="shared" si="42"/>
        <v>0</v>
      </c>
      <c r="I559" s="72" t="str">
        <f t="shared" si="43"/>
        <v>OK</v>
      </c>
    </row>
    <row r="560" spans="1:9" x14ac:dyDescent="0.25">
      <c r="A560" s="33" t="s">
        <v>874</v>
      </c>
      <c r="B560" s="28"/>
      <c r="C560" s="29"/>
      <c r="D560" s="157">
        <f>VLOOKUP(A560, 'Purchase Register'!C:D, 2, FALSE)</f>
        <v>4</v>
      </c>
      <c r="E560" s="29">
        <f>SUMIF('Sales Register'!C:C, A560, 'Sales Register'!D:D)</f>
        <v>5</v>
      </c>
      <c r="F560" s="29">
        <f t="shared" si="44"/>
        <v>-1</v>
      </c>
      <c r="G560" s="29"/>
      <c r="H560" s="157">
        <f t="shared" si="42"/>
        <v>-1</v>
      </c>
      <c r="I560" s="72" t="str">
        <f t="shared" si="43"/>
        <v>Minor Issue</v>
      </c>
    </row>
    <row r="561" spans="1:9" ht="30" x14ac:dyDescent="0.25">
      <c r="A561" s="33" t="s">
        <v>873</v>
      </c>
      <c r="B561" s="28"/>
      <c r="C561" s="29"/>
      <c r="D561" s="157">
        <f>VLOOKUP(A561, 'Purchase Register'!C:D, 2, FALSE)</f>
        <v>3</v>
      </c>
      <c r="E561" s="29">
        <f>SUMIF('Sales Register'!C:C, A561, 'Sales Register'!D:D)</f>
        <v>3</v>
      </c>
      <c r="F561" s="29">
        <f t="shared" si="44"/>
        <v>0</v>
      </c>
      <c r="G561" s="29"/>
      <c r="H561" s="157">
        <f t="shared" si="42"/>
        <v>0</v>
      </c>
      <c r="I561" s="72" t="str">
        <f t="shared" si="43"/>
        <v>OK</v>
      </c>
    </row>
    <row r="562" spans="1:9" ht="30" x14ac:dyDescent="0.25">
      <c r="A562" s="33" t="s">
        <v>872</v>
      </c>
      <c r="B562" s="28"/>
      <c r="C562" s="29"/>
      <c r="D562" s="157">
        <f>VLOOKUP(A562, 'Purchase Register'!C:D, 2, FALSE)</f>
        <v>2</v>
      </c>
      <c r="E562" s="29">
        <f>SUMIF('Sales Register'!C:C, A562, 'Sales Register'!D:D)</f>
        <v>1</v>
      </c>
      <c r="F562" s="29">
        <f t="shared" si="44"/>
        <v>1</v>
      </c>
      <c r="G562" s="29"/>
      <c r="H562" s="157">
        <f t="shared" si="42"/>
        <v>1</v>
      </c>
      <c r="I562" s="72" t="str">
        <f t="shared" si="43"/>
        <v>Minor Issue</v>
      </c>
    </row>
    <row r="563" spans="1:9" ht="30" x14ac:dyDescent="0.25">
      <c r="A563" s="33" t="s">
        <v>875</v>
      </c>
      <c r="B563" s="28"/>
      <c r="C563" s="29"/>
      <c r="D563" s="157">
        <f>VLOOKUP(A563, 'Purchase Register'!C:D, 2, FALSE)</f>
        <v>2</v>
      </c>
      <c r="E563" s="29">
        <f>SUMIF('Sales Register'!C:C, A563, 'Sales Register'!D:D)</f>
        <v>2</v>
      </c>
      <c r="F563" s="29">
        <f t="shared" si="44"/>
        <v>0</v>
      </c>
      <c r="G563" s="29"/>
      <c r="H563" s="157">
        <f t="shared" si="42"/>
        <v>0</v>
      </c>
      <c r="I563" s="72" t="str">
        <f t="shared" si="43"/>
        <v>OK</v>
      </c>
    </row>
    <row r="564" spans="1:9" x14ac:dyDescent="0.25">
      <c r="A564" s="33" t="s">
        <v>876</v>
      </c>
      <c r="B564" s="28"/>
      <c r="C564" s="29"/>
      <c r="D564" s="157">
        <f>VLOOKUP(A564, 'Purchase Register'!C:D, 2, FALSE)</f>
        <v>9</v>
      </c>
      <c r="E564" s="29">
        <f>SUMIF('Sales Register'!C:C, A564, 'Sales Register'!D:D)</f>
        <v>21</v>
      </c>
      <c r="F564" s="29">
        <f t="shared" si="44"/>
        <v>-12</v>
      </c>
      <c r="G564" s="29"/>
      <c r="H564" s="157">
        <f t="shared" si="42"/>
        <v>-12</v>
      </c>
      <c r="I564" s="72" t="str">
        <f t="shared" si="43"/>
        <v>SERIOUS LOSS</v>
      </c>
    </row>
    <row r="565" spans="1:9" ht="30" x14ac:dyDescent="0.25">
      <c r="A565" s="33" t="s">
        <v>945</v>
      </c>
      <c r="B565" s="28"/>
      <c r="C565" s="29"/>
      <c r="D565" s="157">
        <f>VLOOKUP(A565, 'Purchase Register'!C:D, 2, FALSE)</f>
        <v>1</v>
      </c>
      <c r="E565" s="29">
        <f>SUMIF('Sales Register'!C:C, A565, 'Sales Register'!D:D)</f>
        <v>6.8000000000000005E-2</v>
      </c>
      <c r="F565" s="29">
        <f t="shared" si="44"/>
        <v>0.93199999999999994</v>
      </c>
      <c r="G565" s="29"/>
      <c r="H565" s="157">
        <f t="shared" si="42"/>
        <v>0.93199999999999994</v>
      </c>
      <c r="I565" s="72" t="str">
        <f t="shared" si="43"/>
        <v>Minor Issue</v>
      </c>
    </row>
    <row r="566" spans="1:9" x14ac:dyDescent="0.25">
      <c r="A566" s="33" t="s">
        <v>886</v>
      </c>
      <c r="B566" s="28"/>
      <c r="C566" s="29"/>
      <c r="D566" s="157">
        <f>VLOOKUP(A566, 'Purchase Register'!C:D, 2, FALSE)</f>
        <v>30</v>
      </c>
      <c r="E566" s="29">
        <f>SUMIF('Sales Register'!C:C, A566, 'Sales Register'!D:D)</f>
        <v>25</v>
      </c>
      <c r="F566" s="29">
        <f t="shared" si="44"/>
        <v>5</v>
      </c>
      <c r="G566" s="29"/>
      <c r="H566" s="157">
        <f t="shared" si="42"/>
        <v>5</v>
      </c>
      <c r="I566" s="72" t="str">
        <f t="shared" si="43"/>
        <v>SERIOUS LOSS</v>
      </c>
    </row>
    <row r="567" spans="1:9" x14ac:dyDescent="0.25">
      <c r="A567" s="33" t="s">
        <v>885</v>
      </c>
      <c r="B567" s="28"/>
      <c r="C567" s="29"/>
      <c r="D567" s="157">
        <f>VLOOKUP(A567, 'Purchase Register'!C:D, 2, FALSE)</f>
        <v>6</v>
      </c>
      <c r="E567" s="29">
        <f>SUMIF('Sales Register'!C:C, A567, 'Sales Register'!D:D)</f>
        <v>6</v>
      </c>
      <c r="F567" s="29">
        <f t="shared" si="44"/>
        <v>0</v>
      </c>
      <c r="G567" s="29"/>
      <c r="H567" s="157">
        <f t="shared" si="42"/>
        <v>0</v>
      </c>
      <c r="I567" s="72" t="str">
        <f t="shared" si="43"/>
        <v>OK</v>
      </c>
    </row>
    <row r="568" spans="1:9" x14ac:dyDescent="0.25">
      <c r="A568" s="33" t="s">
        <v>893</v>
      </c>
      <c r="B568" s="28"/>
      <c r="C568" s="29"/>
      <c r="D568" s="157">
        <f>VLOOKUP(A568, 'Purchase Register'!C:D, 2, FALSE)</f>
        <v>10</v>
      </c>
      <c r="E568" s="29">
        <f>SUMIF('Sales Register'!C:C, A568, 'Sales Register'!D:D)</f>
        <v>10</v>
      </c>
      <c r="F568" s="29">
        <f t="shared" si="44"/>
        <v>0</v>
      </c>
      <c r="G568" s="29"/>
      <c r="H568" s="157">
        <f t="shared" si="42"/>
        <v>0</v>
      </c>
      <c r="I568" s="72" t="str">
        <f t="shared" si="43"/>
        <v>OK</v>
      </c>
    </row>
    <row r="569" spans="1:9" x14ac:dyDescent="0.25">
      <c r="A569" s="33" t="s">
        <v>896</v>
      </c>
      <c r="B569" s="28"/>
      <c r="C569" s="29"/>
      <c r="D569" s="157">
        <f>VLOOKUP(A569, 'Purchase Register'!C:D, 2, FALSE)</f>
        <v>1</v>
      </c>
      <c r="E569" s="29">
        <f>SUMIF('Sales Register'!C:C, A569, 'Sales Register'!D:D)</f>
        <v>1.03</v>
      </c>
      <c r="F569" s="29">
        <f t="shared" si="44"/>
        <v>-3.0000000000000027E-2</v>
      </c>
      <c r="G569" s="29"/>
      <c r="H569" s="157">
        <f t="shared" si="42"/>
        <v>-3.0000000000000027E-2</v>
      </c>
      <c r="I569" s="72" t="str">
        <f t="shared" si="43"/>
        <v>Minor Issue</v>
      </c>
    </row>
    <row r="570" spans="1:9" x14ac:dyDescent="0.25">
      <c r="A570" s="33" t="s">
        <v>888</v>
      </c>
      <c r="B570" s="28"/>
      <c r="C570" s="29"/>
      <c r="D570" s="157">
        <f>VLOOKUP(A570, 'Purchase Register'!C:D, 2, FALSE)</f>
        <v>10</v>
      </c>
      <c r="E570" s="29">
        <f>SUMIF('Sales Register'!C:C, A570, 'Sales Register'!D:D)</f>
        <v>10</v>
      </c>
      <c r="F570" s="29">
        <f t="shared" si="44"/>
        <v>0</v>
      </c>
      <c r="G570" s="29"/>
      <c r="H570" s="157">
        <f t="shared" si="42"/>
        <v>0</v>
      </c>
      <c r="I570" s="72" t="str">
        <f t="shared" si="43"/>
        <v>OK</v>
      </c>
    </row>
    <row r="571" spans="1:9" x14ac:dyDescent="0.25">
      <c r="A571" s="33" t="s">
        <v>884</v>
      </c>
      <c r="B571" s="28"/>
      <c r="C571" s="29"/>
      <c r="D571" s="157">
        <f>VLOOKUP(A571, 'Purchase Register'!C:D, 2, FALSE)</f>
        <v>10</v>
      </c>
      <c r="E571" s="29">
        <f>SUMIF('Sales Register'!C:C, A571, 'Sales Register'!D:D)</f>
        <v>2</v>
      </c>
      <c r="F571" s="29">
        <f t="shared" si="44"/>
        <v>8</v>
      </c>
      <c r="G571" s="29"/>
      <c r="H571" s="157">
        <f t="shared" si="42"/>
        <v>8</v>
      </c>
      <c r="I571" s="72" t="str">
        <f t="shared" si="43"/>
        <v>SERIOUS LOSS</v>
      </c>
    </row>
    <row r="572" spans="1:9" s="77" customFormat="1" ht="30" x14ac:dyDescent="0.25">
      <c r="A572" s="70" t="s">
        <v>890</v>
      </c>
      <c r="B572" s="71"/>
      <c r="C572" s="72"/>
      <c r="D572" s="157">
        <f>VLOOKUP(A572, 'Purchase Register'!C:D, 2, FALSE)</f>
        <v>350</v>
      </c>
      <c r="E572" s="72">
        <f>SUMIF('Sales Register'!C:C, A572, 'Sales Register'!D:D)</f>
        <v>350</v>
      </c>
      <c r="F572" s="72">
        <f t="shared" si="44"/>
        <v>0</v>
      </c>
      <c r="G572" s="72"/>
      <c r="H572" s="72">
        <f t="shared" si="42"/>
        <v>0</v>
      </c>
      <c r="I572" s="72" t="str">
        <f t="shared" si="43"/>
        <v>OK</v>
      </c>
    </row>
    <row r="573" spans="1:9" ht="30" x14ac:dyDescent="0.25">
      <c r="A573" s="33" t="s">
        <v>880</v>
      </c>
      <c r="B573" s="28"/>
      <c r="C573" s="29"/>
      <c r="D573" s="157">
        <f>VLOOKUP(A573, 'Purchase Register'!C:D, 2, FALSE)</f>
        <v>10</v>
      </c>
      <c r="E573" s="29">
        <f>SUMIF('Sales Register'!C:C, A573, 'Sales Register'!D:D)</f>
        <v>3</v>
      </c>
      <c r="F573" s="29">
        <f t="shared" si="44"/>
        <v>7</v>
      </c>
      <c r="G573" s="29"/>
      <c r="H573" s="157">
        <f t="shared" si="42"/>
        <v>7</v>
      </c>
      <c r="I573" s="72" t="str">
        <f t="shared" si="43"/>
        <v>SERIOUS LOSS</v>
      </c>
    </row>
    <row r="574" spans="1:9" ht="30" x14ac:dyDescent="0.25">
      <c r="A574" s="33" t="s">
        <v>882</v>
      </c>
      <c r="B574" s="28"/>
      <c r="C574" s="29"/>
      <c r="D574" s="157">
        <f>VLOOKUP(A574, 'Purchase Register'!C:D, 2, FALSE)</f>
        <v>10</v>
      </c>
      <c r="E574" s="29">
        <f>SUMIF('Sales Register'!C:C, A574, 'Sales Register'!D:D)</f>
        <v>1</v>
      </c>
      <c r="F574" s="29">
        <f t="shared" si="44"/>
        <v>9</v>
      </c>
      <c r="G574" s="29"/>
      <c r="H574" s="157">
        <f t="shared" si="42"/>
        <v>9</v>
      </c>
      <c r="I574" s="72" t="str">
        <f t="shared" si="43"/>
        <v>SERIOUS LOSS</v>
      </c>
    </row>
    <row r="575" spans="1:9" ht="30" x14ac:dyDescent="0.25">
      <c r="A575" s="33" t="s">
        <v>883</v>
      </c>
      <c r="B575" s="28"/>
      <c r="C575" s="29"/>
      <c r="D575" s="157">
        <f>VLOOKUP(A575, 'Purchase Register'!C:D, 2, FALSE)</f>
        <v>10</v>
      </c>
      <c r="E575" s="29">
        <f>SUMIF('Sales Register'!C:C, A575, 'Sales Register'!D:D)</f>
        <v>3</v>
      </c>
      <c r="F575" s="29">
        <f t="shared" si="44"/>
        <v>7</v>
      </c>
      <c r="G575" s="29"/>
      <c r="H575" s="157">
        <f t="shared" si="42"/>
        <v>7</v>
      </c>
      <c r="I575" s="72" t="str">
        <f t="shared" si="43"/>
        <v>SERIOUS LOSS</v>
      </c>
    </row>
    <row r="576" spans="1:9" x14ac:dyDescent="0.25">
      <c r="A576" s="33" t="s">
        <v>878</v>
      </c>
      <c r="B576" s="28"/>
      <c r="C576" s="29"/>
      <c r="D576" s="157">
        <f>VLOOKUP(A576, 'Purchase Register'!C:D, 2, FALSE)</f>
        <v>2</v>
      </c>
      <c r="E576" s="29">
        <f>SUMIF('Sales Register'!C:C, A576, 'Sales Register'!D:D)</f>
        <v>2</v>
      </c>
      <c r="F576" s="29">
        <f t="shared" si="44"/>
        <v>0</v>
      </c>
      <c r="G576" s="29"/>
      <c r="H576" s="157">
        <f t="shared" si="42"/>
        <v>0</v>
      </c>
      <c r="I576" s="72" t="str">
        <f t="shared" si="43"/>
        <v>OK</v>
      </c>
    </row>
    <row r="577" spans="1:9" ht="30" x14ac:dyDescent="0.25">
      <c r="A577" s="33" t="s">
        <v>891</v>
      </c>
      <c r="B577" s="28"/>
      <c r="C577" s="29"/>
      <c r="D577" s="157">
        <f>VLOOKUP(A577, 'Purchase Register'!C:D, 2, FALSE)</f>
        <v>130</v>
      </c>
      <c r="E577" s="29">
        <f>SUMIF('Sales Register'!C:C, A577, 'Sales Register'!D:D)</f>
        <v>106</v>
      </c>
      <c r="F577" s="29">
        <f t="shared" si="44"/>
        <v>24</v>
      </c>
      <c r="G577" s="29"/>
      <c r="H577" s="157">
        <f t="shared" si="42"/>
        <v>24</v>
      </c>
      <c r="I577" s="72" t="str">
        <f t="shared" si="43"/>
        <v>SERIOUS LOSS</v>
      </c>
    </row>
    <row r="578" spans="1:9" x14ac:dyDescent="0.25">
      <c r="A578" s="33" t="s">
        <v>877</v>
      </c>
      <c r="B578" s="28"/>
      <c r="C578" s="29"/>
      <c r="D578" s="157">
        <f>VLOOKUP(A578, 'Purchase Register'!C:D, 2, FALSE)</f>
        <v>156</v>
      </c>
      <c r="E578" s="29">
        <f>SUMIF('Sales Register'!C:C, A578, 'Sales Register'!D:D)</f>
        <v>63</v>
      </c>
      <c r="F578" s="29">
        <f t="shared" si="44"/>
        <v>93</v>
      </c>
      <c r="G578" s="29"/>
      <c r="H578" s="157">
        <f t="shared" ref="H578:H641" si="45">F578-G578</f>
        <v>93</v>
      </c>
      <c r="I578" s="72" t="str">
        <f t="shared" ref="I578:I641" si="46">IF(H578=0,"OK",
IF(ABS(H578)&lt;=2,"Minor Issue","SERIOUS LOSS"))</f>
        <v>SERIOUS LOSS</v>
      </c>
    </row>
    <row r="579" spans="1:9" x14ac:dyDescent="0.25">
      <c r="A579" s="33" t="s">
        <v>887</v>
      </c>
      <c r="B579" s="28"/>
      <c r="C579" s="29"/>
      <c r="D579" s="157">
        <f>VLOOKUP(A579, 'Purchase Register'!C:D, 2, FALSE)</f>
        <v>4</v>
      </c>
      <c r="E579" s="29">
        <f>SUMIF('Sales Register'!C:C, A579, 'Sales Register'!D:D)</f>
        <v>4</v>
      </c>
      <c r="F579" s="29">
        <f t="shared" si="44"/>
        <v>0</v>
      </c>
      <c r="G579" s="29"/>
      <c r="H579" s="157">
        <f t="shared" si="45"/>
        <v>0</v>
      </c>
      <c r="I579" s="72" t="str">
        <f t="shared" si="46"/>
        <v>OK</v>
      </c>
    </row>
    <row r="580" spans="1:9" ht="30" x14ac:dyDescent="0.25">
      <c r="A580" s="33" t="s">
        <v>892</v>
      </c>
      <c r="B580" s="28"/>
      <c r="C580" s="29"/>
      <c r="D580" s="157">
        <f>VLOOKUP(A580, 'Purchase Register'!C:D, 2, FALSE)</f>
        <v>22</v>
      </c>
      <c r="E580" s="29">
        <f>SUMIF('Sales Register'!C:C, A580, 'Sales Register'!D:D)</f>
        <v>22</v>
      </c>
      <c r="F580" s="29">
        <f t="shared" si="44"/>
        <v>0</v>
      </c>
      <c r="G580" s="29"/>
      <c r="H580" s="157">
        <f t="shared" si="45"/>
        <v>0</v>
      </c>
      <c r="I580" s="72" t="str">
        <f t="shared" si="46"/>
        <v>OK</v>
      </c>
    </row>
    <row r="581" spans="1:9" ht="30" x14ac:dyDescent="0.25">
      <c r="A581" s="33" t="s">
        <v>879</v>
      </c>
      <c r="B581" s="28"/>
      <c r="C581" s="29"/>
      <c r="D581" s="157">
        <f>VLOOKUP(A581, 'Purchase Register'!C:D, 2, FALSE)</f>
        <v>12</v>
      </c>
      <c r="E581" s="29">
        <f>SUMIF('Sales Register'!C:C, A581, 'Sales Register'!D:D)</f>
        <v>1</v>
      </c>
      <c r="F581" s="29">
        <f t="shared" si="44"/>
        <v>11</v>
      </c>
      <c r="G581" s="29"/>
      <c r="H581" s="157">
        <f t="shared" si="45"/>
        <v>11</v>
      </c>
      <c r="I581" s="72" t="str">
        <f t="shared" si="46"/>
        <v>SERIOUS LOSS</v>
      </c>
    </row>
    <row r="582" spans="1:9" x14ac:dyDescent="0.25">
      <c r="A582" s="33" t="s">
        <v>889</v>
      </c>
      <c r="B582" s="28"/>
      <c r="C582" s="29"/>
      <c r="D582" s="157">
        <f>VLOOKUP(A582, 'Purchase Register'!C:D, 2, FALSE)</f>
        <v>3</v>
      </c>
      <c r="E582" s="29">
        <f>SUMIF('Sales Register'!C:C, A582, 'Sales Register'!D:D)</f>
        <v>3</v>
      </c>
      <c r="F582" s="29">
        <f t="shared" si="44"/>
        <v>0</v>
      </c>
      <c r="G582" s="29"/>
      <c r="H582" s="157">
        <f t="shared" si="45"/>
        <v>0</v>
      </c>
      <c r="I582" s="72" t="str">
        <f t="shared" si="46"/>
        <v>OK</v>
      </c>
    </row>
    <row r="583" spans="1:9" ht="30" x14ac:dyDescent="0.25">
      <c r="A583" s="33" t="s">
        <v>881</v>
      </c>
      <c r="B583" s="28"/>
      <c r="C583" s="29"/>
      <c r="D583" s="157">
        <f>VLOOKUP(A583, 'Purchase Register'!C:D, 2, FALSE)</f>
        <v>12</v>
      </c>
      <c r="E583" s="29">
        <f>SUMIF('Sales Register'!C:C, A583, 'Sales Register'!D:D)</f>
        <v>2</v>
      </c>
      <c r="F583" s="29">
        <f t="shared" si="44"/>
        <v>10</v>
      </c>
      <c r="G583" s="29"/>
      <c r="H583" s="157">
        <f t="shared" si="45"/>
        <v>10</v>
      </c>
      <c r="I583" s="72" t="str">
        <f t="shared" si="46"/>
        <v>SERIOUS LOSS</v>
      </c>
    </row>
    <row r="584" spans="1:9" x14ac:dyDescent="0.25">
      <c r="A584" s="33" t="s">
        <v>894</v>
      </c>
      <c r="B584" s="28"/>
      <c r="C584" s="29"/>
      <c r="D584" s="157">
        <f>VLOOKUP(A584, 'Purchase Register'!C:D, 2, FALSE)</f>
        <v>0.2</v>
      </c>
      <c r="E584" s="29">
        <f>SUMIF('Sales Register'!C:C, A584, 'Sales Register'!D:D)</f>
        <v>1.2999999999999999E-2</v>
      </c>
      <c r="F584" s="29">
        <f t="shared" si="44"/>
        <v>0.187</v>
      </c>
      <c r="G584" s="29"/>
      <c r="H584" s="157">
        <f t="shared" si="45"/>
        <v>0.187</v>
      </c>
      <c r="I584" s="72" t="str">
        <f t="shared" si="46"/>
        <v>Minor Issue</v>
      </c>
    </row>
    <row r="585" spans="1:9" x14ac:dyDescent="0.25">
      <c r="A585" s="33" t="s">
        <v>895</v>
      </c>
      <c r="B585" s="28"/>
      <c r="C585" s="29"/>
      <c r="D585" s="157">
        <f>VLOOKUP(A585, 'Purchase Register'!C:D, 2, FALSE)</f>
        <v>0.5</v>
      </c>
      <c r="E585" s="29">
        <f>SUMIF('Sales Register'!C:C, A585, 'Sales Register'!D:D)</f>
        <v>0</v>
      </c>
      <c r="F585" s="29">
        <f t="shared" si="44"/>
        <v>0.5</v>
      </c>
      <c r="G585" s="29"/>
      <c r="H585" s="157">
        <f t="shared" si="45"/>
        <v>0.5</v>
      </c>
      <c r="I585" s="72" t="str">
        <f t="shared" si="46"/>
        <v>Minor Issue</v>
      </c>
    </row>
    <row r="586" spans="1:9" ht="30" x14ac:dyDescent="0.25">
      <c r="A586" s="33" t="s">
        <v>897</v>
      </c>
      <c r="B586" s="28"/>
      <c r="C586" s="29"/>
      <c r="D586" s="157">
        <f>VLOOKUP(A586, 'Purchase Register'!C:D, 2, FALSE)</f>
        <v>64</v>
      </c>
      <c r="E586" s="29">
        <f>SUMIF('Sales Register'!C:C, A586, 'Sales Register'!D:D)</f>
        <v>88</v>
      </c>
      <c r="F586" s="29">
        <f t="shared" si="44"/>
        <v>-24</v>
      </c>
      <c r="G586" s="29"/>
      <c r="H586" s="157">
        <f t="shared" si="45"/>
        <v>-24</v>
      </c>
      <c r="I586" s="72" t="str">
        <f t="shared" si="46"/>
        <v>SERIOUS LOSS</v>
      </c>
    </row>
    <row r="587" spans="1:9" x14ac:dyDescent="0.25">
      <c r="A587" s="33" t="s">
        <v>898</v>
      </c>
      <c r="B587" s="28"/>
      <c r="C587" s="29"/>
      <c r="D587" s="157">
        <f>VLOOKUP(A587, 'Purchase Register'!C:D, 2, FALSE)</f>
        <v>192</v>
      </c>
      <c r="E587" s="29">
        <f>SUMIF('Sales Register'!C:C, A587, 'Sales Register'!D:D)</f>
        <v>0</v>
      </c>
      <c r="F587" s="29">
        <f t="shared" si="44"/>
        <v>192</v>
      </c>
      <c r="G587" s="29"/>
      <c r="H587" s="157">
        <f t="shared" si="45"/>
        <v>192</v>
      </c>
      <c r="I587" s="72" t="str">
        <f t="shared" si="46"/>
        <v>SERIOUS LOSS</v>
      </c>
    </row>
    <row r="588" spans="1:9" x14ac:dyDescent="0.25">
      <c r="A588" s="33" t="s">
        <v>899</v>
      </c>
      <c r="B588" s="28"/>
      <c r="C588" s="29"/>
      <c r="D588" s="157">
        <f>VLOOKUP(A588, 'Purchase Register'!C:D, 2, FALSE)</f>
        <v>36</v>
      </c>
      <c r="E588" s="29">
        <f>SUMIF('Sales Register'!C:C, A588, 'Sales Register'!D:D)</f>
        <v>0</v>
      </c>
      <c r="F588" s="29">
        <f t="shared" si="44"/>
        <v>36</v>
      </c>
      <c r="G588" s="29"/>
      <c r="H588" s="157">
        <f t="shared" si="45"/>
        <v>36</v>
      </c>
      <c r="I588" s="72" t="str">
        <f t="shared" si="46"/>
        <v>SERIOUS LOSS</v>
      </c>
    </row>
    <row r="589" spans="1:9" s="77" customFormat="1" x14ac:dyDescent="0.25">
      <c r="A589" s="70" t="s">
        <v>901</v>
      </c>
      <c r="B589" s="71"/>
      <c r="C589" s="72"/>
      <c r="D589" s="157">
        <f>VLOOKUP(A589, 'Purchase Register'!C:D, 2, FALSE)</f>
        <v>4</v>
      </c>
      <c r="E589" s="72">
        <f>SUMIF('Sales Register'!C:C, A589, 'Sales Register'!D:D)</f>
        <v>5.3</v>
      </c>
      <c r="F589" s="72">
        <f t="shared" si="44"/>
        <v>-1.2999999999999998</v>
      </c>
      <c r="G589" s="72"/>
      <c r="H589" s="72">
        <f t="shared" si="45"/>
        <v>-1.2999999999999998</v>
      </c>
      <c r="I589" s="72" t="str">
        <f t="shared" si="46"/>
        <v>Minor Issue</v>
      </c>
    </row>
    <row r="590" spans="1:9" x14ac:dyDescent="0.25">
      <c r="A590" s="33" t="s">
        <v>902</v>
      </c>
      <c r="B590" s="28"/>
      <c r="C590" s="29"/>
      <c r="D590" s="157">
        <f>VLOOKUP(A590, 'Purchase Register'!C:D, 2, FALSE)</f>
        <v>10</v>
      </c>
      <c r="E590" s="29">
        <f>SUMIF('Sales Register'!C:C, A590, 'Sales Register'!D:D)</f>
        <v>0.23</v>
      </c>
      <c r="F590" s="29">
        <f t="shared" si="44"/>
        <v>9.77</v>
      </c>
      <c r="G590" s="29"/>
      <c r="H590" s="157">
        <f t="shared" si="45"/>
        <v>9.77</v>
      </c>
      <c r="I590" s="72" t="str">
        <f t="shared" si="46"/>
        <v>SERIOUS LOSS</v>
      </c>
    </row>
    <row r="591" spans="1:9" x14ac:dyDescent="0.25">
      <c r="A591" s="33" t="s">
        <v>903</v>
      </c>
      <c r="B591" s="28"/>
      <c r="C591" s="29"/>
      <c r="D591" s="157">
        <f>VLOOKUP(A591, 'Purchase Register'!C:D, 2, FALSE)</f>
        <v>1</v>
      </c>
      <c r="E591" s="29">
        <f>SUMIF('Sales Register'!C:C, A591, 'Sales Register'!D:D)</f>
        <v>0.4</v>
      </c>
      <c r="F591" s="29">
        <f t="shared" si="44"/>
        <v>0.6</v>
      </c>
      <c r="G591" s="29"/>
      <c r="H591" s="157">
        <f t="shared" si="45"/>
        <v>0.6</v>
      </c>
      <c r="I591" s="72" t="str">
        <f t="shared" si="46"/>
        <v>Minor Issue</v>
      </c>
    </row>
    <row r="592" spans="1:9" x14ac:dyDescent="0.25">
      <c r="A592" s="33" t="s">
        <v>904</v>
      </c>
      <c r="B592" s="28"/>
      <c r="C592" s="29"/>
      <c r="D592" s="157">
        <f>VLOOKUP(A592, 'Purchase Register'!C:D, 2, FALSE)</f>
        <v>1</v>
      </c>
      <c r="E592" s="29">
        <f>SUMIF('Sales Register'!C:C, A592, 'Sales Register'!D:D)</f>
        <v>0.2</v>
      </c>
      <c r="F592" s="29">
        <f t="shared" si="44"/>
        <v>0.8</v>
      </c>
      <c r="G592" s="29"/>
      <c r="H592" s="157">
        <f t="shared" si="45"/>
        <v>0.8</v>
      </c>
      <c r="I592" s="72" t="str">
        <f t="shared" si="46"/>
        <v>Minor Issue</v>
      </c>
    </row>
    <row r="593" spans="1:9" s="77" customFormat="1" x14ac:dyDescent="0.25">
      <c r="A593" s="70" t="s">
        <v>905</v>
      </c>
      <c r="B593" s="71"/>
      <c r="C593" s="72"/>
      <c r="D593" s="157">
        <f>VLOOKUP(A593, 'Purchase Register'!C:D, 2, FALSE)</f>
        <v>60</v>
      </c>
      <c r="E593" s="72">
        <f>SUMIF('Sales Register'!C:C, A593, 'Sales Register'!D:D)</f>
        <v>60</v>
      </c>
      <c r="F593" s="72">
        <f t="shared" si="44"/>
        <v>0</v>
      </c>
      <c r="G593" s="72"/>
      <c r="H593" s="72">
        <f t="shared" si="45"/>
        <v>0</v>
      </c>
      <c r="I593" s="72" t="str">
        <f t="shared" si="46"/>
        <v>OK</v>
      </c>
    </row>
    <row r="594" spans="1:9" x14ac:dyDescent="0.25">
      <c r="A594" s="33" t="s">
        <v>908</v>
      </c>
      <c r="B594" s="28"/>
      <c r="C594" s="29"/>
      <c r="D594" s="157">
        <f>VLOOKUP(A594, 'Purchase Register'!C:D, 2, FALSE)</f>
        <v>6</v>
      </c>
      <c r="E594" s="157">
        <f>SUMIF('Sales Register'!C:C, A594, 'Sales Register'!D:D)</f>
        <v>2</v>
      </c>
      <c r="F594" s="29">
        <f t="shared" si="44"/>
        <v>4</v>
      </c>
      <c r="G594" s="29"/>
      <c r="H594" s="157">
        <f t="shared" si="45"/>
        <v>4</v>
      </c>
      <c r="I594" s="72" t="str">
        <f t="shared" si="46"/>
        <v>SERIOUS LOSS</v>
      </c>
    </row>
    <row r="595" spans="1:9" x14ac:dyDescent="0.25">
      <c r="A595" s="33" t="s">
        <v>909</v>
      </c>
      <c r="B595" s="28"/>
      <c r="C595" s="29"/>
      <c r="D595" s="157">
        <f>VLOOKUP(A595, 'Purchase Register'!C:D, 2, FALSE)</f>
        <v>6</v>
      </c>
      <c r="E595" s="157">
        <f>SUMIF('Sales Register'!C:C, A595, 'Sales Register'!D:D)</f>
        <v>6</v>
      </c>
      <c r="F595" s="29">
        <f t="shared" si="44"/>
        <v>0</v>
      </c>
      <c r="G595" s="29"/>
      <c r="H595" s="157">
        <f t="shared" si="45"/>
        <v>0</v>
      </c>
      <c r="I595" s="72" t="str">
        <f t="shared" si="46"/>
        <v>OK</v>
      </c>
    </row>
    <row r="596" spans="1:9" x14ac:dyDescent="0.25">
      <c r="A596" s="33" t="s">
        <v>910</v>
      </c>
      <c r="B596" s="28"/>
      <c r="C596" s="29"/>
      <c r="D596" s="157">
        <f>VLOOKUP(A596, 'Purchase Register'!C:D, 2, FALSE)</f>
        <v>3</v>
      </c>
      <c r="E596" s="157">
        <f>SUMIF('Sales Register'!C:C, A596, 'Sales Register'!D:D)</f>
        <v>0</v>
      </c>
      <c r="F596" s="29">
        <f t="shared" ref="F596:F659" si="47">C596+D596-E596</f>
        <v>3</v>
      </c>
      <c r="G596" s="29"/>
      <c r="H596" s="157">
        <f t="shared" si="45"/>
        <v>3</v>
      </c>
      <c r="I596" s="72" t="str">
        <f t="shared" si="46"/>
        <v>SERIOUS LOSS</v>
      </c>
    </row>
    <row r="597" spans="1:9" x14ac:dyDescent="0.25">
      <c r="A597" s="33" t="s">
        <v>911</v>
      </c>
      <c r="B597" s="28"/>
      <c r="C597" s="29"/>
      <c r="D597" s="157">
        <f>VLOOKUP(A597, 'Purchase Register'!C:D, 2, FALSE)</f>
        <v>60</v>
      </c>
      <c r="E597" s="157">
        <f>SUMIF('Sales Register'!C:C, A597, 'Sales Register'!D:D)</f>
        <v>59</v>
      </c>
      <c r="F597" s="29">
        <f t="shared" si="47"/>
        <v>1</v>
      </c>
      <c r="G597" s="29"/>
      <c r="H597" s="157">
        <f t="shared" si="45"/>
        <v>1</v>
      </c>
      <c r="I597" s="72" t="str">
        <f t="shared" si="46"/>
        <v>Minor Issue</v>
      </c>
    </row>
    <row r="598" spans="1:9" ht="30" x14ac:dyDescent="0.25">
      <c r="A598" s="33" t="s">
        <v>912</v>
      </c>
      <c r="B598" s="28"/>
      <c r="C598" s="29"/>
      <c r="D598" s="157">
        <f>VLOOKUP(A598, 'Purchase Register'!C:D, 2, FALSE)</f>
        <v>24</v>
      </c>
      <c r="E598" s="157">
        <f>SUMIF('Sales Register'!C:C, A598, 'Sales Register'!D:D)</f>
        <v>24</v>
      </c>
      <c r="F598" s="29">
        <f t="shared" si="47"/>
        <v>0</v>
      </c>
      <c r="G598" s="29"/>
      <c r="H598" s="157">
        <f t="shared" si="45"/>
        <v>0</v>
      </c>
      <c r="I598" s="72" t="str">
        <f t="shared" si="46"/>
        <v>OK</v>
      </c>
    </row>
    <row r="599" spans="1:9" ht="30" x14ac:dyDescent="0.25">
      <c r="A599" s="33" t="s">
        <v>913</v>
      </c>
      <c r="B599" s="28"/>
      <c r="C599" s="29"/>
      <c r="D599" s="157">
        <f>VLOOKUP(A599, 'Purchase Register'!C:D, 2, FALSE)</f>
        <v>6</v>
      </c>
      <c r="E599" s="157">
        <f>SUMIF('Sales Register'!C:C, A599, 'Sales Register'!D:D)</f>
        <v>5</v>
      </c>
      <c r="F599" s="29">
        <f t="shared" si="47"/>
        <v>1</v>
      </c>
      <c r="G599" s="29"/>
      <c r="H599" s="157">
        <f t="shared" si="45"/>
        <v>1</v>
      </c>
      <c r="I599" s="72" t="str">
        <f t="shared" si="46"/>
        <v>Minor Issue</v>
      </c>
    </row>
    <row r="600" spans="1:9" x14ac:dyDescent="0.25">
      <c r="A600" s="33" t="s">
        <v>914</v>
      </c>
      <c r="B600" s="28"/>
      <c r="C600" s="29"/>
      <c r="D600" s="157">
        <f>VLOOKUP(A600, 'Purchase Register'!C:D, 2, FALSE)</f>
        <v>6</v>
      </c>
      <c r="E600" s="157">
        <f>SUMIF('Sales Register'!C:C, A600, 'Sales Register'!D:D)</f>
        <v>9</v>
      </c>
      <c r="F600" s="29">
        <f t="shared" si="47"/>
        <v>-3</v>
      </c>
      <c r="G600" s="29"/>
      <c r="H600" s="157">
        <f t="shared" si="45"/>
        <v>-3</v>
      </c>
      <c r="I600" s="72" t="str">
        <f t="shared" si="46"/>
        <v>SERIOUS LOSS</v>
      </c>
    </row>
    <row r="601" spans="1:9" x14ac:dyDescent="0.25">
      <c r="A601" s="33" t="s">
        <v>915</v>
      </c>
      <c r="B601" s="28"/>
      <c r="C601" s="29"/>
      <c r="D601" s="157">
        <f>VLOOKUP(A601, 'Purchase Register'!C:D, 2, FALSE)</f>
        <v>56</v>
      </c>
      <c r="E601" s="157">
        <f>SUMIF('Sales Register'!C:C, A601, 'Sales Register'!D:D)</f>
        <v>54</v>
      </c>
      <c r="F601" s="29">
        <f t="shared" si="47"/>
        <v>2</v>
      </c>
      <c r="G601" s="29"/>
      <c r="H601" s="157">
        <f t="shared" si="45"/>
        <v>2</v>
      </c>
      <c r="I601" s="72" t="str">
        <f t="shared" si="46"/>
        <v>Minor Issue</v>
      </c>
    </row>
    <row r="602" spans="1:9" x14ac:dyDescent="0.25">
      <c r="A602" s="33" t="s">
        <v>916</v>
      </c>
      <c r="B602" s="28"/>
      <c r="C602" s="29"/>
      <c r="D602" s="157">
        <f>VLOOKUP(A602, 'Purchase Register'!C:D, 2, FALSE)</f>
        <v>24</v>
      </c>
      <c r="E602" s="157">
        <f>SUMIF('Sales Register'!C:C, A602, 'Sales Register'!D:D)</f>
        <v>9</v>
      </c>
      <c r="F602" s="29">
        <f t="shared" si="47"/>
        <v>15</v>
      </c>
      <c r="G602" s="29"/>
      <c r="H602" s="157">
        <f t="shared" si="45"/>
        <v>15</v>
      </c>
      <c r="I602" s="72" t="str">
        <f t="shared" si="46"/>
        <v>SERIOUS LOSS</v>
      </c>
    </row>
    <row r="603" spans="1:9" x14ac:dyDescent="0.25">
      <c r="A603" s="33" t="s">
        <v>917</v>
      </c>
      <c r="B603" s="28"/>
      <c r="C603" s="29"/>
      <c r="D603" s="157">
        <f>VLOOKUP(A603, 'Purchase Register'!C:D, 2, FALSE)</f>
        <v>6</v>
      </c>
      <c r="E603" s="157">
        <f>SUMIF('Sales Register'!C:C, A603, 'Sales Register'!D:D)</f>
        <v>7</v>
      </c>
      <c r="F603" s="29">
        <f t="shared" si="47"/>
        <v>-1</v>
      </c>
      <c r="G603" s="29"/>
      <c r="H603" s="157">
        <f t="shared" si="45"/>
        <v>-1</v>
      </c>
      <c r="I603" s="72" t="str">
        <f t="shared" si="46"/>
        <v>Minor Issue</v>
      </c>
    </row>
    <row r="604" spans="1:9" x14ac:dyDescent="0.25">
      <c r="A604" s="33" t="s">
        <v>918</v>
      </c>
      <c r="B604" s="28"/>
      <c r="C604" s="29"/>
      <c r="D604" s="157">
        <f>VLOOKUP(A604, 'Purchase Register'!C:D, 2, FALSE)</f>
        <v>6</v>
      </c>
      <c r="E604" s="157">
        <f>SUMIF('Sales Register'!C:C, A604, 'Sales Register'!D:D)</f>
        <v>1</v>
      </c>
      <c r="F604" s="29">
        <f t="shared" si="47"/>
        <v>5</v>
      </c>
      <c r="G604" s="29"/>
      <c r="H604" s="157">
        <f t="shared" si="45"/>
        <v>5</v>
      </c>
      <c r="I604" s="72" t="str">
        <f t="shared" si="46"/>
        <v>SERIOUS LOSS</v>
      </c>
    </row>
    <row r="605" spans="1:9" x14ac:dyDescent="0.25">
      <c r="A605" s="33" t="s">
        <v>919</v>
      </c>
      <c r="B605" s="28"/>
      <c r="C605" s="29"/>
      <c r="D605" s="157">
        <f>VLOOKUP(A605, 'Purchase Register'!C:D, 2, FALSE)</f>
        <v>30</v>
      </c>
      <c r="E605" s="157">
        <f>SUMIF('Sales Register'!C:C, A605, 'Sales Register'!D:D)</f>
        <v>0</v>
      </c>
      <c r="F605" s="29">
        <f t="shared" si="47"/>
        <v>30</v>
      </c>
      <c r="G605" s="29"/>
      <c r="H605" s="157">
        <f t="shared" si="45"/>
        <v>30</v>
      </c>
      <c r="I605" s="72" t="str">
        <f t="shared" si="46"/>
        <v>SERIOUS LOSS</v>
      </c>
    </row>
    <row r="606" spans="1:9" ht="30" x14ac:dyDescent="0.25">
      <c r="A606" s="33" t="s">
        <v>920</v>
      </c>
      <c r="B606" s="28"/>
      <c r="C606" s="29"/>
      <c r="D606" s="157">
        <f>VLOOKUP(A606, 'Purchase Register'!C:D, 2, FALSE)</f>
        <v>4</v>
      </c>
      <c r="E606" s="157">
        <f>SUMIF('Sales Register'!C:C, A606, 'Sales Register'!D:D)</f>
        <v>3</v>
      </c>
      <c r="F606" s="29">
        <f t="shared" si="47"/>
        <v>1</v>
      </c>
      <c r="G606" s="29"/>
      <c r="H606" s="157">
        <f t="shared" si="45"/>
        <v>1</v>
      </c>
      <c r="I606" s="72" t="str">
        <f t="shared" si="46"/>
        <v>Minor Issue</v>
      </c>
    </row>
    <row r="607" spans="1:9" x14ac:dyDescent="0.25">
      <c r="A607" s="33" t="s">
        <v>921</v>
      </c>
      <c r="B607" s="28"/>
      <c r="C607" s="29"/>
      <c r="D607" s="157">
        <f>VLOOKUP(A607, 'Purchase Register'!C:D, 2, FALSE)</f>
        <v>24</v>
      </c>
      <c r="E607" s="157">
        <f>SUMIF('Sales Register'!C:C, A607, 'Sales Register'!D:D)</f>
        <v>4</v>
      </c>
      <c r="F607" s="29">
        <f t="shared" si="47"/>
        <v>20</v>
      </c>
      <c r="G607" s="29"/>
      <c r="H607" s="157">
        <f t="shared" si="45"/>
        <v>20</v>
      </c>
      <c r="I607" s="72" t="str">
        <f t="shared" si="46"/>
        <v>SERIOUS LOSS</v>
      </c>
    </row>
    <row r="608" spans="1:9" x14ac:dyDescent="0.25">
      <c r="A608" s="33" t="s">
        <v>922</v>
      </c>
      <c r="B608" s="28"/>
      <c r="C608" s="29"/>
      <c r="D608" s="157">
        <f>VLOOKUP(A608, 'Purchase Register'!C:D, 2, FALSE)</f>
        <v>5</v>
      </c>
      <c r="E608" s="157">
        <f>SUMIF('Sales Register'!C:C, A608, 'Sales Register'!D:D)</f>
        <v>5</v>
      </c>
      <c r="F608" s="29">
        <f t="shared" si="47"/>
        <v>0</v>
      </c>
      <c r="G608" s="29"/>
      <c r="H608" s="157">
        <f t="shared" si="45"/>
        <v>0</v>
      </c>
      <c r="I608" s="72" t="str">
        <f t="shared" si="46"/>
        <v>OK</v>
      </c>
    </row>
    <row r="609" spans="1:9" x14ac:dyDescent="0.25">
      <c r="A609" s="33" t="s">
        <v>923</v>
      </c>
      <c r="B609" s="28"/>
      <c r="C609" s="29"/>
      <c r="D609" s="157">
        <f>VLOOKUP(A609, 'Purchase Register'!C:D, 2, FALSE)</f>
        <v>5</v>
      </c>
      <c r="E609" s="157">
        <f>SUMIF('Sales Register'!C:C, A609, 'Sales Register'!D:D)</f>
        <v>5</v>
      </c>
      <c r="F609" s="29">
        <f t="shared" si="47"/>
        <v>0</v>
      </c>
      <c r="G609" s="29"/>
      <c r="H609" s="157">
        <f t="shared" si="45"/>
        <v>0</v>
      </c>
      <c r="I609" s="72" t="str">
        <f t="shared" si="46"/>
        <v>OK</v>
      </c>
    </row>
    <row r="610" spans="1:9" ht="30" x14ac:dyDescent="0.25">
      <c r="A610" s="33" t="s">
        <v>924</v>
      </c>
      <c r="B610" s="28"/>
      <c r="C610" s="29"/>
      <c r="D610" s="157">
        <f>VLOOKUP(A610, 'Purchase Register'!C:D, 2, FALSE)</f>
        <v>2</v>
      </c>
      <c r="E610" s="157">
        <f>SUMIF('Sales Register'!C:C, A610, 'Sales Register'!D:D)</f>
        <v>1</v>
      </c>
      <c r="F610" s="29">
        <f t="shared" si="47"/>
        <v>1</v>
      </c>
      <c r="G610" s="29"/>
      <c r="H610" s="157">
        <f t="shared" si="45"/>
        <v>1</v>
      </c>
      <c r="I610" s="72" t="str">
        <f t="shared" si="46"/>
        <v>Minor Issue</v>
      </c>
    </row>
    <row r="611" spans="1:9" x14ac:dyDescent="0.25">
      <c r="A611" s="33" t="s">
        <v>925</v>
      </c>
      <c r="B611" s="28"/>
      <c r="C611" s="29"/>
      <c r="D611" s="157">
        <f>VLOOKUP(A611, 'Purchase Register'!C:D, 2, FALSE)</f>
        <v>5</v>
      </c>
      <c r="E611" s="157">
        <f>SUMIF('Sales Register'!C:C, A611, 'Sales Register'!D:D)</f>
        <v>4</v>
      </c>
      <c r="F611" s="29">
        <f t="shared" si="47"/>
        <v>1</v>
      </c>
      <c r="G611" s="29"/>
      <c r="H611" s="157">
        <f t="shared" si="45"/>
        <v>1</v>
      </c>
      <c r="I611" s="72" t="str">
        <f t="shared" si="46"/>
        <v>Minor Issue</v>
      </c>
    </row>
    <row r="612" spans="1:9" x14ac:dyDescent="0.25">
      <c r="A612" s="33" t="s">
        <v>926</v>
      </c>
      <c r="B612" s="28"/>
      <c r="C612" s="29"/>
      <c r="D612" s="157">
        <f>VLOOKUP(A612, 'Purchase Register'!C:D, 2, FALSE)</f>
        <v>3</v>
      </c>
      <c r="E612" s="157">
        <f>SUMIF('Sales Register'!C:C, A612, 'Sales Register'!D:D)</f>
        <v>3</v>
      </c>
      <c r="F612" s="29">
        <f t="shared" si="47"/>
        <v>0</v>
      </c>
      <c r="G612" s="29"/>
      <c r="H612" s="157">
        <f t="shared" si="45"/>
        <v>0</v>
      </c>
      <c r="I612" s="72" t="str">
        <f t="shared" si="46"/>
        <v>OK</v>
      </c>
    </row>
    <row r="613" spans="1:9" s="77" customFormat="1" x14ac:dyDescent="0.25">
      <c r="A613" s="70" t="s">
        <v>927</v>
      </c>
      <c r="B613" s="71"/>
      <c r="C613" s="72"/>
      <c r="D613" s="157">
        <f>VLOOKUP(A613, 'Purchase Register'!C:D, 2, FALSE)</f>
        <v>4</v>
      </c>
      <c r="E613" s="157">
        <f>SUMIF('Sales Register'!C:C, A613, 'Sales Register'!D:D)</f>
        <v>4</v>
      </c>
      <c r="F613" s="72">
        <f t="shared" si="47"/>
        <v>0</v>
      </c>
      <c r="G613" s="72"/>
      <c r="H613" s="72">
        <f t="shared" si="45"/>
        <v>0</v>
      </c>
      <c r="I613" s="72" t="str">
        <f t="shared" si="46"/>
        <v>OK</v>
      </c>
    </row>
    <row r="614" spans="1:9" ht="30" x14ac:dyDescent="0.25">
      <c r="A614" s="33" t="s">
        <v>928</v>
      </c>
      <c r="B614" s="28"/>
      <c r="C614" s="29"/>
      <c r="D614" s="157">
        <f>VLOOKUP(A614, 'Purchase Register'!C:D, 2, FALSE)</f>
        <v>3</v>
      </c>
      <c r="E614" s="157">
        <f>SUMIF('Sales Register'!C:C, A614, 'Sales Register'!D:D)</f>
        <v>3</v>
      </c>
      <c r="F614" s="29">
        <f t="shared" si="47"/>
        <v>0</v>
      </c>
      <c r="G614" s="29"/>
      <c r="H614" s="157">
        <f t="shared" si="45"/>
        <v>0</v>
      </c>
      <c r="I614" s="72" t="str">
        <f t="shared" si="46"/>
        <v>OK</v>
      </c>
    </row>
    <row r="615" spans="1:9" s="77" customFormat="1" x14ac:dyDescent="0.25">
      <c r="A615" s="70" t="s">
        <v>929</v>
      </c>
      <c r="B615" s="71"/>
      <c r="C615" s="72"/>
      <c r="D615" s="157">
        <f>VLOOKUP(A615, 'Purchase Register'!C:D, 2, FALSE)</f>
        <v>7</v>
      </c>
      <c r="E615" s="72">
        <f>SUMIF('Sales Register'!C:C, A615, 'Sales Register'!D:D)</f>
        <v>7</v>
      </c>
      <c r="F615" s="72">
        <f t="shared" si="47"/>
        <v>0</v>
      </c>
      <c r="G615" s="72"/>
      <c r="H615" s="72">
        <f t="shared" si="45"/>
        <v>0</v>
      </c>
      <c r="I615" s="72" t="str">
        <f t="shared" si="46"/>
        <v>OK</v>
      </c>
    </row>
    <row r="616" spans="1:9" x14ac:dyDescent="0.25">
      <c r="A616" s="33" t="s">
        <v>930</v>
      </c>
      <c r="B616" s="28"/>
      <c r="C616" s="29"/>
      <c r="D616" s="157">
        <f>VLOOKUP(A616, 'Purchase Register'!C:D, 2, FALSE)</f>
        <v>2</v>
      </c>
      <c r="E616" s="157">
        <f>SUMIF('Sales Register'!C:C, A616, 'Sales Register'!D:D)</f>
        <v>4</v>
      </c>
      <c r="F616" s="29">
        <f t="shared" si="47"/>
        <v>-2</v>
      </c>
      <c r="G616" s="29"/>
      <c r="H616" s="157">
        <f t="shared" si="45"/>
        <v>-2</v>
      </c>
      <c r="I616" s="72" t="str">
        <f t="shared" si="46"/>
        <v>Minor Issue</v>
      </c>
    </row>
    <row r="617" spans="1:9" ht="30" x14ac:dyDescent="0.25">
      <c r="A617" s="33" t="s">
        <v>931</v>
      </c>
      <c r="B617" s="28"/>
      <c r="C617" s="29"/>
      <c r="D617" s="157">
        <f>VLOOKUP(A617, 'Purchase Register'!C:D, 2, FALSE)</f>
        <v>4</v>
      </c>
      <c r="E617" s="157">
        <f>SUMIF('Sales Register'!C:C, A617, 'Sales Register'!D:D)</f>
        <v>3</v>
      </c>
      <c r="F617" s="29">
        <f t="shared" si="47"/>
        <v>1</v>
      </c>
      <c r="G617" s="29"/>
      <c r="H617" s="157">
        <f t="shared" si="45"/>
        <v>1</v>
      </c>
      <c r="I617" s="72" t="str">
        <f t="shared" si="46"/>
        <v>Minor Issue</v>
      </c>
    </row>
    <row r="618" spans="1:9" ht="30" x14ac:dyDescent="0.25">
      <c r="A618" s="33" t="s">
        <v>935</v>
      </c>
      <c r="B618" s="28"/>
      <c r="C618" s="29"/>
      <c r="D618" s="157">
        <f>VLOOKUP(A618, 'Purchase Register'!C:D, 2, FALSE)</f>
        <v>2</v>
      </c>
      <c r="E618" s="157">
        <f>SUMIF('Sales Register'!C:C, A618, 'Sales Register'!D:D)</f>
        <v>2</v>
      </c>
      <c r="F618" s="29">
        <f t="shared" si="47"/>
        <v>0</v>
      </c>
      <c r="G618" s="29"/>
      <c r="H618" s="157">
        <f t="shared" si="45"/>
        <v>0</v>
      </c>
      <c r="I618" s="72" t="str">
        <f t="shared" si="46"/>
        <v>OK</v>
      </c>
    </row>
    <row r="619" spans="1:9" ht="30" x14ac:dyDescent="0.25">
      <c r="A619" s="33" t="s">
        <v>934</v>
      </c>
      <c r="B619" s="28"/>
      <c r="C619" s="29"/>
      <c r="D619" s="157">
        <f>VLOOKUP(A619, 'Purchase Register'!C:D, 2, FALSE)</f>
        <v>2</v>
      </c>
      <c r="E619" s="157">
        <f>SUMIF('Sales Register'!C:C, A619, 'Sales Register'!D:D)</f>
        <v>0</v>
      </c>
      <c r="F619" s="29">
        <f t="shared" si="47"/>
        <v>2</v>
      </c>
      <c r="G619" s="29"/>
      <c r="H619" s="157">
        <f t="shared" si="45"/>
        <v>2</v>
      </c>
      <c r="I619" s="72" t="str">
        <f t="shared" si="46"/>
        <v>Minor Issue</v>
      </c>
    </row>
    <row r="620" spans="1:9" ht="30" x14ac:dyDescent="0.25">
      <c r="A620" s="33" t="s">
        <v>933</v>
      </c>
      <c r="B620" s="28"/>
      <c r="C620" s="29"/>
      <c r="D620" s="157">
        <f>VLOOKUP(A620, 'Purchase Register'!C:D, 2, FALSE)</f>
        <v>2</v>
      </c>
      <c r="E620" s="157">
        <f>SUMIF('Sales Register'!C:C, A620, 'Sales Register'!D:D)</f>
        <v>2</v>
      </c>
      <c r="F620" s="29">
        <f t="shared" si="47"/>
        <v>0</v>
      </c>
      <c r="G620" s="29"/>
      <c r="H620" s="157">
        <f t="shared" si="45"/>
        <v>0</v>
      </c>
      <c r="I620" s="72" t="str">
        <f t="shared" si="46"/>
        <v>OK</v>
      </c>
    </row>
    <row r="621" spans="1:9" ht="30" x14ac:dyDescent="0.25">
      <c r="A621" s="33" t="s">
        <v>936</v>
      </c>
      <c r="B621" s="28"/>
      <c r="C621" s="29"/>
      <c r="D621" s="157">
        <f>VLOOKUP(A621, 'Purchase Register'!C:D, 2, FALSE)</f>
        <v>1</v>
      </c>
      <c r="E621" s="157">
        <f>SUMIF('Sales Register'!C:C, A621, 'Sales Register'!D:D)</f>
        <v>1</v>
      </c>
      <c r="F621" s="29">
        <f t="shared" si="47"/>
        <v>0</v>
      </c>
      <c r="G621" s="29"/>
      <c r="H621" s="157">
        <f t="shared" si="45"/>
        <v>0</v>
      </c>
      <c r="I621" s="72" t="str">
        <f t="shared" si="46"/>
        <v>OK</v>
      </c>
    </row>
    <row r="622" spans="1:9" ht="30" x14ac:dyDescent="0.25">
      <c r="A622" s="33" t="s">
        <v>932</v>
      </c>
      <c r="B622" s="28" t="s">
        <v>439</v>
      </c>
      <c r="C622" s="29"/>
      <c r="D622" s="157">
        <f>VLOOKUP(A622, 'Purchase Register'!C:D, 2, FALSE)</f>
        <v>1</v>
      </c>
      <c r="E622" s="157">
        <f>SUMIF('Sales Register'!C:C, A622, 'Sales Register'!D:D)</f>
        <v>1</v>
      </c>
      <c r="F622" s="29">
        <f t="shared" si="47"/>
        <v>0</v>
      </c>
      <c r="G622" s="29"/>
      <c r="H622" s="157">
        <f t="shared" si="45"/>
        <v>0</v>
      </c>
      <c r="I622" s="72" t="str">
        <f t="shared" si="46"/>
        <v>OK</v>
      </c>
    </row>
    <row r="623" spans="1:9" ht="45" x14ac:dyDescent="0.25">
      <c r="A623" s="33" t="s">
        <v>937</v>
      </c>
      <c r="B623" s="28" t="s">
        <v>221</v>
      </c>
      <c r="C623" s="29"/>
      <c r="D623" s="157">
        <f>VLOOKUP(A623, 'Purchase Register'!C:D, 2, FALSE)</f>
        <v>1</v>
      </c>
      <c r="E623" s="157">
        <f>SUMIF('Sales Register'!C:C, A623, 'Sales Register'!D:D)</f>
        <v>0</v>
      </c>
      <c r="F623" s="29">
        <f t="shared" si="47"/>
        <v>1</v>
      </c>
      <c r="G623" s="29"/>
      <c r="H623" s="157">
        <f t="shared" si="45"/>
        <v>1</v>
      </c>
      <c r="I623" s="72" t="str">
        <f t="shared" si="46"/>
        <v>Minor Issue</v>
      </c>
    </row>
    <row r="624" spans="1:9" ht="30" x14ac:dyDescent="0.25">
      <c r="A624" s="33" t="s">
        <v>938</v>
      </c>
      <c r="B624" s="28" t="s">
        <v>221</v>
      </c>
      <c r="C624" s="29"/>
      <c r="D624" s="157">
        <f>VLOOKUP(A624, 'Purchase Register'!C:D, 2, FALSE)</f>
        <v>3</v>
      </c>
      <c r="E624" s="157">
        <f>SUMIF('Sales Register'!C:C, A624, 'Sales Register'!D:D)</f>
        <v>3</v>
      </c>
      <c r="F624" s="29">
        <f t="shared" si="47"/>
        <v>0</v>
      </c>
      <c r="G624" s="29"/>
      <c r="H624" s="157">
        <f t="shared" si="45"/>
        <v>0</v>
      </c>
      <c r="I624" s="72" t="str">
        <f t="shared" si="46"/>
        <v>OK</v>
      </c>
    </row>
    <row r="625" spans="1:9" ht="30" x14ac:dyDescent="0.25">
      <c r="A625" s="33" t="s">
        <v>939</v>
      </c>
      <c r="B625" s="28" t="s">
        <v>221</v>
      </c>
      <c r="C625" s="29"/>
      <c r="D625" s="157">
        <f>VLOOKUP(A625, 'Purchase Register'!C:D, 2, FALSE)</f>
        <v>3</v>
      </c>
      <c r="E625" s="157">
        <f>SUMIF('Sales Register'!C:C, A625, 'Sales Register'!D:D)</f>
        <v>3</v>
      </c>
      <c r="F625" s="29">
        <f t="shared" si="47"/>
        <v>0</v>
      </c>
      <c r="G625" s="29"/>
      <c r="H625" s="157">
        <f t="shared" si="45"/>
        <v>0</v>
      </c>
      <c r="I625" s="72" t="str">
        <f t="shared" si="46"/>
        <v>OK</v>
      </c>
    </row>
    <row r="626" spans="1:9" ht="30" x14ac:dyDescent="0.25">
      <c r="A626" s="33" t="s">
        <v>940</v>
      </c>
      <c r="B626" s="28" t="s">
        <v>221</v>
      </c>
      <c r="C626" s="29"/>
      <c r="D626" s="157">
        <f>VLOOKUP(A626, 'Purchase Register'!C:D, 2, FALSE)</f>
        <v>3</v>
      </c>
      <c r="E626" s="157">
        <f>SUMIF('Sales Register'!C:C, A626, 'Sales Register'!D:D)</f>
        <v>3</v>
      </c>
      <c r="F626" s="29">
        <f t="shared" si="47"/>
        <v>0</v>
      </c>
      <c r="G626" s="29"/>
      <c r="H626" s="157">
        <f t="shared" si="45"/>
        <v>0</v>
      </c>
      <c r="I626" s="72" t="str">
        <f t="shared" si="46"/>
        <v>OK</v>
      </c>
    </row>
    <row r="627" spans="1:9" ht="30" x14ac:dyDescent="0.25">
      <c r="A627" s="33" t="s">
        <v>941</v>
      </c>
      <c r="B627" s="28" t="s">
        <v>221</v>
      </c>
      <c r="C627" s="29"/>
      <c r="D627" s="157">
        <f>VLOOKUP(A627, 'Purchase Register'!C:D, 2, FALSE)</f>
        <v>3</v>
      </c>
      <c r="E627" s="157">
        <f>SUMIF('Sales Register'!C:C, A627, 'Sales Register'!D:D)</f>
        <v>2</v>
      </c>
      <c r="F627" s="29">
        <f t="shared" si="47"/>
        <v>1</v>
      </c>
      <c r="G627" s="29"/>
      <c r="H627" s="157">
        <f t="shared" si="45"/>
        <v>1</v>
      </c>
      <c r="I627" s="72" t="str">
        <f t="shared" si="46"/>
        <v>Minor Issue</v>
      </c>
    </row>
    <row r="628" spans="1:9" x14ac:dyDescent="0.25">
      <c r="A628" s="33" t="s">
        <v>942</v>
      </c>
      <c r="B628" s="28" t="s">
        <v>944</v>
      </c>
      <c r="C628" s="29"/>
      <c r="D628" s="157">
        <f>VLOOKUP(A628, 'Purchase Register'!C:D, 2, FALSE)</f>
        <v>6</v>
      </c>
      <c r="E628" s="157">
        <f>SUMIF('Sales Register'!C:C, A628, 'Sales Register'!D:D)</f>
        <v>6</v>
      </c>
      <c r="F628" s="29">
        <f t="shared" si="47"/>
        <v>0</v>
      </c>
      <c r="G628" s="29"/>
      <c r="H628" s="157">
        <f t="shared" si="45"/>
        <v>0</v>
      </c>
      <c r="I628" s="72" t="str">
        <f t="shared" si="46"/>
        <v>OK</v>
      </c>
    </row>
    <row r="629" spans="1:9" ht="30" x14ac:dyDescent="0.25">
      <c r="A629" s="33" t="s">
        <v>943</v>
      </c>
      <c r="B629" s="28" t="s">
        <v>944</v>
      </c>
      <c r="C629" s="29"/>
      <c r="D629" s="157">
        <f>VLOOKUP(A629, 'Purchase Register'!C:D, 2, FALSE)</f>
        <v>2</v>
      </c>
      <c r="E629" s="157">
        <f>SUMIF('Sales Register'!C:C, A629, 'Sales Register'!D:D)</f>
        <v>2</v>
      </c>
      <c r="F629" s="29">
        <f t="shared" si="47"/>
        <v>0</v>
      </c>
      <c r="G629" s="29"/>
      <c r="H629" s="157">
        <f t="shared" si="45"/>
        <v>0</v>
      </c>
      <c r="I629" s="72" t="str">
        <f t="shared" si="46"/>
        <v>OK</v>
      </c>
    </row>
    <row r="630" spans="1:9" ht="30" x14ac:dyDescent="0.25">
      <c r="A630" s="33" t="s">
        <v>946</v>
      </c>
      <c r="B630" s="28"/>
      <c r="C630" s="29"/>
      <c r="D630" s="157">
        <f>VLOOKUP(A630, 'Purchase Register'!C:D, 2, FALSE)</f>
        <v>24</v>
      </c>
      <c r="E630" s="157">
        <f>SUMIF('Sales Register'!C:C, A630, 'Sales Register'!D:D)</f>
        <v>18</v>
      </c>
      <c r="F630" s="29">
        <f t="shared" si="47"/>
        <v>6</v>
      </c>
      <c r="G630" s="29"/>
      <c r="H630" s="157">
        <f t="shared" si="45"/>
        <v>6</v>
      </c>
      <c r="I630" s="72" t="str">
        <f t="shared" si="46"/>
        <v>SERIOUS LOSS</v>
      </c>
    </row>
    <row r="631" spans="1:9" x14ac:dyDescent="0.25">
      <c r="A631" s="33" t="s">
        <v>947</v>
      </c>
      <c r="B631" s="28"/>
      <c r="C631" s="29"/>
      <c r="D631" s="157">
        <f>VLOOKUP(A631, 'Purchase Register'!C:D, 2, FALSE)</f>
        <v>30</v>
      </c>
      <c r="E631" s="157">
        <f>SUMIF('Sales Register'!C:C, A631, 'Sales Register'!D:D)</f>
        <v>22</v>
      </c>
      <c r="F631" s="29">
        <f t="shared" si="47"/>
        <v>8</v>
      </c>
      <c r="G631" s="29"/>
      <c r="H631" s="157">
        <f t="shared" si="45"/>
        <v>8</v>
      </c>
      <c r="I631" s="72" t="str">
        <f t="shared" si="46"/>
        <v>SERIOUS LOSS</v>
      </c>
    </row>
    <row r="632" spans="1:9" x14ac:dyDescent="0.25">
      <c r="A632" s="33" t="s">
        <v>948</v>
      </c>
      <c r="B632" s="28"/>
      <c r="C632" s="29"/>
      <c r="D632" s="157">
        <f>VLOOKUP(A632, 'Purchase Register'!C:D, 2, FALSE)</f>
        <v>20</v>
      </c>
      <c r="E632" s="157">
        <f>SUMIF('Sales Register'!C:C, A632, 'Sales Register'!D:D)</f>
        <v>18</v>
      </c>
      <c r="F632" s="29">
        <f t="shared" si="47"/>
        <v>2</v>
      </c>
      <c r="G632" s="29"/>
      <c r="H632" s="157">
        <f t="shared" si="45"/>
        <v>2</v>
      </c>
      <c r="I632" s="72" t="str">
        <f t="shared" si="46"/>
        <v>Minor Issue</v>
      </c>
    </row>
    <row r="633" spans="1:9" x14ac:dyDescent="0.25">
      <c r="A633" s="33" t="s">
        <v>949</v>
      </c>
      <c r="B633" s="28"/>
      <c r="C633" s="29"/>
      <c r="D633" s="157">
        <f>VLOOKUP(A633, 'Purchase Register'!C:D, 2, FALSE)</f>
        <v>170</v>
      </c>
      <c r="E633" s="157">
        <f>SUMIF('Sales Register'!C:C, A633, 'Sales Register'!D:D)</f>
        <v>39</v>
      </c>
      <c r="F633" s="29">
        <f t="shared" si="47"/>
        <v>131</v>
      </c>
      <c r="G633" s="29"/>
      <c r="H633" s="157">
        <f t="shared" si="45"/>
        <v>131</v>
      </c>
      <c r="I633" s="72" t="str">
        <f t="shared" si="46"/>
        <v>SERIOUS LOSS</v>
      </c>
    </row>
    <row r="634" spans="1:9" x14ac:dyDescent="0.25">
      <c r="A634" s="33" t="s">
        <v>950</v>
      </c>
      <c r="B634" s="28"/>
      <c r="C634" s="29"/>
      <c r="D634" s="157">
        <f>VLOOKUP(A634, 'Purchase Register'!C:D, 2, FALSE)</f>
        <v>170</v>
      </c>
      <c r="E634" s="157">
        <f>SUMIF('Sales Register'!C:C, A634, 'Sales Register'!D:D)</f>
        <v>194</v>
      </c>
      <c r="F634" s="29">
        <f t="shared" si="47"/>
        <v>-24</v>
      </c>
      <c r="G634" s="29"/>
      <c r="H634" s="157">
        <f t="shared" si="45"/>
        <v>-24</v>
      </c>
      <c r="I634" s="72" t="str">
        <f t="shared" si="46"/>
        <v>SERIOUS LOSS</v>
      </c>
    </row>
    <row r="635" spans="1:9" x14ac:dyDescent="0.25">
      <c r="A635" s="33" t="s">
        <v>951</v>
      </c>
      <c r="B635" s="28"/>
      <c r="C635" s="29"/>
      <c r="D635" s="157">
        <f>VLOOKUP(A635, 'Purchase Register'!C:D, 2, FALSE)</f>
        <v>170</v>
      </c>
      <c r="E635" s="157">
        <f>SUMIF('Sales Register'!C:C, A635, 'Sales Register'!D:D)</f>
        <v>106</v>
      </c>
      <c r="F635" s="29">
        <f t="shared" si="47"/>
        <v>64</v>
      </c>
      <c r="G635" s="29"/>
      <c r="H635" s="157">
        <f t="shared" si="45"/>
        <v>64</v>
      </c>
      <c r="I635" s="72" t="str">
        <f t="shared" si="46"/>
        <v>SERIOUS LOSS</v>
      </c>
    </row>
    <row r="636" spans="1:9" ht="30" x14ac:dyDescent="0.25">
      <c r="A636" s="33" t="s">
        <v>952</v>
      </c>
      <c r="B636" s="28"/>
      <c r="C636" s="29"/>
      <c r="D636" s="157">
        <f>VLOOKUP(A636, 'Purchase Register'!C:D, 2, FALSE)</f>
        <v>350</v>
      </c>
      <c r="E636" s="157">
        <f>SUMIF('Sales Register'!C:C, A636, 'Sales Register'!D:D)</f>
        <v>0</v>
      </c>
      <c r="F636" s="29">
        <f t="shared" si="47"/>
        <v>350</v>
      </c>
      <c r="G636" s="29"/>
      <c r="H636" s="157">
        <f t="shared" si="45"/>
        <v>350</v>
      </c>
      <c r="I636" s="72" t="str">
        <f t="shared" si="46"/>
        <v>SERIOUS LOSS</v>
      </c>
    </row>
    <row r="637" spans="1:9" ht="30" x14ac:dyDescent="0.25">
      <c r="A637" s="33" t="s">
        <v>953</v>
      </c>
      <c r="B637" s="28"/>
      <c r="C637" s="29"/>
      <c r="D637" s="157">
        <f>VLOOKUP(A637, 'Purchase Register'!C:D, 2, FALSE)</f>
        <v>12</v>
      </c>
      <c r="E637" s="157">
        <f>SUMIF('Sales Register'!C:C, A637, 'Sales Register'!D:D)</f>
        <v>12</v>
      </c>
      <c r="F637" s="29">
        <f t="shared" si="47"/>
        <v>0</v>
      </c>
      <c r="G637" s="29"/>
      <c r="H637" s="157">
        <f t="shared" si="45"/>
        <v>0</v>
      </c>
      <c r="I637" s="72" t="str">
        <f t="shared" si="46"/>
        <v>OK</v>
      </c>
    </row>
    <row r="638" spans="1:9" x14ac:dyDescent="0.25">
      <c r="A638" s="33" t="s">
        <v>1201</v>
      </c>
      <c r="B638" s="28"/>
      <c r="C638" s="29"/>
      <c r="D638" s="157">
        <f>VLOOKUP(A638, 'Purchase Register'!C:D, 2, FALSE)</f>
        <v>2</v>
      </c>
      <c r="E638" s="157">
        <f>SUMIF('Sales Register'!C:C, A638, 'Sales Register'!D:D)</f>
        <v>1</v>
      </c>
      <c r="F638" s="29">
        <f t="shared" si="47"/>
        <v>1</v>
      </c>
      <c r="G638" s="29"/>
      <c r="H638" s="157">
        <f t="shared" si="45"/>
        <v>1</v>
      </c>
      <c r="I638" s="72" t="str">
        <f t="shared" si="46"/>
        <v>Minor Issue</v>
      </c>
    </row>
    <row r="639" spans="1:9" x14ac:dyDescent="0.25">
      <c r="A639" s="33" t="s">
        <v>651</v>
      </c>
      <c r="B639" s="28"/>
      <c r="C639" s="29"/>
      <c r="D639" s="157">
        <f>VLOOKUP(A639, 'Purchase Register'!C:D, 2, FALSE)</f>
        <v>30</v>
      </c>
      <c r="E639" s="157">
        <f>SUMIF('Sales Register'!C:C, A639, 'Sales Register'!D:D)</f>
        <v>70</v>
      </c>
      <c r="F639" s="29">
        <f t="shared" si="47"/>
        <v>-40</v>
      </c>
      <c r="G639" s="29"/>
      <c r="H639" s="157">
        <f t="shared" si="45"/>
        <v>-40</v>
      </c>
      <c r="I639" s="72" t="str">
        <f t="shared" si="46"/>
        <v>SERIOUS LOSS</v>
      </c>
    </row>
    <row r="640" spans="1:9" ht="30" x14ac:dyDescent="0.25">
      <c r="A640" s="33" t="s">
        <v>954</v>
      </c>
      <c r="B640" s="28"/>
      <c r="C640" s="29"/>
      <c r="D640" s="157">
        <f>VLOOKUP(A640, 'Purchase Register'!C:D, 2, FALSE)</f>
        <v>6</v>
      </c>
      <c r="E640" s="157">
        <f>SUMIF('Sales Register'!C:C, A640, 'Sales Register'!D:D)</f>
        <v>5</v>
      </c>
      <c r="F640" s="29">
        <f t="shared" si="47"/>
        <v>1</v>
      </c>
      <c r="G640" s="29"/>
      <c r="H640" s="157">
        <f t="shared" si="45"/>
        <v>1</v>
      </c>
      <c r="I640" s="72" t="str">
        <f t="shared" si="46"/>
        <v>Minor Issue</v>
      </c>
    </row>
    <row r="641" spans="1:9" x14ac:dyDescent="0.25">
      <c r="A641" s="33" t="s">
        <v>955</v>
      </c>
      <c r="B641" s="28"/>
      <c r="C641" s="29"/>
      <c r="D641" s="157">
        <f>VLOOKUP(A641, 'Purchase Register'!C:D, 2, FALSE)</f>
        <v>3</v>
      </c>
      <c r="E641" s="157">
        <f>SUMIF('Sales Register'!C:C, A641, 'Sales Register'!D:D)</f>
        <v>1</v>
      </c>
      <c r="F641" s="29">
        <f t="shared" si="47"/>
        <v>2</v>
      </c>
      <c r="G641" s="29"/>
      <c r="H641" s="157">
        <f t="shared" si="45"/>
        <v>2</v>
      </c>
      <c r="I641" s="72" t="str">
        <f t="shared" si="46"/>
        <v>Minor Issue</v>
      </c>
    </row>
    <row r="642" spans="1:9" x14ac:dyDescent="0.25">
      <c r="A642" s="33" t="s">
        <v>956</v>
      </c>
      <c r="B642" s="28"/>
      <c r="C642" s="29"/>
      <c r="D642" s="157">
        <f>VLOOKUP(A642, 'Purchase Register'!C:D, 2, FALSE)</f>
        <v>12</v>
      </c>
      <c r="E642" s="157">
        <f>SUMIF('Sales Register'!C:C, A642, 'Sales Register'!D:D)</f>
        <v>9</v>
      </c>
      <c r="F642" s="29">
        <f t="shared" si="47"/>
        <v>3</v>
      </c>
      <c r="G642" s="29"/>
      <c r="H642" s="157">
        <f t="shared" ref="H642:H705" si="48">F642-G642</f>
        <v>3</v>
      </c>
      <c r="I642" s="72" t="str">
        <f t="shared" ref="I642:I705" si="49">IF(H642=0,"OK",
IF(ABS(H642)&lt;=2,"Minor Issue","SERIOUS LOSS"))</f>
        <v>SERIOUS LOSS</v>
      </c>
    </row>
    <row r="643" spans="1:9" x14ac:dyDescent="0.25">
      <c r="A643" s="33" t="s">
        <v>957</v>
      </c>
      <c r="B643" s="28"/>
      <c r="C643" s="29"/>
      <c r="D643" s="157">
        <f>VLOOKUP(A643, 'Purchase Register'!C:D, 2, FALSE)</f>
        <v>6</v>
      </c>
      <c r="E643" s="157">
        <f>SUMIF('Sales Register'!C:C, A643, 'Sales Register'!D:D)</f>
        <v>6</v>
      </c>
      <c r="F643" s="29">
        <f t="shared" si="47"/>
        <v>0</v>
      </c>
      <c r="G643" s="29"/>
      <c r="H643" s="157">
        <f t="shared" si="48"/>
        <v>0</v>
      </c>
      <c r="I643" s="72" t="str">
        <f t="shared" si="49"/>
        <v>OK</v>
      </c>
    </row>
    <row r="644" spans="1:9" x14ac:dyDescent="0.25">
      <c r="A644" s="33" t="s">
        <v>958</v>
      </c>
      <c r="B644" s="28"/>
      <c r="C644" s="29"/>
      <c r="D644" s="157">
        <f>VLOOKUP(A644, 'Purchase Register'!C:D, 2, FALSE)</f>
        <v>6</v>
      </c>
      <c r="E644" s="157">
        <f>SUMIF('Sales Register'!C:C, A644, 'Sales Register'!D:D)</f>
        <v>4</v>
      </c>
      <c r="F644" s="29">
        <f t="shared" si="47"/>
        <v>2</v>
      </c>
      <c r="G644" s="29"/>
      <c r="H644" s="157">
        <f t="shared" si="48"/>
        <v>2</v>
      </c>
      <c r="I644" s="72" t="str">
        <f t="shared" si="49"/>
        <v>Minor Issue</v>
      </c>
    </row>
    <row r="645" spans="1:9" ht="30" x14ac:dyDescent="0.25">
      <c r="A645" s="33" t="s">
        <v>977</v>
      </c>
      <c r="B645" s="28"/>
      <c r="C645" s="29"/>
      <c r="D645" s="157">
        <f>VLOOKUP(A645, 'Purchase Register'!C:D, 2, FALSE)</f>
        <v>12</v>
      </c>
      <c r="E645" s="157">
        <f>SUMIF('Sales Register'!C:C, A645, 'Sales Register'!D:D)</f>
        <v>11</v>
      </c>
      <c r="F645" s="29">
        <f t="shared" si="47"/>
        <v>1</v>
      </c>
      <c r="G645" s="29"/>
      <c r="H645" s="157">
        <f t="shared" si="48"/>
        <v>1</v>
      </c>
      <c r="I645" s="72" t="str">
        <f t="shared" si="49"/>
        <v>Minor Issue</v>
      </c>
    </row>
    <row r="646" spans="1:9" ht="30" x14ac:dyDescent="0.25">
      <c r="A646" s="33" t="s">
        <v>959</v>
      </c>
      <c r="B646" s="28"/>
      <c r="C646" s="29"/>
      <c r="D646" s="157">
        <f>VLOOKUP(A646, 'Purchase Register'!C:D, 2, FALSE)</f>
        <v>3</v>
      </c>
      <c r="E646" s="157">
        <f>SUMIF('Sales Register'!C:C, A646, 'Sales Register'!D:D)</f>
        <v>3</v>
      </c>
      <c r="F646" s="29">
        <f t="shared" si="47"/>
        <v>0</v>
      </c>
      <c r="G646" s="29"/>
      <c r="H646" s="157">
        <f t="shared" si="48"/>
        <v>0</v>
      </c>
      <c r="I646" s="72" t="str">
        <f t="shared" si="49"/>
        <v>OK</v>
      </c>
    </row>
    <row r="647" spans="1:9" x14ac:dyDescent="0.25">
      <c r="A647" s="33" t="s">
        <v>960</v>
      </c>
      <c r="B647" s="28"/>
      <c r="C647" s="29"/>
      <c r="D647" s="157">
        <f>VLOOKUP(A647, 'Purchase Register'!C:D, 2, FALSE)</f>
        <v>108</v>
      </c>
      <c r="E647" s="157">
        <f>SUMIF('Sales Register'!C:C, A647, 'Sales Register'!D:D)</f>
        <v>47</v>
      </c>
      <c r="F647" s="29">
        <f t="shared" si="47"/>
        <v>61</v>
      </c>
      <c r="G647" s="29"/>
      <c r="H647" s="157">
        <f t="shared" si="48"/>
        <v>61</v>
      </c>
      <c r="I647" s="72" t="str">
        <f t="shared" si="49"/>
        <v>SERIOUS LOSS</v>
      </c>
    </row>
    <row r="648" spans="1:9" ht="30" x14ac:dyDescent="0.25">
      <c r="A648" s="33" t="s">
        <v>961</v>
      </c>
      <c r="B648" s="28"/>
      <c r="C648" s="29"/>
      <c r="D648" s="157">
        <f>VLOOKUP(A648, 'Purchase Register'!C:D, 2, FALSE)</f>
        <v>10</v>
      </c>
      <c r="E648" s="157">
        <f>SUMIF('Sales Register'!C:C, A648, 'Sales Register'!D:D)</f>
        <v>10</v>
      </c>
      <c r="F648" s="29">
        <f t="shared" si="47"/>
        <v>0</v>
      </c>
      <c r="G648" s="29"/>
      <c r="H648" s="157">
        <f t="shared" si="48"/>
        <v>0</v>
      </c>
      <c r="I648" s="72" t="str">
        <f t="shared" si="49"/>
        <v>OK</v>
      </c>
    </row>
    <row r="649" spans="1:9" ht="30" x14ac:dyDescent="0.25">
      <c r="A649" s="33" t="s">
        <v>962</v>
      </c>
      <c r="B649" s="28"/>
      <c r="C649" s="29"/>
      <c r="D649" s="157">
        <f>VLOOKUP(A649, 'Purchase Register'!C:D, 2, FALSE)</f>
        <v>12</v>
      </c>
      <c r="E649" s="157">
        <f>SUMIF('Sales Register'!C:C, A649, 'Sales Register'!D:D)</f>
        <v>12</v>
      </c>
      <c r="F649" s="29">
        <f t="shared" si="47"/>
        <v>0</v>
      </c>
      <c r="G649" s="29"/>
      <c r="H649" s="157">
        <f t="shared" si="48"/>
        <v>0</v>
      </c>
      <c r="I649" s="72" t="str">
        <f t="shared" si="49"/>
        <v>OK</v>
      </c>
    </row>
    <row r="650" spans="1:9" ht="30" x14ac:dyDescent="0.25">
      <c r="A650" s="33" t="s">
        <v>963</v>
      </c>
      <c r="B650" s="28"/>
      <c r="C650" s="29"/>
      <c r="D650" s="157">
        <f>VLOOKUP(A650, 'Purchase Register'!C:D, 2, FALSE)</f>
        <v>10</v>
      </c>
      <c r="E650" s="157">
        <f>SUMIF('Sales Register'!C:C, A650, 'Sales Register'!D:D)</f>
        <v>10</v>
      </c>
      <c r="F650" s="29">
        <f t="shared" si="47"/>
        <v>0</v>
      </c>
      <c r="G650" s="29"/>
      <c r="H650" s="157">
        <f t="shared" si="48"/>
        <v>0</v>
      </c>
      <c r="I650" s="72" t="str">
        <f t="shared" si="49"/>
        <v>OK</v>
      </c>
    </row>
    <row r="651" spans="1:9" ht="30" x14ac:dyDescent="0.25">
      <c r="A651" s="33" t="s">
        <v>964</v>
      </c>
      <c r="B651" s="28"/>
      <c r="C651" s="29"/>
      <c r="D651" s="157">
        <f>VLOOKUP(A651, 'Purchase Register'!C:D, 2, FALSE)</f>
        <v>24</v>
      </c>
      <c r="E651" s="157">
        <f>SUMIF('Sales Register'!C:C, A651, 'Sales Register'!D:D)</f>
        <v>24</v>
      </c>
      <c r="F651" s="29">
        <f t="shared" si="47"/>
        <v>0</v>
      </c>
      <c r="G651" s="29"/>
      <c r="H651" s="157">
        <f t="shared" si="48"/>
        <v>0</v>
      </c>
      <c r="I651" s="72" t="str">
        <f t="shared" si="49"/>
        <v>OK</v>
      </c>
    </row>
    <row r="652" spans="1:9" x14ac:dyDescent="0.25">
      <c r="A652" s="33" t="s">
        <v>965</v>
      </c>
      <c r="B652" s="28"/>
      <c r="C652" s="29"/>
      <c r="D652" s="157">
        <f>VLOOKUP(A652, 'Purchase Register'!C:D, 2, FALSE)</f>
        <v>3</v>
      </c>
      <c r="E652" s="157">
        <f>SUMIF('Sales Register'!C:C, A652, 'Sales Register'!D:D)</f>
        <v>0</v>
      </c>
      <c r="F652" s="29">
        <f t="shared" si="47"/>
        <v>3</v>
      </c>
      <c r="G652" s="29"/>
      <c r="H652" s="157">
        <f t="shared" si="48"/>
        <v>3</v>
      </c>
      <c r="I652" s="72" t="str">
        <f t="shared" si="49"/>
        <v>SERIOUS LOSS</v>
      </c>
    </row>
    <row r="653" spans="1:9" x14ac:dyDescent="0.25">
      <c r="A653" s="33" t="s">
        <v>966</v>
      </c>
      <c r="B653" s="28"/>
      <c r="C653" s="29"/>
      <c r="D653" s="157">
        <f>VLOOKUP(A653, 'Purchase Register'!C:D, 2, FALSE)</f>
        <v>100</v>
      </c>
      <c r="E653" s="157">
        <f>SUMIF('Sales Register'!C:C, A653, 'Sales Register'!D:D)</f>
        <v>63</v>
      </c>
      <c r="F653" s="29">
        <f t="shared" si="47"/>
        <v>37</v>
      </c>
      <c r="G653" s="29"/>
      <c r="H653" s="157">
        <f t="shared" si="48"/>
        <v>37</v>
      </c>
      <c r="I653" s="72" t="str">
        <f t="shared" si="49"/>
        <v>SERIOUS LOSS</v>
      </c>
    </row>
    <row r="654" spans="1:9" ht="30" x14ac:dyDescent="0.25">
      <c r="A654" s="33" t="s">
        <v>967</v>
      </c>
      <c r="B654" s="28"/>
      <c r="C654" s="29"/>
      <c r="D654" s="157">
        <f>VLOOKUP(A654, 'Purchase Register'!C:D, 2, FALSE)</f>
        <v>6</v>
      </c>
      <c r="E654" s="157">
        <f>SUMIF('Sales Register'!C:C, A654, 'Sales Register'!D:D)</f>
        <v>4</v>
      </c>
      <c r="F654" s="29">
        <f t="shared" si="47"/>
        <v>2</v>
      </c>
      <c r="G654" s="29"/>
      <c r="H654" s="157">
        <f t="shared" si="48"/>
        <v>2</v>
      </c>
      <c r="I654" s="72" t="str">
        <f t="shared" si="49"/>
        <v>Minor Issue</v>
      </c>
    </row>
    <row r="655" spans="1:9" x14ac:dyDescent="0.25">
      <c r="A655" s="33" t="s">
        <v>968</v>
      </c>
      <c r="B655" s="28"/>
      <c r="C655" s="29"/>
      <c r="D655" s="157">
        <f>VLOOKUP(A655, 'Purchase Register'!C:D, 2, FALSE)</f>
        <v>6</v>
      </c>
      <c r="E655" s="157">
        <f>SUMIF('Sales Register'!C:C, A655, 'Sales Register'!D:D)</f>
        <v>6.4559999999999995</v>
      </c>
      <c r="F655" s="29">
        <f t="shared" si="47"/>
        <v>-0.45599999999999952</v>
      </c>
      <c r="G655" s="29"/>
      <c r="H655" s="157">
        <f t="shared" si="48"/>
        <v>-0.45599999999999952</v>
      </c>
      <c r="I655" s="72" t="str">
        <f t="shared" si="49"/>
        <v>Minor Issue</v>
      </c>
    </row>
    <row r="656" spans="1:9" x14ac:dyDescent="0.25">
      <c r="A656" s="33" t="s">
        <v>969</v>
      </c>
      <c r="B656" s="28"/>
      <c r="C656" s="29"/>
      <c r="D656" s="157">
        <f>VLOOKUP(A656, 'Purchase Register'!C:D, 2, FALSE)</f>
        <v>2</v>
      </c>
      <c r="E656" s="157">
        <f>SUMIF('Sales Register'!C:C, A656, 'Sales Register'!D:D)</f>
        <v>1.087</v>
      </c>
      <c r="F656" s="29">
        <f t="shared" si="47"/>
        <v>0.91300000000000003</v>
      </c>
      <c r="G656" s="29"/>
      <c r="H656" s="157">
        <f t="shared" si="48"/>
        <v>0.91300000000000003</v>
      </c>
      <c r="I656" s="72" t="str">
        <f t="shared" si="49"/>
        <v>Minor Issue</v>
      </c>
    </row>
    <row r="657" spans="1:9" ht="30" x14ac:dyDescent="0.25">
      <c r="A657" s="33" t="s">
        <v>970</v>
      </c>
      <c r="B657" s="28"/>
      <c r="C657" s="29"/>
      <c r="D657" s="157">
        <f>VLOOKUP(A657, 'Purchase Register'!C:D, 2, FALSE)</f>
        <v>12</v>
      </c>
      <c r="E657" s="157">
        <f>SUMIF('Sales Register'!C:C, A657, 'Sales Register'!D:D)</f>
        <v>59</v>
      </c>
      <c r="F657" s="29">
        <f t="shared" si="47"/>
        <v>-47</v>
      </c>
      <c r="G657" s="29"/>
      <c r="H657" s="157">
        <f t="shared" si="48"/>
        <v>-47</v>
      </c>
      <c r="I657" s="72" t="str">
        <f t="shared" si="49"/>
        <v>SERIOUS LOSS</v>
      </c>
    </row>
    <row r="658" spans="1:9" ht="30" x14ac:dyDescent="0.25">
      <c r="A658" s="33" t="s">
        <v>971</v>
      </c>
      <c r="B658" s="28"/>
      <c r="C658" s="29"/>
      <c r="D658" s="157">
        <f>VLOOKUP(A658, 'Purchase Register'!C:D, 2, FALSE)</f>
        <v>10</v>
      </c>
      <c r="E658" s="157">
        <f>SUMIF('Sales Register'!C:C, A658, 'Sales Register'!D:D)</f>
        <v>14</v>
      </c>
      <c r="F658" s="29">
        <f t="shared" si="47"/>
        <v>-4</v>
      </c>
      <c r="G658" s="29"/>
      <c r="H658" s="157">
        <f t="shared" si="48"/>
        <v>-4</v>
      </c>
      <c r="I658" s="72" t="str">
        <f t="shared" si="49"/>
        <v>SERIOUS LOSS</v>
      </c>
    </row>
    <row r="659" spans="1:9" x14ac:dyDescent="0.25">
      <c r="A659" s="33" t="s">
        <v>972</v>
      </c>
      <c r="B659" s="28"/>
      <c r="C659" s="29"/>
      <c r="D659" s="157">
        <f>VLOOKUP(A659, 'Purchase Register'!C:D, 2, FALSE)</f>
        <v>6</v>
      </c>
      <c r="E659" s="157">
        <f>SUMIF('Sales Register'!C:C, A659, 'Sales Register'!D:D)</f>
        <v>1</v>
      </c>
      <c r="F659" s="29">
        <f t="shared" si="47"/>
        <v>5</v>
      </c>
      <c r="G659" s="29"/>
      <c r="H659" s="157">
        <f t="shared" si="48"/>
        <v>5</v>
      </c>
      <c r="I659" s="72" t="str">
        <f t="shared" si="49"/>
        <v>SERIOUS LOSS</v>
      </c>
    </row>
    <row r="660" spans="1:9" ht="30" x14ac:dyDescent="0.25">
      <c r="A660" s="33" t="s">
        <v>973</v>
      </c>
      <c r="B660" s="28"/>
      <c r="C660" s="29"/>
      <c r="D660" s="157">
        <f>VLOOKUP(A660, 'Purchase Register'!C:D, 2, FALSE)</f>
        <v>25</v>
      </c>
      <c r="E660" s="157">
        <f>SUMIF('Sales Register'!C:C, A660, 'Sales Register'!D:D)</f>
        <v>1</v>
      </c>
      <c r="F660" s="29">
        <f t="shared" ref="F660:F687" si="50">C660+D660-E660</f>
        <v>24</v>
      </c>
      <c r="G660" s="29"/>
      <c r="H660" s="157">
        <f t="shared" si="48"/>
        <v>24</v>
      </c>
      <c r="I660" s="72" t="str">
        <f t="shared" si="49"/>
        <v>SERIOUS LOSS</v>
      </c>
    </row>
    <row r="661" spans="1:9" ht="30" x14ac:dyDescent="0.25">
      <c r="A661" s="33" t="s">
        <v>974</v>
      </c>
      <c r="B661" s="28"/>
      <c r="C661" s="29"/>
      <c r="D661" s="157">
        <f>VLOOKUP(A661, 'Purchase Register'!C:D, 2, FALSE)</f>
        <v>10</v>
      </c>
      <c r="E661" s="157">
        <f>SUMIF('Sales Register'!C:C, A661, 'Sales Register'!D:D)</f>
        <v>3</v>
      </c>
      <c r="F661" s="29">
        <f t="shared" si="50"/>
        <v>7</v>
      </c>
      <c r="G661" s="29"/>
      <c r="H661" s="157">
        <f t="shared" si="48"/>
        <v>7</v>
      </c>
      <c r="I661" s="72" t="str">
        <f t="shared" si="49"/>
        <v>SERIOUS LOSS</v>
      </c>
    </row>
    <row r="662" spans="1:9" ht="30" x14ac:dyDescent="0.25">
      <c r="A662" s="33" t="s">
        <v>975</v>
      </c>
      <c r="B662" s="28"/>
      <c r="C662" s="29"/>
      <c r="D662" s="157">
        <f>VLOOKUP(A662, 'Purchase Register'!C:D, 2, FALSE)</f>
        <v>4</v>
      </c>
      <c r="E662" s="157">
        <f>SUMIF('Sales Register'!C:C, A662, 'Sales Register'!D:D)</f>
        <v>3</v>
      </c>
      <c r="F662" s="29">
        <f t="shared" si="50"/>
        <v>1</v>
      </c>
      <c r="G662" s="29"/>
      <c r="H662" s="157">
        <f t="shared" si="48"/>
        <v>1</v>
      </c>
      <c r="I662" s="72" t="str">
        <f t="shared" si="49"/>
        <v>Minor Issue</v>
      </c>
    </row>
    <row r="663" spans="1:9" ht="30" x14ac:dyDescent="0.25">
      <c r="A663" s="33" t="s">
        <v>976</v>
      </c>
      <c r="B663" s="28"/>
      <c r="C663" s="29"/>
      <c r="D663" s="157">
        <f>VLOOKUP(A663, 'Purchase Register'!C:D, 2, FALSE)</f>
        <v>10</v>
      </c>
      <c r="E663" s="157">
        <f>SUMIF('Sales Register'!C:C, A663, 'Sales Register'!D:D)</f>
        <v>0</v>
      </c>
      <c r="F663" s="29">
        <f t="shared" si="50"/>
        <v>10</v>
      </c>
      <c r="G663" s="29"/>
      <c r="H663" s="157">
        <f t="shared" si="48"/>
        <v>10</v>
      </c>
      <c r="I663" s="72" t="str">
        <f t="shared" si="49"/>
        <v>SERIOUS LOSS</v>
      </c>
    </row>
    <row r="664" spans="1:9" x14ac:dyDescent="0.25">
      <c r="A664" s="33" t="s">
        <v>989</v>
      </c>
      <c r="B664" s="28"/>
      <c r="C664" s="29"/>
      <c r="D664" s="157">
        <f>VLOOKUP(A664, 'Purchase Register'!C:D, 2, FALSE)</f>
        <v>32</v>
      </c>
      <c r="E664" s="157">
        <f>SUMIF('Sales Register'!C:C, A664, 'Sales Register'!D:D)</f>
        <v>32</v>
      </c>
      <c r="F664" s="29">
        <f t="shared" si="50"/>
        <v>0</v>
      </c>
      <c r="G664" s="29"/>
      <c r="H664" s="157">
        <f t="shared" si="48"/>
        <v>0</v>
      </c>
      <c r="I664" s="72" t="str">
        <f t="shared" si="49"/>
        <v>OK</v>
      </c>
    </row>
    <row r="665" spans="1:9" x14ac:dyDescent="0.25">
      <c r="A665" s="33" t="s">
        <v>499</v>
      </c>
      <c r="B665" s="28"/>
      <c r="C665" s="29"/>
      <c r="D665" s="157">
        <f>VLOOKUP(A665, 'Purchase Register'!C:D, 2, FALSE)</f>
        <v>12</v>
      </c>
      <c r="E665" s="157">
        <f>SUMIF('Sales Register'!C:C, A665, 'Sales Register'!D:D)</f>
        <v>6</v>
      </c>
      <c r="F665" s="29">
        <f t="shared" si="50"/>
        <v>6</v>
      </c>
      <c r="G665" s="29"/>
      <c r="H665" s="157">
        <f t="shared" si="48"/>
        <v>6</v>
      </c>
      <c r="I665" s="72" t="str">
        <f t="shared" si="49"/>
        <v>SERIOUS LOSS</v>
      </c>
    </row>
    <row r="666" spans="1:9" ht="30" x14ac:dyDescent="0.25">
      <c r="A666" s="33" t="s">
        <v>990</v>
      </c>
      <c r="B666" s="28"/>
      <c r="C666" s="29"/>
      <c r="D666" s="157">
        <f>VLOOKUP(A666, 'Purchase Register'!C:D, 2, FALSE)</f>
        <v>2</v>
      </c>
      <c r="E666" s="157">
        <f>SUMIF('Sales Register'!C:C, A666, 'Sales Register'!D:D)</f>
        <v>1</v>
      </c>
      <c r="F666" s="29">
        <f t="shared" si="50"/>
        <v>1</v>
      </c>
      <c r="G666" s="29"/>
      <c r="H666" s="157">
        <f t="shared" si="48"/>
        <v>1</v>
      </c>
      <c r="I666" s="72" t="str">
        <f t="shared" si="49"/>
        <v>Minor Issue</v>
      </c>
    </row>
    <row r="667" spans="1:9" x14ac:dyDescent="0.25">
      <c r="A667" s="33" t="s">
        <v>991</v>
      </c>
      <c r="B667" s="28"/>
      <c r="C667" s="29"/>
      <c r="D667" s="157">
        <f>VLOOKUP(A667, 'Purchase Register'!C:D, 2, FALSE)</f>
        <v>10</v>
      </c>
      <c r="E667" s="157">
        <f>SUMIF('Sales Register'!C:C, A667, 'Sales Register'!D:D)</f>
        <v>0</v>
      </c>
      <c r="F667" s="29">
        <f t="shared" si="50"/>
        <v>10</v>
      </c>
      <c r="G667" s="29"/>
      <c r="H667" s="157">
        <f t="shared" si="48"/>
        <v>10</v>
      </c>
      <c r="I667" s="72" t="str">
        <f t="shared" si="49"/>
        <v>SERIOUS LOSS</v>
      </c>
    </row>
    <row r="668" spans="1:9" x14ac:dyDescent="0.25">
      <c r="A668" s="33" t="s">
        <v>992</v>
      </c>
      <c r="B668" s="28"/>
      <c r="C668" s="29"/>
      <c r="D668" s="157">
        <f>VLOOKUP(A668, 'Purchase Register'!C:D, 2, FALSE)</f>
        <v>1</v>
      </c>
      <c r="E668" s="157">
        <f>SUMIF('Sales Register'!C:C, A668, 'Sales Register'!D:D)</f>
        <v>0</v>
      </c>
      <c r="F668" s="29">
        <f t="shared" si="50"/>
        <v>1</v>
      </c>
      <c r="G668" s="29"/>
      <c r="H668" s="157">
        <f t="shared" si="48"/>
        <v>1</v>
      </c>
      <c r="I668" s="72" t="str">
        <f t="shared" si="49"/>
        <v>Minor Issue</v>
      </c>
    </row>
    <row r="669" spans="1:9" x14ac:dyDescent="0.25">
      <c r="A669" s="19" t="s">
        <v>993</v>
      </c>
      <c r="B669" s="28"/>
      <c r="C669" s="29"/>
      <c r="D669" s="157">
        <f>VLOOKUP(A669, 'Purchase Register'!C:D, 2, FALSE)</f>
        <v>30</v>
      </c>
      <c r="E669" s="157">
        <f>SUMIF('Sales Register'!C:C, A669, 'Sales Register'!D:D)</f>
        <v>30</v>
      </c>
      <c r="F669" s="29">
        <f t="shared" si="50"/>
        <v>0</v>
      </c>
      <c r="G669" s="29"/>
      <c r="H669" s="157">
        <f t="shared" si="48"/>
        <v>0</v>
      </c>
      <c r="I669" s="72" t="str">
        <f t="shared" si="49"/>
        <v>OK</v>
      </c>
    </row>
    <row r="670" spans="1:9" x14ac:dyDescent="0.25">
      <c r="A670" s="19" t="s">
        <v>994</v>
      </c>
      <c r="B670" s="28"/>
      <c r="C670" s="29"/>
      <c r="D670" s="157">
        <f>VLOOKUP(A670, 'Purchase Register'!C:D, 2, FALSE)</f>
        <v>60</v>
      </c>
      <c r="E670" s="157">
        <f>SUMIF('Sales Register'!C:C, A670, 'Sales Register'!D:D)</f>
        <v>60</v>
      </c>
      <c r="F670" s="29">
        <f t="shared" si="50"/>
        <v>0</v>
      </c>
      <c r="G670" s="29"/>
      <c r="H670" s="157">
        <f t="shared" si="48"/>
        <v>0</v>
      </c>
      <c r="I670" s="72" t="str">
        <f t="shared" si="49"/>
        <v>OK</v>
      </c>
    </row>
    <row r="671" spans="1:9" x14ac:dyDescent="0.25">
      <c r="A671" s="19" t="s">
        <v>995</v>
      </c>
      <c r="D671" s="157">
        <f>VLOOKUP(A671, 'Purchase Register'!C:D, 2, FALSE)</f>
        <v>26</v>
      </c>
      <c r="E671" s="157">
        <f>SUMIF('Sales Register'!C:C, A671, 'Sales Register'!D:D)</f>
        <v>26</v>
      </c>
      <c r="F671" s="29">
        <f t="shared" si="50"/>
        <v>0</v>
      </c>
      <c r="H671" s="157">
        <f t="shared" si="48"/>
        <v>0</v>
      </c>
      <c r="I671" s="72" t="str">
        <f t="shared" si="49"/>
        <v>OK</v>
      </c>
    </row>
    <row r="672" spans="1:9" x14ac:dyDescent="0.25">
      <c r="A672" s="19" t="s">
        <v>996</v>
      </c>
      <c r="D672" s="157">
        <f>VLOOKUP(A672, 'Purchase Register'!C:D, 2, FALSE)</f>
        <v>2</v>
      </c>
      <c r="E672" s="157">
        <f>SUMIF('Sales Register'!C:C, A672, 'Sales Register'!D:D)</f>
        <v>2</v>
      </c>
      <c r="F672" s="29">
        <f t="shared" si="50"/>
        <v>0</v>
      </c>
      <c r="H672" s="157">
        <f t="shared" si="48"/>
        <v>0</v>
      </c>
      <c r="I672" s="72" t="str">
        <f t="shared" si="49"/>
        <v>OK</v>
      </c>
    </row>
    <row r="673" spans="1:9" ht="30" x14ac:dyDescent="0.25">
      <c r="A673" s="19" t="s">
        <v>997</v>
      </c>
      <c r="D673" s="157">
        <f>VLOOKUP(A673, 'Purchase Register'!C:D, 2, FALSE)</f>
        <v>3</v>
      </c>
      <c r="E673" s="157">
        <f>SUMIF('Sales Register'!C:C, A673, 'Sales Register'!D:D)</f>
        <v>3</v>
      </c>
      <c r="F673" s="29">
        <f t="shared" si="50"/>
        <v>0</v>
      </c>
      <c r="H673" s="157">
        <f t="shared" si="48"/>
        <v>0</v>
      </c>
      <c r="I673" s="72" t="str">
        <f t="shared" si="49"/>
        <v>OK</v>
      </c>
    </row>
    <row r="674" spans="1:9" ht="30" x14ac:dyDescent="0.25">
      <c r="A674" s="19" t="s">
        <v>998</v>
      </c>
      <c r="D674" s="157">
        <f>VLOOKUP(A674, 'Purchase Register'!C:D, 2, FALSE)</f>
        <v>7</v>
      </c>
      <c r="E674" s="157">
        <f>SUMIF('Sales Register'!C:C, A674, 'Sales Register'!D:D)</f>
        <v>7</v>
      </c>
      <c r="F674" s="29">
        <f t="shared" si="50"/>
        <v>0</v>
      </c>
      <c r="H674" s="157">
        <f t="shared" si="48"/>
        <v>0</v>
      </c>
      <c r="I674" s="72" t="str">
        <f t="shared" si="49"/>
        <v>OK</v>
      </c>
    </row>
    <row r="675" spans="1:9" ht="30" x14ac:dyDescent="0.25">
      <c r="A675" s="19" t="s">
        <v>999</v>
      </c>
      <c r="D675" s="157">
        <f>VLOOKUP(A675, 'Purchase Register'!C:D, 2, FALSE)</f>
        <v>4</v>
      </c>
      <c r="E675" s="157">
        <f>SUMIF('Sales Register'!C:C, A675, 'Sales Register'!D:D)</f>
        <v>5</v>
      </c>
      <c r="F675" s="29">
        <f t="shared" si="50"/>
        <v>-1</v>
      </c>
      <c r="H675" s="157">
        <f t="shared" si="48"/>
        <v>-1</v>
      </c>
      <c r="I675" s="72" t="str">
        <f t="shared" si="49"/>
        <v>Minor Issue</v>
      </c>
    </row>
    <row r="676" spans="1:9" ht="30" x14ac:dyDescent="0.25">
      <c r="A676" s="19" t="s">
        <v>1000</v>
      </c>
      <c r="D676" s="157">
        <f>VLOOKUP(A676, 'Purchase Register'!C:D, 2, FALSE)</f>
        <v>1</v>
      </c>
      <c r="E676" s="157">
        <f>SUMIF('Sales Register'!C:C, A676, 'Sales Register'!D:D)</f>
        <v>1</v>
      </c>
      <c r="F676" s="29">
        <f t="shared" si="50"/>
        <v>0</v>
      </c>
      <c r="H676" s="157">
        <f t="shared" si="48"/>
        <v>0</v>
      </c>
      <c r="I676" s="72" t="str">
        <f t="shared" si="49"/>
        <v>OK</v>
      </c>
    </row>
    <row r="677" spans="1:9" ht="30" x14ac:dyDescent="0.25">
      <c r="A677" s="19" t="s">
        <v>1001</v>
      </c>
      <c r="D677" s="157">
        <f>VLOOKUP(A677, 'Purchase Register'!C:D, 2, FALSE)</f>
        <v>1</v>
      </c>
      <c r="E677" s="157">
        <f>SUMIF('Sales Register'!C:C, A677, 'Sales Register'!D:D)</f>
        <v>1</v>
      </c>
      <c r="F677" s="29">
        <f t="shared" si="50"/>
        <v>0</v>
      </c>
      <c r="H677" s="157">
        <f t="shared" si="48"/>
        <v>0</v>
      </c>
      <c r="I677" s="72" t="str">
        <f t="shared" si="49"/>
        <v>OK</v>
      </c>
    </row>
    <row r="678" spans="1:9" x14ac:dyDescent="0.25">
      <c r="A678" s="19" t="s">
        <v>1002</v>
      </c>
      <c r="D678" s="157">
        <f>VLOOKUP(A678, 'Purchase Register'!C:D, 2, FALSE)</f>
        <v>2</v>
      </c>
      <c r="E678" s="157">
        <f>SUMIF('Sales Register'!C:C, A678, 'Sales Register'!D:D)</f>
        <v>1</v>
      </c>
      <c r="F678" s="29">
        <f t="shared" si="50"/>
        <v>1</v>
      </c>
      <c r="H678" s="157">
        <f t="shared" si="48"/>
        <v>1</v>
      </c>
      <c r="I678" s="72" t="str">
        <f t="shared" si="49"/>
        <v>Minor Issue</v>
      </c>
    </row>
    <row r="679" spans="1:9" ht="30" x14ac:dyDescent="0.25">
      <c r="A679" s="19" t="s">
        <v>1003</v>
      </c>
      <c r="D679" s="157">
        <f>VLOOKUP(A679, 'Purchase Register'!C:D, 2, FALSE)</f>
        <v>2</v>
      </c>
      <c r="E679" s="157">
        <f>SUMIF('Sales Register'!C:C, A679, 'Sales Register'!D:D)</f>
        <v>2</v>
      </c>
      <c r="F679" s="29">
        <f t="shared" si="50"/>
        <v>0</v>
      </c>
      <c r="H679" s="157">
        <f t="shared" si="48"/>
        <v>0</v>
      </c>
      <c r="I679" s="72" t="str">
        <f t="shared" si="49"/>
        <v>OK</v>
      </c>
    </row>
    <row r="680" spans="1:9" ht="30" x14ac:dyDescent="0.25">
      <c r="A680" s="19" t="s">
        <v>1004</v>
      </c>
      <c r="D680" s="157">
        <f>VLOOKUP(A680, 'Purchase Register'!C:D, 2, FALSE)</f>
        <v>1</v>
      </c>
      <c r="E680" s="157">
        <f>SUMIF('Sales Register'!C:C, A680, 'Sales Register'!D:D)</f>
        <v>1</v>
      </c>
      <c r="F680" s="29">
        <f t="shared" si="50"/>
        <v>0</v>
      </c>
      <c r="H680" s="157">
        <f t="shared" si="48"/>
        <v>0</v>
      </c>
      <c r="I680" s="72" t="str">
        <f t="shared" si="49"/>
        <v>OK</v>
      </c>
    </row>
    <row r="681" spans="1:9" ht="30" x14ac:dyDescent="0.25">
      <c r="A681" s="19" t="s">
        <v>1005</v>
      </c>
      <c r="D681" s="157">
        <f>VLOOKUP(A681, 'Purchase Register'!C:D, 2, FALSE)</f>
        <v>1</v>
      </c>
      <c r="E681" s="157">
        <f>SUMIF('Sales Register'!C:C, A681, 'Sales Register'!D:D)</f>
        <v>1</v>
      </c>
      <c r="F681" s="29">
        <f t="shared" si="50"/>
        <v>0</v>
      </c>
      <c r="H681" s="157">
        <f t="shared" si="48"/>
        <v>0</v>
      </c>
      <c r="I681" s="72" t="str">
        <f t="shared" si="49"/>
        <v>OK</v>
      </c>
    </row>
    <row r="682" spans="1:9" ht="30" x14ac:dyDescent="0.25">
      <c r="A682" s="19" t="s">
        <v>1006</v>
      </c>
      <c r="D682" s="157">
        <f>VLOOKUP(A682, 'Purchase Register'!C:D, 2, FALSE)</f>
        <v>6</v>
      </c>
      <c r="E682" s="157">
        <f>SUMIF('Sales Register'!C:C, A682, 'Sales Register'!D:D)</f>
        <v>1</v>
      </c>
      <c r="F682" s="29">
        <f t="shared" si="50"/>
        <v>5</v>
      </c>
      <c r="H682" s="157">
        <f t="shared" si="48"/>
        <v>5</v>
      </c>
      <c r="I682" s="72" t="str">
        <f t="shared" si="49"/>
        <v>SERIOUS LOSS</v>
      </c>
    </row>
    <row r="683" spans="1:9" x14ac:dyDescent="0.25">
      <c r="A683" s="19" t="s">
        <v>1007</v>
      </c>
      <c r="D683" s="157">
        <f>VLOOKUP(A683, 'Purchase Register'!C:D, 2, FALSE)</f>
        <v>6</v>
      </c>
      <c r="E683" s="157">
        <f>SUMIF('Sales Register'!C:C, A683, 'Sales Register'!D:D)</f>
        <v>9</v>
      </c>
      <c r="F683" s="29">
        <f t="shared" si="50"/>
        <v>-3</v>
      </c>
      <c r="H683" s="157">
        <f t="shared" si="48"/>
        <v>-3</v>
      </c>
      <c r="I683" s="72" t="str">
        <f t="shared" si="49"/>
        <v>SERIOUS LOSS</v>
      </c>
    </row>
    <row r="684" spans="1:9" ht="30" x14ac:dyDescent="0.25">
      <c r="A684" s="19" t="s">
        <v>1008</v>
      </c>
      <c r="D684" s="157">
        <f>VLOOKUP(A684, 'Purchase Register'!C:D, 2, FALSE)</f>
        <v>24</v>
      </c>
      <c r="E684" s="157">
        <f>SUMIF('Sales Register'!C:C, A684, 'Sales Register'!D:D)</f>
        <v>24</v>
      </c>
      <c r="F684" s="29">
        <f t="shared" si="50"/>
        <v>0</v>
      </c>
      <c r="H684" s="157">
        <f t="shared" si="48"/>
        <v>0</v>
      </c>
      <c r="I684" s="72" t="str">
        <f t="shared" si="49"/>
        <v>OK</v>
      </c>
    </row>
    <row r="685" spans="1:9" x14ac:dyDescent="0.25">
      <c r="A685" s="70" t="s">
        <v>1013</v>
      </c>
      <c r="D685" s="157">
        <f>VLOOKUP(A685, 'Purchase Register'!C:D, 2, FALSE)</f>
        <v>1</v>
      </c>
      <c r="E685" s="157">
        <f>SUMIF('Sales Register'!C:C, A685, 'Sales Register'!D:D)</f>
        <v>1</v>
      </c>
      <c r="F685" s="29">
        <f t="shared" si="50"/>
        <v>0</v>
      </c>
      <c r="H685" s="157">
        <f t="shared" si="48"/>
        <v>0</v>
      </c>
      <c r="I685" s="72" t="str">
        <f t="shared" si="49"/>
        <v>OK</v>
      </c>
    </row>
    <row r="686" spans="1:9" ht="30" x14ac:dyDescent="0.25">
      <c r="A686" s="19" t="s">
        <v>1017</v>
      </c>
      <c r="D686" s="157">
        <f>VLOOKUP(A686, 'Purchase Register'!C:D, 2, FALSE)</f>
        <v>3</v>
      </c>
      <c r="E686" s="157">
        <f>SUMIF('Sales Register'!C:C, A686, 'Sales Register'!D:D)</f>
        <v>0</v>
      </c>
      <c r="F686" s="29">
        <f t="shared" si="50"/>
        <v>3</v>
      </c>
      <c r="H686" s="157">
        <f t="shared" si="48"/>
        <v>3</v>
      </c>
      <c r="I686" s="72" t="str">
        <f t="shared" si="49"/>
        <v>SERIOUS LOSS</v>
      </c>
    </row>
    <row r="687" spans="1:9" x14ac:dyDescent="0.25">
      <c r="A687" s="19" t="s">
        <v>1016</v>
      </c>
      <c r="D687" s="157">
        <f>VLOOKUP(A687, 'Purchase Register'!C:D, 2, FALSE)</f>
        <v>1</v>
      </c>
      <c r="E687" s="157">
        <f>SUMIF('Sales Register'!C:C, A687, 'Sales Register'!D:D)</f>
        <v>1</v>
      </c>
      <c r="F687" s="29">
        <f t="shared" si="50"/>
        <v>0</v>
      </c>
      <c r="H687" s="157">
        <f t="shared" si="48"/>
        <v>0</v>
      </c>
      <c r="I687" s="72" t="str">
        <f t="shared" si="49"/>
        <v>OK</v>
      </c>
    </row>
    <row r="688" spans="1:9" x14ac:dyDescent="0.25">
      <c r="A688" s="19" t="s">
        <v>1024</v>
      </c>
      <c r="D688" s="157">
        <f>VLOOKUP(A688, 'Purchase Register'!C:D, 2, FALSE)</f>
        <v>10</v>
      </c>
      <c r="E688" s="157">
        <f>SUMIF('Sales Register'!C:C, A688, 'Sales Register'!D:D)</f>
        <v>10</v>
      </c>
      <c r="F688" s="29">
        <f t="shared" ref="F688:F696" si="51">C688+D688-E688</f>
        <v>0</v>
      </c>
      <c r="H688" s="157">
        <f t="shared" si="48"/>
        <v>0</v>
      </c>
      <c r="I688" s="72" t="str">
        <f t="shared" si="49"/>
        <v>OK</v>
      </c>
    </row>
    <row r="689" spans="1:9" x14ac:dyDescent="0.25">
      <c r="A689" s="19" t="s">
        <v>1025</v>
      </c>
      <c r="D689" s="157">
        <f>VLOOKUP(A689, 'Purchase Register'!C:D, 2, FALSE)</f>
        <v>5</v>
      </c>
      <c r="E689" s="157">
        <f>SUMIF('Sales Register'!C:C, A689, 'Sales Register'!D:D)</f>
        <v>5.5</v>
      </c>
      <c r="F689" s="29">
        <f t="shared" si="51"/>
        <v>-0.5</v>
      </c>
      <c r="H689" s="157">
        <f t="shared" si="48"/>
        <v>-0.5</v>
      </c>
      <c r="I689" s="72" t="str">
        <f t="shared" si="49"/>
        <v>Minor Issue</v>
      </c>
    </row>
    <row r="690" spans="1:9" x14ac:dyDescent="0.25">
      <c r="A690" s="19" t="s">
        <v>1026</v>
      </c>
      <c r="D690" s="157">
        <f>VLOOKUP(A690, 'Purchase Register'!C:D, 2, FALSE)</f>
        <v>1</v>
      </c>
      <c r="E690" s="157">
        <f>SUMIF('Sales Register'!C:C, A690, 'Sales Register'!D:D)</f>
        <v>0.91000000000000014</v>
      </c>
      <c r="F690" s="29">
        <f t="shared" si="51"/>
        <v>8.9999999999999858E-2</v>
      </c>
      <c r="H690" s="157">
        <f t="shared" si="48"/>
        <v>8.9999999999999858E-2</v>
      </c>
      <c r="I690" s="72" t="str">
        <f t="shared" si="49"/>
        <v>Minor Issue</v>
      </c>
    </row>
    <row r="691" spans="1:9" x14ac:dyDescent="0.25">
      <c r="A691" s="19" t="s">
        <v>1027</v>
      </c>
      <c r="D691" s="157">
        <f>VLOOKUP(A691, 'Purchase Register'!C:D, 2, FALSE)</f>
        <v>1</v>
      </c>
      <c r="E691" s="157">
        <f>SUMIF('Sales Register'!C:C, A691, 'Sales Register'!D:D)</f>
        <v>0.53</v>
      </c>
      <c r="F691" s="29">
        <f t="shared" si="51"/>
        <v>0.47</v>
      </c>
      <c r="H691" s="157">
        <f t="shared" si="48"/>
        <v>0.47</v>
      </c>
      <c r="I691" s="72" t="str">
        <f t="shared" si="49"/>
        <v>Minor Issue</v>
      </c>
    </row>
    <row r="692" spans="1:9" ht="30" x14ac:dyDescent="0.25">
      <c r="A692" s="33" t="s">
        <v>1039</v>
      </c>
      <c r="D692" s="157">
        <f>VLOOKUP(A692, 'Purchase Register'!C:D, 2, FALSE)</f>
        <v>3</v>
      </c>
      <c r="E692" s="157">
        <f>SUMIF('Sales Register'!C:C, A692, 'Sales Register'!D:D)</f>
        <v>4</v>
      </c>
      <c r="F692" s="29">
        <f t="shared" si="51"/>
        <v>-1</v>
      </c>
      <c r="H692" s="157">
        <f t="shared" si="48"/>
        <v>-1</v>
      </c>
      <c r="I692" s="72" t="str">
        <f t="shared" si="49"/>
        <v>Minor Issue</v>
      </c>
    </row>
    <row r="693" spans="1:9" ht="30" x14ac:dyDescent="0.25">
      <c r="A693" s="19" t="s">
        <v>1041</v>
      </c>
      <c r="D693" s="157">
        <f>VLOOKUP(A693, 'Purchase Register'!C:D, 2, FALSE)</f>
        <v>2</v>
      </c>
      <c r="E693" s="157">
        <f>SUMIF('Sales Register'!C:C, A693, 'Sales Register'!D:D)</f>
        <v>2</v>
      </c>
      <c r="F693" s="29">
        <f t="shared" si="51"/>
        <v>0</v>
      </c>
      <c r="H693" s="157">
        <f t="shared" si="48"/>
        <v>0</v>
      </c>
      <c r="I693" s="72" t="str">
        <f t="shared" si="49"/>
        <v>OK</v>
      </c>
    </row>
    <row r="694" spans="1:9" x14ac:dyDescent="0.25">
      <c r="A694" s="19" t="s">
        <v>1042</v>
      </c>
      <c r="D694" s="157">
        <f>VLOOKUP(A694, 'Purchase Register'!C:D, 2, FALSE)</f>
        <v>1</v>
      </c>
      <c r="E694" s="157">
        <f>SUMIF('Sales Register'!C:C, A694, 'Sales Register'!D:D)</f>
        <v>1</v>
      </c>
      <c r="F694" s="29">
        <f t="shared" si="51"/>
        <v>0</v>
      </c>
      <c r="H694" s="157">
        <f t="shared" si="48"/>
        <v>0</v>
      </c>
      <c r="I694" s="72" t="str">
        <f t="shared" si="49"/>
        <v>OK</v>
      </c>
    </row>
    <row r="695" spans="1:9" x14ac:dyDescent="0.25">
      <c r="A695" s="19" t="s">
        <v>1043</v>
      </c>
      <c r="D695" s="157">
        <f>VLOOKUP(A695, 'Purchase Register'!C:D, 2, FALSE)</f>
        <v>1</v>
      </c>
      <c r="E695" s="157">
        <f>SUMIF('Sales Register'!C:C, A695, 'Sales Register'!D:D)</f>
        <v>0.875</v>
      </c>
      <c r="F695" s="29">
        <f t="shared" si="51"/>
        <v>0.125</v>
      </c>
      <c r="H695" s="157">
        <f t="shared" si="48"/>
        <v>0.125</v>
      </c>
      <c r="I695" s="72" t="str">
        <f t="shared" si="49"/>
        <v>Minor Issue</v>
      </c>
    </row>
    <row r="696" spans="1:9" x14ac:dyDescent="0.25">
      <c r="A696" s="19" t="s">
        <v>1047</v>
      </c>
      <c r="D696" s="157">
        <f>VLOOKUP(A696, 'Purchase Register'!C:D, 2, FALSE)</f>
        <v>4</v>
      </c>
      <c r="E696" s="157">
        <f>SUMIF('Sales Register'!C:C, A696, 'Sales Register'!D:D)</f>
        <v>4</v>
      </c>
      <c r="F696" s="29">
        <f t="shared" si="51"/>
        <v>0</v>
      </c>
      <c r="H696" s="157">
        <f t="shared" si="48"/>
        <v>0</v>
      </c>
      <c r="I696" s="72" t="str">
        <f t="shared" si="49"/>
        <v>OK</v>
      </c>
    </row>
    <row r="697" spans="1:9" x14ac:dyDescent="0.25">
      <c r="A697" s="19" t="s">
        <v>1048</v>
      </c>
      <c r="D697" s="157">
        <f>VLOOKUP(A697, 'Purchase Register'!C:D, 2, FALSE)</f>
        <v>6</v>
      </c>
      <c r="E697" s="157">
        <f>SUMIF('Sales Register'!C:C, A697, 'Sales Register'!D:D)</f>
        <v>6</v>
      </c>
      <c r="F697" s="29">
        <f t="shared" ref="F697:F716" si="52">C697+D697-E697</f>
        <v>0</v>
      </c>
      <c r="H697" s="157">
        <f t="shared" si="48"/>
        <v>0</v>
      </c>
      <c r="I697" s="72" t="str">
        <f t="shared" si="49"/>
        <v>OK</v>
      </c>
    </row>
    <row r="698" spans="1:9" x14ac:dyDescent="0.25">
      <c r="A698" s="19" t="s">
        <v>1049</v>
      </c>
      <c r="D698" s="157">
        <f>VLOOKUP(A698, 'Purchase Register'!C:D, 2, FALSE)</f>
        <v>4</v>
      </c>
      <c r="E698" s="157">
        <f>SUMIF('Sales Register'!C:C, A698, 'Sales Register'!D:D)</f>
        <v>3</v>
      </c>
      <c r="F698" s="29">
        <f t="shared" si="52"/>
        <v>1</v>
      </c>
      <c r="H698" s="157">
        <f t="shared" si="48"/>
        <v>1</v>
      </c>
      <c r="I698" s="72" t="str">
        <f t="shared" si="49"/>
        <v>Minor Issue</v>
      </c>
    </row>
    <row r="699" spans="1:9" x14ac:dyDescent="0.25">
      <c r="A699" s="19" t="s">
        <v>1050</v>
      </c>
      <c r="D699" s="157">
        <f>VLOOKUP(A699, 'Purchase Register'!C:D, 2, FALSE)</f>
        <v>60</v>
      </c>
      <c r="E699" s="157">
        <f>SUMIF('Sales Register'!C:C, A699, 'Sales Register'!D:D)</f>
        <v>60</v>
      </c>
      <c r="F699" s="29">
        <f t="shared" si="52"/>
        <v>0</v>
      </c>
      <c r="H699" s="157">
        <f t="shared" si="48"/>
        <v>0</v>
      </c>
      <c r="I699" s="72" t="str">
        <f t="shared" si="49"/>
        <v>OK</v>
      </c>
    </row>
    <row r="700" spans="1:9" ht="30" x14ac:dyDescent="0.25">
      <c r="A700" s="19" t="s">
        <v>1051</v>
      </c>
      <c r="D700" s="157">
        <f>VLOOKUP(A700, 'Purchase Register'!C:D, 2, FALSE)</f>
        <v>3</v>
      </c>
      <c r="E700" s="157">
        <f>SUMIF('Sales Register'!C:C, A700, 'Sales Register'!D:D)</f>
        <v>3</v>
      </c>
      <c r="F700" s="29">
        <f t="shared" si="52"/>
        <v>0</v>
      </c>
      <c r="H700" s="157">
        <f t="shared" si="48"/>
        <v>0</v>
      </c>
      <c r="I700" s="72" t="str">
        <f t="shared" si="49"/>
        <v>OK</v>
      </c>
    </row>
    <row r="701" spans="1:9" x14ac:dyDescent="0.25">
      <c r="A701" s="19" t="s">
        <v>1052</v>
      </c>
      <c r="D701" s="157">
        <f>VLOOKUP(A701, 'Purchase Register'!C:D, 2, FALSE)</f>
        <v>12</v>
      </c>
      <c r="E701" s="157">
        <f>SUMIF('Sales Register'!C:C, A701, 'Sales Register'!D:D)</f>
        <v>9</v>
      </c>
      <c r="F701" s="29">
        <f t="shared" si="52"/>
        <v>3</v>
      </c>
      <c r="H701" s="157">
        <f t="shared" si="48"/>
        <v>3</v>
      </c>
      <c r="I701" s="72" t="str">
        <f t="shared" si="49"/>
        <v>SERIOUS LOSS</v>
      </c>
    </row>
    <row r="702" spans="1:9" x14ac:dyDescent="0.25">
      <c r="A702" s="19" t="s">
        <v>1053</v>
      </c>
      <c r="D702" s="157">
        <f>VLOOKUP(A702, 'Purchase Register'!C:D, 2, FALSE)</f>
        <v>12</v>
      </c>
      <c r="E702" s="157">
        <f>SUMIF('Sales Register'!C:C, A702, 'Sales Register'!D:D)</f>
        <v>18</v>
      </c>
      <c r="F702" s="29">
        <f t="shared" si="52"/>
        <v>-6</v>
      </c>
      <c r="H702" s="157">
        <f t="shared" si="48"/>
        <v>-6</v>
      </c>
      <c r="I702" s="72" t="str">
        <f t="shared" si="49"/>
        <v>SERIOUS LOSS</v>
      </c>
    </row>
    <row r="703" spans="1:9" ht="30" x14ac:dyDescent="0.25">
      <c r="A703" s="19" t="s">
        <v>1054</v>
      </c>
      <c r="D703" s="157">
        <f>VLOOKUP(A703, 'Purchase Register'!C:D, 2, FALSE)</f>
        <v>10</v>
      </c>
      <c r="E703" s="157">
        <f>SUMIF('Sales Register'!C:C, A703, 'Sales Register'!D:D)</f>
        <v>20</v>
      </c>
      <c r="F703" s="29">
        <f t="shared" si="52"/>
        <v>-10</v>
      </c>
      <c r="H703" s="157">
        <f t="shared" si="48"/>
        <v>-10</v>
      </c>
      <c r="I703" s="72" t="str">
        <f t="shared" si="49"/>
        <v>SERIOUS LOSS</v>
      </c>
    </row>
    <row r="704" spans="1:9" ht="30" x14ac:dyDescent="0.25">
      <c r="A704" s="19" t="s">
        <v>1055</v>
      </c>
      <c r="D704" s="157">
        <f>VLOOKUP(A704, 'Purchase Register'!C:D, 2, FALSE)</f>
        <v>64</v>
      </c>
      <c r="E704" s="157">
        <f>SUMIF('Sales Register'!C:C, A704, 'Sales Register'!D:D)</f>
        <v>18</v>
      </c>
      <c r="F704" s="29">
        <f t="shared" si="52"/>
        <v>46</v>
      </c>
      <c r="H704" s="157">
        <f t="shared" si="48"/>
        <v>46</v>
      </c>
      <c r="I704" s="72" t="str">
        <f t="shared" si="49"/>
        <v>SERIOUS LOSS</v>
      </c>
    </row>
    <row r="705" spans="1:9" x14ac:dyDescent="0.25">
      <c r="A705" s="19" t="s">
        <v>1056</v>
      </c>
      <c r="D705" s="157">
        <f>VLOOKUP(A705, 'Purchase Register'!C:D, 2, FALSE)</f>
        <v>6</v>
      </c>
      <c r="E705" s="157">
        <f>SUMIF('Sales Register'!C:C, A705, 'Sales Register'!D:D)</f>
        <v>2</v>
      </c>
      <c r="F705" s="29">
        <f t="shared" si="52"/>
        <v>4</v>
      </c>
      <c r="H705" s="157">
        <f t="shared" si="48"/>
        <v>4</v>
      </c>
      <c r="I705" s="72" t="str">
        <f t="shared" si="49"/>
        <v>SERIOUS LOSS</v>
      </c>
    </row>
    <row r="706" spans="1:9" ht="30" x14ac:dyDescent="0.25">
      <c r="A706" s="19" t="s">
        <v>1057</v>
      </c>
      <c r="D706" s="157">
        <f>VLOOKUP(A706, 'Purchase Register'!C:D, 2, FALSE)</f>
        <v>10</v>
      </c>
      <c r="E706" s="157">
        <f>SUMIF('Sales Register'!C:C, A706, 'Sales Register'!D:D)</f>
        <v>4</v>
      </c>
      <c r="F706" s="29">
        <f t="shared" si="52"/>
        <v>6</v>
      </c>
      <c r="H706" s="157">
        <f t="shared" ref="H706:H769" si="53">F706-G706</f>
        <v>6</v>
      </c>
      <c r="I706" s="72" t="str">
        <f t="shared" ref="I706:I769" si="54">IF(H706=0,"OK",
IF(ABS(H706)&lt;=2,"Minor Issue","SERIOUS LOSS"))</f>
        <v>SERIOUS LOSS</v>
      </c>
    </row>
    <row r="707" spans="1:9" ht="30" x14ac:dyDescent="0.25">
      <c r="A707" s="19" t="s">
        <v>1058</v>
      </c>
      <c r="D707" s="157">
        <f>VLOOKUP(A707, 'Purchase Register'!C:D, 2, FALSE)</f>
        <v>12</v>
      </c>
      <c r="E707" s="157">
        <f>SUMIF('Sales Register'!C:C, A707, 'Sales Register'!D:D)</f>
        <v>8</v>
      </c>
      <c r="F707" s="29">
        <f t="shared" si="52"/>
        <v>4</v>
      </c>
      <c r="H707" s="157">
        <f t="shared" si="53"/>
        <v>4</v>
      </c>
      <c r="I707" s="72" t="str">
        <f t="shared" si="54"/>
        <v>SERIOUS LOSS</v>
      </c>
    </row>
    <row r="708" spans="1:9" x14ac:dyDescent="0.25">
      <c r="A708" s="19" t="s">
        <v>1059</v>
      </c>
      <c r="D708" s="157">
        <f>VLOOKUP(A708, 'Purchase Register'!C:D, 2, FALSE)</f>
        <v>6</v>
      </c>
      <c r="E708" s="157">
        <f>SUMIF('Sales Register'!C:C, A708, 'Sales Register'!D:D)</f>
        <v>11</v>
      </c>
      <c r="F708" s="29">
        <f t="shared" si="52"/>
        <v>-5</v>
      </c>
      <c r="H708" s="157">
        <f t="shared" si="53"/>
        <v>-5</v>
      </c>
      <c r="I708" s="72" t="str">
        <f t="shared" si="54"/>
        <v>SERIOUS LOSS</v>
      </c>
    </row>
    <row r="709" spans="1:9" ht="30" x14ac:dyDescent="0.25">
      <c r="A709" s="19" t="s">
        <v>1060</v>
      </c>
      <c r="D709" s="157">
        <f>VLOOKUP(A709, 'Purchase Register'!C:D, 2, FALSE)</f>
        <v>3</v>
      </c>
      <c r="E709" s="157">
        <f>SUMIF('Sales Register'!C:C, A709, 'Sales Register'!D:D)</f>
        <v>1</v>
      </c>
      <c r="F709" s="29">
        <f t="shared" si="52"/>
        <v>2</v>
      </c>
      <c r="H709" s="157">
        <f t="shared" si="53"/>
        <v>2</v>
      </c>
      <c r="I709" s="72" t="str">
        <f t="shared" si="54"/>
        <v>Minor Issue</v>
      </c>
    </row>
    <row r="710" spans="1:9" x14ac:dyDescent="0.25">
      <c r="A710" s="19" t="s">
        <v>1061</v>
      </c>
      <c r="D710" s="157">
        <f>VLOOKUP(A710, 'Purchase Register'!C:D, 2, FALSE)</f>
        <v>3</v>
      </c>
      <c r="E710" s="157">
        <f>SUMIF('Sales Register'!C:C, A710, 'Sales Register'!D:D)</f>
        <v>1</v>
      </c>
      <c r="F710" s="29">
        <f t="shared" si="52"/>
        <v>2</v>
      </c>
      <c r="H710" s="157">
        <f t="shared" si="53"/>
        <v>2</v>
      </c>
      <c r="I710" s="72" t="str">
        <f t="shared" si="54"/>
        <v>Minor Issue</v>
      </c>
    </row>
    <row r="711" spans="1:9" x14ac:dyDescent="0.25">
      <c r="A711" s="19" t="s">
        <v>1062</v>
      </c>
      <c r="D711" s="157">
        <f>VLOOKUP(A711, 'Purchase Register'!C:D, 2, FALSE)</f>
        <v>12</v>
      </c>
      <c r="E711" s="157">
        <f>SUMIF('Sales Register'!C:C, A711, 'Sales Register'!D:D)</f>
        <v>10</v>
      </c>
      <c r="F711" s="29">
        <f t="shared" si="52"/>
        <v>2</v>
      </c>
      <c r="H711" s="157">
        <f t="shared" si="53"/>
        <v>2</v>
      </c>
      <c r="I711" s="72" t="str">
        <f t="shared" si="54"/>
        <v>Minor Issue</v>
      </c>
    </row>
    <row r="712" spans="1:9" x14ac:dyDescent="0.25">
      <c r="A712" s="19" t="s">
        <v>1063</v>
      </c>
      <c r="D712" s="157">
        <f>VLOOKUP(A712, 'Purchase Register'!C:D, 2, FALSE)</f>
        <v>12</v>
      </c>
      <c r="E712" s="157">
        <f>SUMIF('Sales Register'!C:C, A712, 'Sales Register'!D:D)</f>
        <v>11</v>
      </c>
      <c r="F712" s="29">
        <f t="shared" si="52"/>
        <v>1</v>
      </c>
      <c r="H712" s="157">
        <f t="shared" si="53"/>
        <v>1</v>
      </c>
      <c r="I712" s="72" t="str">
        <f t="shared" si="54"/>
        <v>Minor Issue</v>
      </c>
    </row>
    <row r="713" spans="1:9" ht="30" x14ac:dyDescent="0.25">
      <c r="A713" s="19" t="s">
        <v>1064</v>
      </c>
      <c r="D713" s="157">
        <f>VLOOKUP(A713, 'Purchase Register'!C:D, 2, FALSE)</f>
        <v>1</v>
      </c>
      <c r="E713" s="157">
        <f>SUMIF('Sales Register'!C:C, A713, 'Sales Register'!D:D)</f>
        <v>2</v>
      </c>
      <c r="F713" s="29">
        <f t="shared" si="52"/>
        <v>-1</v>
      </c>
      <c r="H713" s="157">
        <f t="shared" si="53"/>
        <v>-1</v>
      </c>
      <c r="I713" s="72" t="str">
        <f t="shared" si="54"/>
        <v>Minor Issue</v>
      </c>
    </row>
    <row r="714" spans="1:9" ht="30" x14ac:dyDescent="0.25">
      <c r="A714" s="19" t="s">
        <v>1065</v>
      </c>
      <c r="D714" s="157">
        <f>VLOOKUP(A714, 'Purchase Register'!C:D, 2, FALSE)</f>
        <v>2</v>
      </c>
      <c r="E714" s="157">
        <f>SUMIF('Sales Register'!C:C, A714, 'Sales Register'!D:D)</f>
        <v>2</v>
      </c>
      <c r="F714" s="29">
        <f t="shared" si="52"/>
        <v>0</v>
      </c>
      <c r="H714" s="157">
        <f t="shared" si="53"/>
        <v>0</v>
      </c>
      <c r="I714" s="72" t="str">
        <f t="shared" si="54"/>
        <v>OK</v>
      </c>
    </row>
    <row r="715" spans="1:9" ht="30" x14ac:dyDescent="0.25">
      <c r="A715" s="19" t="s">
        <v>1066</v>
      </c>
      <c r="D715" s="157">
        <f>VLOOKUP(A715, 'Purchase Register'!C:D, 2, FALSE)</f>
        <v>3</v>
      </c>
      <c r="E715" s="157">
        <f>SUMIF('Sales Register'!C:C, A715, 'Sales Register'!D:D)</f>
        <v>3</v>
      </c>
      <c r="F715" s="29">
        <f t="shared" si="52"/>
        <v>0</v>
      </c>
      <c r="H715" s="157">
        <f t="shared" si="53"/>
        <v>0</v>
      </c>
      <c r="I715" s="72" t="str">
        <f t="shared" si="54"/>
        <v>OK</v>
      </c>
    </row>
    <row r="716" spans="1:9" x14ac:dyDescent="0.25">
      <c r="A716" s="19" t="s">
        <v>1067</v>
      </c>
      <c r="D716" s="157">
        <f>VLOOKUP(A716, 'Purchase Register'!C:D, 2, FALSE)</f>
        <v>12</v>
      </c>
      <c r="E716" s="157">
        <f>SUMIF('Sales Register'!C:C, A716, 'Sales Register'!D:D)</f>
        <v>12</v>
      </c>
      <c r="F716" s="29">
        <f t="shared" si="52"/>
        <v>0</v>
      </c>
      <c r="H716" s="157">
        <f t="shared" si="53"/>
        <v>0</v>
      </c>
      <c r="I716" s="72" t="str">
        <f t="shared" si="54"/>
        <v>OK</v>
      </c>
    </row>
    <row r="717" spans="1:9" x14ac:dyDescent="0.25">
      <c r="A717" s="19" t="s">
        <v>1070</v>
      </c>
      <c r="D717" s="157">
        <f>VLOOKUP(A717, 'Purchase Register'!C:D, 2, FALSE)</f>
        <v>10</v>
      </c>
      <c r="E717" s="157">
        <f>SUMIF('Sales Register'!C:C, A717, 'Sales Register'!D:D)</f>
        <v>8.0500000000000007</v>
      </c>
      <c r="F717" s="29">
        <f t="shared" ref="F717:F722" si="55">C717+D717-E717</f>
        <v>1.9499999999999993</v>
      </c>
      <c r="H717" s="157">
        <f t="shared" si="53"/>
        <v>1.9499999999999993</v>
      </c>
      <c r="I717" s="72" t="str">
        <f t="shared" si="54"/>
        <v>Minor Issue</v>
      </c>
    </row>
    <row r="718" spans="1:9" x14ac:dyDescent="0.25">
      <c r="A718" s="19" t="s">
        <v>1071</v>
      </c>
      <c r="D718" s="157">
        <f>VLOOKUP(A718, 'Purchase Register'!C:D, 2, FALSE)</f>
        <v>5</v>
      </c>
      <c r="E718" s="157">
        <f>SUMIF('Sales Register'!C:C, A718, 'Sales Register'!D:D)</f>
        <v>3.9</v>
      </c>
      <c r="F718" s="29">
        <f t="shared" si="55"/>
        <v>1.1000000000000001</v>
      </c>
      <c r="H718" s="157">
        <f t="shared" si="53"/>
        <v>1.1000000000000001</v>
      </c>
      <c r="I718" s="72" t="str">
        <f t="shared" si="54"/>
        <v>Minor Issue</v>
      </c>
    </row>
    <row r="719" spans="1:9" ht="30" x14ac:dyDescent="0.25">
      <c r="A719" s="19" t="s">
        <v>1072</v>
      </c>
      <c r="D719" s="157">
        <f>VLOOKUP(A719, 'Purchase Register'!C:D, 2, FALSE)</f>
        <v>5</v>
      </c>
      <c r="E719" s="157">
        <f>SUMIF('Sales Register'!C:C, A719, 'Sales Register'!D:D)</f>
        <v>5.9</v>
      </c>
      <c r="F719" s="29">
        <f t="shared" si="55"/>
        <v>-0.90000000000000036</v>
      </c>
      <c r="H719" s="157">
        <f t="shared" si="53"/>
        <v>-0.90000000000000036</v>
      </c>
      <c r="I719" s="72" t="str">
        <f t="shared" si="54"/>
        <v>Minor Issue</v>
      </c>
    </row>
    <row r="720" spans="1:9" x14ac:dyDescent="0.25">
      <c r="A720" s="19" t="s">
        <v>1073</v>
      </c>
      <c r="D720" s="157">
        <f>VLOOKUP(A720, 'Purchase Register'!C:D, 2, FALSE)</f>
        <v>12</v>
      </c>
      <c r="E720" s="157">
        <f>SUMIF('Sales Register'!C:C, A720, 'Sales Register'!D:D)</f>
        <v>3</v>
      </c>
      <c r="F720" s="29">
        <f t="shared" si="55"/>
        <v>9</v>
      </c>
      <c r="H720" s="157">
        <f t="shared" si="53"/>
        <v>9</v>
      </c>
      <c r="I720" s="72" t="str">
        <f t="shared" si="54"/>
        <v>SERIOUS LOSS</v>
      </c>
    </row>
    <row r="721" spans="1:9" x14ac:dyDescent="0.25">
      <c r="A721" s="19" t="s">
        <v>1074</v>
      </c>
      <c r="D721" s="157">
        <f>VLOOKUP(A721, 'Purchase Register'!C:D, 2, FALSE)</f>
        <v>6</v>
      </c>
      <c r="E721" s="157">
        <f>SUMIF('Sales Register'!C:C, A721, 'Sales Register'!D:D)</f>
        <v>6</v>
      </c>
      <c r="F721" s="29">
        <f t="shared" si="55"/>
        <v>0</v>
      </c>
      <c r="H721" s="157">
        <f t="shared" si="53"/>
        <v>0</v>
      </c>
      <c r="I721" s="72" t="str">
        <f t="shared" si="54"/>
        <v>OK</v>
      </c>
    </row>
    <row r="722" spans="1:9" x14ac:dyDescent="0.25">
      <c r="A722" s="19" t="s">
        <v>1076</v>
      </c>
      <c r="D722" s="157">
        <f>VLOOKUP(A722, 'Purchase Register'!C:D, 2, FALSE)</f>
        <v>52</v>
      </c>
      <c r="E722" s="157">
        <f>SUMIF('Sales Register'!C:C, A722, 'Sales Register'!D:D)</f>
        <v>52</v>
      </c>
      <c r="F722" s="29">
        <f t="shared" si="55"/>
        <v>0</v>
      </c>
      <c r="H722" s="157">
        <f t="shared" si="53"/>
        <v>0</v>
      </c>
      <c r="I722" s="72" t="str">
        <f t="shared" si="54"/>
        <v>OK</v>
      </c>
    </row>
    <row r="723" spans="1:9" x14ac:dyDescent="0.25">
      <c r="A723" s="19" t="s">
        <v>1078</v>
      </c>
      <c r="D723" s="157">
        <f>VLOOKUP(A723, 'Purchase Register'!C:D, 2, FALSE)</f>
        <v>18</v>
      </c>
      <c r="E723" s="157">
        <f>SUMIF('Sales Register'!C:C, A723, 'Sales Register'!D:D)</f>
        <v>29</v>
      </c>
      <c r="F723" s="29">
        <f t="shared" ref="F723:F787" si="56">C723+D723-E723</f>
        <v>-11</v>
      </c>
      <c r="H723" s="157">
        <f t="shared" si="53"/>
        <v>-11</v>
      </c>
      <c r="I723" s="72" t="str">
        <f t="shared" si="54"/>
        <v>SERIOUS LOSS</v>
      </c>
    </row>
    <row r="724" spans="1:9" x14ac:dyDescent="0.25">
      <c r="A724" s="19" t="s">
        <v>1088</v>
      </c>
      <c r="D724" s="157">
        <f>VLOOKUP(A724, 'Purchase Register'!C:D, 2, FALSE)</f>
        <v>90</v>
      </c>
      <c r="E724" s="157">
        <f>SUMIF('Sales Register'!C:C, A724, 'Sales Register'!D:D)</f>
        <v>88</v>
      </c>
      <c r="F724" s="29">
        <f t="shared" si="56"/>
        <v>2</v>
      </c>
      <c r="H724" s="157">
        <f t="shared" si="53"/>
        <v>2</v>
      </c>
      <c r="I724" s="72" t="str">
        <f t="shared" si="54"/>
        <v>Minor Issue</v>
      </c>
    </row>
    <row r="725" spans="1:9" x14ac:dyDescent="0.25">
      <c r="A725" s="19" t="s">
        <v>1089</v>
      </c>
      <c r="D725" s="157">
        <f>VLOOKUP(A725, 'Purchase Register'!C:D, 2, FALSE)</f>
        <v>10</v>
      </c>
      <c r="E725" s="157">
        <f>SUMIF('Sales Register'!C:C, A725, 'Sales Register'!D:D)</f>
        <v>9.1889999999999983</v>
      </c>
      <c r="F725" s="29">
        <f t="shared" si="56"/>
        <v>0.81100000000000172</v>
      </c>
      <c r="H725" s="157">
        <f t="shared" si="53"/>
        <v>0.81100000000000172</v>
      </c>
      <c r="I725" s="72" t="str">
        <f t="shared" si="54"/>
        <v>Minor Issue</v>
      </c>
    </row>
    <row r="726" spans="1:9" x14ac:dyDescent="0.25">
      <c r="A726" s="19" t="s">
        <v>1090</v>
      </c>
      <c r="D726" s="157">
        <f>VLOOKUP(A726, 'Purchase Register'!C:D, 2, FALSE)</f>
        <v>108</v>
      </c>
      <c r="E726" s="157">
        <f>SUMIF('Sales Register'!C:C, A726, 'Sales Register'!D:D)</f>
        <v>108</v>
      </c>
      <c r="F726" s="29">
        <f t="shared" si="56"/>
        <v>0</v>
      </c>
      <c r="H726" s="157">
        <f t="shared" si="53"/>
        <v>0</v>
      </c>
      <c r="I726" s="72" t="str">
        <f t="shared" si="54"/>
        <v>OK</v>
      </c>
    </row>
    <row r="727" spans="1:9" ht="30" x14ac:dyDescent="0.25">
      <c r="A727" s="19" t="s">
        <v>1091</v>
      </c>
      <c r="D727" s="157">
        <f>VLOOKUP(A727, 'Purchase Register'!C:D, 2, FALSE)</f>
        <v>48</v>
      </c>
      <c r="E727" s="157">
        <f>SUMIF('Sales Register'!C:C, A727, 'Sales Register'!D:D)</f>
        <v>52</v>
      </c>
      <c r="F727" s="29">
        <f t="shared" si="56"/>
        <v>-4</v>
      </c>
      <c r="H727" s="157">
        <f t="shared" si="53"/>
        <v>-4</v>
      </c>
      <c r="I727" s="72" t="str">
        <f t="shared" si="54"/>
        <v>SERIOUS LOSS</v>
      </c>
    </row>
    <row r="728" spans="1:9" ht="30" x14ac:dyDescent="0.25">
      <c r="A728" s="19" t="s">
        <v>1101</v>
      </c>
      <c r="D728" s="157">
        <f>VLOOKUP(A728, 'Purchase Register'!C:D, 2, FALSE)</f>
        <v>1</v>
      </c>
      <c r="E728" s="157">
        <f>SUMIF('Sales Register'!C:C, A728, 'Sales Register'!D:D)</f>
        <v>0</v>
      </c>
      <c r="F728" s="29">
        <f t="shared" si="56"/>
        <v>1</v>
      </c>
      <c r="H728" s="157">
        <f t="shared" si="53"/>
        <v>1</v>
      </c>
      <c r="I728" s="72" t="str">
        <f t="shared" si="54"/>
        <v>Minor Issue</v>
      </c>
    </row>
    <row r="729" spans="1:9" ht="30" x14ac:dyDescent="0.25">
      <c r="A729" s="19" t="s">
        <v>1102</v>
      </c>
      <c r="D729" s="157">
        <f>VLOOKUP(A729, 'Purchase Register'!C:D, 2, FALSE)</f>
        <v>2</v>
      </c>
      <c r="E729" s="157">
        <f>SUMIF('Sales Register'!C:C, A729, 'Sales Register'!D:D)</f>
        <v>2</v>
      </c>
      <c r="F729" s="29">
        <f t="shared" si="56"/>
        <v>0</v>
      </c>
      <c r="H729" s="157">
        <f t="shared" si="53"/>
        <v>0</v>
      </c>
      <c r="I729" s="72" t="str">
        <f t="shared" si="54"/>
        <v>OK</v>
      </c>
    </row>
    <row r="730" spans="1:9" ht="30" x14ac:dyDescent="0.25">
      <c r="A730" s="19" t="s">
        <v>1103</v>
      </c>
      <c r="D730" s="157">
        <f>VLOOKUP(A730, 'Purchase Register'!C:D, 2, FALSE)</f>
        <v>2</v>
      </c>
      <c r="E730" s="157">
        <f>SUMIF('Sales Register'!C:C, A730, 'Sales Register'!D:D)</f>
        <v>2</v>
      </c>
      <c r="F730" s="29">
        <f t="shared" si="56"/>
        <v>0</v>
      </c>
      <c r="H730" s="157">
        <f t="shared" si="53"/>
        <v>0</v>
      </c>
      <c r="I730" s="72" t="str">
        <f t="shared" si="54"/>
        <v>OK</v>
      </c>
    </row>
    <row r="731" spans="1:9" ht="30" x14ac:dyDescent="0.25">
      <c r="A731" s="19" t="s">
        <v>1104</v>
      </c>
      <c r="D731" s="157">
        <f>VLOOKUP(A731, 'Purchase Register'!C:D, 2, FALSE)</f>
        <v>2</v>
      </c>
      <c r="E731" s="157">
        <f>SUMIF('Sales Register'!C:C, A731, 'Sales Register'!D:D)</f>
        <v>1</v>
      </c>
      <c r="F731" s="29">
        <f t="shared" si="56"/>
        <v>1</v>
      </c>
      <c r="H731" s="157">
        <f t="shared" si="53"/>
        <v>1</v>
      </c>
      <c r="I731" s="72" t="str">
        <f t="shared" si="54"/>
        <v>Minor Issue</v>
      </c>
    </row>
    <row r="732" spans="1:9" ht="30" x14ac:dyDescent="0.25">
      <c r="A732" s="19" t="s">
        <v>1105</v>
      </c>
      <c r="D732" s="157">
        <f>VLOOKUP(A732, 'Purchase Register'!C:D, 2, FALSE)</f>
        <v>10</v>
      </c>
      <c r="E732" s="157">
        <f>SUMIF('Sales Register'!C:C, A732, 'Sales Register'!D:D)</f>
        <v>3</v>
      </c>
      <c r="F732" s="29">
        <f t="shared" si="56"/>
        <v>7</v>
      </c>
      <c r="H732" s="157">
        <f t="shared" si="53"/>
        <v>7</v>
      </c>
      <c r="I732" s="72" t="str">
        <f t="shared" si="54"/>
        <v>SERIOUS LOSS</v>
      </c>
    </row>
    <row r="733" spans="1:9" ht="30" x14ac:dyDescent="0.25">
      <c r="A733" s="19" t="s">
        <v>1106</v>
      </c>
      <c r="D733" s="157">
        <f>VLOOKUP(A733, 'Purchase Register'!C:D, 2, FALSE)</f>
        <v>10</v>
      </c>
      <c r="E733" s="157">
        <f>SUMIF('Sales Register'!C:C, A733, 'Sales Register'!D:D)</f>
        <v>4</v>
      </c>
      <c r="F733" s="29">
        <f t="shared" si="56"/>
        <v>6</v>
      </c>
      <c r="H733" s="157">
        <f t="shared" si="53"/>
        <v>6</v>
      </c>
      <c r="I733" s="72" t="str">
        <f t="shared" si="54"/>
        <v>SERIOUS LOSS</v>
      </c>
    </row>
    <row r="734" spans="1:9" x14ac:dyDescent="0.25">
      <c r="A734" s="19" t="s">
        <v>1107</v>
      </c>
      <c r="D734" s="157">
        <f>VLOOKUP(A734, 'Purchase Register'!C:D, 2, FALSE)</f>
        <v>10</v>
      </c>
      <c r="E734" s="157">
        <f>SUMIF('Sales Register'!C:C, A734, 'Sales Register'!D:D)</f>
        <v>3</v>
      </c>
      <c r="F734" s="29">
        <f t="shared" si="56"/>
        <v>7</v>
      </c>
      <c r="H734" s="157">
        <f t="shared" si="53"/>
        <v>7</v>
      </c>
      <c r="I734" s="72" t="str">
        <f t="shared" si="54"/>
        <v>SERIOUS LOSS</v>
      </c>
    </row>
    <row r="735" spans="1:9" x14ac:dyDescent="0.25">
      <c r="A735" s="19" t="s">
        <v>1108</v>
      </c>
      <c r="D735" s="157">
        <f>VLOOKUP(A735, 'Purchase Register'!C:D, 2, FALSE)</f>
        <v>10</v>
      </c>
      <c r="E735" s="157">
        <f>SUMIF('Sales Register'!C:C, A735, 'Sales Register'!D:D)</f>
        <v>5</v>
      </c>
      <c r="F735" s="29">
        <f t="shared" si="56"/>
        <v>5</v>
      </c>
      <c r="H735" s="157">
        <f t="shared" si="53"/>
        <v>5</v>
      </c>
      <c r="I735" s="72" t="str">
        <f t="shared" si="54"/>
        <v>SERIOUS LOSS</v>
      </c>
    </row>
    <row r="736" spans="1:9" ht="30" x14ac:dyDescent="0.25">
      <c r="A736" s="19" t="s">
        <v>1109</v>
      </c>
      <c r="D736" s="157">
        <f>VLOOKUP(A736, 'Purchase Register'!C:D, 2, FALSE)</f>
        <v>20</v>
      </c>
      <c r="E736" s="157">
        <f>SUMIF('Sales Register'!C:C, A736, 'Sales Register'!D:D)</f>
        <v>13</v>
      </c>
      <c r="F736" s="29">
        <f t="shared" si="56"/>
        <v>7</v>
      </c>
      <c r="H736" s="157">
        <f t="shared" si="53"/>
        <v>7</v>
      </c>
      <c r="I736" s="72" t="str">
        <f t="shared" si="54"/>
        <v>SERIOUS LOSS</v>
      </c>
    </row>
    <row r="737" spans="1:9" ht="30" x14ac:dyDescent="0.25">
      <c r="A737" s="19" t="s">
        <v>1110</v>
      </c>
      <c r="D737" s="157">
        <f>VLOOKUP(A737, 'Purchase Register'!C:D, 2, FALSE)</f>
        <v>2</v>
      </c>
      <c r="E737" s="157">
        <f>SUMIF('Sales Register'!C:C, A737, 'Sales Register'!D:D)</f>
        <v>1</v>
      </c>
      <c r="F737" s="29">
        <f t="shared" si="56"/>
        <v>1</v>
      </c>
      <c r="H737" s="157">
        <f t="shared" si="53"/>
        <v>1</v>
      </c>
      <c r="I737" s="72" t="str">
        <f t="shared" si="54"/>
        <v>Minor Issue</v>
      </c>
    </row>
    <row r="738" spans="1:9" ht="30" x14ac:dyDescent="0.25">
      <c r="A738" s="19" t="s">
        <v>1111</v>
      </c>
      <c r="D738" s="157">
        <f>VLOOKUP(A738, 'Purchase Register'!C:D, 2, FALSE)</f>
        <v>2</v>
      </c>
      <c r="E738" s="157">
        <f>SUMIF('Sales Register'!C:C, A738, 'Sales Register'!D:D)</f>
        <v>1</v>
      </c>
      <c r="F738" s="29">
        <f t="shared" si="56"/>
        <v>1</v>
      </c>
      <c r="H738" s="157">
        <f t="shared" si="53"/>
        <v>1</v>
      </c>
      <c r="I738" s="72" t="str">
        <f t="shared" si="54"/>
        <v>Minor Issue</v>
      </c>
    </row>
    <row r="739" spans="1:9" x14ac:dyDescent="0.25">
      <c r="A739" s="19" t="s">
        <v>1112</v>
      </c>
      <c r="D739" s="157">
        <f>VLOOKUP(A739, 'Purchase Register'!C:D, 2, FALSE)</f>
        <v>2</v>
      </c>
      <c r="E739" s="157">
        <f>SUMIF('Sales Register'!C:C, A739, 'Sales Register'!D:D)</f>
        <v>0</v>
      </c>
      <c r="F739" s="29">
        <f t="shared" si="56"/>
        <v>2</v>
      </c>
      <c r="H739" s="157">
        <f t="shared" si="53"/>
        <v>2</v>
      </c>
      <c r="I739" s="72" t="str">
        <f t="shared" si="54"/>
        <v>Minor Issue</v>
      </c>
    </row>
    <row r="740" spans="1:9" ht="30" x14ac:dyDescent="0.25">
      <c r="A740" s="19" t="s">
        <v>1092</v>
      </c>
      <c r="D740" s="157">
        <f>VLOOKUP(A740, 'Purchase Register'!C:D, 2, FALSE)</f>
        <v>4</v>
      </c>
      <c r="E740" s="157">
        <f>SUMIF('Sales Register'!C:C, A740, 'Sales Register'!D:D)</f>
        <v>5</v>
      </c>
      <c r="F740" s="29">
        <f t="shared" si="56"/>
        <v>-1</v>
      </c>
      <c r="H740" s="157">
        <f t="shared" si="53"/>
        <v>-1</v>
      </c>
      <c r="I740" s="72" t="str">
        <f t="shared" si="54"/>
        <v>Minor Issue</v>
      </c>
    </row>
    <row r="741" spans="1:9" ht="30" x14ac:dyDescent="0.25">
      <c r="A741" s="19" t="s">
        <v>1093</v>
      </c>
      <c r="D741" s="157">
        <f>VLOOKUP(A741, 'Purchase Register'!C:D, 2, FALSE)</f>
        <v>2</v>
      </c>
      <c r="E741" s="157">
        <f>SUMIF('Sales Register'!C:C, A741, 'Sales Register'!D:D)</f>
        <v>1</v>
      </c>
      <c r="F741" s="29">
        <f t="shared" si="56"/>
        <v>1</v>
      </c>
      <c r="H741" s="157">
        <f t="shared" si="53"/>
        <v>1</v>
      </c>
      <c r="I741" s="72" t="str">
        <f t="shared" si="54"/>
        <v>Minor Issue</v>
      </c>
    </row>
    <row r="742" spans="1:9" ht="30" x14ac:dyDescent="0.25">
      <c r="A742" s="19" t="s">
        <v>1094</v>
      </c>
      <c r="D742" s="157">
        <f>VLOOKUP(A742, 'Purchase Register'!C:D, 2, FALSE)</f>
        <v>2</v>
      </c>
      <c r="E742" s="157">
        <f>SUMIF('Sales Register'!C:C, A742, 'Sales Register'!D:D)</f>
        <v>0</v>
      </c>
      <c r="F742" s="29">
        <f t="shared" si="56"/>
        <v>2</v>
      </c>
      <c r="H742" s="157">
        <f t="shared" si="53"/>
        <v>2</v>
      </c>
      <c r="I742" s="72" t="str">
        <f t="shared" si="54"/>
        <v>Minor Issue</v>
      </c>
    </row>
    <row r="743" spans="1:9" x14ac:dyDescent="0.25">
      <c r="A743" s="19" t="s">
        <v>1095</v>
      </c>
      <c r="D743" s="157">
        <f>VLOOKUP(A743, 'Purchase Register'!C:D, 2, FALSE)</f>
        <v>2</v>
      </c>
      <c r="E743" s="157">
        <f>SUMIF('Sales Register'!C:C, A743, 'Sales Register'!D:D)</f>
        <v>1</v>
      </c>
      <c r="F743" s="29">
        <f t="shared" si="56"/>
        <v>1</v>
      </c>
      <c r="H743" s="157">
        <f t="shared" si="53"/>
        <v>1</v>
      </c>
      <c r="I743" s="72" t="str">
        <f t="shared" si="54"/>
        <v>Minor Issue</v>
      </c>
    </row>
    <row r="744" spans="1:9" ht="30" x14ac:dyDescent="0.25">
      <c r="A744" s="19" t="s">
        <v>1096</v>
      </c>
      <c r="D744" s="157">
        <f>VLOOKUP(A744, 'Purchase Register'!C:D, 2, FALSE)</f>
        <v>2</v>
      </c>
      <c r="E744" s="157">
        <f>SUMIF('Sales Register'!C:C, A744, 'Sales Register'!D:D)</f>
        <v>0</v>
      </c>
      <c r="F744" s="29">
        <f t="shared" si="56"/>
        <v>2</v>
      </c>
      <c r="H744" s="157">
        <f t="shared" si="53"/>
        <v>2</v>
      </c>
      <c r="I744" s="72" t="str">
        <f t="shared" si="54"/>
        <v>Minor Issue</v>
      </c>
    </row>
    <row r="745" spans="1:9" ht="30" x14ac:dyDescent="0.25">
      <c r="A745" s="19" t="s">
        <v>1113</v>
      </c>
      <c r="D745" s="157">
        <f>VLOOKUP(A745, 'Purchase Register'!C:D, 2, FALSE)</f>
        <v>1</v>
      </c>
      <c r="E745" s="157">
        <f>SUMIF('Sales Register'!C:C, A745, 'Sales Register'!D:D)</f>
        <v>1</v>
      </c>
      <c r="F745" s="29">
        <f t="shared" si="56"/>
        <v>0</v>
      </c>
      <c r="H745" s="157">
        <f t="shared" si="53"/>
        <v>0</v>
      </c>
      <c r="I745" s="72" t="str">
        <f t="shared" si="54"/>
        <v>OK</v>
      </c>
    </row>
    <row r="746" spans="1:9" ht="30" x14ac:dyDescent="0.25">
      <c r="A746" s="19" t="s">
        <v>1114</v>
      </c>
      <c r="D746" s="157">
        <f>VLOOKUP(A746, 'Purchase Register'!C:D, 2, FALSE)</f>
        <v>3</v>
      </c>
      <c r="E746" s="157">
        <f>SUMIF('Sales Register'!C:C, A746, 'Sales Register'!D:D)</f>
        <v>5</v>
      </c>
      <c r="F746" s="29">
        <f t="shared" si="56"/>
        <v>-2</v>
      </c>
      <c r="H746" s="157">
        <f t="shared" si="53"/>
        <v>-2</v>
      </c>
      <c r="I746" s="72" t="str">
        <f t="shared" si="54"/>
        <v>Minor Issue</v>
      </c>
    </row>
    <row r="747" spans="1:9" ht="30" x14ac:dyDescent="0.25">
      <c r="A747" s="19" t="s">
        <v>1115</v>
      </c>
      <c r="D747" s="157">
        <f>VLOOKUP(A747, 'Purchase Register'!C:D, 2, FALSE)</f>
        <v>3</v>
      </c>
      <c r="E747" s="157">
        <f>SUMIF('Sales Register'!C:C, A747, 'Sales Register'!D:D)</f>
        <v>2</v>
      </c>
      <c r="F747" s="29">
        <f t="shared" si="56"/>
        <v>1</v>
      </c>
      <c r="H747" s="157">
        <f t="shared" si="53"/>
        <v>1</v>
      </c>
      <c r="I747" s="72" t="str">
        <f t="shared" si="54"/>
        <v>Minor Issue</v>
      </c>
    </row>
    <row r="748" spans="1:9" ht="30" x14ac:dyDescent="0.25">
      <c r="A748" s="19" t="s">
        <v>1100</v>
      </c>
      <c r="D748" s="157">
        <f>VLOOKUP(A748, 'Purchase Register'!C:D, 2, FALSE)</f>
        <v>2</v>
      </c>
      <c r="E748" s="157">
        <f>SUMIF('Sales Register'!C:C, A748, 'Sales Register'!D:D)</f>
        <v>2</v>
      </c>
      <c r="F748" s="29">
        <f t="shared" si="56"/>
        <v>0</v>
      </c>
      <c r="H748" s="157">
        <f t="shared" si="53"/>
        <v>0</v>
      </c>
      <c r="I748" s="72" t="str">
        <f t="shared" si="54"/>
        <v>OK</v>
      </c>
    </row>
    <row r="749" spans="1:9" ht="30" x14ac:dyDescent="0.25">
      <c r="A749" s="19" t="s">
        <v>1099</v>
      </c>
      <c r="D749" s="157">
        <f>VLOOKUP(A749, 'Purchase Register'!C:D, 2, FALSE)</f>
        <v>10</v>
      </c>
      <c r="E749" s="157">
        <f>SUMIF('Sales Register'!C:C, A749, 'Sales Register'!D:D)</f>
        <v>0</v>
      </c>
      <c r="F749" s="29">
        <f t="shared" si="56"/>
        <v>10</v>
      </c>
      <c r="H749" s="157">
        <f t="shared" si="53"/>
        <v>10</v>
      </c>
      <c r="I749" s="72" t="str">
        <f t="shared" si="54"/>
        <v>SERIOUS LOSS</v>
      </c>
    </row>
    <row r="750" spans="1:9" ht="30" x14ac:dyDescent="0.25">
      <c r="A750" s="19" t="s">
        <v>1098</v>
      </c>
      <c r="D750" s="157">
        <f>VLOOKUP(A750, 'Purchase Register'!C:D, 2, FALSE)</f>
        <v>10</v>
      </c>
      <c r="E750" s="157">
        <f>SUMIF('Sales Register'!C:C, A750, 'Sales Register'!D:D)</f>
        <v>2</v>
      </c>
      <c r="F750" s="29">
        <f t="shared" si="56"/>
        <v>8</v>
      </c>
      <c r="H750" s="157">
        <f t="shared" si="53"/>
        <v>8</v>
      </c>
      <c r="I750" s="72" t="str">
        <f t="shared" si="54"/>
        <v>SERIOUS LOSS</v>
      </c>
    </row>
    <row r="751" spans="1:9" x14ac:dyDescent="0.25">
      <c r="A751" s="19" t="s">
        <v>1097</v>
      </c>
      <c r="D751" s="157">
        <f>VLOOKUP(A751, 'Purchase Register'!C:D, 2, FALSE)</f>
        <v>250</v>
      </c>
      <c r="E751" s="157">
        <f>SUMIF('Sales Register'!C:C, A751, 'Sales Register'!D:D)</f>
        <v>7</v>
      </c>
      <c r="F751" s="29">
        <f t="shared" si="56"/>
        <v>243</v>
      </c>
      <c r="H751" s="157">
        <f t="shared" si="53"/>
        <v>243</v>
      </c>
      <c r="I751" s="72" t="str">
        <f t="shared" si="54"/>
        <v>SERIOUS LOSS</v>
      </c>
    </row>
    <row r="752" spans="1:9" x14ac:dyDescent="0.25">
      <c r="A752" s="19" t="s">
        <v>1116</v>
      </c>
      <c r="D752" s="157">
        <f>VLOOKUP(A752, 'Purchase Register'!C:D, 2, FALSE)</f>
        <v>12</v>
      </c>
      <c r="E752" s="157">
        <f>SUMIF('Sales Register'!C:C, A752, 'Sales Register'!D:D)</f>
        <v>8</v>
      </c>
      <c r="F752" s="29">
        <f t="shared" si="56"/>
        <v>4</v>
      </c>
      <c r="H752" s="157">
        <f t="shared" si="53"/>
        <v>4</v>
      </c>
      <c r="I752" s="72" t="str">
        <f t="shared" si="54"/>
        <v>SERIOUS LOSS</v>
      </c>
    </row>
    <row r="753" spans="1:9" x14ac:dyDescent="0.25">
      <c r="A753" s="19" t="s">
        <v>1117</v>
      </c>
      <c r="D753" s="157">
        <f>VLOOKUP(A753, 'Purchase Register'!C:D, 2, FALSE)</f>
        <v>1</v>
      </c>
      <c r="E753" s="157">
        <f>SUMIF('Sales Register'!C:C, A753, 'Sales Register'!D:D)</f>
        <v>0.34</v>
      </c>
      <c r="F753" s="29">
        <f t="shared" si="56"/>
        <v>0.65999999999999992</v>
      </c>
      <c r="H753" s="157">
        <f t="shared" si="53"/>
        <v>0.65999999999999992</v>
      </c>
      <c r="I753" s="72" t="str">
        <f t="shared" si="54"/>
        <v>Minor Issue</v>
      </c>
    </row>
    <row r="754" spans="1:9" ht="30" x14ac:dyDescent="0.25">
      <c r="A754" s="19" t="s">
        <v>1118</v>
      </c>
      <c r="D754" s="157">
        <f>VLOOKUP(A754, 'Purchase Register'!C:D, 2, FALSE)</f>
        <v>3</v>
      </c>
      <c r="E754" s="157">
        <f>SUMIF('Sales Register'!C:C, A754, 'Sales Register'!D:D)</f>
        <v>3</v>
      </c>
      <c r="F754" s="29">
        <f t="shared" si="56"/>
        <v>0</v>
      </c>
      <c r="H754" s="157">
        <f t="shared" si="53"/>
        <v>0</v>
      </c>
      <c r="I754" s="72" t="str">
        <f t="shared" si="54"/>
        <v>OK</v>
      </c>
    </row>
    <row r="755" spans="1:9" x14ac:dyDescent="0.25">
      <c r="A755" s="19" t="s">
        <v>1119</v>
      </c>
      <c r="D755" s="157">
        <f>VLOOKUP(A755, 'Purchase Register'!C:D, 2, FALSE)</f>
        <v>1</v>
      </c>
      <c r="E755" s="157">
        <f>SUMIF('Sales Register'!C:C, A755, 'Sales Register'!D:D)</f>
        <v>0.11600000000000001</v>
      </c>
      <c r="F755" s="29">
        <f t="shared" si="56"/>
        <v>0.88400000000000001</v>
      </c>
      <c r="H755" s="157">
        <f t="shared" si="53"/>
        <v>0.88400000000000001</v>
      </c>
      <c r="I755" s="72" t="str">
        <f t="shared" si="54"/>
        <v>Minor Issue</v>
      </c>
    </row>
    <row r="756" spans="1:9" ht="30" x14ac:dyDescent="0.25">
      <c r="A756" s="19" t="s">
        <v>1120</v>
      </c>
      <c r="D756" s="157">
        <f>VLOOKUP(A756, 'Purchase Register'!C:D, 2, FALSE)</f>
        <v>6</v>
      </c>
      <c r="E756" s="157">
        <f>SUMIF('Sales Register'!C:C, A756, 'Sales Register'!D:D)</f>
        <v>7</v>
      </c>
      <c r="F756" s="29">
        <f t="shared" si="56"/>
        <v>-1</v>
      </c>
      <c r="H756" s="157">
        <f t="shared" si="53"/>
        <v>-1</v>
      </c>
      <c r="I756" s="72" t="str">
        <f t="shared" si="54"/>
        <v>Minor Issue</v>
      </c>
    </row>
    <row r="757" spans="1:9" ht="30" x14ac:dyDescent="0.25">
      <c r="A757" s="33" t="s">
        <v>1121</v>
      </c>
      <c r="D757" s="157">
        <f>VLOOKUP(A757, 'Purchase Register'!C:D, 2, FALSE)</f>
        <v>3</v>
      </c>
      <c r="E757" s="157">
        <f>SUMIF('Sales Register'!C:C, A757, 'Sales Register'!D:D)</f>
        <v>1</v>
      </c>
      <c r="F757" s="29">
        <f t="shared" si="56"/>
        <v>2</v>
      </c>
      <c r="H757" s="157">
        <f t="shared" si="53"/>
        <v>2</v>
      </c>
      <c r="I757" s="72" t="str">
        <f t="shared" si="54"/>
        <v>Minor Issue</v>
      </c>
    </row>
    <row r="758" spans="1:9" x14ac:dyDescent="0.25">
      <c r="A758" s="19" t="s">
        <v>1123</v>
      </c>
      <c r="D758" s="157">
        <f>VLOOKUP(A758, 'Purchase Register'!C:D, 2, FALSE)</f>
        <v>2</v>
      </c>
      <c r="E758" s="157">
        <f>SUMIF('Sales Register'!C:C, A758, 'Sales Register'!D:D)</f>
        <v>2</v>
      </c>
      <c r="F758" s="29">
        <f t="shared" si="56"/>
        <v>0</v>
      </c>
      <c r="H758" s="157">
        <f t="shared" si="53"/>
        <v>0</v>
      </c>
      <c r="I758" s="72" t="str">
        <f t="shared" si="54"/>
        <v>OK</v>
      </c>
    </row>
    <row r="759" spans="1:9" ht="30" x14ac:dyDescent="0.25">
      <c r="A759" s="33" t="s">
        <v>1122</v>
      </c>
      <c r="D759" s="157">
        <f>VLOOKUP(A759, 'Purchase Register'!C:D, 2, FALSE)</f>
        <v>3</v>
      </c>
      <c r="E759" s="157">
        <f>SUMIF('Sales Register'!C:C, A759, 'Sales Register'!D:D)</f>
        <v>5</v>
      </c>
      <c r="F759" s="29">
        <f t="shared" si="56"/>
        <v>-2</v>
      </c>
      <c r="H759" s="157">
        <f t="shared" si="53"/>
        <v>-2</v>
      </c>
      <c r="I759" s="72" t="str">
        <f t="shared" si="54"/>
        <v>Minor Issue</v>
      </c>
    </row>
    <row r="760" spans="1:9" ht="30" x14ac:dyDescent="0.25">
      <c r="A760" s="19" t="s">
        <v>1150</v>
      </c>
      <c r="D760" s="157">
        <f>VLOOKUP(A760, 'Purchase Register'!C:D, 2, FALSE)</f>
        <v>1</v>
      </c>
      <c r="E760" s="157">
        <f>SUMIF('Sales Register'!C:C, A760, 'Sales Register'!D:D)</f>
        <v>0.87500000000000011</v>
      </c>
      <c r="F760" s="29">
        <f t="shared" si="56"/>
        <v>0.12499999999999989</v>
      </c>
      <c r="H760" s="157">
        <f t="shared" si="53"/>
        <v>0.12499999999999989</v>
      </c>
      <c r="I760" s="72" t="str">
        <f t="shared" si="54"/>
        <v>Minor Issue</v>
      </c>
    </row>
    <row r="761" spans="1:9" x14ac:dyDescent="0.25">
      <c r="A761" s="19" t="s">
        <v>1124</v>
      </c>
      <c r="D761" s="157">
        <f>VLOOKUP(A761, 'Purchase Register'!C:D, 2, FALSE)</f>
        <v>11</v>
      </c>
      <c r="E761" s="157">
        <f>SUMIF('Sales Register'!C:C, A761, 'Sales Register'!D:D)</f>
        <v>13</v>
      </c>
      <c r="F761" s="29">
        <f t="shared" si="56"/>
        <v>-2</v>
      </c>
      <c r="H761" s="157">
        <f t="shared" si="53"/>
        <v>-2</v>
      </c>
      <c r="I761" s="72" t="str">
        <f t="shared" si="54"/>
        <v>Minor Issue</v>
      </c>
    </row>
    <row r="762" spans="1:9" ht="30" x14ac:dyDescent="0.25">
      <c r="A762" s="19" t="s">
        <v>1125</v>
      </c>
      <c r="D762" s="157">
        <f>VLOOKUP(A762, 'Purchase Register'!C:D, 2, FALSE)</f>
        <v>12</v>
      </c>
      <c r="E762" s="157">
        <f>SUMIF('Sales Register'!C:C, A762, 'Sales Register'!D:D)</f>
        <v>4</v>
      </c>
      <c r="F762" s="29">
        <f t="shared" si="56"/>
        <v>8</v>
      </c>
      <c r="H762" s="157">
        <f t="shared" si="53"/>
        <v>8</v>
      </c>
      <c r="I762" s="72" t="str">
        <f t="shared" si="54"/>
        <v>SERIOUS LOSS</v>
      </c>
    </row>
    <row r="763" spans="1:9" x14ac:dyDescent="0.25">
      <c r="A763" s="19" t="s">
        <v>1126</v>
      </c>
      <c r="D763" s="157">
        <f>VLOOKUP(A763, 'Purchase Register'!C:D, 2, FALSE)</f>
        <v>12</v>
      </c>
      <c r="E763" s="157">
        <f>SUMIF('Sales Register'!C:C, A763, 'Sales Register'!D:D)</f>
        <v>9</v>
      </c>
      <c r="F763" s="29">
        <f t="shared" si="56"/>
        <v>3</v>
      </c>
      <c r="H763" s="157">
        <f t="shared" si="53"/>
        <v>3</v>
      </c>
      <c r="I763" s="72" t="str">
        <f t="shared" si="54"/>
        <v>SERIOUS LOSS</v>
      </c>
    </row>
    <row r="764" spans="1:9" x14ac:dyDescent="0.25">
      <c r="A764" s="19" t="s">
        <v>1127</v>
      </c>
      <c r="D764" s="157">
        <f>VLOOKUP(A764, 'Purchase Register'!C:D, 2, FALSE)</f>
        <v>45</v>
      </c>
      <c r="E764" s="157">
        <f>SUMIF('Sales Register'!C:C, A764, 'Sales Register'!D:D)</f>
        <v>22</v>
      </c>
      <c r="F764" s="29">
        <f t="shared" si="56"/>
        <v>23</v>
      </c>
      <c r="H764" s="157">
        <f t="shared" si="53"/>
        <v>23</v>
      </c>
      <c r="I764" s="72" t="str">
        <f t="shared" si="54"/>
        <v>SERIOUS LOSS</v>
      </c>
    </row>
    <row r="765" spans="1:9" x14ac:dyDescent="0.25">
      <c r="A765" s="19" t="s">
        <v>1128</v>
      </c>
      <c r="D765" s="157">
        <f>VLOOKUP(A765, 'Purchase Register'!C:D, 2, FALSE)</f>
        <v>10</v>
      </c>
      <c r="E765" s="157">
        <f>SUMIF('Sales Register'!C:C, A765, 'Sales Register'!D:D)</f>
        <v>1</v>
      </c>
      <c r="F765" s="29">
        <f t="shared" si="56"/>
        <v>9</v>
      </c>
      <c r="H765" s="157">
        <f t="shared" si="53"/>
        <v>9</v>
      </c>
      <c r="I765" s="72" t="str">
        <f t="shared" si="54"/>
        <v>SERIOUS LOSS</v>
      </c>
    </row>
    <row r="766" spans="1:9" ht="30" x14ac:dyDescent="0.25">
      <c r="A766" s="19" t="s">
        <v>1129</v>
      </c>
      <c r="D766" s="157">
        <f>VLOOKUP(A766, 'Purchase Register'!C:D, 2, FALSE)</f>
        <v>6</v>
      </c>
      <c r="E766" s="157">
        <f>SUMIF('Sales Register'!C:C, A766, 'Sales Register'!D:D)</f>
        <v>6</v>
      </c>
      <c r="F766" s="29">
        <f t="shared" si="56"/>
        <v>0</v>
      </c>
      <c r="H766" s="157">
        <f t="shared" si="53"/>
        <v>0</v>
      </c>
      <c r="I766" s="72" t="str">
        <f t="shared" si="54"/>
        <v>OK</v>
      </c>
    </row>
    <row r="767" spans="1:9" ht="30" x14ac:dyDescent="0.25">
      <c r="A767" s="19" t="s">
        <v>1130</v>
      </c>
      <c r="D767" s="157">
        <f>VLOOKUP(A767, 'Purchase Register'!C:D, 2, FALSE)</f>
        <v>6</v>
      </c>
      <c r="E767" s="157">
        <f>SUMIF('Sales Register'!C:C, A767, 'Sales Register'!D:D)</f>
        <v>6</v>
      </c>
      <c r="F767" s="29">
        <f t="shared" si="56"/>
        <v>0</v>
      </c>
      <c r="H767" s="157">
        <f t="shared" si="53"/>
        <v>0</v>
      </c>
      <c r="I767" s="72" t="str">
        <f t="shared" si="54"/>
        <v>OK</v>
      </c>
    </row>
    <row r="768" spans="1:9" x14ac:dyDescent="0.25">
      <c r="A768" s="19" t="s">
        <v>1131</v>
      </c>
      <c r="D768" s="157">
        <f>VLOOKUP(A768, 'Purchase Register'!C:D, 2, FALSE)</f>
        <v>40</v>
      </c>
      <c r="E768" s="157">
        <f>SUMIF('Sales Register'!C:C, A768, 'Sales Register'!D:D)</f>
        <v>12</v>
      </c>
      <c r="F768" s="29">
        <f t="shared" si="56"/>
        <v>28</v>
      </c>
      <c r="H768" s="157">
        <f t="shared" si="53"/>
        <v>28</v>
      </c>
      <c r="I768" s="72" t="str">
        <f t="shared" si="54"/>
        <v>SERIOUS LOSS</v>
      </c>
    </row>
    <row r="769" spans="1:9" ht="30" x14ac:dyDescent="0.25">
      <c r="A769" s="19" t="s">
        <v>1132</v>
      </c>
      <c r="D769" s="157">
        <f>VLOOKUP(A769, 'Purchase Register'!C:D, 2, FALSE)</f>
        <v>4</v>
      </c>
      <c r="E769" s="157">
        <f>SUMIF('Sales Register'!C:C, A769, 'Sales Register'!D:D)</f>
        <v>5</v>
      </c>
      <c r="F769" s="29">
        <f t="shared" si="56"/>
        <v>-1</v>
      </c>
      <c r="H769" s="157">
        <f t="shared" si="53"/>
        <v>-1</v>
      </c>
      <c r="I769" s="72" t="str">
        <f t="shared" si="54"/>
        <v>Minor Issue</v>
      </c>
    </row>
    <row r="770" spans="1:9" ht="30" x14ac:dyDescent="0.25">
      <c r="A770" s="19" t="s">
        <v>1133</v>
      </c>
      <c r="D770" s="157">
        <f>VLOOKUP(A770, 'Purchase Register'!C:D, 2, FALSE)</f>
        <v>10</v>
      </c>
      <c r="E770" s="157">
        <f>SUMIF('Sales Register'!C:C, A770, 'Sales Register'!D:D)</f>
        <v>10</v>
      </c>
      <c r="F770" s="29">
        <f t="shared" si="56"/>
        <v>0</v>
      </c>
      <c r="H770" s="157">
        <f t="shared" ref="H770:H789" si="57">F770-G770</f>
        <v>0</v>
      </c>
      <c r="I770" s="72" t="str">
        <f t="shared" ref="I770:I789" si="58">IF(H770=0,"OK",
IF(ABS(H770)&lt;=2,"Minor Issue","SERIOUS LOSS"))</f>
        <v>OK</v>
      </c>
    </row>
    <row r="771" spans="1:9" ht="30" x14ac:dyDescent="0.25">
      <c r="A771" s="19" t="s">
        <v>1148</v>
      </c>
      <c r="D771" s="157">
        <f>VLOOKUP(A771, 'Purchase Register'!C:D, 2, FALSE)</f>
        <v>10</v>
      </c>
      <c r="E771" s="157">
        <f>SUMIF('Sales Register'!C:C, A771, 'Sales Register'!D:D)</f>
        <v>10</v>
      </c>
      <c r="F771" s="29">
        <f t="shared" si="56"/>
        <v>0</v>
      </c>
      <c r="H771" s="157">
        <f t="shared" si="57"/>
        <v>0</v>
      </c>
      <c r="I771" s="72" t="str">
        <f t="shared" si="58"/>
        <v>OK</v>
      </c>
    </row>
    <row r="772" spans="1:9" ht="30" x14ac:dyDescent="0.25">
      <c r="A772" s="19" t="s">
        <v>1134</v>
      </c>
      <c r="D772" s="157">
        <f>VLOOKUP(A772, 'Purchase Register'!C:D, 2, FALSE)</f>
        <v>3</v>
      </c>
      <c r="E772" s="157">
        <f>SUMIF('Sales Register'!C:C, A772, 'Sales Register'!D:D)</f>
        <v>3</v>
      </c>
      <c r="F772" s="29">
        <f t="shared" si="56"/>
        <v>0</v>
      </c>
      <c r="H772" s="157">
        <f t="shared" si="57"/>
        <v>0</v>
      </c>
      <c r="I772" s="72" t="str">
        <f t="shared" si="58"/>
        <v>OK</v>
      </c>
    </row>
    <row r="773" spans="1:9" x14ac:dyDescent="0.25">
      <c r="A773" s="19" t="s">
        <v>1149</v>
      </c>
      <c r="D773" s="157">
        <f>VLOOKUP(A773, 'Purchase Register'!C:D, 2, FALSE)</f>
        <v>3</v>
      </c>
      <c r="E773" s="157">
        <f>SUMIF('Sales Register'!C:C, A773, 'Sales Register'!D:D)</f>
        <v>2</v>
      </c>
      <c r="F773" s="29">
        <f t="shared" si="56"/>
        <v>1</v>
      </c>
      <c r="H773" s="157">
        <f t="shared" si="57"/>
        <v>1</v>
      </c>
      <c r="I773" s="72" t="str">
        <f t="shared" si="58"/>
        <v>Minor Issue</v>
      </c>
    </row>
    <row r="774" spans="1:9" ht="30" x14ac:dyDescent="0.25">
      <c r="A774" s="19" t="s">
        <v>1135</v>
      </c>
      <c r="D774" s="157">
        <f>VLOOKUP(A774, 'Purchase Register'!C:D, 2, FALSE)</f>
        <v>6</v>
      </c>
      <c r="E774" s="157">
        <f>SUMIF('Sales Register'!C:C, A774, 'Sales Register'!D:D)</f>
        <v>4</v>
      </c>
      <c r="F774" s="29">
        <f t="shared" si="56"/>
        <v>2</v>
      </c>
      <c r="H774" s="157">
        <f t="shared" si="57"/>
        <v>2</v>
      </c>
      <c r="I774" s="72" t="str">
        <f t="shared" si="58"/>
        <v>Minor Issue</v>
      </c>
    </row>
    <row r="775" spans="1:9" x14ac:dyDescent="0.25">
      <c r="A775" s="19" t="s">
        <v>1136</v>
      </c>
      <c r="D775" s="157">
        <f>VLOOKUP(A775, 'Purchase Register'!C:D, 2, FALSE)</f>
        <v>6</v>
      </c>
      <c r="E775" s="157">
        <f>SUMIF('Sales Register'!C:C, A775, 'Sales Register'!D:D)</f>
        <v>5</v>
      </c>
      <c r="F775" s="29">
        <f t="shared" si="56"/>
        <v>1</v>
      </c>
      <c r="H775" s="157">
        <f t="shared" si="57"/>
        <v>1</v>
      </c>
      <c r="I775" s="72" t="str">
        <f t="shared" si="58"/>
        <v>Minor Issue</v>
      </c>
    </row>
    <row r="776" spans="1:9" x14ac:dyDescent="0.25">
      <c r="A776" s="19" t="s">
        <v>1137</v>
      </c>
      <c r="D776" s="157">
        <f>VLOOKUP(A776, 'Purchase Register'!C:D, 2, FALSE)</f>
        <v>6</v>
      </c>
      <c r="E776" s="157">
        <f>SUMIF('Sales Register'!C:C, A776, 'Sales Register'!D:D)</f>
        <v>5</v>
      </c>
      <c r="F776" s="29">
        <f t="shared" si="56"/>
        <v>1</v>
      </c>
      <c r="H776" s="157">
        <f t="shared" si="57"/>
        <v>1</v>
      </c>
      <c r="I776" s="72" t="str">
        <f t="shared" si="58"/>
        <v>Minor Issue</v>
      </c>
    </row>
    <row r="777" spans="1:9" x14ac:dyDescent="0.25">
      <c r="A777" s="19" t="s">
        <v>1138</v>
      </c>
      <c r="D777" s="157">
        <f>VLOOKUP(A777, 'Purchase Register'!C:D, 2, FALSE)</f>
        <v>32</v>
      </c>
      <c r="E777" s="157">
        <f>SUMIF('Sales Register'!C:C, A777, 'Sales Register'!D:D)</f>
        <v>15</v>
      </c>
      <c r="F777" s="29">
        <f t="shared" si="56"/>
        <v>17</v>
      </c>
      <c r="H777" s="157">
        <f t="shared" si="57"/>
        <v>17</v>
      </c>
      <c r="I777" s="72" t="str">
        <f t="shared" si="58"/>
        <v>SERIOUS LOSS</v>
      </c>
    </row>
    <row r="778" spans="1:9" x14ac:dyDescent="0.25">
      <c r="A778" s="19" t="s">
        <v>1139</v>
      </c>
      <c r="D778" s="157">
        <f>VLOOKUP(A778, 'Purchase Register'!C:D, 2, FALSE)</f>
        <v>24</v>
      </c>
      <c r="E778" s="157">
        <f>SUMIF('Sales Register'!C:C, A778, 'Sales Register'!D:D)</f>
        <v>20</v>
      </c>
      <c r="F778" s="29">
        <f t="shared" si="56"/>
        <v>4</v>
      </c>
      <c r="H778" s="157">
        <f t="shared" si="57"/>
        <v>4</v>
      </c>
      <c r="I778" s="72" t="str">
        <f t="shared" si="58"/>
        <v>SERIOUS LOSS</v>
      </c>
    </row>
    <row r="779" spans="1:9" x14ac:dyDescent="0.25">
      <c r="A779" s="19" t="s">
        <v>1140</v>
      </c>
      <c r="D779" s="157">
        <f>VLOOKUP(A779, 'Purchase Register'!C:D, 2, FALSE)</f>
        <v>24</v>
      </c>
      <c r="E779" s="157">
        <f>SUMIF('Sales Register'!C:C, A779, 'Sales Register'!D:D)</f>
        <v>21</v>
      </c>
      <c r="F779" s="29">
        <f t="shared" si="56"/>
        <v>3</v>
      </c>
      <c r="H779" s="157">
        <f t="shared" si="57"/>
        <v>3</v>
      </c>
      <c r="I779" s="72" t="str">
        <f t="shared" si="58"/>
        <v>SERIOUS LOSS</v>
      </c>
    </row>
    <row r="780" spans="1:9" x14ac:dyDescent="0.25">
      <c r="A780" s="19" t="s">
        <v>1141</v>
      </c>
      <c r="D780" s="157">
        <f>VLOOKUP(A780, 'Purchase Register'!C:D, 2, FALSE)</f>
        <v>12</v>
      </c>
      <c r="E780" s="157">
        <f>SUMIF('Sales Register'!C:C, A780, 'Sales Register'!D:D)</f>
        <v>34</v>
      </c>
      <c r="F780" s="29">
        <f t="shared" si="56"/>
        <v>-22</v>
      </c>
      <c r="H780" s="157">
        <f t="shared" si="57"/>
        <v>-22</v>
      </c>
      <c r="I780" s="72" t="str">
        <f t="shared" si="58"/>
        <v>SERIOUS LOSS</v>
      </c>
    </row>
    <row r="781" spans="1:9" x14ac:dyDescent="0.25">
      <c r="A781" s="19" t="s">
        <v>1142</v>
      </c>
      <c r="D781" s="157">
        <f>VLOOKUP(A781, 'Purchase Register'!C:D, 2, FALSE)</f>
        <v>24</v>
      </c>
      <c r="E781" s="157">
        <f>SUMIF('Sales Register'!C:C, A781, 'Sales Register'!D:D)</f>
        <v>24</v>
      </c>
      <c r="F781" s="29">
        <f t="shared" si="56"/>
        <v>0</v>
      </c>
      <c r="H781" s="157">
        <f t="shared" si="57"/>
        <v>0</v>
      </c>
      <c r="I781" s="72" t="str">
        <f t="shared" si="58"/>
        <v>OK</v>
      </c>
    </row>
    <row r="782" spans="1:9" x14ac:dyDescent="0.25">
      <c r="A782" s="19" t="s">
        <v>1143</v>
      </c>
      <c r="D782" s="157">
        <f>VLOOKUP(A782, 'Purchase Register'!C:D, 2, FALSE)</f>
        <v>12</v>
      </c>
      <c r="E782" s="157">
        <f>SUMIF('Sales Register'!C:C, A782, 'Sales Register'!D:D)</f>
        <v>2</v>
      </c>
      <c r="F782" s="29">
        <f t="shared" si="56"/>
        <v>10</v>
      </c>
      <c r="H782" s="157">
        <f t="shared" si="57"/>
        <v>10</v>
      </c>
      <c r="I782" s="72" t="str">
        <f t="shared" si="58"/>
        <v>SERIOUS LOSS</v>
      </c>
    </row>
    <row r="783" spans="1:9" ht="30" x14ac:dyDescent="0.25">
      <c r="A783" s="19" t="s">
        <v>1144</v>
      </c>
      <c r="D783" s="157">
        <f>VLOOKUP(A783, 'Purchase Register'!C:D, 2, FALSE)</f>
        <v>12</v>
      </c>
      <c r="E783" s="157">
        <f>SUMIF('Sales Register'!C:C, A783, 'Sales Register'!D:D)</f>
        <v>10</v>
      </c>
      <c r="F783" s="29">
        <f t="shared" si="56"/>
        <v>2</v>
      </c>
      <c r="H783" s="157">
        <f t="shared" si="57"/>
        <v>2</v>
      </c>
      <c r="I783" s="72" t="str">
        <f t="shared" si="58"/>
        <v>Minor Issue</v>
      </c>
    </row>
    <row r="784" spans="1:9" x14ac:dyDescent="0.25">
      <c r="A784" s="19" t="s">
        <v>1145</v>
      </c>
      <c r="D784" s="157">
        <f>VLOOKUP(A784, 'Purchase Register'!C:D, 2, FALSE)</f>
        <v>10</v>
      </c>
      <c r="E784" s="157">
        <f>SUMIF('Sales Register'!C:C, A784, 'Sales Register'!D:D)</f>
        <v>2</v>
      </c>
      <c r="F784" s="29">
        <f t="shared" si="56"/>
        <v>8</v>
      </c>
      <c r="H784" s="157">
        <f t="shared" si="57"/>
        <v>8</v>
      </c>
      <c r="I784" s="72" t="str">
        <f t="shared" si="58"/>
        <v>SERIOUS LOSS</v>
      </c>
    </row>
    <row r="785" spans="1:9" ht="30" x14ac:dyDescent="0.25">
      <c r="A785" s="19" t="s">
        <v>1146</v>
      </c>
      <c r="D785" s="157">
        <f>VLOOKUP(A785, 'Purchase Register'!C:D, 2, FALSE)</f>
        <v>12</v>
      </c>
      <c r="E785" s="157">
        <f>SUMIF('Sales Register'!C:C, A785, 'Sales Register'!D:D)</f>
        <v>9</v>
      </c>
      <c r="F785" s="29">
        <f t="shared" si="56"/>
        <v>3</v>
      </c>
      <c r="H785" s="157">
        <f t="shared" si="57"/>
        <v>3</v>
      </c>
      <c r="I785" s="72" t="str">
        <f t="shared" si="58"/>
        <v>SERIOUS LOSS</v>
      </c>
    </row>
    <row r="786" spans="1:9" x14ac:dyDescent="0.25">
      <c r="A786" s="19" t="s">
        <v>1147</v>
      </c>
      <c r="D786" s="157">
        <f>VLOOKUP(A786, 'Purchase Register'!C:D, 2, FALSE)</f>
        <v>24</v>
      </c>
      <c r="E786" s="157">
        <f>SUMIF('Sales Register'!C:C, A786, 'Sales Register'!D:D)</f>
        <v>12</v>
      </c>
      <c r="F786" s="29">
        <f t="shared" si="56"/>
        <v>12</v>
      </c>
      <c r="H786" s="157">
        <f t="shared" si="57"/>
        <v>12</v>
      </c>
      <c r="I786" s="72" t="str">
        <f t="shared" si="58"/>
        <v>SERIOUS LOSS</v>
      </c>
    </row>
    <row r="787" spans="1:9" x14ac:dyDescent="0.25">
      <c r="A787" s="19" t="s">
        <v>1151</v>
      </c>
      <c r="D787" s="157">
        <f>VLOOKUP(A787, 'Purchase Register'!C:D, 2, FALSE)</f>
        <v>32</v>
      </c>
      <c r="E787" s="157">
        <f>SUMIF('Sales Register'!C:C, A787, 'Sales Register'!D:D)</f>
        <v>32</v>
      </c>
      <c r="F787" s="29">
        <f t="shared" si="56"/>
        <v>0</v>
      </c>
      <c r="H787" s="157">
        <f t="shared" si="57"/>
        <v>0</v>
      </c>
      <c r="I787" s="72" t="str">
        <f t="shared" si="58"/>
        <v>OK</v>
      </c>
    </row>
    <row r="788" spans="1:9" x14ac:dyDescent="0.25">
      <c r="A788" s="19" t="s">
        <v>1152</v>
      </c>
      <c r="D788" s="157">
        <f>VLOOKUP(A788, 'Purchase Register'!C:D, 2, FALSE)</f>
        <v>24</v>
      </c>
      <c r="E788" s="157">
        <f>SUMIF('Sales Register'!C:C, A788, 'Sales Register'!D:D)</f>
        <v>24</v>
      </c>
      <c r="F788" s="29">
        <f t="shared" ref="F788:F797" si="59">C788+D788-E788</f>
        <v>0</v>
      </c>
      <c r="H788" s="157">
        <f t="shared" si="57"/>
        <v>0</v>
      </c>
      <c r="I788" s="72" t="str">
        <f t="shared" si="58"/>
        <v>OK</v>
      </c>
    </row>
    <row r="789" spans="1:9" x14ac:dyDescent="0.25">
      <c r="A789" s="19" t="s">
        <v>1153</v>
      </c>
      <c r="D789" s="157">
        <f>VLOOKUP(A789, 'Purchase Register'!C:D, 2, FALSE)</f>
        <v>60</v>
      </c>
      <c r="E789" s="157">
        <f>SUMIF('Sales Register'!C:C, A789, 'Sales Register'!D:D)</f>
        <v>65</v>
      </c>
      <c r="F789" s="29">
        <f t="shared" si="59"/>
        <v>-5</v>
      </c>
      <c r="H789" s="157">
        <f t="shared" si="57"/>
        <v>-5</v>
      </c>
      <c r="I789" s="72" t="str">
        <f t="shared" si="58"/>
        <v>SERIOUS LOSS</v>
      </c>
    </row>
    <row r="790" spans="1:9" x14ac:dyDescent="0.25">
      <c r="A790" s="19" t="s">
        <v>1155</v>
      </c>
      <c r="D790" s="157">
        <f>VLOOKUP(A790, 'Purchase Register'!C:D, 2, FALSE)</f>
        <v>8</v>
      </c>
      <c r="E790" s="157">
        <f>SUMIF('Sales Register'!C:C, A790, 'Sales Register'!D:D)</f>
        <v>1.2</v>
      </c>
      <c r="F790" s="29">
        <f t="shared" si="59"/>
        <v>6.8</v>
      </c>
      <c r="H790" s="157">
        <f t="shared" ref="H790:H833" si="60">F790-G790</f>
        <v>6.8</v>
      </c>
      <c r="I790" s="72" t="str">
        <f t="shared" ref="I790:I833" si="61">IF(H790=0,"OK",
IF(ABS(H790)&lt;=2,"Minor Issue","SERIOUS LOSS"))</f>
        <v>SERIOUS LOSS</v>
      </c>
    </row>
    <row r="791" spans="1:9" x14ac:dyDescent="0.25">
      <c r="A791" s="19" t="s">
        <v>1154</v>
      </c>
      <c r="D791" s="157">
        <f>VLOOKUP(A791, 'Purchase Register'!C:D, 2, FALSE)</f>
        <v>5</v>
      </c>
      <c r="E791" s="157">
        <f>SUMIF('Sales Register'!C:C, A791, 'Sales Register'!D:D)</f>
        <v>4.66</v>
      </c>
      <c r="F791" s="29">
        <f t="shared" si="59"/>
        <v>0.33999999999999986</v>
      </c>
      <c r="H791" s="157">
        <f t="shared" si="60"/>
        <v>0.33999999999999986</v>
      </c>
      <c r="I791" s="72" t="str">
        <f t="shared" si="61"/>
        <v>Minor Issue</v>
      </c>
    </row>
    <row r="792" spans="1:9" x14ac:dyDescent="0.25">
      <c r="A792" s="19" t="s">
        <v>1156</v>
      </c>
      <c r="D792" s="157">
        <f>VLOOKUP(A792, 'Purchase Register'!C:D, 2, FALSE)</f>
        <v>1</v>
      </c>
      <c r="E792" s="157">
        <f>SUMIF('Sales Register'!C:C, A792, 'Sales Register'!D:D)</f>
        <v>0.38</v>
      </c>
      <c r="F792" s="29">
        <f t="shared" si="59"/>
        <v>0.62</v>
      </c>
      <c r="H792" s="157">
        <f t="shared" si="60"/>
        <v>0.62</v>
      </c>
      <c r="I792" s="72" t="str">
        <f t="shared" si="61"/>
        <v>Minor Issue</v>
      </c>
    </row>
    <row r="793" spans="1:9" x14ac:dyDescent="0.25">
      <c r="A793" s="19" t="s">
        <v>1157</v>
      </c>
      <c r="D793" s="157">
        <f>VLOOKUP(A793, 'Purchase Register'!C:D, 2, FALSE)</f>
        <v>60</v>
      </c>
      <c r="E793" s="157">
        <f>SUMIF('Sales Register'!C:C, A793, 'Sales Register'!D:D)</f>
        <v>30</v>
      </c>
      <c r="F793" s="29">
        <f t="shared" si="59"/>
        <v>30</v>
      </c>
      <c r="H793" s="157">
        <f t="shared" si="60"/>
        <v>30</v>
      </c>
      <c r="I793" s="72" t="str">
        <f t="shared" si="61"/>
        <v>SERIOUS LOSS</v>
      </c>
    </row>
    <row r="794" spans="1:9" x14ac:dyDescent="0.25">
      <c r="A794" s="19" t="s">
        <v>1158</v>
      </c>
      <c r="D794" s="157">
        <f>VLOOKUP(A794, 'Purchase Register'!C:D, 2, FALSE)</f>
        <v>10</v>
      </c>
      <c r="E794" s="157">
        <f>SUMIF('Sales Register'!C:C, A794, 'Sales Register'!D:D)</f>
        <v>9</v>
      </c>
      <c r="F794" s="29">
        <f t="shared" si="59"/>
        <v>1</v>
      </c>
      <c r="H794" s="157">
        <f t="shared" si="60"/>
        <v>1</v>
      </c>
      <c r="I794" s="72" t="str">
        <f t="shared" si="61"/>
        <v>Minor Issue</v>
      </c>
    </row>
    <row r="795" spans="1:9" x14ac:dyDescent="0.25">
      <c r="A795" s="19" t="s">
        <v>1159</v>
      </c>
      <c r="D795" s="157">
        <f>VLOOKUP(A795, 'Purchase Register'!C:D, 2, FALSE)</f>
        <v>5</v>
      </c>
      <c r="E795" s="157">
        <f>SUMIF('Sales Register'!C:C, A795, 'Sales Register'!D:D)</f>
        <v>5.1099999999999994</v>
      </c>
      <c r="F795" s="29">
        <f t="shared" si="59"/>
        <v>-0.10999999999999943</v>
      </c>
      <c r="H795" s="157">
        <f t="shared" si="60"/>
        <v>-0.10999999999999943</v>
      </c>
      <c r="I795" s="72" t="str">
        <f t="shared" si="61"/>
        <v>Minor Issue</v>
      </c>
    </row>
    <row r="796" spans="1:9" x14ac:dyDescent="0.25">
      <c r="A796" s="19" t="s">
        <v>1160</v>
      </c>
      <c r="D796" s="157">
        <f>VLOOKUP(A796, 'Purchase Register'!C:D, 2, FALSE)</f>
        <v>3</v>
      </c>
      <c r="E796" s="157">
        <f>SUMIF('Sales Register'!C:C, A796, 'Sales Register'!D:D)</f>
        <v>0</v>
      </c>
      <c r="F796" s="29">
        <f t="shared" si="59"/>
        <v>3</v>
      </c>
      <c r="H796" s="157">
        <f t="shared" si="60"/>
        <v>3</v>
      </c>
      <c r="I796" s="72" t="str">
        <f t="shared" si="61"/>
        <v>SERIOUS LOSS</v>
      </c>
    </row>
    <row r="797" spans="1:9" x14ac:dyDescent="0.25">
      <c r="A797" s="19" t="s">
        <v>1161</v>
      </c>
      <c r="D797" s="157">
        <f>VLOOKUP(A797, 'Purchase Register'!C:D, 2, FALSE)</f>
        <v>3</v>
      </c>
      <c r="E797" s="157">
        <f>SUMIF('Sales Register'!C:C, A797, 'Sales Register'!D:D)</f>
        <v>3</v>
      </c>
      <c r="F797" s="29">
        <f t="shared" si="59"/>
        <v>0</v>
      </c>
      <c r="H797" s="157">
        <f t="shared" si="60"/>
        <v>0</v>
      </c>
      <c r="I797" s="72" t="str">
        <f t="shared" si="61"/>
        <v>OK</v>
      </c>
    </row>
    <row r="798" spans="1:9" x14ac:dyDescent="0.25">
      <c r="A798" s="19" t="s">
        <v>1162</v>
      </c>
      <c r="D798" s="157">
        <f>VLOOKUP(A798, 'Purchase Register'!C:D, 2, FALSE)</f>
        <v>32</v>
      </c>
      <c r="E798" s="157">
        <f>SUMIF('Sales Register'!C:C, A798, 'Sales Register'!D:D)</f>
        <v>24</v>
      </c>
      <c r="F798" s="29">
        <f t="shared" ref="F798:F861" si="62">C798+D798-E798</f>
        <v>8</v>
      </c>
      <c r="H798" s="157">
        <f t="shared" si="60"/>
        <v>8</v>
      </c>
      <c r="I798" s="72" t="str">
        <f t="shared" si="61"/>
        <v>SERIOUS LOSS</v>
      </c>
    </row>
    <row r="799" spans="1:9" x14ac:dyDescent="0.25">
      <c r="A799" s="19" t="s">
        <v>1163</v>
      </c>
      <c r="D799" s="157">
        <f>VLOOKUP(A799, 'Purchase Register'!C:D, 2, FALSE)</f>
        <v>26</v>
      </c>
      <c r="E799" s="157">
        <f>SUMIF('Sales Register'!C:C, A799, 'Sales Register'!D:D)</f>
        <v>29</v>
      </c>
      <c r="F799" s="29">
        <f t="shared" si="62"/>
        <v>-3</v>
      </c>
      <c r="H799" s="157">
        <f t="shared" si="60"/>
        <v>-3</v>
      </c>
      <c r="I799" s="72" t="str">
        <f t="shared" si="61"/>
        <v>SERIOUS LOSS</v>
      </c>
    </row>
    <row r="800" spans="1:9" x14ac:dyDescent="0.25">
      <c r="A800" s="19" t="s">
        <v>1164</v>
      </c>
      <c r="D800" s="157">
        <f>VLOOKUP(A800, 'Purchase Register'!C:D, 2, FALSE)</f>
        <v>12</v>
      </c>
      <c r="E800" s="157">
        <f>SUMIF('Sales Register'!C:C, A800, 'Sales Register'!D:D)</f>
        <v>1</v>
      </c>
      <c r="F800" s="29">
        <f t="shared" si="62"/>
        <v>11</v>
      </c>
      <c r="H800" s="157">
        <f t="shared" si="60"/>
        <v>11</v>
      </c>
      <c r="I800" s="72" t="str">
        <f t="shared" si="61"/>
        <v>SERIOUS LOSS</v>
      </c>
    </row>
    <row r="801" spans="1:9" x14ac:dyDescent="0.25">
      <c r="A801" s="19" t="s">
        <v>1165</v>
      </c>
      <c r="D801" s="157">
        <f>VLOOKUP(A801, 'Purchase Register'!C:D, 2, FALSE)</f>
        <v>170</v>
      </c>
      <c r="E801" s="157">
        <f>SUMIF('Sales Register'!C:C, A801, 'Sales Register'!D:D)</f>
        <v>72</v>
      </c>
      <c r="F801" s="29">
        <f t="shared" si="62"/>
        <v>98</v>
      </c>
      <c r="H801" s="157">
        <f t="shared" si="60"/>
        <v>98</v>
      </c>
      <c r="I801" s="72" t="str">
        <f t="shared" si="61"/>
        <v>SERIOUS LOSS</v>
      </c>
    </row>
    <row r="802" spans="1:9" x14ac:dyDescent="0.25">
      <c r="A802" s="19" t="s">
        <v>1166</v>
      </c>
      <c r="D802" s="157">
        <f>VLOOKUP(A802, 'Purchase Register'!C:D, 2, FALSE)</f>
        <v>210</v>
      </c>
      <c r="E802" s="157">
        <f>SUMIF('Sales Register'!C:C, A802, 'Sales Register'!D:D)</f>
        <v>56</v>
      </c>
      <c r="F802" s="29">
        <f t="shared" si="62"/>
        <v>154</v>
      </c>
      <c r="H802" s="157">
        <f t="shared" si="60"/>
        <v>154</v>
      </c>
      <c r="I802" s="72" t="str">
        <f t="shared" si="61"/>
        <v>SERIOUS LOSS</v>
      </c>
    </row>
    <row r="803" spans="1:9" x14ac:dyDescent="0.25">
      <c r="A803" s="19" t="s">
        <v>1167</v>
      </c>
      <c r="D803" s="157">
        <f>VLOOKUP(A803, 'Purchase Register'!C:D, 2, FALSE)</f>
        <v>9</v>
      </c>
      <c r="E803" s="157">
        <f>SUMIF('Sales Register'!C:C, A803, 'Sales Register'!D:D)</f>
        <v>1</v>
      </c>
      <c r="F803" s="29">
        <f t="shared" si="62"/>
        <v>8</v>
      </c>
      <c r="H803" s="157">
        <f t="shared" si="60"/>
        <v>8</v>
      </c>
      <c r="I803" s="72" t="str">
        <f t="shared" si="61"/>
        <v>SERIOUS LOSS</v>
      </c>
    </row>
    <row r="804" spans="1:9" x14ac:dyDescent="0.25">
      <c r="A804" s="19" t="s">
        <v>1168</v>
      </c>
      <c r="D804" s="157">
        <f>VLOOKUP(A804, 'Purchase Register'!C:D, 2, FALSE)</f>
        <v>48</v>
      </c>
      <c r="E804" s="157">
        <f>SUMIF('Sales Register'!C:C, A804, 'Sales Register'!D:D)</f>
        <v>16</v>
      </c>
      <c r="F804" s="29">
        <f t="shared" si="62"/>
        <v>32</v>
      </c>
      <c r="H804" s="157">
        <f t="shared" si="60"/>
        <v>32</v>
      </c>
      <c r="I804" s="72" t="str">
        <f t="shared" si="61"/>
        <v>SERIOUS LOSS</v>
      </c>
    </row>
    <row r="805" spans="1:9" ht="30" x14ac:dyDescent="0.25">
      <c r="A805" s="19" t="s">
        <v>1170</v>
      </c>
      <c r="D805" s="157">
        <f>VLOOKUP(A805, 'Purchase Register'!C:D, 2, FALSE)</f>
        <v>3</v>
      </c>
      <c r="E805" s="157">
        <f>SUMIF('Sales Register'!C:C, A805, 'Sales Register'!D:D)</f>
        <v>3</v>
      </c>
      <c r="F805" s="29">
        <f t="shared" si="62"/>
        <v>0</v>
      </c>
      <c r="H805" s="157">
        <f t="shared" si="60"/>
        <v>0</v>
      </c>
      <c r="I805" s="72" t="str">
        <f t="shared" si="61"/>
        <v>OK</v>
      </c>
    </row>
    <row r="806" spans="1:9" ht="30" x14ac:dyDescent="0.25">
      <c r="A806" s="33" t="s">
        <v>1169</v>
      </c>
      <c r="D806" s="157">
        <f>VLOOKUP(A806, 'Purchase Register'!C:D, 2, FALSE)</f>
        <v>10</v>
      </c>
      <c r="E806" s="157">
        <f>SUMIF('Sales Register'!C:C, A806, 'Sales Register'!D:D)</f>
        <v>1</v>
      </c>
      <c r="F806" s="29">
        <f t="shared" si="62"/>
        <v>9</v>
      </c>
      <c r="H806" s="157">
        <f t="shared" si="60"/>
        <v>9</v>
      </c>
      <c r="I806" s="72" t="str">
        <f t="shared" si="61"/>
        <v>SERIOUS LOSS</v>
      </c>
    </row>
    <row r="807" spans="1:9" x14ac:dyDescent="0.25">
      <c r="A807" s="19" t="s">
        <v>1171</v>
      </c>
      <c r="D807" s="157">
        <f>VLOOKUP(A807, 'Purchase Register'!C:D, 2, FALSE)</f>
        <v>6</v>
      </c>
      <c r="E807" s="157">
        <f>SUMIF('Sales Register'!C:C, A807, 'Sales Register'!D:D)</f>
        <v>8</v>
      </c>
      <c r="F807" s="29">
        <f t="shared" si="62"/>
        <v>-2</v>
      </c>
      <c r="H807" s="157">
        <f t="shared" si="60"/>
        <v>-2</v>
      </c>
      <c r="I807" s="72" t="str">
        <f t="shared" si="61"/>
        <v>Minor Issue</v>
      </c>
    </row>
    <row r="808" spans="1:9" ht="30" x14ac:dyDescent="0.25">
      <c r="A808" s="33" t="s">
        <v>1172</v>
      </c>
      <c r="D808" s="157">
        <f>VLOOKUP(A808, 'Purchase Register'!C:D, 2, FALSE)</f>
        <v>3</v>
      </c>
      <c r="E808" s="157">
        <f>SUMIF('Sales Register'!C:C, A808, 'Sales Register'!D:D)</f>
        <v>5</v>
      </c>
      <c r="F808" s="29">
        <f t="shared" si="62"/>
        <v>-2</v>
      </c>
      <c r="H808" s="157">
        <f t="shared" si="60"/>
        <v>-2</v>
      </c>
      <c r="I808" s="72" t="str">
        <f t="shared" si="61"/>
        <v>Minor Issue</v>
      </c>
    </row>
    <row r="809" spans="1:9" x14ac:dyDescent="0.25">
      <c r="A809" s="19" t="s">
        <v>1181</v>
      </c>
      <c r="D809" s="157">
        <f>VLOOKUP(A809, 'Purchase Register'!C:D, 2, FALSE)</f>
        <v>1</v>
      </c>
      <c r="E809" s="157">
        <f>SUMIF('Sales Register'!C:C, A809, 'Sales Register'!D:D)</f>
        <v>0.52999999999999992</v>
      </c>
      <c r="F809" s="29">
        <f t="shared" si="62"/>
        <v>0.47000000000000008</v>
      </c>
      <c r="H809" s="157">
        <f t="shared" si="60"/>
        <v>0.47000000000000008</v>
      </c>
      <c r="I809" s="72" t="str">
        <f t="shared" si="61"/>
        <v>Minor Issue</v>
      </c>
    </row>
    <row r="810" spans="1:9" x14ac:dyDescent="0.25">
      <c r="A810" s="19" t="s">
        <v>1176</v>
      </c>
      <c r="D810" s="157">
        <f>VLOOKUP(A810, 'Purchase Register'!C:D, 2, FALSE)</f>
        <v>5</v>
      </c>
      <c r="E810" s="157">
        <f>SUMIF('Sales Register'!C:C, A810, 'Sales Register'!D:D)</f>
        <v>1.83</v>
      </c>
      <c r="F810" s="29">
        <f t="shared" si="62"/>
        <v>3.17</v>
      </c>
      <c r="H810" s="157">
        <f t="shared" si="60"/>
        <v>3.17</v>
      </c>
      <c r="I810" s="72" t="str">
        <f t="shared" si="61"/>
        <v>SERIOUS LOSS</v>
      </c>
    </row>
    <row r="811" spans="1:9" ht="30" x14ac:dyDescent="0.25">
      <c r="A811" s="19" t="s">
        <v>1177</v>
      </c>
      <c r="D811" s="157">
        <f>VLOOKUP(A811, 'Purchase Register'!C:D, 2, FALSE)</f>
        <v>3</v>
      </c>
      <c r="E811" s="157">
        <f>SUMIF('Sales Register'!C:C, A811, 'Sales Register'!D:D)</f>
        <v>3</v>
      </c>
      <c r="F811" s="29">
        <f t="shared" si="62"/>
        <v>0</v>
      </c>
      <c r="H811" s="157">
        <f t="shared" si="60"/>
        <v>0</v>
      </c>
      <c r="I811" s="72" t="str">
        <f t="shared" si="61"/>
        <v>OK</v>
      </c>
    </row>
    <row r="812" spans="1:9" x14ac:dyDescent="0.25">
      <c r="A812" s="19" t="s">
        <v>1178</v>
      </c>
      <c r="D812" s="157">
        <f>VLOOKUP(A812, 'Purchase Register'!C:D, 2, FALSE)</f>
        <v>1</v>
      </c>
      <c r="E812" s="157">
        <f>SUMIF('Sales Register'!C:C, A812, 'Sales Register'!D:D)</f>
        <v>1</v>
      </c>
      <c r="F812" s="29">
        <f t="shared" si="62"/>
        <v>0</v>
      </c>
      <c r="H812" s="157">
        <f t="shared" si="60"/>
        <v>0</v>
      </c>
      <c r="I812" s="72" t="str">
        <f t="shared" si="61"/>
        <v>OK</v>
      </c>
    </row>
    <row r="813" spans="1:9" x14ac:dyDescent="0.25">
      <c r="A813" s="19" t="s">
        <v>1179</v>
      </c>
      <c r="D813" s="157">
        <f>VLOOKUP(A813, 'Purchase Register'!C:D, 2, FALSE)</f>
        <v>1</v>
      </c>
      <c r="E813" s="157">
        <f>SUMIF('Sales Register'!C:C, A813, 'Sales Register'!D:D)</f>
        <v>1</v>
      </c>
      <c r="F813" s="29">
        <f t="shared" si="62"/>
        <v>0</v>
      </c>
      <c r="H813" s="157">
        <f t="shared" si="60"/>
        <v>0</v>
      </c>
      <c r="I813" s="72" t="str">
        <f t="shared" si="61"/>
        <v>OK</v>
      </c>
    </row>
    <row r="814" spans="1:9" ht="30" x14ac:dyDescent="0.25">
      <c r="A814" s="19" t="s">
        <v>1180</v>
      </c>
      <c r="D814" s="157">
        <f>VLOOKUP(A814, 'Purchase Register'!C:D, 2, FALSE)</f>
        <v>1</v>
      </c>
      <c r="E814" s="157">
        <f>SUMIF('Sales Register'!C:C, A814, 'Sales Register'!D:D)</f>
        <v>2</v>
      </c>
      <c r="F814" s="29">
        <f t="shared" si="62"/>
        <v>-1</v>
      </c>
      <c r="H814" s="157">
        <f t="shared" si="60"/>
        <v>-1</v>
      </c>
      <c r="I814" s="72" t="str">
        <f t="shared" si="61"/>
        <v>Minor Issue</v>
      </c>
    </row>
    <row r="815" spans="1:9" x14ac:dyDescent="0.25">
      <c r="A815" s="19" t="s">
        <v>1175</v>
      </c>
      <c r="D815" s="157">
        <f>VLOOKUP(A815, 'Purchase Register'!C:D, 2, FALSE)</f>
        <v>3</v>
      </c>
      <c r="E815" s="157">
        <f>SUMIF('Sales Register'!C:C, A815, 'Sales Register'!D:D)</f>
        <v>3</v>
      </c>
      <c r="F815" s="29">
        <f t="shared" si="62"/>
        <v>0</v>
      </c>
      <c r="H815" s="157">
        <f t="shared" si="60"/>
        <v>0</v>
      </c>
      <c r="I815" s="72" t="str">
        <f t="shared" si="61"/>
        <v>OK</v>
      </c>
    </row>
    <row r="816" spans="1:9" ht="30" x14ac:dyDescent="0.25">
      <c r="A816" s="19" t="s">
        <v>1173</v>
      </c>
      <c r="D816" s="157">
        <f>VLOOKUP(A816, 'Purchase Register'!C:D, 2, FALSE)</f>
        <v>3</v>
      </c>
      <c r="E816" s="157">
        <f>SUMIF('Sales Register'!C:C, A816, 'Sales Register'!D:D)</f>
        <v>3</v>
      </c>
      <c r="F816" s="29">
        <f t="shared" si="62"/>
        <v>0</v>
      </c>
      <c r="H816" s="157">
        <f t="shared" si="60"/>
        <v>0</v>
      </c>
      <c r="I816" s="72" t="str">
        <f t="shared" si="61"/>
        <v>OK</v>
      </c>
    </row>
    <row r="817" spans="1:9" ht="30" x14ac:dyDescent="0.25">
      <c r="A817" s="19" t="s">
        <v>1174</v>
      </c>
      <c r="D817" s="157">
        <f>VLOOKUP(A817, 'Purchase Register'!C:D, 2, FALSE)</f>
        <v>3</v>
      </c>
      <c r="E817" s="157">
        <f>SUMIF('Sales Register'!C:C, A817, 'Sales Register'!D:D)</f>
        <v>3</v>
      </c>
      <c r="F817" s="29">
        <f t="shared" si="62"/>
        <v>0</v>
      </c>
      <c r="H817" s="157">
        <f t="shared" si="60"/>
        <v>0</v>
      </c>
      <c r="I817" s="72" t="str">
        <f t="shared" si="61"/>
        <v>OK</v>
      </c>
    </row>
    <row r="818" spans="1:9" x14ac:dyDescent="0.25">
      <c r="A818" s="19" t="s">
        <v>1182</v>
      </c>
      <c r="D818" s="157">
        <f>VLOOKUP(A818, 'Purchase Register'!C:D, 2, FALSE)</f>
        <v>12</v>
      </c>
      <c r="E818" s="157">
        <f>SUMIF('Sales Register'!C:C, A818, 'Sales Register'!D:D)</f>
        <v>12</v>
      </c>
      <c r="F818" s="29">
        <f t="shared" si="62"/>
        <v>0</v>
      </c>
      <c r="H818" s="157">
        <f t="shared" si="60"/>
        <v>0</v>
      </c>
      <c r="I818" s="72" t="str">
        <f t="shared" si="61"/>
        <v>OK</v>
      </c>
    </row>
    <row r="819" spans="1:9" ht="30" x14ac:dyDescent="0.25">
      <c r="A819" s="19" t="s">
        <v>1183</v>
      </c>
      <c r="D819" s="157">
        <f>VLOOKUP(A819, 'Purchase Register'!C:D, 2, FALSE)</f>
        <v>12</v>
      </c>
      <c r="E819" s="157">
        <f>SUMIF('Sales Register'!C:C, A819, 'Sales Register'!D:D)</f>
        <v>6</v>
      </c>
      <c r="F819" s="29">
        <f t="shared" si="62"/>
        <v>6</v>
      </c>
      <c r="H819" s="157">
        <f t="shared" si="60"/>
        <v>6</v>
      </c>
      <c r="I819" s="72" t="str">
        <f t="shared" si="61"/>
        <v>SERIOUS LOSS</v>
      </c>
    </row>
    <row r="820" spans="1:9" ht="30" x14ac:dyDescent="0.25">
      <c r="A820" s="19" t="s">
        <v>1184</v>
      </c>
      <c r="D820" s="157">
        <f>VLOOKUP(A820, 'Purchase Register'!C:D, 2, FALSE)</f>
        <v>12</v>
      </c>
      <c r="E820" s="157">
        <f>SUMIF('Sales Register'!C:C, A820, 'Sales Register'!D:D)</f>
        <v>1</v>
      </c>
      <c r="F820" s="29">
        <f t="shared" si="62"/>
        <v>11</v>
      </c>
      <c r="H820" s="157">
        <f t="shared" si="60"/>
        <v>11</v>
      </c>
      <c r="I820" s="72" t="str">
        <f t="shared" si="61"/>
        <v>SERIOUS LOSS</v>
      </c>
    </row>
    <row r="821" spans="1:9" x14ac:dyDescent="0.25">
      <c r="A821" s="19" t="s">
        <v>1186</v>
      </c>
      <c r="D821" s="157">
        <f>VLOOKUP(A821, 'Purchase Register'!C:D, 2, FALSE)</f>
        <v>3</v>
      </c>
      <c r="E821" s="157">
        <f>SUMIF('Sales Register'!C:C, A821, 'Sales Register'!D:D)</f>
        <v>0</v>
      </c>
      <c r="F821" s="29">
        <f t="shared" si="62"/>
        <v>3</v>
      </c>
      <c r="H821" s="157">
        <f t="shared" si="60"/>
        <v>3</v>
      </c>
      <c r="I821" s="72" t="str">
        <f t="shared" si="61"/>
        <v>SERIOUS LOSS</v>
      </c>
    </row>
    <row r="822" spans="1:9" x14ac:dyDescent="0.25">
      <c r="A822" s="19" t="s">
        <v>1187</v>
      </c>
      <c r="D822" s="157">
        <f>VLOOKUP(A822, 'Purchase Register'!C:D, 2, FALSE)</f>
        <v>24</v>
      </c>
      <c r="E822" s="157">
        <f>SUMIF('Sales Register'!C:C, A822, 'Sales Register'!D:D)</f>
        <v>1</v>
      </c>
      <c r="F822" s="29">
        <f t="shared" si="62"/>
        <v>23</v>
      </c>
      <c r="H822" s="157">
        <f t="shared" si="60"/>
        <v>23</v>
      </c>
      <c r="I822" s="72" t="str">
        <f t="shared" si="61"/>
        <v>SERIOUS LOSS</v>
      </c>
    </row>
    <row r="823" spans="1:9" ht="30" x14ac:dyDescent="0.25">
      <c r="A823" s="19" t="s">
        <v>1188</v>
      </c>
      <c r="D823" s="157">
        <f>VLOOKUP(A823, 'Purchase Register'!C:D, 2, FALSE)</f>
        <v>24</v>
      </c>
      <c r="E823" s="157">
        <f>SUMIF('Sales Register'!C:C, A823, 'Sales Register'!D:D)</f>
        <v>6</v>
      </c>
      <c r="F823" s="29">
        <f t="shared" si="62"/>
        <v>18</v>
      </c>
      <c r="H823" s="157">
        <f t="shared" si="60"/>
        <v>18</v>
      </c>
      <c r="I823" s="72" t="str">
        <f t="shared" si="61"/>
        <v>SERIOUS LOSS</v>
      </c>
    </row>
    <row r="824" spans="1:9" x14ac:dyDescent="0.25">
      <c r="A824" s="19" t="s">
        <v>1189</v>
      </c>
      <c r="D824" s="157">
        <f>VLOOKUP(A824, 'Purchase Register'!C:D, 2, FALSE)</f>
        <v>3</v>
      </c>
      <c r="E824" s="157">
        <f>SUMIF('Sales Register'!C:C, A824, 'Sales Register'!D:D)</f>
        <v>0</v>
      </c>
      <c r="F824" s="29">
        <f t="shared" si="62"/>
        <v>3</v>
      </c>
      <c r="H824" s="157">
        <f t="shared" si="60"/>
        <v>3</v>
      </c>
      <c r="I824" s="72" t="str">
        <f t="shared" si="61"/>
        <v>SERIOUS LOSS</v>
      </c>
    </row>
    <row r="825" spans="1:9" x14ac:dyDescent="0.25">
      <c r="A825" s="19" t="s">
        <v>1190</v>
      </c>
      <c r="D825" s="157">
        <f>VLOOKUP(A825, 'Purchase Register'!C:D, 2, FALSE)</f>
        <v>3</v>
      </c>
      <c r="E825" s="157">
        <f>SUMIF('Sales Register'!C:C, A825, 'Sales Register'!D:D)</f>
        <v>0</v>
      </c>
      <c r="F825" s="29">
        <f t="shared" si="62"/>
        <v>3</v>
      </c>
      <c r="H825" s="157">
        <f t="shared" si="60"/>
        <v>3</v>
      </c>
      <c r="I825" s="72" t="str">
        <f t="shared" si="61"/>
        <v>SERIOUS LOSS</v>
      </c>
    </row>
    <row r="826" spans="1:9" ht="30" x14ac:dyDescent="0.25">
      <c r="A826" s="19" t="s">
        <v>1192</v>
      </c>
      <c r="D826" s="157">
        <f>VLOOKUP(A826, 'Purchase Register'!C:D, 2, FALSE)</f>
        <v>3</v>
      </c>
      <c r="E826" s="157">
        <f>SUMIF('Sales Register'!C:C, A826, 'Sales Register'!D:D)</f>
        <v>0</v>
      </c>
      <c r="F826" s="29">
        <f t="shared" si="62"/>
        <v>3</v>
      </c>
      <c r="H826" s="157">
        <f t="shared" si="60"/>
        <v>3</v>
      </c>
      <c r="I826" s="72" t="str">
        <f t="shared" si="61"/>
        <v>SERIOUS LOSS</v>
      </c>
    </row>
    <row r="827" spans="1:9" ht="30" x14ac:dyDescent="0.25">
      <c r="A827" s="19" t="s">
        <v>1191</v>
      </c>
      <c r="D827" s="157">
        <f>VLOOKUP(A827, 'Purchase Register'!C:D, 2, FALSE)</f>
        <v>3</v>
      </c>
      <c r="E827" s="157">
        <f>SUMIF('Sales Register'!C:C, A827, 'Sales Register'!D:D)</f>
        <v>1</v>
      </c>
      <c r="F827" s="29">
        <f t="shared" si="62"/>
        <v>2</v>
      </c>
      <c r="H827" s="157">
        <f t="shared" si="60"/>
        <v>2</v>
      </c>
      <c r="I827" s="72" t="str">
        <f t="shared" si="61"/>
        <v>Minor Issue</v>
      </c>
    </row>
    <row r="828" spans="1:9" ht="30" x14ac:dyDescent="0.25">
      <c r="A828" s="19" t="s">
        <v>1193</v>
      </c>
      <c r="D828" s="157">
        <f>VLOOKUP(A828, 'Purchase Register'!C:D, 2, FALSE)</f>
        <v>12</v>
      </c>
      <c r="E828" s="157">
        <f>SUMIF('Sales Register'!C:C, A828, 'Sales Register'!D:D)</f>
        <v>0</v>
      </c>
      <c r="F828" s="29">
        <f t="shared" si="62"/>
        <v>12</v>
      </c>
      <c r="H828" s="157">
        <f t="shared" si="60"/>
        <v>12</v>
      </c>
      <c r="I828" s="72" t="str">
        <f t="shared" si="61"/>
        <v>SERIOUS LOSS</v>
      </c>
    </row>
    <row r="829" spans="1:9" x14ac:dyDescent="0.25">
      <c r="A829" s="19" t="s">
        <v>1194</v>
      </c>
      <c r="D829" s="157">
        <f>VLOOKUP(A829, 'Purchase Register'!C:D, 2, FALSE)</f>
        <v>12</v>
      </c>
      <c r="E829" s="157">
        <f>SUMIF('Sales Register'!C:C, A829, 'Sales Register'!D:D)</f>
        <v>0</v>
      </c>
      <c r="F829" s="29">
        <f t="shared" si="62"/>
        <v>12</v>
      </c>
      <c r="H829" s="157">
        <f t="shared" si="60"/>
        <v>12</v>
      </c>
      <c r="I829" s="72" t="str">
        <f t="shared" si="61"/>
        <v>SERIOUS LOSS</v>
      </c>
    </row>
    <row r="830" spans="1:9" ht="30" x14ac:dyDescent="0.25">
      <c r="A830" s="19" t="s">
        <v>1195</v>
      </c>
      <c r="D830" s="157">
        <f>VLOOKUP(A830, 'Purchase Register'!C:D, 2, FALSE)</f>
        <v>10</v>
      </c>
      <c r="E830" s="157">
        <f>SUMIF('Sales Register'!C:C, A830, 'Sales Register'!D:D)</f>
        <v>4</v>
      </c>
      <c r="F830" s="29">
        <f t="shared" si="62"/>
        <v>6</v>
      </c>
      <c r="H830" s="157">
        <f t="shared" si="60"/>
        <v>6</v>
      </c>
      <c r="I830" s="72" t="str">
        <f t="shared" si="61"/>
        <v>SERIOUS LOSS</v>
      </c>
    </row>
    <row r="831" spans="1:9" x14ac:dyDescent="0.25">
      <c r="A831" s="19" t="s">
        <v>1196</v>
      </c>
      <c r="D831" s="157">
        <f>VLOOKUP(A831, 'Purchase Register'!C:D, 2, FALSE)</f>
        <v>30</v>
      </c>
      <c r="E831" s="157">
        <f>SUMIF('Sales Register'!C:C, A831, 'Sales Register'!D:D)</f>
        <v>3</v>
      </c>
      <c r="F831" s="29">
        <f t="shared" si="62"/>
        <v>27</v>
      </c>
      <c r="H831" s="157">
        <f t="shared" si="60"/>
        <v>27</v>
      </c>
      <c r="I831" s="72" t="str">
        <f t="shared" si="61"/>
        <v>SERIOUS LOSS</v>
      </c>
    </row>
    <row r="832" spans="1:9" x14ac:dyDescent="0.25">
      <c r="A832" s="19" t="s">
        <v>1197</v>
      </c>
      <c r="D832" s="157">
        <f>VLOOKUP(A832, 'Purchase Register'!C:D, 2, FALSE)</f>
        <v>1</v>
      </c>
      <c r="E832" s="157">
        <f>SUMIF('Sales Register'!C:C, A832, 'Sales Register'!D:D)</f>
        <v>0.2</v>
      </c>
      <c r="F832" s="29">
        <f t="shared" si="62"/>
        <v>0.8</v>
      </c>
      <c r="H832" s="157">
        <f t="shared" si="60"/>
        <v>0.8</v>
      </c>
      <c r="I832" s="72" t="str">
        <f t="shared" si="61"/>
        <v>Minor Issue</v>
      </c>
    </row>
    <row r="833" spans="1:9" x14ac:dyDescent="0.25">
      <c r="A833" s="19" t="s">
        <v>1198</v>
      </c>
      <c r="D833" s="157">
        <f>VLOOKUP(A833, 'Purchase Register'!C:D, 2, FALSE)</f>
        <v>24</v>
      </c>
      <c r="E833" s="157">
        <f>SUMIF('Sales Register'!C:C, A833, 'Sales Register'!D:D)</f>
        <v>26</v>
      </c>
      <c r="F833" s="29">
        <f t="shared" si="62"/>
        <v>-2</v>
      </c>
      <c r="H833" s="157">
        <f t="shared" si="60"/>
        <v>-2</v>
      </c>
      <c r="I833" s="72" t="str">
        <f t="shared" si="61"/>
        <v>Minor Issue</v>
      </c>
    </row>
    <row r="834" spans="1:9" x14ac:dyDescent="0.25">
      <c r="A834" s="19" t="s">
        <v>1227</v>
      </c>
      <c r="D834" s="157">
        <f>VLOOKUP(A834, 'Purchase Register'!C:D, 2, FALSE)</f>
        <v>12</v>
      </c>
      <c r="E834" s="157">
        <f>SUMIF('Sales Register'!C:C, A834, 'Sales Register'!D:D)</f>
        <v>0</v>
      </c>
      <c r="F834" s="29">
        <f t="shared" si="62"/>
        <v>12</v>
      </c>
    </row>
    <row r="835" spans="1:9" x14ac:dyDescent="0.25">
      <c r="A835" s="19" t="s">
        <v>1228</v>
      </c>
      <c r="D835" s="157">
        <f>VLOOKUP(A835, 'Purchase Register'!C:D, 2, FALSE)</f>
        <v>12</v>
      </c>
      <c r="E835" s="157">
        <f>SUMIF('Sales Register'!C:C, A835, 'Sales Register'!D:D)</f>
        <v>1</v>
      </c>
      <c r="F835" s="29">
        <f t="shared" si="62"/>
        <v>11</v>
      </c>
    </row>
    <row r="836" spans="1:9" ht="30" x14ac:dyDescent="0.25">
      <c r="A836" s="19" t="s">
        <v>1229</v>
      </c>
      <c r="D836" s="157">
        <f>VLOOKUP(A836, 'Purchase Register'!C:D, 2, FALSE)</f>
        <v>24</v>
      </c>
      <c r="E836" s="157">
        <f>SUMIF('Sales Register'!C:C, A836, 'Sales Register'!D:D)</f>
        <v>26</v>
      </c>
      <c r="F836" s="29">
        <f t="shared" si="62"/>
        <v>-2</v>
      </c>
    </row>
    <row r="837" spans="1:9" x14ac:dyDescent="0.25">
      <c r="A837" s="19" t="s">
        <v>1230</v>
      </c>
      <c r="D837" s="157">
        <f>VLOOKUP(A837, 'Purchase Register'!C:D, 2, FALSE)</f>
        <v>30</v>
      </c>
      <c r="E837" s="157">
        <f>SUMIF('Sales Register'!C:C, A837, 'Sales Register'!D:D)</f>
        <v>32</v>
      </c>
      <c r="F837" s="29">
        <f t="shared" si="62"/>
        <v>-2</v>
      </c>
    </row>
    <row r="838" spans="1:9" x14ac:dyDescent="0.25">
      <c r="A838" s="19" t="s">
        <v>1234</v>
      </c>
      <c r="D838" s="157">
        <f>VLOOKUP(A838, 'Purchase Register'!C:D, 2, FALSE)</f>
        <v>5</v>
      </c>
      <c r="E838" s="157">
        <f>SUMIF('Sales Register'!C:C, A838, 'Sales Register'!D:D)</f>
        <v>8.782</v>
      </c>
      <c r="F838" s="29">
        <f t="shared" si="62"/>
        <v>-3.782</v>
      </c>
    </row>
    <row r="839" spans="1:9" x14ac:dyDescent="0.25">
      <c r="A839" s="19" t="s">
        <v>1231</v>
      </c>
      <c r="D839" s="157">
        <f>VLOOKUP(A839, 'Purchase Register'!C:D, 2, FALSE)</f>
        <v>10</v>
      </c>
      <c r="E839" s="157">
        <f>SUMIF('Sales Register'!C:C, A839, 'Sales Register'!D:D)</f>
        <v>17.400000000000006</v>
      </c>
      <c r="F839" s="29">
        <f t="shared" si="62"/>
        <v>-7.4000000000000057</v>
      </c>
    </row>
    <row r="840" spans="1:9" ht="30" x14ac:dyDescent="0.25">
      <c r="A840" s="19" t="s">
        <v>1232</v>
      </c>
      <c r="D840" s="157">
        <f>VLOOKUP(A840, 'Purchase Register'!C:D, 2, FALSE)</f>
        <v>3</v>
      </c>
      <c r="E840" s="157">
        <f>SUMIF('Sales Register'!C:C, A840, 'Sales Register'!D:D)</f>
        <v>6</v>
      </c>
      <c r="F840" s="29">
        <f t="shared" si="62"/>
        <v>-3</v>
      </c>
    </row>
    <row r="841" spans="1:9" x14ac:dyDescent="0.25">
      <c r="A841" s="19" t="s">
        <v>1233</v>
      </c>
      <c r="D841" s="157">
        <f>VLOOKUP(A841, 'Purchase Register'!C:D, 2, FALSE)</f>
        <v>5</v>
      </c>
      <c r="E841" s="157">
        <f>SUMIF('Sales Register'!C:C, A841, 'Sales Register'!D:D)</f>
        <v>4.3550000000000004</v>
      </c>
      <c r="F841" s="29">
        <f t="shared" si="62"/>
        <v>0.64499999999999957</v>
      </c>
    </row>
    <row r="842" spans="1:9" x14ac:dyDescent="0.25">
      <c r="A842" s="19" t="s">
        <v>1235</v>
      </c>
      <c r="D842" s="157">
        <f>VLOOKUP(A842, 'Purchase Register'!C:D, 2, FALSE)</f>
        <v>10</v>
      </c>
      <c r="E842" s="157">
        <f>SUMIF('Sales Register'!C:C, A842, 'Sales Register'!D:D)</f>
        <v>0</v>
      </c>
      <c r="F842" s="29">
        <f t="shared" si="62"/>
        <v>10</v>
      </c>
    </row>
    <row r="843" spans="1:9" x14ac:dyDescent="0.25">
      <c r="A843" s="19" t="s">
        <v>1236</v>
      </c>
      <c r="D843" s="157">
        <f>VLOOKUP(A843, 'Purchase Register'!C:D, 2, FALSE)</f>
        <v>10</v>
      </c>
      <c r="E843" s="157">
        <f>SUMIF('Sales Register'!C:C, A843, 'Sales Register'!D:D)</f>
        <v>0</v>
      </c>
      <c r="F843" s="29">
        <f t="shared" si="62"/>
        <v>10</v>
      </c>
    </row>
    <row r="844" spans="1:9" ht="30" x14ac:dyDescent="0.25">
      <c r="A844" s="19" t="s">
        <v>1237</v>
      </c>
      <c r="D844" s="157">
        <f>VLOOKUP(A844, 'Purchase Register'!C:D, 2, FALSE)</f>
        <v>30</v>
      </c>
      <c r="E844" s="157">
        <f>SUMIF('Sales Register'!C:C, A844, 'Sales Register'!D:D)</f>
        <v>0</v>
      </c>
      <c r="F844" s="29">
        <f t="shared" si="62"/>
        <v>30</v>
      </c>
    </row>
    <row r="845" spans="1:9" ht="30" x14ac:dyDescent="0.25">
      <c r="A845" s="19" t="s">
        <v>1238</v>
      </c>
      <c r="D845" s="157">
        <f>VLOOKUP(A845, 'Purchase Register'!C:D, 2, FALSE)</f>
        <v>30</v>
      </c>
      <c r="E845" s="157">
        <f>SUMIF('Sales Register'!C:C, A845, 'Sales Register'!D:D)</f>
        <v>2</v>
      </c>
      <c r="F845" s="29">
        <f t="shared" si="62"/>
        <v>28</v>
      </c>
    </row>
    <row r="846" spans="1:9" ht="30" x14ac:dyDescent="0.25">
      <c r="A846" s="19" t="s">
        <v>1239</v>
      </c>
      <c r="D846" s="157">
        <f>VLOOKUP(A846, 'Purchase Register'!C:D, 2, FALSE)</f>
        <v>30</v>
      </c>
      <c r="E846" s="157">
        <f>SUMIF('Sales Register'!C:C, A846, 'Sales Register'!D:D)</f>
        <v>0</v>
      </c>
      <c r="F846" s="29">
        <f t="shared" si="62"/>
        <v>30</v>
      </c>
    </row>
    <row r="847" spans="1:9" x14ac:dyDescent="0.25">
      <c r="A847" s="19" t="s">
        <v>1240</v>
      </c>
      <c r="D847" s="157">
        <f>VLOOKUP(A847, 'Purchase Register'!C:D, 2, FALSE)</f>
        <v>30</v>
      </c>
      <c r="E847" s="157">
        <f>SUMIF('Sales Register'!C:C, A847, 'Sales Register'!D:D)</f>
        <v>0</v>
      </c>
      <c r="F847" s="29">
        <f t="shared" si="62"/>
        <v>30</v>
      </c>
    </row>
    <row r="848" spans="1:9" x14ac:dyDescent="0.25">
      <c r="A848" s="19" t="s">
        <v>1241</v>
      </c>
      <c r="D848" s="157">
        <f>VLOOKUP(A848, 'Purchase Register'!C:D, 2, FALSE)</f>
        <v>30</v>
      </c>
      <c r="E848" s="157">
        <f>SUMIF('Sales Register'!C:C, A848, 'Sales Register'!D:D)</f>
        <v>0</v>
      </c>
      <c r="F848" s="29">
        <f t="shared" si="62"/>
        <v>30</v>
      </c>
    </row>
    <row r="849" spans="1:6" ht="30" x14ac:dyDescent="0.25">
      <c r="A849" s="19" t="s">
        <v>1242</v>
      </c>
      <c r="D849" s="157">
        <f>VLOOKUP(A849, 'Purchase Register'!C:D, 2, FALSE)</f>
        <v>30</v>
      </c>
      <c r="E849" s="157">
        <f>SUMIF('Sales Register'!C:C, A849, 'Sales Register'!D:D)</f>
        <v>0</v>
      </c>
      <c r="F849" s="29">
        <f t="shared" si="62"/>
        <v>30</v>
      </c>
    </row>
    <row r="850" spans="1:6" ht="30" x14ac:dyDescent="0.25">
      <c r="A850" s="19" t="s">
        <v>1243</v>
      </c>
      <c r="D850" s="157">
        <f>VLOOKUP(A850, 'Purchase Register'!C:D, 2, FALSE)</f>
        <v>20</v>
      </c>
      <c r="E850" s="157">
        <f>SUMIF('Sales Register'!C:C, A850, 'Sales Register'!D:D)</f>
        <v>19</v>
      </c>
      <c r="F850" s="29">
        <f t="shared" si="62"/>
        <v>1</v>
      </c>
    </row>
    <row r="851" spans="1:6" x14ac:dyDescent="0.25">
      <c r="A851" s="19" t="s">
        <v>1244</v>
      </c>
      <c r="D851" s="157">
        <f>VLOOKUP(A851, 'Purchase Register'!C:D, 2, FALSE)</f>
        <v>6</v>
      </c>
      <c r="E851" s="157">
        <f>SUMIF('Sales Register'!C:C, A851, 'Sales Register'!D:D)</f>
        <v>4</v>
      </c>
      <c r="F851" s="29">
        <f t="shared" si="62"/>
        <v>2</v>
      </c>
    </row>
    <row r="852" spans="1:6" x14ac:dyDescent="0.25">
      <c r="A852" s="19" t="s">
        <v>1253</v>
      </c>
      <c r="D852" s="157">
        <f>VLOOKUP(A852, 'Purchase Register'!C:D, 2, FALSE)</f>
        <v>108</v>
      </c>
      <c r="E852" s="157">
        <f>SUMIF('Sales Register'!C:C, A852, 'Sales Register'!D:D)</f>
        <v>45</v>
      </c>
      <c r="F852" s="29">
        <f t="shared" si="62"/>
        <v>63</v>
      </c>
    </row>
    <row r="853" spans="1:6" x14ac:dyDescent="0.25">
      <c r="A853" s="19" t="s">
        <v>1252</v>
      </c>
      <c r="D853" s="157">
        <f>VLOOKUP(A853, 'Purchase Register'!C:D, 2, FALSE)</f>
        <v>36</v>
      </c>
      <c r="E853" s="157">
        <f>SUMIF('Sales Register'!C:C, A853, 'Sales Register'!D:D)</f>
        <v>58</v>
      </c>
      <c r="F853" s="29">
        <f t="shared" si="62"/>
        <v>-22</v>
      </c>
    </row>
    <row r="854" spans="1:6" x14ac:dyDescent="0.25">
      <c r="A854" s="19" t="s">
        <v>1254</v>
      </c>
      <c r="D854" s="157">
        <f>VLOOKUP(A854, 'Purchase Register'!C:D, 2, FALSE)</f>
        <v>40</v>
      </c>
      <c r="E854" s="157">
        <f>SUMIF('Sales Register'!C:C, A854, 'Sales Register'!D:D)</f>
        <v>25</v>
      </c>
      <c r="F854" s="29">
        <f t="shared" si="62"/>
        <v>15</v>
      </c>
    </row>
    <row r="855" spans="1:6" ht="30" x14ac:dyDescent="0.25">
      <c r="A855" s="19" t="s">
        <v>1255</v>
      </c>
      <c r="D855" s="157">
        <f>VLOOKUP(A855, 'Purchase Register'!C:D, 2, FALSE)</f>
        <v>24</v>
      </c>
      <c r="E855" s="157">
        <f>SUMIF('Sales Register'!C:C, A855, 'Sales Register'!D:D)</f>
        <v>24</v>
      </c>
      <c r="F855" s="29">
        <f t="shared" si="62"/>
        <v>0</v>
      </c>
    </row>
    <row r="856" spans="1:6" ht="30" x14ac:dyDescent="0.25">
      <c r="A856" s="19" t="s">
        <v>1256</v>
      </c>
      <c r="D856" s="157">
        <f>VLOOKUP(A856, 'Purchase Register'!C:D, 2, FALSE)</f>
        <v>24</v>
      </c>
      <c r="E856" s="157">
        <f>SUMIF('Sales Register'!C:C, A856, 'Sales Register'!D:D)</f>
        <v>15</v>
      </c>
      <c r="F856" s="29">
        <f t="shared" si="62"/>
        <v>9</v>
      </c>
    </row>
    <row r="857" spans="1:6" ht="30" x14ac:dyDescent="0.25">
      <c r="A857" s="19" t="s">
        <v>1257</v>
      </c>
      <c r="D857" s="157">
        <f>VLOOKUP(A857, 'Purchase Register'!C:D, 2, FALSE)</f>
        <v>4</v>
      </c>
      <c r="E857" s="157">
        <f>SUMIF('Sales Register'!C:C, A857, 'Sales Register'!D:D)</f>
        <v>4</v>
      </c>
      <c r="F857" s="29">
        <f t="shared" si="62"/>
        <v>0</v>
      </c>
    </row>
    <row r="858" spans="1:6" x14ac:dyDescent="0.25">
      <c r="A858" s="19" t="s">
        <v>1258</v>
      </c>
      <c r="D858" s="157">
        <f>VLOOKUP(A858, 'Purchase Register'!C:D, 2, FALSE)</f>
        <v>12</v>
      </c>
      <c r="E858" s="157">
        <f>SUMIF('Sales Register'!C:C, A858, 'Sales Register'!D:D)</f>
        <v>10</v>
      </c>
      <c r="F858" s="29">
        <f t="shared" si="62"/>
        <v>2</v>
      </c>
    </row>
    <row r="859" spans="1:6" ht="30" x14ac:dyDescent="0.25">
      <c r="A859" s="19" t="s">
        <v>1259</v>
      </c>
      <c r="D859" s="157">
        <f>VLOOKUP(A859, 'Purchase Register'!C:D, 2, FALSE)</f>
        <v>20</v>
      </c>
      <c r="E859" s="157">
        <f>SUMIF('Sales Register'!C:C, A859, 'Sales Register'!D:D)</f>
        <v>13</v>
      </c>
      <c r="F859" s="29">
        <f t="shared" si="62"/>
        <v>7</v>
      </c>
    </row>
    <row r="860" spans="1:6" x14ac:dyDescent="0.25">
      <c r="A860" s="19" t="s">
        <v>1260</v>
      </c>
      <c r="D860" s="157">
        <f>VLOOKUP(A860, 'Purchase Register'!C:D, 2, FALSE)</f>
        <v>60</v>
      </c>
      <c r="E860" s="157">
        <f>SUMIF('Sales Register'!C:C, A860, 'Sales Register'!D:D)</f>
        <v>49</v>
      </c>
      <c r="F860" s="29">
        <f t="shared" si="62"/>
        <v>11</v>
      </c>
    </row>
    <row r="861" spans="1:6" x14ac:dyDescent="0.25">
      <c r="A861" s="19" t="s">
        <v>1261</v>
      </c>
      <c r="D861" s="157">
        <f>VLOOKUP(A861, 'Purchase Register'!C:D, 2, FALSE)</f>
        <v>20</v>
      </c>
      <c r="E861" s="157">
        <f>SUMIF('Sales Register'!C:C, A861, 'Sales Register'!D:D)</f>
        <v>17</v>
      </c>
      <c r="F861" s="29">
        <f t="shared" si="62"/>
        <v>3</v>
      </c>
    </row>
    <row r="862" spans="1:6" x14ac:dyDescent="0.25">
      <c r="A862" s="19" t="s">
        <v>1262</v>
      </c>
      <c r="D862" s="157">
        <f>VLOOKUP(A862, 'Purchase Register'!C:D, 2, FALSE)</f>
        <v>36</v>
      </c>
      <c r="E862" s="157">
        <f>SUMIF('Sales Register'!C:C, A862, 'Sales Register'!D:D)</f>
        <v>8</v>
      </c>
      <c r="F862" s="29">
        <f t="shared" ref="F862:F882" si="63">C862+D862-E862</f>
        <v>28</v>
      </c>
    </row>
    <row r="863" spans="1:6" x14ac:dyDescent="0.25">
      <c r="A863" s="19" t="s">
        <v>1263</v>
      </c>
      <c r="D863" s="157">
        <f>VLOOKUP(A863, 'Purchase Register'!C:D, 2, FALSE)</f>
        <v>100</v>
      </c>
      <c r="E863" s="157">
        <f>SUMIF('Sales Register'!C:C, A863, 'Sales Register'!D:D)</f>
        <v>91</v>
      </c>
      <c r="F863" s="29">
        <f t="shared" si="63"/>
        <v>9</v>
      </c>
    </row>
    <row r="864" spans="1:6" x14ac:dyDescent="0.25">
      <c r="A864" s="19" t="s">
        <v>1268</v>
      </c>
      <c r="D864" s="157">
        <f>VLOOKUP(A864, 'Purchase Register'!C:D, 2, FALSE)</f>
        <v>20</v>
      </c>
      <c r="E864" s="157">
        <f>SUMIF('Sales Register'!C:C, A864, 'Sales Register'!D:D)</f>
        <v>8</v>
      </c>
      <c r="F864" s="29">
        <f t="shared" si="63"/>
        <v>12</v>
      </c>
    </row>
    <row r="865" spans="1:6" x14ac:dyDescent="0.25">
      <c r="A865" s="19" t="s">
        <v>1269</v>
      </c>
      <c r="D865" s="157">
        <f>VLOOKUP(A865, 'Purchase Register'!C:D, 2, FALSE)</f>
        <v>6</v>
      </c>
      <c r="E865" s="157">
        <f>SUMIF('Sales Register'!C:C, A865, 'Sales Register'!D:D)</f>
        <v>8</v>
      </c>
      <c r="F865" s="29">
        <f t="shared" si="63"/>
        <v>-2</v>
      </c>
    </row>
    <row r="866" spans="1:6" x14ac:dyDescent="0.25">
      <c r="A866" s="19" t="s">
        <v>1271</v>
      </c>
      <c r="D866" s="157">
        <f>VLOOKUP(A866, 'Purchase Register'!C:D, 2, FALSE)</f>
        <v>26</v>
      </c>
      <c r="E866" s="157">
        <f>SUMIF('Sales Register'!C:C, A866, 'Sales Register'!D:D)</f>
        <v>26</v>
      </c>
      <c r="F866" s="29">
        <f t="shared" si="63"/>
        <v>0</v>
      </c>
    </row>
    <row r="867" spans="1:6" ht="30" x14ac:dyDescent="0.25">
      <c r="A867" s="19" t="s">
        <v>1272</v>
      </c>
      <c r="D867" s="157">
        <f>VLOOKUP(A867, 'Purchase Register'!C:D, 2, FALSE)</f>
        <v>48</v>
      </c>
      <c r="E867" s="157">
        <f>SUMIF('Sales Register'!C:C, A867, 'Sales Register'!D:D)</f>
        <v>16</v>
      </c>
      <c r="F867" s="29">
        <f t="shared" si="63"/>
        <v>32</v>
      </c>
    </row>
    <row r="868" spans="1:6" ht="30" x14ac:dyDescent="0.25">
      <c r="A868" s="19" t="s">
        <v>1273</v>
      </c>
      <c r="D868" s="157">
        <f>VLOOKUP(A868, 'Purchase Register'!C:D, 2, FALSE)</f>
        <v>36</v>
      </c>
      <c r="E868" s="157">
        <f>SUMIF('Sales Register'!C:C, A868, 'Sales Register'!D:D)</f>
        <v>21</v>
      </c>
      <c r="F868" s="29">
        <f t="shared" si="63"/>
        <v>15</v>
      </c>
    </row>
    <row r="869" spans="1:6" x14ac:dyDescent="0.25">
      <c r="A869" s="19" t="s">
        <v>1279</v>
      </c>
      <c r="D869" s="157">
        <f>VLOOKUP(A869, 'Purchase Register'!C:D, 2, FALSE)</f>
        <v>30</v>
      </c>
      <c r="E869" s="157">
        <f>SUMIF('Sales Register'!C:C, A869, 'Sales Register'!D:D)</f>
        <v>24</v>
      </c>
      <c r="F869" s="29">
        <f t="shared" si="63"/>
        <v>6</v>
      </c>
    </row>
    <row r="870" spans="1:6" ht="30" x14ac:dyDescent="0.25">
      <c r="A870" s="19" t="s">
        <v>1280</v>
      </c>
      <c r="D870" s="157">
        <f>VLOOKUP(A870, 'Purchase Register'!C:D, 2, FALSE)</f>
        <v>30</v>
      </c>
      <c r="E870" s="157">
        <f>SUMIF('Sales Register'!C:C, A870, 'Sales Register'!D:D)</f>
        <v>45</v>
      </c>
      <c r="F870" s="29">
        <f t="shared" si="63"/>
        <v>-15</v>
      </c>
    </row>
    <row r="871" spans="1:6" ht="30" x14ac:dyDescent="0.25">
      <c r="A871" s="19" t="s">
        <v>1281</v>
      </c>
      <c r="D871" s="157">
        <f>VLOOKUP(A871, 'Purchase Register'!C:D, 2, FALSE)</f>
        <v>3</v>
      </c>
      <c r="E871" s="157">
        <f>SUMIF('Sales Register'!C:C, A871, 'Sales Register'!D:D)</f>
        <v>3</v>
      </c>
      <c r="F871" s="29">
        <f t="shared" si="63"/>
        <v>0</v>
      </c>
    </row>
    <row r="872" spans="1:6" x14ac:dyDescent="0.25">
      <c r="A872" s="19" t="s">
        <v>1282</v>
      </c>
      <c r="D872" s="157">
        <f>VLOOKUP(A872, 'Purchase Register'!C:D, 2, FALSE)</f>
        <v>24</v>
      </c>
      <c r="E872" s="157">
        <f>SUMIF('Sales Register'!C:C, A872, 'Sales Register'!D:D)</f>
        <v>6</v>
      </c>
      <c r="F872" s="29">
        <f t="shared" si="63"/>
        <v>18</v>
      </c>
    </row>
    <row r="873" spans="1:6" x14ac:dyDescent="0.25">
      <c r="A873" s="19" t="s">
        <v>1283</v>
      </c>
      <c r="D873" s="157">
        <f>VLOOKUP(A873, 'Purchase Register'!C:D, 2, FALSE)</f>
        <v>6</v>
      </c>
      <c r="E873" s="157">
        <f>SUMIF('Sales Register'!C:C, A873, 'Sales Register'!D:D)</f>
        <v>4</v>
      </c>
      <c r="F873" s="29">
        <f t="shared" si="63"/>
        <v>2</v>
      </c>
    </row>
    <row r="874" spans="1:6" ht="30" x14ac:dyDescent="0.25">
      <c r="A874" s="19" t="s">
        <v>1284</v>
      </c>
      <c r="D874" s="157">
        <f>VLOOKUP(A874, 'Purchase Register'!C:D, 2, FALSE)</f>
        <v>3</v>
      </c>
      <c r="E874" s="157">
        <f>SUMIF('Sales Register'!C:C, A874, 'Sales Register'!D:D)</f>
        <v>3</v>
      </c>
      <c r="F874" s="29">
        <f t="shared" si="63"/>
        <v>0</v>
      </c>
    </row>
    <row r="875" spans="1:6" x14ac:dyDescent="0.25">
      <c r="A875" s="19" t="s">
        <v>1285</v>
      </c>
      <c r="D875" s="157">
        <f>VLOOKUP(A875, 'Purchase Register'!C:D, 2, FALSE)</f>
        <v>3</v>
      </c>
      <c r="E875" s="157">
        <f>SUMIF('Sales Register'!C:C, A875, 'Sales Register'!D:D)</f>
        <v>5</v>
      </c>
      <c r="F875" s="29">
        <f t="shared" si="63"/>
        <v>-2</v>
      </c>
    </row>
    <row r="876" spans="1:6" ht="30" x14ac:dyDescent="0.25">
      <c r="A876" s="19" t="s">
        <v>1286</v>
      </c>
      <c r="D876" s="157">
        <f>VLOOKUP(A876, 'Purchase Register'!C:D, 2, FALSE)</f>
        <v>20</v>
      </c>
      <c r="E876" s="157">
        <f>SUMIF('Sales Register'!C:C, A876, 'Sales Register'!D:D)</f>
        <v>16</v>
      </c>
      <c r="F876" s="29">
        <f t="shared" si="63"/>
        <v>4</v>
      </c>
    </row>
    <row r="877" spans="1:6" x14ac:dyDescent="0.25">
      <c r="A877" s="19" t="s">
        <v>1287</v>
      </c>
      <c r="D877" s="157">
        <f>VLOOKUP(A877, 'Purchase Register'!C:D, 2, FALSE)</f>
        <v>40</v>
      </c>
      <c r="E877" s="157">
        <f>SUMIF('Sales Register'!C:C, A877, 'Sales Register'!D:D)</f>
        <v>4</v>
      </c>
      <c r="F877" s="29">
        <f t="shared" si="63"/>
        <v>36</v>
      </c>
    </row>
    <row r="878" spans="1:6" x14ac:dyDescent="0.25">
      <c r="A878" s="19" t="s">
        <v>1288</v>
      </c>
      <c r="D878" s="157">
        <f>VLOOKUP(A878, 'Purchase Register'!C:D, 2, FALSE)</f>
        <v>40</v>
      </c>
      <c r="E878" s="157">
        <f>SUMIF('Sales Register'!C:C, A878, 'Sales Register'!D:D)</f>
        <v>32</v>
      </c>
      <c r="F878" s="29">
        <f t="shared" si="63"/>
        <v>8</v>
      </c>
    </row>
    <row r="879" spans="1:6" ht="30" x14ac:dyDescent="0.25">
      <c r="A879" s="19" t="s">
        <v>1289</v>
      </c>
      <c r="D879" s="157">
        <f>VLOOKUP(A879, 'Purchase Register'!C:D, 2, FALSE)</f>
        <v>40</v>
      </c>
      <c r="E879" s="157">
        <f>SUMIF('Sales Register'!C:C, A879, 'Sales Register'!D:D)</f>
        <v>14</v>
      </c>
      <c r="F879" s="29">
        <f t="shared" si="63"/>
        <v>26</v>
      </c>
    </row>
    <row r="880" spans="1:6" ht="30" x14ac:dyDescent="0.25">
      <c r="A880" s="19" t="s">
        <v>1290</v>
      </c>
      <c r="D880" s="157">
        <f>VLOOKUP(A880, 'Purchase Register'!C:D, 2, FALSE)</f>
        <v>320</v>
      </c>
      <c r="E880" s="157">
        <f>SUMIF('Sales Register'!C:C, A880, 'Sales Register'!D:D)</f>
        <v>15</v>
      </c>
      <c r="F880" s="29">
        <f t="shared" si="63"/>
        <v>305</v>
      </c>
    </row>
    <row r="881" spans="1:6" x14ac:dyDescent="0.25">
      <c r="A881" s="19" t="s">
        <v>1291</v>
      </c>
      <c r="D881" s="157">
        <f>VLOOKUP(A881, 'Purchase Register'!C:D, 2, FALSE)</f>
        <v>26</v>
      </c>
      <c r="E881" s="157">
        <f>SUMIF('Sales Register'!C:C, A881, 'Sales Register'!D:D)</f>
        <v>127.5</v>
      </c>
      <c r="F881" s="29">
        <f t="shared" si="63"/>
        <v>-101.5</v>
      </c>
    </row>
    <row r="882" spans="1:6" x14ac:dyDescent="0.25">
      <c r="A882" s="19" t="s">
        <v>1293</v>
      </c>
      <c r="D882" s="157">
        <f>VLOOKUP(A882, 'Purchase Register'!C:D, 2, FALSE)</f>
        <v>60</v>
      </c>
      <c r="E882" s="157">
        <f>SUMIF('Sales Register'!C:C, A882, 'Sales Register'!D:D)</f>
        <v>58</v>
      </c>
      <c r="F882" s="29">
        <f t="shared" si="63"/>
        <v>2</v>
      </c>
    </row>
    <row r="883" spans="1:6" x14ac:dyDescent="0.25">
      <c r="A883" s="19" t="s">
        <v>1299</v>
      </c>
      <c r="D883" s="157">
        <f>VLOOKUP(A883, 'Purchase Register'!C:D, 2, FALSE)</f>
        <v>210</v>
      </c>
      <c r="E883" s="157">
        <f>SUMIF('Sales Register'!C:C, A883, 'Sales Register'!D:D)</f>
        <v>244</v>
      </c>
      <c r="F883" s="29">
        <f t="shared" ref="F883:F887" si="64">C883+D883-E883</f>
        <v>-34</v>
      </c>
    </row>
    <row r="884" spans="1:6" x14ac:dyDescent="0.25">
      <c r="A884" s="19" t="s">
        <v>1304</v>
      </c>
      <c r="D884" s="157">
        <f>VLOOKUP(A884, 'Purchase Register'!C:D, 2, FALSE)</f>
        <v>1</v>
      </c>
      <c r="E884" s="157">
        <f>SUMIF('Sales Register'!C:C, A884, 'Sales Register'!D:D)</f>
        <v>5</v>
      </c>
      <c r="F884" s="29">
        <f t="shared" si="64"/>
        <v>-4</v>
      </c>
    </row>
    <row r="885" spans="1:6" x14ac:dyDescent="0.25">
      <c r="A885" s="19" t="s">
        <v>1305</v>
      </c>
      <c r="D885" s="157">
        <f>VLOOKUP(A885, 'Purchase Register'!C:D, 2, FALSE)</f>
        <v>11</v>
      </c>
      <c r="E885" s="157">
        <f>SUMIF('Sales Register'!C:C, A885, 'Sales Register'!D:D)</f>
        <v>0</v>
      </c>
      <c r="F885" s="29">
        <f t="shared" si="64"/>
        <v>11</v>
      </c>
    </row>
    <row r="886" spans="1:6" x14ac:dyDescent="0.25">
      <c r="A886" s="19" t="s">
        <v>1326</v>
      </c>
      <c r="D886" s="157">
        <f>VLOOKUP(A886, 'Purchase Register'!C:D, 2, FALSE)</f>
        <v>210</v>
      </c>
      <c r="E886" s="157">
        <f>SUMIF('Sales Register'!C:C, A886, 'Sales Register'!D:D)</f>
        <v>365.8</v>
      </c>
      <c r="F886" s="29">
        <f t="shared" si="64"/>
        <v>-155.80000000000001</v>
      </c>
    </row>
    <row r="887" spans="1:6" x14ac:dyDescent="0.25">
      <c r="A887" s="19" t="s">
        <v>1327</v>
      </c>
      <c r="D887" s="157">
        <f>VLOOKUP(A887, 'Purchase Register'!C:D, 2, FALSE)</f>
        <v>10</v>
      </c>
      <c r="E887" s="157">
        <f>SUMIF('Sales Register'!C:C, A887, 'Sales Register'!D:D)</f>
        <v>8.7109999999999985</v>
      </c>
      <c r="F887" s="29">
        <f t="shared" si="64"/>
        <v>1.2890000000000015</v>
      </c>
    </row>
    <row r="888" spans="1:6" x14ac:dyDescent="0.25">
      <c r="A888" s="19" t="s">
        <v>1328</v>
      </c>
      <c r="D888" s="157">
        <f>VLOOKUP(A888, 'Purchase Register'!C:D, 2, FALSE)</f>
        <v>4</v>
      </c>
      <c r="E888" s="157">
        <f>SUMIF('Sales Register'!C:C, A888, 'Sales Register'!D:D)</f>
        <v>4</v>
      </c>
      <c r="F888" s="29">
        <f t="shared" ref="F888:F906" si="65">C888+D888-E888</f>
        <v>0</v>
      </c>
    </row>
    <row r="889" spans="1:6" x14ac:dyDescent="0.25">
      <c r="A889" s="19" t="s">
        <v>1329</v>
      </c>
      <c r="D889" s="157">
        <f>VLOOKUP(A889, 'Purchase Register'!C:D, 2, FALSE)</f>
        <v>5</v>
      </c>
      <c r="E889" s="157">
        <f>SUMIF('Sales Register'!C:C, A889, 'Sales Register'!D:D)</f>
        <v>6</v>
      </c>
      <c r="F889" s="29">
        <f t="shared" si="65"/>
        <v>-1</v>
      </c>
    </row>
    <row r="890" spans="1:6" x14ac:dyDescent="0.25">
      <c r="A890" s="19" t="s">
        <v>1330</v>
      </c>
      <c r="D890" s="157">
        <f>VLOOKUP(A890, 'Purchase Register'!C:D, 2, FALSE)</f>
        <v>5</v>
      </c>
      <c r="E890" s="157">
        <f>SUMIF('Sales Register'!C:C, A890, 'Sales Register'!D:D)</f>
        <v>4</v>
      </c>
      <c r="F890" s="29">
        <f t="shared" si="65"/>
        <v>1</v>
      </c>
    </row>
    <row r="891" spans="1:6" x14ac:dyDescent="0.25">
      <c r="A891" s="19" t="s">
        <v>1331</v>
      </c>
      <c r="D891" s="157">
        <f>VLOOKUP(A891, 'Purchase Register'!C:D, 2, FALSE)</f>
        <v>26</v>
      </c>
      <c r="E891" s="157">
        <f>SUMIF('Sales Register'!C:C, A891, 'Sales Register'!D:D)</f>
        <v>26</v>
      </c>
      <c r="F891" s="29">
        <f t="shared" si="65"/>
        <v>0</v>
      </c>
    </row>
    <row r="892" spans="1:6" ht="30" x14ac:dyDescent="0.25">
      <c r="A892" s="19" t="s">
        <v>1338</v>
      </c>
      <c r="D892" s="157">
        <f>VLOOKUP(A892, 'Purchase Register'!C:D, 2, FALSE)</f>
        <v>12</v>
      </c>
      <c r="E892" s="157">
        <f>SUMIF('Sales Register'!C:C, A892, 'Sales Register'!D:D)</f>
        <v>6</v>
      </c>
      <c r="F892" s="29">
        <f t="shared" si="65"/>
        <v>6</v>
      </c>
    </row>
    <row r="893" spans="1:6" x14ac:dyDescent="0.25">
      <c r="A893" s="19" t="s">
        <v>1339</v>
      </c>
      <c r="D893" s="157">
        <f>VLOOKUP(A893, 'Purchase Register'!C:D, 2, FALSE)</f>
        <v>6</v>
      </c>
      <c r="E893" s="157">
        <f>SUMIF('Sales Register'!C:C, A893, 'Sales Register'!D:D)</f>
        <v>6</v>
      </c>
      <c r="F893" s="29">
        <f t="shared" si="65"/>
        <v>0</v>
      </c>
    </row>
    <row r="894" spans="1:6" x14ac:dyDescent="0.25">
      <c r="A894" s="19" t="s">
        <v>1340</v>
      </c>
      <c r="D894" s="157">
        <f>VLOOKUP(A894, 'Purchase Register'!C:D, 2, FALSE)</f>
        <v>12</v>
      </c>
      <c r="E894" s="157">
        <f>SUMIF('Sales Register'!C:C, A894, 'Sales Register'!D:D)</f>
        <v>4</v>
      </c>
      <c r="F894" s="29">
        <f t="shared" si="65"/>
        <v>8</v>
      </c>
    </row>
    <row r="895" spans="1:6" x14ac:dyDescent="0.25">
      <c r="A895" s="19" t="s">
        <v>1342</v>
      </c>
      <c r="D895" s="157">
        <f>VLOOKUP(A895, 'Purchase Register'!C:D, 2, FALSE)</f>
        <v>12</v>
      </c>
      <c r="E895" s="157">
        <f>SUMIF('Sales Register'!C:C, A895, 'Sales Register'!D:D)</f>
        <v>2</v>
      </c>
      <c r="F895" s="29">
        <f t="shared" si="65"/>
        <v>10</v>
      </c>
    </row>
    <row r="896" spans="1:6" ht="30" x14ac:dyDescent="0.25">
      <c r="A896" s="19" t="s">
        <v>1343</v>
      </c>
      <c r="D896" s="157">
        <f>VLOOKUP(A896, 'Purchase Register'!C:D, 2, FALSE)</f>
        <v>10</v>
      </c>
      <c r="E896" s="157">
        <f>SUMIF('Sales Register'!C:C, A896, 'Sales Register'!D:D)</f>
        <v>6</v>
      </c>
      <c r="F896" s="29">
        <f t="shared" si="65"/>
        <v>4</v>
      </c>
    </row>
    <row r="897" spans="1:6" ht="30" x14ac:dyDescent="0.25">
      <c r="A897" s="19" t="s">
        <v>1344</v>
      </c>
      <c r="D897" s="157">
        <f>VLOOKUP(A897, 'Purchase Register'!C:D, 2, FALSE)</f>
        <v>10</v>
      </c>
      <c r="E897" s="157">
        <f>SUMIF('Sales Register'!C:C, A897, 'Sales Register'!D:D)</f>
        <v>8</v>
      </c>
      <c r="F897" s="29">
        <f t="shared" si="65"/>
        <v>2</v>
      </c>
    </row>
    <row r="898" spans="1:6" ht="30" x14ac:dyDescent="0.25">
      <c r="A898" s="19" t="s">
        <v>1345</v>
      </c>
      <c r="D898" s="157">
        <f>VLOOKUP(A898, 'Purchase Register'!C:D, 2, FALSE)</f>
        <v>3</v>
      </c>
      <c r="E898" s="157">
        <f>SUMIF('Sales Register'!C:C, A898, 'Sales Register'!D:D)</f>
        <v>3</v>
      </c>
      <c r="F898" s="29">
        <f t="shared" si="65"/>
        <v>0</v>
      </c>
    </row>
    <row r="899" spans="1:6" ht="30" x14ac:dyDescent="0.25">
      <c r="A899" s="19" t="s">
        <v>1346</v>
      </c>
      <c r="D899" s="157">
        <f>VLOOKUP(A899, 'Purchase Register'!C:D, 2, FALSE)</f>
        <v>6</v>
      </c>
      <c r="E899" s="157">
        <f>SUMIF('Sales Register'!C:C, A899, 'Sales Register'!D:D)</f>
        <v>4</v>
      </c>
      <c r="F899" s="29">
        <f t="shared" si="65"/>
        <v>2</v>
      </c>
    </row>
    <row r="900" spans="1:6" x14ac:dyDescent="0.25">
      <c r="A900" s="19" t="s">
        <v>1347</v>
      </c>
      <c r="D900" s="157">
        <f>VLOOKUP(A900, 'Purchase Register'!C:D, 2, FALSE)</f>
        <v>6</v>
      </c>
      <c r="E900" s="157">
        <f>SUMIF('Sales Register'!C:C, A900, 'Sales Register'!D:D)</f>
        <v>1</v>
      </c>
      <c r="F900" s="29">
        <f t="shared" si="65"/>
        <v>5</v>
      </c>
    </row>
    <row r="901" spans="1:6" ht="30" x14ac:dyDescent="0.25">
      <c r="A901" s="19" t="s">
        <v>1348</v>
      </c>
      <c r="D901" s="157">
        <f>VLOOKUP(A901, 'Purchase Register'!C:D, 2, FALSE)</f>
        <v>2</v>
      </c>
      <c r="E901" s="157">
        <f>SUMIF('Sales Register'!C:C, A901, 'Sales Register'!D:D)</f>
        <v>2</v>
      </c>
      <c r="F901" s="29">
        <f t="shared" si="65"/>
        <v>0</v>
      </c>
    </row>
    <row r="902" spans="1:6" ht="30" x14ac:dyDescent="0.25">
      <c r="A902" s="19" t="s">
        <v>1349</v>
      </c>
      <c r="D902" s="157">
        <f>VLOOKUP(A902, 'Purchase Register'!C:D, 2, FALSE)</f>
        <v>10</v>
      </c>
      <c r="E902" s="157">
        <f>SUMIF('Sales Register'!C:C, A902, 'Sales Register'!D:D)</f>
        <v>0</v>
      </c>
      <c r="F902" s="29">
        <f t="shared" si="65"/>
        <v>10</v>
      </c>
    </row>
    <row r="903" spans="1:6" x14ac:dyDescent="0.25">
      <c r="A903" s="19" t="s">
        <v>1376</v>
      </c>
      <c r="D903" s="157">
        <f>VLOOKUP(A903, 'Purchase Register'!C:D, 2, FALSE)</f>
        <v>5</v>
      </c>
      <c r="E903" s="157">
        <f>SUMIF('Sales Register'!C:C, A903, 'Sales Register'!D:D)</f>
        <v>5.2750000000000004</v>
      </c>
      <c r="F903" s="29">
        <f t="shared" si="65"/>
        <v>-0.27500000000000036</v>
      </c>
    </row>
    <row r="904" spans="1:6" ht="30" x14ac:dyDescent="0.25">
      <c r="A904" s="19" t="s">
        <v>1377</v>
      </c>
      <c r="D904" s="157">
        <f>VLOOKUP(A904, 'Purchase Register'!C:D, 2, FALSE)</f>
        <v>54</v>
      </c>
      <c r="E904" s="157">
        <f>SUMIF('Sales Register'!C:C, A904, 'Sales Register'!D:D)</f>
        <v>35</v>
      </c>
      <c r="F904" s="29">
        <f t="shared" si="65"/>
        <v>19</v>
      </c>
    </row>
    <row r="905" spans="1:6" x14ac:dyDescent="0.25">
      <c r="A905" s="19" t="s">
        <v>1374</v>
      </c>
      <c r="D905" s="157">
        <f>VLOOKUP(A905, 'Purchase Register'!C:D, 2, FALSE)</f>
        <v>30</v>
      </c>
      <c r="E905" s="157">
        <f>SUMIF('Sales Register'!C:C, A905, 'Sales Register'!D:D)</f>
        <v>30</v>
      </c>
      <c r="F905" s="29">
        <f t="shared" si="65"/>
        <v>0</v>
      </c>
    </row>
    <row r="906" spans="1:6" x14ac:dyDescent="0.25">
      <c r="A906" s="19" t="s">
        <v>1378</v>
      </c>
      <c r="D906" s="157">
        <f>VLOOKUP(A906, 'Purchase Register'!C:D, 2, FALSE)</f>
        <v>30</v>
      </c>
      <c r="E906" s="157">
        <f>SUMIF('Sales Register'!C:C, A906, 'Sales Register'!D:D)</f>
        <v>19</v>
      </c>
      <c r="F906" s="29">
        <f t="shared" si="65"/>
        <v>11</v>
      </c>
    </row>
    <row r="907" spans="1:6" ht="30" x14ac:dyDescent="0.25">
      <c r="A907" s="19" t="s">
        <v>1379</v>
      </c>
      <c r="D907" s="157">
        <f>VLOOKUP(A907, 'Purchase Register'!C:D, 2, FALSE)</f>
        <v>24</v>
      </c>
      <c r="E907" s="157">
        <f>SUMIF('Sales Register'!C:C, A907, 'Sales Register'!D:D)</f>
        <v>68</v>
      </c>
      <c r="F907" s="29">
        <f t="shared" ref="F907:F970" si="66">C907+D907-E907</f>
        <v>-44</v>
      </c>
    </row>
    <row r="908" spans="1:6" x14ac:dyDescent="0.25">
      <c r="A908" s="19" t="s">
        <v>1380</v>
      </c>
      <c r="D908" s="157">
        <f>VLOOKUP(A908, 'Purchase Register'!C:D, 2, FALSE)</f>
        <v>108</v>
      </c>
      <c r="E908" s="157">
        <f>SUMIF('Sales Register'!C:C, A908, 'Sales Register'!D:D)</f>
        <v>75</v>
      </c>
      <c r="F908" s="29">
        <f t="shared" si="66"/>
        <v>33</v>
      </c>
    </row>
    <row r="909" spans="1:6" x14ac:dyDescent="0.25">
      <c r="A909" s="204" t="s">
        <v>1396</v>
      </c>
      <c r="D909" s="157">
        <f>VLOOKUP(A909, 'Purchase Register'!C:D, 2, FALSE)</f>
        <v>108</v>
      </c>
      <c r="E909" s="157">
        <f>SUMIF('Sales Register'!C:C, A909, 'Sales Register'!D:D)</f>
        <v>108</v>
      </c>
      <c r="F909" s="29">
        <f t="shared" si="66"/>
        <v>0</v>
      </c>
    </row>
    <row r="910" spans="1:6" x14ac:dyDescent="0.25">
      <c r="A910" s="19" t="s">
        <v>1381</v>
      </c>
      <c r="D910" s="157">
        <f>VLOOKUP(A910, 'Purchase Register'!C:D, 2, FALSE)</f>
        <v>18</v>
      </c>
      <c r="E910" s="157">
        <f>SUMIF('Sales Register'!C:C, A910, 'Sales Register'!D:D)</f>
        <v>24</v>
      </c>
      <c r="F910" s="29">
        <f t="shared" si="66"/>
        <v>-6</v>
      </c>
    </row>
    <row r="911" spans="1:6" x14ac:dyDescent="0.25">
      <c r="A911" s="19" t="s">
        <v>1382</v>
      </c>
      <c r="D911" s="157">
        <f>VLOOKUP(A911, 'Purchase Register'!C:D, 2, FALSE)</f>
        <v>24</v>
      </c>
      <c r="E911" s="157">
        <f>SUMIF('Sales Register'!C:C, A911, 'Sales Register'!D:D)</f>
        <v>3</v>
      </c>
      <c r="F911" s="29">
        <f t="shared" si="66"/>
        <v>21</v>
      </c>
    </row>
    <row r="912" spans="1:6" x14ac:dyDescent="0.25">
      <c r="A912" s="19" t="s">
        <v>1383</v>
      </c>
      <c r="D912" s="157">
        <f>VLOOKUP(A912, 'Purchase Register'!C:D, 2, FALSE)</f>
        <v>50</v>
      </c>
      <c r="E912" s="157">
        <f>SUMIF('Sales Register'!C:C, A912, 'Sales Register'!D:D)</f>
        <v>39</v>
      </c>
      <c r="F912" s="29">
        <f t="shared" si="66"/>
        <v>11</v>
      </c>
    </row>
    <row r="913" spans="1:6" x14ac:dyDescent="0.25">
      <c r="A913" s="19" t="s">
        <v>1384</v>
      </c>
      <c r="D913" s="157">
        <f>VLOOKUP(A913, 'Purchase Register'!C:D, 2, FALSE)</f>
        <v>12</v>
      </c>
      <c r="E913" s="157">
        <f>SUMIF('Sales Register'!C:C, A913, 'Sales Register'!D:D)</f>
        <v>11</v>
      </c>
      <c r="F913" s="29">
        <f t="shared" si="66"/>
        <v>1</v>
      </c>
    </row>
    <row r="914" spans="1:6" x14ac:dyDescent="0.25">
      <c r="A914" s="19" t="s">
        <v>1385</v>
      </c>
      <c r="D914" s="157">
        <f>VLOOKUP(A914, 'Purchase Register'!C:D, 2, FALSE)</f>
        <v>13</v>
      </c>
      <c r="E914" s="157">
        <f>SUMIF('Sales Register'!C:C, A914, 'Sales Register'!D:D)</f>
        <v>0</v>
      </c>
      <c r="F914" s="29">
        <f t="shared" si="66"/>
        <v>13</v>
      </c>
    </row>
    <row r="915" spans="1:6" x14ac:dyDescent="0.25">
      <c r="A915" s="19" t="s">
        <v>1386</v>
      </c>
      <c r="D915" s="157">
        <f>VLOOKUP(A915, 'Purchase Register'!C:D, 2, FALSE)</f>
        <v>6</v>
      </c>
      <c r="E915" s="157">
        <f>SUMIF('Sales Register'!C:C, A915, 'Sales Register'!D:D)</f>
        <v>4</v>
      </c>
      <c r="F915" s="29">
        <f t="shared" si="66"/>
        <v>2</v>
      </c>
    </row>
    <row r="916" spans="1:6" x14ac:dyDescent="0.25">
      <c r="A916" s="19" t="s">
        <v>1387</v>
      </c>
      <c r="D916" s="157">
        <f>VLOOKUP(A916, 'Purchase Register'!C:D, 2, FALSE)</f>
        <v>26</v>
      </c>
      <c r="E916" s="157">
        <f>SUMIF('Sales Register'!C:C, A916, 'Sales Register'!D:D)</f>
        <v>20</v>
      </c>
      <c r="F916" s="29">
        <f t="shared" si="66"/>
        <v>6</v>
      </c>
    </row>
    <row r="917" spans="1:6" ht="30" x14ac:dyDescent="0.25">
      <c r="A917" s="19" t="s">
        <v>1388</v>
      </c>
      <c r="D917" s="157">
        <f>VLOOKUP(A917, 'Purchase Register'!C:D, 2, FALSE)</f>
        <v>6</v>
      </c>
      <c r="E917" s="157">
        <f>SUMIF('Sales Register'!C:C, A917, 'Sales Register'!D:D)</f>
        <v>4</v>
      </c>
      <c r="F917" s="29">
        <f t="shared" si="66"/>
        <v>2</v>
      </c>
    </row>
    <row r="918" spans="1:6" ht="30" x14ac:dyDescent="0.25">
      <c r="A918" s="19" t="s">
        <v>1389</v>
      </c>
      <c r="D918" s="157">
        <f>VLOOKUP(A918, 'Purchase Register'!C:D, 2, FALSE)</f>
        <v>6</v>
      </c>
      <c r="E918" s="157">
        <f>SUMIF('Sales Register'!C:C, A918, 'Sales Register'!D:D)</f>
        <v>6</v>
      </c>
      <c r="F918" s="29">
        <f t="shared" si="66"/>
        <v>0</v>
      </c>
    </row>
    <row r="919" spans="1:6" ht="30" x14ac:dyDescent="0.25">
      <c r="A919" s="19" t="s">
        <v>1391</v>
      </c>
      <c r="D919" s="157">
        <f>VLOOKUP(A919, 'Purchase Register'!C:D, 2, FALSE)</f>
        <v>3</v>
      </c>
      <c r="E919" s="157">
        <f>SUMIF('Sales Register'!C:C, A919, 'Sales Register'!D:D)</f>
        <v>4</v>
      </c>
      <c r="F919" s="29">
        <f t="shared" si="66"/>
        <v>-1</v>
      </c>
    </row>
    <row r="920" spans="1:6" ht="30" x14ac:dyDescent="0.25">
      <c r="A920" s="19" t="s">
        <v>1390</v>
      </c>
      <c r="D920" s="157">
        <f>VLOOKUP(A920, 'Purchase Register'!C:D, 2, FALSE)</f>
        <v>3</v>
      </c>
      <c r="E920" s="157">
        <f>SUMIF('Sales Register'!C:C, A920, 'Sales Register'!D:D)</f>
        <v>3</v>
      </c>
      <c r="F920" s="29">
        <f t="shared" si="66"/>
        <v>0</v>
      </c>
    </row>
    <row r="921" spans="1:6" x14ac:dyDescent="0.25">
      <c r="A921" s="19" t="s">
        <v>1392</v>
      </c>
      <c r="D921" s="157">
        <f>VLOOKUP(A921, 'Purchase Register'!C:D, 2, FALSE)</f>
        <v>6</v>
      </c>
      <c r="E921" s="157">
        <f>SUMIF('Sales Register'!C:C, A921, 'Sales Register'!D:D)</f>
        <v>9</v>
      </c>
      <c r="F921" s="29">
        <f t="shared" si="66"/>
        <v>-3</v>
      </c>
    </row>
    <row r="922" spans="1:6" x14ac:dyDescent="0.25">
      <c r="A922" s="19" t="s">
        <v>1393</v>
      </c>
      <c r="D922" s="157">
        <f>VLOOKUP(A922, 'Purchase Register'!C:D, 2, FALSE)</f>
        <v>6</v>
      </c>
      <c r="E922" s="157">
        <f>SUMIF('Sales Register'!C:C, A922, 'Sales Register'!D:D)</f>
        <v>2</v>
      </c>
      <c r="F922" s="29">
        <f t="shared" si="66"/>
        <v>4</v>
      </c>
    </row>
    <row r="923" spans="1:6" ht="30" x14ac:dyDescent="0.25">
      <c r="A923" s="19" t="s">
        <v>1394</v>
      </c>
      <c r="D923" s="157">
        <f>VLOOKUP(A923, 'Purchase Register'!C:D, 2, FALSE)</f>
        <v>20</v>
      </c>
      <c r="E923" s="157">
        <f>SUMIF('Sales Register'!C:C, A923, 'Sales Register'!D:D)</f>
        <v>24</v>
      </c>
      <c r="F923" s="29">
        <f t="shared" si="66"/>
        <v>-4</v>
      </c>
    </row>
    <row r="924" spans="1:6" ht="30" x14ac:dyDescent="0.25">
      <c r="A924" s="19" t="s">
        <v>1395</v>
      </c>
      <c r="D924" s="157">
        <f>VLOOKUP(A924, 'Purchase Register'!C:D, 2, FALSE)</f>
        <v>6</v>
      </c>
      <c r="E924" s="157">
        <f>SUMIF('Sales Register'!C:C, A924, 'Sales Register'!D:D)</f>
        <v>9</v>
      </c>
      <c r="F924" s="29">
        <f t="shared" si="66"/>
        <v>-3</v>
      </c>
    </row>
    <row r="925" spans="1:6" ht="30" x14ac:dyDescent="0.25">
      <c r="A925" s="19" t="s">
        <v>1401</v>
      </c>
      <c r="D925" s="157">
        <f>VLOOKUP(A925, 'Purchase Register'!C:D, 2, FALSE)</f>
        <v>4</v>
      </c>
      <c r="E925" s="157">
        <f>SUMIF('Sales Register'!C:C, A925, 'Sales Register'!D:D)</f>
        <v>2</v>
      </c>
      <c r="F925" s="29">
        <f t="shared" si="66"/>
        <v>2</v>
      </c>
    </row>
    <row r="926" spans="1:6" ht="30" x14ac:dyDescent="0.25">
      <c r="A926" s="19" t="s">
        <v>1400</v>
      </c>
      <c r="D926" s="157">
        <f>VLOOKUP(A926, 'Purchase Register'!C:D, 2, FALSE)</f>
        <v>2</v>
      </c>
      <c r="E926" s="157">
        <f>SUMIF('Sales Register'!C:C, A926, 'Sales Register'!D:D)</f>
        <v>1</v>
      </c>
      <c r="F926" s="29">
        <f t="shared" si="66"/>
        <v>1</v>
      </c>
    </row>
    <row r="927" spans="1:6" x14ac:dyDescent="0.25">
      <c r="A927" s="19" t="s">
        <v>1399</v>
      </c>
      <c r="D927" s="157">
        <f>VLOOKUP(A927, 'Purchase Register'!C:D, 2, FALSE)</f>
        <v>2</v>
      </c>
      <c r="E927" s="157">
        <f>SUMIF('Sales Register'!C:C, A927, 'Sales Register'!D:D)</f>
        <v>2</v>
      </c>
      <c r="F927" s="29">
        <f t="shared" si="66"/>
        <v>0</v>
      </c>
    </row>
    <row r="928" spans="1:6" ht="30" x14ac:dyDescent="0.25">
      <c r="A928" s="19" t="s">
        <v>1398</v>
      </c>
      <c r="D928" s="157">
        <f>VLOOKUP(A928, 'Purchase Register'!C:D, 2, FALSE)</f>
        <v>2</v>
      </c>
      <c r="E928" s="157">
        <f>SUMIF('Sales Register'!C:C, A928, 'Sales Register'!D:D)</f>
        <v>2</v>
      </c>
      <c r="F928" s="29">
        <f t="shared" si="66"/>
        <v>0</v>
      </c>
    </row>
    <row r="929" spans="1:6" ht="45" x14ac:dyDescent="0.25">
      <c r="A929" s="19" t="s">
        <v>1402</v>
      </c>
      <c r="D929" s="157">
        <f>VLOOKUP(A929, 'Purchase Register'!C:D, 2, FALSE)</f>
        <v>2</v>
      </c>
      <c r="E929" s="157">
        <f>SUMIF('Sales Register'!C:C, A929, 'Sales Register'!D:D)</f>
        <v>1</v>
      </c>
      <c r="F929" s="29">
        <f t="shared" si="66"/>
        <v>1</v>
      </c>
    </row>
    <row r="930" spans="1:6" ht="45" x14ac:dyDescent="0.25">
      <c r="A930" s="19" t="s">
        <v>1403</v>
      </c>
      <c r="D930" s="157">
        <f>VLOOKUP(A930, 'Purchase Register'!C:D, 2, FALSE)</f>
        <v>2</v>
      </c>
      <c r="E930" s="157">
        <f>SUMIF('Sales Register'!C:C, A930, 'Sales Register'!D:D)</f>
        <v>2</v>
      </c>
      <c r="F930" s="29">
        <f t="shared" si="66"/>
        <v>0</v>
      </c>
    </row>
    <row r="931" spans="1:6" ht="30" x14ac:dyDescent="0.25">
      <c r="A931" s="19" t="s">
        <v>1404</v>
      </c>
      <c r="D931" s="157">
        <f>VLOOKUP(A931, 'Purchase Register'!C:D, 2, FALSE)</f>
        <v>1</v>
      </c>
      <c r="E931" s="157">
        <f>SUMIF('Sales Register'!C:C, A931, 'Sales Register'!D:D)</f>
        <v>381</v>
      </c>
      <c r="F931" s="29">
        <f t="shared" si="66"/>
        <v>-380</v>
      </c>
    </row>
    <row r="932" spans="1:6" ht="30" x14ac:dyDescent="0.25">
      <c r="A932" s="19" t="s">
        <v>1405</v>
      </c>
      <c r="D932" s="157">
        <f>VLOOKUP(A932, 'Purchase Register'!C:D, 2, FALSE)</f>
        <v>1</v>
      </c>
      <c r="E932" s="157">
        <f>SUMIF('Sales Register'!C:C, A932, 'Sales Register'!D:D)</f>
        <v>1</v>
      </c>
      <c r="F932" s="29">
        <f t="shared" si="66"/>
        <v>0</v>
      </c>
    </row>
    <row r="933" spans="1:6" ht="30" x14ac:dyDescent="0.25">
      <c r="A933" s="19" t="s">
        <v>1406</v>
      </c>
      <c r="D933" s="157">
        <f>VLOOKUP(A933, 'Purchase Register'!C:D, 2, FALSE)</f>
        <v>1</v>
      </c>
      <c r="E933" s="157">
        <f>SUMIF('Sales Register'!C:C, A933, 'Sales Register'!D:D)</f>
        <v>1</v>
      </c>
      <c r="F933" s="29">
        <f t="shared" si="66"/>
        <v>0</v>
      </c>
    </row>
    <row r="934" spans="1:6" ht="30" x14ac:dyDescent="0.25">
      <c r="A934" s="19" t="s">
        <v>1407</v>
      </c>
      <c r="D934" s="157">
        <f>VLOOKUP(A934, 'Purchase Register'!C:D, 2, FALSE)</f>
        <v>3</v>
      </c>
      <c r="E934" s="157">
        <f>SUMIF('Sales Register'!C:C, A934, 'Sales Register'!D:D)</f>
        <v>2</v>
      </c>
      <c r="F934" s="29">
        <f t="shared" si="66"/>
        <v>1</v>
      </c>
    </row>
    <row r="935" spans="1:6" ht="30" x14ac:dyDescent="0.25">
      <c r="A935" s="19" t="s">
        <v>1408</v>
      </c>
      <c r="D935" s="157">
        <f>VLOOKUP(A935, 'Purchase Register'!C:D, 2, FALSE)</f>
        <v>3</v>
      </c>
      <c r="E935" s="157">
        <f>SUMIF('Sales Register'!C:C, A935, 'Sales Register'!D:D)</f>
        <v>0</v>
      </c>
      <c r="F935" s="29">
        <f t="shared" si="66"/>
        <v>3</v>
      </c>
    </row>
    <row r="936" spans="1:6" ht="30" x14ac:dyDescent="0.25">
      <c r="A936" s="19" t="s">
        <v>1409</v>
      </c>
      <c r="D936" s="157">
        <f>VLOOKUP(A936, 'Purchase Register'!C:D, 2, FALSE)</f>
        <v>2</v>
      </c>
      <c r="E936" s="157">
        <f>SUMIF('Sales Register'!C:C, A936, 'Sales Register'!D:D)</f>
        <v>1</v>
      </c>
      <c r="F936" s="29">
        <f t="shared" si="66"/>
        <v>1</v>
      </c>
    </row>
    <row r="937" spans="1:6" ht="30" x14ac:dyDescent="0.25">
      <c r="A937" s="19" t="s">
        <v>1410</v>
      </c>
      <c r="D937" s="157">
        <f>VLOOKUP(A937, 'Purchase Register'!C:D, 2, FALSE)</f>
        <v>2</v>
      </c>
      <c r="E937" s="157">
        <f>SUMIF('Sales Register'!C:C, A937, 'Sales Register'!D:D)</f>
        <v>2</v>
      </c>
      <c r="F937" s="29">
        <f t="shared" si="66"/>
        <v>0</v>
      </c>
    </row>
    <row r="938" spans="1:6" ht="30" x14ac:dyDescent="0.25">
      <c r="A938" s="19" t="s">
        <v>1411</v>
      </c>
      <c r="D938" s="157">
        <f>VLOOKUP(A938, 'Purchase Register'!C:D, 2, FALSE)</f>
        <v>2</v>
      </c>
      <c r="E938" s="157">
        <f>SUMIF('Sales Register'!C:C, A938, 'Sales Register'!D:D)</f>
        <v>0</v>
      </c>
      <c r="F938" s="29">
        <f t="shared" si="66"/>
        <v>2</v>
      </c>
    </row>
    <row r="939" spans="1:6" ht="30" x14ac:dyDescent="0.25">
      <c r="A939" s="19" t="s">
        <v>1412</v>
      </c>
      <c r="D939" s="157">
        <f>VLOOKUP(A939, 'Purchase Register'!C:D, 2, FALSE)</f>
        <v>2</v>
      </c>
      <c r="E939" s="157">
        <f>SUMIF('Sales Register'!C:C, A939, 'Sales Register'!D:D)</f>
        <v>0</v>
      </c>
      <c r="F939" s="29">
        <f t="shared" si="66"/>
        <v>2</v>
      </c>
    </row>
    <row r="940" spans="1:6" ht="30" x14ac:dyDescent="0.25">
      <c r="A940" s="19" t="s">
        <v>1413</v>
      </c>
      <c r="D940" s="157">
        <f>VLOOKUP(A940, 'Purchase Register'!C:D, 2, FALSE)</f>
        <v>2</v>
      </c>
      <c r="E940" s="157">
        <f>SUMIF('Sales Register'!C:C, A940, 'Sales Register'!D:D)</f>
        <v>2</v>
      </c>
      <c r="F940" s="29">
        <f t="shared" si="66"/>
        <v>0</v>
      </c>
    </row>
    <row r="941" spans="1:6" ht="30" x14ac:dyDescent="0.25">
      <c r="A941" s="19" t="s">
        <v>1414</v>
      </c>
      <c r="D941" s="157">
        <f>VLOOKUP(A941, 'Purchase Register'!C:D, 2, FALSE)</f>
        <v>2</v>
      </c>
      <c r="E941" s="157">
        <f>SUMIF('Sales Register'!C:C, A941, 'Sales Register'!D:D)</f>
        <v>2</v>
      </c>
      <c r="F941" s="29">
        <f t="shared" si="66"/>
        <v>0</v>
      </c>
    </row>
    <row r="942" spans="1:6" x14ac:dyDescent="0.25">
      <c r="A942" s="19" t="s">
        <v>1415</v>
      </c>
      <c r="D942" s="157">
        <f>VLOOKUP(A942, 'Purchase Register'!C:D, 2, FALSE)</f>
        <v>1</v>
      </c>
      <c r="E942" s="157">
        <f>SUMIF('Sales Register'!C:C, A942, 'Sales Register'!D:D)</f>
        <v>1</v>
      </c>
      <c r="F942" s="29">
        <f t="shared" si="66"/>
        <v>0</v>
      </c>
    </row>
    <row r="943" spans="1:6" ht="30" x14ac:dyDescent="0.25">
      <c r="A943" s="19" t="s">
        <v>1416</v>
      </c>
      <c r="D943" s="157">
        <f>VLOOKUP(A943, 'Purchase Register'!C:D, 2, FALSE)</f>
        <v>1</v>
      </c>
      <c r="E943" s="157">
        <f>SUMIF('Sales Register'!C:C, A943, 'Sales Register'!D:D)</f>
        <v>2</v>
      </c>
      <c r="F943" s="29">
        <f t="shared" si="66"/>
        <v>-1</v>
      </c>
    </row>
    <row r="944" spans="1:6" ht="30" x14ac:dyDescent="0.25">
      <c r="A944" s="19" t="s">
        <v>1419</v>
      </c>
      <c r="D944" s="157">
        <f>VLOOKUP(A944, 'Purchase Register'!C:D, 2, FALSE)</f>
        <v>24</v>
      </c>
      <c r="E944" s="157">
        <f>SUMIF('Sales Register'!C:C, A944, 'Sales Register'!D:D)</f>
        <v>13</v>
      </c>
      <c r="F944" s="29">
        <f t="shared" si="66"/>
        <v>11</v>
      </c>
    </row>
    <row r="945" spans="1:6" ht="30" x14ac:dyDescent="0.25">
      <c r="A945" s="19" t="s">
        <v>1422</v>
      </c>
      <c r="D945" s="157">
        <f>VLOOKUP(A945, 'Purchase Register'!C:D, 2, FALSE)</f>
        <v>5</v>
      </c>
      <c r="E945" s="157">
        <f>SUMIF('Sales Register'!C:C, A945, 'Sales Register'!D:D)</f>
        <v>3</v>
      </c>
      <c r="F945" s="29">
        <f t="shared" si="66"/>
        <v>2</v>
      </c>
    </row>
    <row r="946" spans="1:6" ht="30" x14ac:dyDescent="0.25">
      <c r="A946" s="19" t="s">
        <v>1420</v>
      </c>
      <c r="D946" s="157">
        <f>VLOOKUP(A946, 'Purchase Register'!C:D, 2, FALSE)</f>
        <v>6</v>
      </c>
      <c r="E946" s="157">
        <f>SUMIF('Sales Register'!C:C, A946, 'Sales Register'!D:D)</f>
        <v>8</v>
      </c>
      <c r="F946" s="29">
        <f t="shared" si="66"/>
        <v>-2</v>
      </c>
    </row>
    <row r="947" spans="1:6" ht="30" x14ac:dyDescent="0.25">
      <c r="A947" s="19" t="s">
        <v>1421</v>
      </c>
      <c r="D947" s="157">
        <f>VLOOKUP(A947, 'Purchase Register'!C:D, 2, FALSE)</f>
        <v>3</v>
      </c>
      <c r="E947" s="157">
        <f>SUMIF('Sales Register'!C:C, A947, 'Sales Register'!D:D)</f>
        <v>4</v>
      </c>
      <c r="F947" s="29">
        <f t="shared" si="66"/>
        <v>-1</v>
      </c>
    </row>
    <row r="948" spans="1:6" ht="30" x14ac:dyDescent="0.25">
      <c r="A948" s="19" t="s">
        <v>1425</v>
      </c>
      <c r="D948" s="157">
        <f>VLOOKUP(A948, 'Purchase Register'!C:D, 2, FALSE)</f>
        <v>6</v>
      </c>
      <c r="E948" s="157">
        <f>SUMIF('Sales Register'!C:C, A948, 'Sales Register'!D:D)</f>
        <v>4</v>
      </c>
      <c r="F948" s="29">
        <f t="shared" si="66"/>
        <v>2</v>
      </c>
    </row>
    <row r="949" spans="1:6" ht="30" x14ac:dyDescent="0.25">
      <c r="A949" s="19" t="s">
        <v>1424</v>
      </c>
      <c r="D949" s="157">
        <f>VLOOKUP(A949, 'Purchase Register'!C:D, 2, FALSE)</f>
        <v>3</v>
      </c>
      <c r="E949" s="157">
        <f>SUMIF('Sales Register'!C:C, A949, 'Sales Register'!D:D)</f>
        <v>3</v>
      </c>
      <c r="F949" s="29">
        <f t="shared" si="66"/>
        <v>0</v>
      </c>
    </row>
    <row r="950" spans="1:6" x14ac:dyDescent="0.25">
      <c r="A950" s="19" t="s">
        <v>1427</v>
      </c>
      <c r="D950" s="157">
        <f>VLOOKUP(A950, 'Purchase Register'!C:D, 2, FALSE)</f>
        <v>6</v>
      </c>
      <c r="E950" s="157">
        <f>SUMIF('Sales Register'!C:C, A950, 'Sales Register'!D:D)</f>
        <v>5</v>
      </c>
      <c r="F950" s="29">
        <f t="shared" si="66"/>
        <v>1</v>
      </c>
    </row>
    <row r="951" spans="1:6" ht="30" x14ac:dyDescent="0.25">
      <c r="A951" s="19" t="s">
        <v>1423</v>
      </c>
      <c r="D951" s="157">
        <f>VLOOKUP(A951, 'Purchase Register'!C:D, 2, FALSE)</f>
        <v>3</v>
      </c>
      <c r="E951" s="157">
        <f>SUMIF('Sales Register'!C:C, A951, 'Sales Register'!D:D)</f>
        <v>0</v>
      </c>
      <c r="F951" s="29">
        <f t="shared" si="66"/>
        <v>3</v>
      </c>
    </row>
    <row r="952" spans="1:6" x14ac:dyDescent="0.25">
      <c r="A952" s="19" t="s">
        <v>1426</v>
      </c>
      <c r="D952" s="157">
        <f>VLOOKUP(A952, 'Purchase Register'!C:D, 2, FALSE)</f>
        <v>5</v>
      </c>
      <c r="E952" s="157">
        <f>SUMIF('Sales Register'!C:C, A952, 'Sales Register'!D:D)</f>
        <v>5.0650000000000004</v>
      </c>
      <c r="F952" s="29">
        <f t="shared" si="66"/>
        <v>-6.5000000000000391E-2</v>
      </c>
    </row>
    <row r="953" spans="1:6" x14ac:dyDescent="0.25">
      <c r="A953" s="19" t="s">
        <v>1428</v>
      </c>
      <c r="D953" s="157">
        <f>VLOOKUP(A953, 'Purchase Register'!C:D, 2, FALSE)</f>
        <v>2</v>
      </c>
      <c r="E953" s="157">
        <f>SUMIF('Sales Register'!C:C, A953, 'Sales Register'!D:D)</f>
        <v>2</v>
      </c>
      <c r="F953" s="29">
        <f t="shared" si="66"/>
        <v>0</v>
      </c>
    </row>
    <row r="954" spans="1:6" x14ac:dyDescent="0.25">
      <c r="A954" s="19" t="s">
        <v>1437</v>
      </c>
      <c r="D954" s="157">
        <f>VLOOKUP(A954, 'Purchase Register'!C:D, 2, FALSE)</f>
        <v>5</v>
      </c>
      <c r="E954" s="157">
        <f>SUMIF('Sales Register'!C:C, A954, 'Sales Register'!D:D)</f>
        <v>4.625</v>
      </c>
      <c r="F954" s="29">
        <f t="shared" si="66"/>
        <v>0.375</v>
      </c>
    </row>
    <row r="955" spans="1:6" ht="30" x14ac:dyDescent="0.25">
      <c r="A955" s="19" t="s">
        <v>1438</v>
      </c>
      <c r="D955" s="157">
        <f>VLOOKUP(A955, 'Purchase Register'!C:D, 2, FALSE)</f>
        <v>1</v>
      </c>
      <c r="E955" s="157">
        <f>SUMIF('Sales Register'!C:C, A955, 'Sales Register'!D:D)</f>
        <v>3.4000000000000002E-2</v>
      </c>
      <c r="F955" s="29">
        <f t="shared" si="66"/>
        <v>0.96599999999999997</v>
      </c>
    </row>
    <row r="956" spans="1:6" x14ac:dyDescent="0.25">
      <c r="A956" s="70" t="s">
        <v>1439</v>
      </c>
      <c r="D956" s="157">
        <f>VLOOKUP(A956, 'Purchase Register'!C:D, 2, FALSE)</f>
        <v>3</v>
      </c>
      <c r="E956" s="157">
        <f>SUMIF('Sales Register'!C:C, A956, 'Sales Register'!D:D)</f>
        <v>0</v>
      </c>
      <c r="F956" s="29">
        <f t="shared" si="66"/>
        <v>3</v>
      </c>
    </row>
    <row r="957" spans="1:6" x14ac:dyDescent="0.25">
      <c r="A957" s="19" t="s">
        <v>1440</v>
      </c>
      <c r="D957" s="157">
        <f>VLOOKUP(A957, 'Purchase Register'!C:D, 2, FALSE)</f>
        <v>5</v>
      </c>
      <c r="E957" s="157">
        <f>SUMIF('Sales Register'!C:C, A957, 'Sales Register'!D:D)</f>
        <v>2</v>
      </c>
      <c r="F957" s="29">
        <f t="shared" si="66"/>
        <v>3</v>
      </c>
    </row>
    <row r="958" spans="1:6" ht="30" x14ac:dyDescent="0.25">
      <c r="A958" s="19" t="s">
        <v>1172</v>
      </c>
      <c r="D958" s="157">
        <f>VLOOKUP(A958, 'Purchase Register'!C:D, 2, FALSE)</f>
        <v>3</v>
      </c>
      <c r="E958" s="157">
        <f>SUMIF('Sales Register'!C:C, A958, 'Sales Register'!D:D)</f>
        <v>5</v>
      </c>
      <c r="F958" s="29">
        <f t="shared" si="66"/>
        <v>-2</v>
      </c>
    </row>
    <row r="959" spans="1:6" ht="30" x14ac:dyDescent="0.25">
      <c r="A959" s="19" t="s">
        <v>1441</v>
      </c>
      <c r="D959" s="157">
        <f>VLOOKUP(A959, 'Purchase Register'!C:D, 2, FALSE)</f>
        <v>6</v>
      </c>
      <c r="E959" s="157">
        <f>SUMIF('Sales Register'!C:C, A959, 'Sales Register'!D:D)</f>
        <v>5</v>
      </c>
      <c r="F959" s="29">
        <f t="shared" si="66"/>
        <v>1</v>
      </c>
    </row>
    <row r="960" spans="1:6" ht="30" x14ac:dyDescent="0.25">
      <c r="A960" s="19" t="s">
        <v>1442</v>
      </c>
      <c r="D960" s="157">
        <f>VLOOKUP(A960, 'Purchase Register'!C:D, 2, FALSE)</f>
        <v>10</v>
      </c>
      <c r="E960" s="157">
        <f>SUMIF('Sales Register'!C:C, A960, 'Sales Register'!D:D)</f>
        <v>5</v>
      </c>
      <c r="F960" s="29">
        <f t="shared" si="66"/>
        <v>5</v>
      </c>
    </row>
    <row r="961" spans="1:6" x14ac:dyDescent="0.25">
      <c r="A961" s="19" t="s">
        <v>1443</v>
      </c>
      <c r="D961" s="157">
        <f>VLOOKUP(A961, 'Purchase Register'!C:D, 2, FALSE)</f>
        <v>56</v>
      </c>
      <c r="E961" s="157">
        <f>SUMIF('Sales Register'!C:C, A961, 'Sales Register'!D:D)</f>
        <v>3</v>
      </c>
      <c r="F961" s="29">
        <f t="shared" si="66"/>
        <v>53</v>
      </c>
    </row>
    <row r="962" spans="1:6" x14ac:dyDescent="0.25">
      <c r="A962" s="19" t="s">
        <v>1444</v>
      </c>
      <c r="D962" s="157">
        <f>VLOOKUP(A962, 'Purchase Register'!C:D, 2, FALSE)</f>
        <v>24</v>
      </c>
      <c r="E962" s="157">
        <f>SUMIF('Sales Register'!C:C, A962, 'Sales Register'!D:D)</f>
        <v>2</v>
      </c>
      <c r="F962" s="29">
        <f t="shared" si="66"/>
        <v>22</v>
      </c>
    </row>
    <row r="963" spans="1:6" x14ac:dyDescent="0.25">
      <c r="A963" s="19" t="s">
        <v>1445</v>
      </c>
      <c r="D963" s="157">
        <f>VLOOKUP(A963, 'Purchase Register'!C:D, 2, FALSE)</f>
        <v>12</v>
      </c>
      <c r="E963" s="157">
        <f>SUMIF('Sales Register'!C:C, A963, 'Sales Register'!D:D)</f>
        <v>9</v>
      </c>
      <c r="F963" s="29">
        <f t="shared" si="66"/>
        <v>3</v>
      </c>
    </row>
    <row r="964" spans="1:6" ht="30" x14ac:dyDescent="0.25">
      <c r="A964" s="19" t="s">
        <v>1446</v>
      </c>
      <c r="D964" s="157">
        <f>VLOOKUP(A964, 'Purchase Register'!C:D, 2, FALSE)</f>
        <v>12</v>
      </c>
      <c r="E964" s="157">
        <f>SUMIF('Sales Register'!C:C, A964, 'Sales Register'!D:D)</f>
        <v>6</v>
      </c>
      <c r="F964" s="29">
        <f t="shared" si="66"/>
        <v>6</v>
      </c>
    </row>
    <row r="965" spans="1:6" x14ac:dyDescent="0.25">
      <c r="A965" s="19" t="s">
        <v>1447</v>
      </c>
      <c r="D965" s="157">
        <f>VLOOKUP(A965, 'Purchase Register'!C:D, 2, FALSE)</f>
        <v>8</v>
      </c>
      <c r="E965" s="157">
        <f>SUMIF('Sales Register'!C:C, A965, 'Sales Register'!D:D)</f>
        <v>5</v>
      </c>
      <c r="F965" s="29">
        <f t="shared" si="66"/>
        <v>3</v>
      </c>
    </row>
    <row r="966" spans="1:6" x14ac:dyDescent="0.25">
      <c r="A966" s="19" t="s">
        <v>1448</v>
      </c>
      <c r="D966" s="157">
        <f>VLOOKUP(A966, 'Purchase Register'!C:D, 2, FALSE)</f>
        <v>24</v>
      </c>
      <c r="E966" s="157">
        <f>SUMIF('Sales Register'!C:C, A966, 'Sales Register'!D:D)</f>
        <v>23</v>
      </c>
      <c r="F966" s="29">
        <f t="shared" si="66"/>
        <v>1</v>
      </c>
    </row>
    <row r="967" spans="1:6" x14ac:dyDescent="0.25">
      <c r="A967" s="19" t="s">
        <v>1449</v>
      </c>
      <c r="D967" s="157">
        <f>VLOOKUP(A967, 'Purchase Register'!C:D, 2, FALSE)</f>
        <v>24</v>
      </c>
      <c r="E967" s="157">
        <f>SUMIF('Sales Register'!C:C, A967, 'Sales Register'!D:D)</f>
        <v>4</v>
      </c>
      <c r="F967" s="29">
        <f t="shared" si="66"/>
        <v>20</v>
      </c>
    </row>
    <row r="968" spans="1:6" x14ac:dyDescent="0.25">
      <c r="A968" s="19" t="s">
        <v>1450</v>
      </c>
      <c r="D968" s="157">
        <f>VLOOKUP(A968, 'Purchase Register'!C:D, 2, FALSE)</f>
        <v>12</v>
      </c>
      <c r="E968" s="157">
        <f>SUMIF('Sales Register'!C:C, A968, 'Sales Register'!D:D)</f>
        <v>0</v>
      </c>
      <c r="F968" s="29">
        <f t="shared" si="66"/>
        <v>12</v>
      </c>
    </row>
    <row r="969" spans="1:6" x14ac:dyDescent="0.25">
      <c r="A969" s="19" t="s">
        <v>1451</v>
      </c>
      <c r="D969" s="157">
        <f>VLOOKUP(A969, 'Purchase Register'!C:D, 2, FALSE)</f>
        <v>12</v>
      </c>
      <c r="E969" s="157">
        <f>SUMIF('Sales Register'!C:C, A969, 'Sales Register'!D:D)</f>
        <v>2</v>
      </c>
      <c r="F969" s="29">
        <f t="shared" si="66"/>
        <v>10</v>
      </c>
    </row>
    <row r="970" spans="1:6" x14ac:dyDescent="0.25">
      <c r="A970" s="19" t="s">
        <v>1452</v>
      </c>
      <c r="D970" s="157">
        <f>VLOOKUP(A970, 'Purchase Register'!C:D, 2, FALSE)</f>
        <v>12</v>
      </c>
      <c r="E970" s="157">
        <f>SUMIF('Sales Register'!C:C, A970, 'Sales Register'!D:D)</f>
        <v>1</v>
      </c>
      <c r="F970" s="29">
        <f t="shared" si="66"/>
        <v>11</v>
      </c>
    </row>
    <row r="971" spans="1:6" ht="30" x14ac:dyDescent="0.25">
      <c r="A971" s="19" t="s">
        <v>1453</v>
      </c>
      <c r="D971" s="157">
        <f>VLOOKUP(A971, 'Purchase Register'!C:D, 2, FALSE)</f>
        <v>12</v>
      </c>
      <c r="E971" s="157">
        <f>SUMIF('Sales Register'!C:C, A971, 'Sales Register'!D:D)</f>
        <v>3</v>
      </c>
      <c r="F971" s="29">
        <f t="shared" ref="F971:F1034" si="67">C971+D971-E971</f>
        <v>9</v>
      </c>
    </row>
    <row r="972" spans="1:6" x14ac:dyDescent="0.25">
      <c r="A972" s="19" t="s">
        <v>1454</v>
      </c>
      <c r="D972" s="157">
        <f>VLOOKUP(A972, 'Purchase Register'!C:D, 2, FALSE)</f>
        <v>12</v>
      </c>
      <c r="E972" s="157">
        <f>SUMIF('Sales Register'!C:C, A972, 'Sales Register'!D:D)</f>
        <v>0</v>
      </c>
      <c r="F972" s="29">
        <f t="shared" si="67"/>
        <v>12</v>
      </c>
    </row>
    <row r="973" spans="1:6" x14ac:dyDescent="0.25">
      <c r="A973" s="19" t="s">
        <v>1455</v>
      </c>
      <c r="D973" s="157">
        <f>VLOOKUP(A973, 'Purchase Register'!C:D, 2, FALSE)</f>
        <v>12</v>
      </c>
      <c r="E973" s="157">
        <f>SUMIF('Sales Register'!C:C, A973, 'Sales Register'!D:D)</f>
        <v>1</v>
      </c>
      <c r="F973" s="29">
        <f t="shared" si="67"/>
        <v>11</v>
      </c>
    </row>
    <row r="974" spans="1:6" x14ac:dyDescent="0.25">
      <c r="A974" s="19" t="s">
        <v>1456</v>
      </c>
      <c r="D974" s="157">
        <f>VLOOKUP(A974, 'Purchase Register'!C:D, 2, FALSE)</f>
        <v>12</v>
      </c>
      <c r="E974" s="157">
        <f>SUMIF('Sales Register'!C:C, A974, 'Sales Register'!D:D)</f>
        <v>1</v>
      </c>
      <c r="F974" s="29">
        <f t="shared" si="67"/>
        <v>11</v>
      </c>
    </row>
    <row r="975" spans="1:6" x14ac:dyDescent="0.25">
      <c r="A975" s="19" t="s">
        <v>1457</v>
      </c>
      <c r="D975" s="157">
        <f>VLOOKUP(A975, 'Purchase Register'!C:D, 2, FALSE)</f>
        <v>2</v>
      </c>
      <c r="E975" s="157">
        <f>SUMIF('Sales Register'!C:C, A975, 'Sales Register'!D:D)</f>
        <v>0</v>
      </c>
      <c r="F975" s="29">
        <f t="shared" si="67"/>
        <v>2</v>
      </c>
    </row>
    <row r="976" spans="1:6" ht="30" x14ac:dyDescent="0.25">
      <c r="A976" s="19" t="s">
        <v>1458</v>
      </c>
      <c r="D976" s="157">
        <f>VLOOKUP(A976, 'Purchase Register'!C:D, 2, FALSE)</f>
        <v>2</v>
      </c>
      <c r="E976" s="157">
        <f>SUMIF('Sales Register'!C:C, A976, 'Sales Register'!D:D)</f>
        <v>1</v>
      </c>
      <c r="F976" s="29">
        <f t="shared" si="67"/>
        <v>1</v>
      </c>
    </row>
    <row r="977" spans="1:6" ht="30" x14ac:dyDescent="0.25">
      <c r="A977" s="19" t="s">
        <v>1459</v>
      </c>
      <c r="D977" s="157">
        <f>VLOOKUP(A977, 'Purchase Register'!C:D, 2, FALSE)</f>
        <v>10</v>
      </c>
      <c r="E977" s="157">
        <f>SUMIF('Sales Register'!C:C, A977, 'Sales Register'!D:D)</f>
        <v>14</v>
      </c>
      <c r="F977" s="29">
        <f t="shared" si="67"/>
        <v>-4</v>
      </c>
    </row>
    <row r="978" spans="1:6" x14ac:dyDescent="0.25">
      <c r="A978" s="19" t="s">
        <v>1460</v>
      </c>
      <c r="D978" s="157">
        <f>VLOOKUP(A978, 'Purchase Register'!C:D, 2, FALSE)</f>
        <v>3</v>
      </c>
      <c r="E978" s="157">
        <f>SUMIF('Sales Register'!C:C, A978, 'Sales Register'!D:D)</f>
        <v>0</v>
      </c>
      <c r="F978" s="29">
        <f t="shared" si="67"/>
        <v>3</v>
      </c>
    </row>
    <row r="979" spans="1:6" x14ac:dyDescent="0.25">
      <c r="A979" s="19" t="s">
        <v>1461</v>
      </c>
      <c r="D979" s="157">
        <f>VLOOKUP(A979, 'Purchase Register'!C:D, 2, FALSE)</f>
        <v>4</v>
      </c>
      <c r="E979" s="157">
        <f>SUMIF('Sales Register'!C:C, A979, 'Sales Register'!D:D)</f>
        <v>0</v>
      </c>
      <c r="F979" s="29">
        <f t="shared" si="67"/>
        <v>4</v>
      </c>
    </row>
    <row r="980" spans="1:6" x14ac:dyDescent="0.25">
      <c r="A980" s="19" t="s">
        <v>1462</v>
      </c>
      <c r="D980" s="157">
        <f>VLOOKUP(A980, 'Purchase Register'!C:D, 2, FALSE)</f>
        <v>3</v>
      </c>
      <c r="E980" s="157">
        <f>SUMIF('Sales Register'!C:C, A980, 'Sales Register'!D:D)</f>
        <v>0</v>
      </c>
      <c r="F980" s="29">
        <f t="shared" si="67"/>
        <v>3</v>
      </c>
    </row>
    <row r="981" spans="1:6" x14ac:dyDescent="0.25">
      <c r="A981" s="19" t="s">
        <v>1463</v>
      </c>
      <c r="D981" s="157">
        <f>VLOOKUP(A981, 'Purchase Register'!C:D, 2, FALSE)</f>
        <v>3</v>
      </c>
      <c r="E981" s="157">
        <f>SUMIF('Sales Register'!C:C, A981, 'Sales Register'!D:D)</f>
        <v>0</v>
      </c>
      <c r="F981" s="29">
        <f t="shared" si="67"/>
        <v>3</v>
      </c>
    </row>
    <row r="982" spans="1:6" x14ac:dyDescent="0.25">
      <c r="A982" s="19" t="s">
        <v>1464</v>
      </c>
      <c r="D982" s="157">
        <f>VLOOKUP(A982, 'Purchase Register'!C:D, 2, FALSE)</f>
        <v>4</v>
      </c>
      <c r="E982" s="157">
        <f>SUMIF('Sales Register'!C:C, A982, 'Sales Register'!D:D)</f>
        <v>1</v>
      </c>
      <c r="F982" s="29">
        <f t="shared" si="67"/>
        <v>3</v>
      </c>
    </row>
    <row r="983" spans="1:6" x14ac:dyDescent="0.25">
      <c r="A983" s="19" t="s">
        <v>1465</v>
      </c>
      <c r="D983" s="157">
        <f>VLOOKUP(A983, 'Purchase Register'!C:D, 2, FALSE)</f>
        <v>12</v>
      </c>
      <c r="E983" s="157">
        <f>SUMIF('Sales Register'!C:C, A983, 'Sales Register'!D:D)</f>
        <v>2</v>
      </c>
      <c r="F983" s="29">
        <f t="shared" si="67"/>
        <v>10</v>
      </c>
    </row>
    <row r="984" spans="1:6" ht="30" x14ac:dyDescent="0.25">
      <c r="A984" s="19" t="s">
        <v>1466</v>
      </c>
      <c r="D984" s="157">
        <f>VLOOKUP(A984, 'Purchase Register'!C:D, 2, FALSE)</f>
        <v>2</v>
      </c>
      <c r="E984" s="157">
        <f>SUMIF('Sales Register'!C:C, A984, 'Sales Register'!D:D)</f>
        <v>1</v>
      </c>
      <c r="F984" s="29">
        <f t="shared" si="67"/>
        <v>1</v>
      </c>
    </row>
    <row r="985" spans="1:6" x14ac:dyDescent="0.25">
      <c r="A985" s="19" t="s">
        <v>1467</v>
      </c>
      <c r="D985" s="157">
        <f>VLOOKUP(A985, 'Purchase Register'!C:D, 2, FALSE)</f>
        <v>12</v>
      </c>
      <c r="E985" s="157">
        <f>SUMIF('Sales Register'!C:C, A985, 'Sales Register'!D:D)</f>
        <v>7</v>
      </c>
      <c r="F985" s="29">
        <f t="shared" si="67"/>
        <v>5</v>
      </c>
    </row>
    <row r="986" spans="1:6" x14ac:dyDescent="0.25">
      <c r="A986" s="19" t="s">
        <v>1468</v>
      </c>
      <c r="D986" s="157">
        <f>VLOOKUP(A986, 'Purchase Register'!C:D, 2, FALSE)</f>
        <v>24</v>
      </c>
      <c r="E986" s="157">
        <f>SUMIF('Sales Register'!C:C, A986, 'Sales Register'!D:D)</f>
        <v>9</v>
      </c>
      <c r="F986" s="29">
        <f t="shared" si="67"/>
        <v>15</v>
      </c>
    </row>
    <row r="987" spans="1:6" ht="30" x14ac:dyDescent="0.25">
      <c r="A987" s="19" t="s">
        <v>1469</v>
      </c>
      <c r="D987" s="157">
        <f>VLOOKUP(A987, 'Purchase Register'!C:D, 2, FALSE)</f>
        <v>12</v>
      </c>
      <c r="E987" s="157">
        <f>SUMIF('Sales Register'!C:C, A987, 'Sales Register'!D:D)</f>
        <v>1</v>
      </c>
      <c r="F987" s="29">
        <f t="shared" si="67"/>
        <v>11</v>
      </c>
    </row>
    <row r="988" spans="1:6" ht="30" x14ac:dyDescent="0.25">
      <c r="A988" s="19" t="s">
        <v>1470</v>
      </c>
      <c r="D988" s="157">
        <f>VLOOKUP(A988, 'Purchase Register'!C:D, 2, FALSE)</f>
        <v>3</v>
      </c>
      <c r="E988" s="157">
        <f>SUMIF('Sales Register'!C:C, A988, 'Sales Register'!D:D)</f>
        <v>1</v>
      </c>
      <c r="F988" s="29">
        <f t="shared" si="67"/>
        <v>2</v>
      </c>
    </row>
    <row r="989" spans="1:6" x14ac:dyDescent="0.25">
      <c r="A989" s="19" t="s">
        <v>1471</v>
      </c>
      <c r="D989" s="157">
        <f>VLOOKUP(A989, 'Purchase Register'!C:D, 2, FALSE)</f>
        <v>2</v>
      </c>
      <c r="E989" s="157">
        <f>SUMIF('Sales Register'!C:C, A989, 'Sales Register'!D:D)</f>
        <v>0</v>
      </c>
      <c r="F989" s="29">
        <f t="shared" si="67"/>
        <v>2</v>
      </c>
    </row>
    <row r="990" spans="1:6" x14ac:dyDescent="0.25">
      <c r="A990" s="19" t="s">
        <v>1478</v>
      </c>
      <c r="D990" s="157">
        <f>VLOOKUP(A990, 'Purchase Register'!C:D, 2, FALSE)</f>
        <v>2</v>
      </c>
      <c r="E990" s="157">
        <f>SUMIF('Sales Register'!C:C, A990, 'Sales Register'!D:D)</f>
        <v>3.5</v>
      </c>
      <c r="F990" s="29">
        <f t="shared" si="67"/>
        <v>-1.5</v>
      </c>
    </row>
    <row r="991" spans="1:6" ht="30" x14ac:dyDescent="0.25">
      <c r="A991" s="19" t="s">
        <v>1479</v>
      </c>
      <c r="D991" s="157">
        <f>VLOOKUP(A991, 'Purchase Register'!C:D, 2, FALSE)</f>
        <v>2</v>
      </c>
      <c r="E991" s="157">
        <f>SUMIF('Sales Register'!C:C, A991, 'Sales Register'!D:D)</f>
        <v>0.1</v>
      </c>
      <c r="F991" s="29">
        <f t="shared" si="67"/>
        <v>1.9</v>
      </c>
    </row>
    <row r="992" spans="1:6" x14ac:dyDescent="0.25">
      <c r="A992" s="19" t="s">
        <v>1480</v>
      </c>
      <c r="D992" s="157">
        <f>VLOOKUP(A992, 'Purchase Register'!C:D, 2, FALSE)</f>
        <v>3</v>
      </c>
      <c r="E992" s="157">
        <f>SUMIF('Sales Register'!C:C, A992, 'Sales Register'!D:D)</f>
        <v>0</v>
      </c>
      <c r="F992" s="29">
        <f t="shared" si="67"/>
        <v>3</v>
      </c>
    </row>
    <row r="993" spans="1:6" ht="30" x14ac:dyDescent="0.25">
      <c r="A993" s="19" t="s">
        <v>1481</v>
      </c>
      <c r="D993" s="157">
        <f>VLOOKUP(A993, 'Purchase Register'!C:D, 2, FALSE)</f>
        <v>3</v>
      </c>
      <c r="E993" s="157">
        <f>SUMIF('Sales Register'!C:C, A993, 'Sales Register'!D:D)</f>
        <v>2</v>
      </c>
      <c r="F993" s="29">
        <f t="shared" si="67"/>
        <v>1</v>
      </c>
    </row>
    <row r="994" spans="1:6" ht="30" x14ac:dyDescent="0.25">
      <c r="A994" s="33" t="s">
        <v>1485</v>
      </c>
      <c r="D994" s="157">
        <f>VLOOKUP(A994, 'Purchase Register'!C:D, 2, FALSE)</f>
        <v>4</v>
      </c>
      <c r="E994" s="157">
        <f>SUMIF('Sales Register'!C:C, A994, 'Sales Register'!D:D)</f>
        <v>2</v>
      </c>
      <c r="F994" s="29">
        <f t="shared" si="67"/>
        <v>2</v>
      </c>
    </row>
    <row r="995" spans="1:6" ht="30" x14ac:dyDescent="0.25">
      <c r="A995" s="19" t="s">
        <v>1482</v>
      </c>
      <c r="D995" s="157">
        <f>VLOOKUP(A995, 'Purchase Register'!C:D, 2, FALSE)</f>
        <v>1</v>
      </c>
      <c r="E995" s="157">
        <f>SUMIF('Sales Register'!C:C, A995, 'Sales Register'!D:D)</f>
        <v>0.5</v>
      </c>
      <c r="F995" s="29">
        <f t="shared" si="67"/>
        <v>0.5</v>
      </c>
    </row>
    <row r="996" spans="1:6" x14ac:dyDescent="0.25">
      <c r="A996" s="19" t="s">
        <v>1483</v>
      </c>
      <c r="D996" s="157">
        <f>VLOOKUP(A996, 'Purchase Register'!C:D, 2, FALSE)</f>
        <v>12</v>
      </c>
      <c r="E996" s="157">
        <f>SUMIF('Sales Register'!C:C, A996, 'Sales Register'!D:D)</f>
        <v>12</v>
      </c>
      <c r="F996" s="29">
        <f t="shared" si="67"/>
        <v>0</v>
      </c>
    </row>
    <row r="997" spans="1:6" x14ac:dyDescent="0.25">
      <c r="A997" s="19" t="s">
        <v>1484</v>
      </c>
      <c r="D997" s="157">
        <f>VLOOKUP(A997, 'Purchase Register'!C:D, 2, FALSE)</f>
        <v>96</v>
      </c>
      <c r="E997" s="157">
        <f>SUMIF('Sales Register'!C:C, A997, 'Sales Register'!D:D)</f>
        <v>66</v>
      </c>
      <c r="F997" s="29">
        <f t="shared" si="67"/>
        <v>30</v>
      </c>
    </row>
    <row r="998" spans="1:6" x14ac:dyDescent="0.25">
      <c r="A998" s="19" t="s">
        <v>1486</v>
      </c>
      <c r="D998" s="157">
        <f>VLOOKUP(A998, 'Purchase Register'!C:D, 2, FALSE)</f>
        <v>3</v>
      </c>
      <c r="E998" s="157">
        <f>SUMIF('Sales Register'!C:C, A998, 'Sales Register'!D:D)</f>
        <v>10</v>
      </c>
      <c r="F998" s="29">
        <f t="shared" si="67"/>
        <v>-7</v>
      </c>
    </row>
    <row r="999" spans="1:6" x14ac:dyDescent="0.25">
      <c r="A999" s="19" t="s">
        <v>1487</v>
      </c>
      <c r="D999" s="157">
        <f>VLOOKUP(A999, 'Purchase Register'!C:D, 2, FALSE)</f>
        <v>26</v>
      </c>
      <c r="E999" s="157">
        <f>SUMIF('Sales Register'!C:C, A999, 'Sales Register'!D:D)</f>
        <v>10</v>
      </c>
      <c r="F999" s="29">
        <f t="shared" si="67"/>
        <v>16</v>
      </c>
    </row>
    <row r="1000" spans="1:6" x14ac:dyDescent="0.25">
      <c r="A1000" s="19" t="s">
        <v>1488</v>
      </c>
      <c r="D1000" s="157">
        <f>VLOOKUP(A1000, 'Purchase Register'!C:D, 2, FALSE)</f>
        <v>12</v>
      </c>
      <c r="E1000" s="157">
        <f>SUMIF('Sales Register'!C:C, A1000, 'Sales Register'!D:D)</f>
        <v>0</v>
      </c>
      <c r="F1000" s="29">
        <f t="shared" si="67"/>
        <v>12</v>
      </c>
    </row>
    <row r="1001" spans="1:6" x14ac:dyDescent="0.25">
      <c r="A1001" s="19" t="s">
        <v>1491</v>
      </c>
      <c r="D1001" s="157">
        <f>VLOOKUP(A1001, 'Purchase Register'!C:D, 2, FALSE)</f>
        <v>30</v>
      </c>
      <c r="E1001" s="157">
        <f>SUMIF('Sales Register'!C:C, A1001, 'Sales Register'!D:D)</f>
        <v>0</v>
      </c>
      <c r="F1001" s="29">
        <f t="shared" si="67"/>
        <v>30</v>
      </c>
    </row>
    <row r="1002" spans="1:6" ht="30" x14ac:dyDescent="0.25">
      <c r="A1002" s="19" t="s">
        <v>1489</v>
      </c>
      <c r="D1002" s="157">
        <f>VLOOKUP(A1002, 'Purchase Register'!C:D, 2, FALSE)</f>
        <v>64</v>
      </c>
      <c r="E1002" s="157">
        <f>SUMIF('Sales Register'!C:C, A1002, 'Sales Register'!D:D)</f>
        <v>10</v>
      </c>
      <c r="F1002" s="29">
        <f t="shared" si="67"/>
        <v>54</v>
      </c>
    </row>
    <row r="1003" spans="1:6" x14ac:dyDescent="0.25">
      <c r="A1003" s="19" t="s">
        <v>1490</v>
      </c>
      <c r="D1003" s="157">
        <f>VLOOKUP(A1003, 'Purchase Register'!C:D, 2, FALSE)</f>
        <v>1</v>
      </c>
      <c r="E1003" s="157">
        <f>SUMIF('Sales Register'!C:C, A1003, 'Sales Register'!D:D)</f>
        <v>0.13600000000000001</v>
      </c>
      <c r="F1003" s="29">
        <f t="shared" si="67"/>
        <v>0.86399999999999999</v>
      </c>
    </row>
    <row r="1004" spans="1:6" ht="30" x14ac:dyDescent="0.25">
      <c r="A1004" s="19" t="s">
        <v>1493</v>
      </c>
      <c r="D1004" s="157">
        <f>VLOOKUP(A1004, 'Purchase Register'!C:D, 2, FALSE)</f>
        <v>24</v>
      </c>
      <c r="E1004" s="157">
        <f>SUMIF('Sales Register'!C:C, A1004, 'Sales Register'!D:D)</f>
        <v>1</v>
      </c>
      <c r="F1004" s="29">
        <f t="shared" si="67"/>
        <v>23</v>
      </c>
    </row>
    <row r="1005" spans="1:6" ht="30" x14ac:dyDescent="0.25">
      <c r="A1005" s="19" t="s">
        <v>1494</v>
      </c>
      <c r="D1005" s="157">
        <f>VLOOKUP(A1005, 'Purchase Register'!C:D, 2, FALSE)</f>
        <v>24</v>
      </c>
      <c r="E1005" s="157">
        <f>SUMIF('Sales Register'!C:C, A1005, 'Sales Register'!D:D)</f>
        <v>0</v>
      </c>
      <c r="F1005" s="29">
        <f t="shared" si="67"/>
        <v>24</v>
      </c>
    </row>
    <row r="1006" spans="1:6" x14ac:dyDescent="0.25">
      <c r="A1006" s="19" t="s">
        <v>1495</v>
      </c>
      <c r="D1006" s="157">
        <f>VLOOKUP(A1006, 'Purchase Register'!C:D, 2, FALSE)</f>
        <v>12</v>
      </c>
      <c r="E1006" s="157">
        <f>SUMIF('Sales Register'!C:C, A1006, 'Sales Register'!D:D)</f>
        <v>0</v>
      </c>
      <c r="F1006" s="29">
        <f t="shared" si="67"/>
        <v>12</v>
      </c>
    </row>
    <row r="1007" spans="1:6" ht="30" x14ac:dyDescent="0.25">
      <c r="A1007" s="19" t="s">
        <v>1496</v>
      </c>
      <c r="D1007" s="157">
        <f>VLOOKUP(A1007, 'Purchase Register'!C:D, 2, FALSE)</f>
        <v>6</v>
      </c>
      <c r="E1007" s="157">
        <f>SUMIF('Sales Register'!C:C, A1007, 'Sales Register'!D:D)</f>
        <v>2</v>
      </c>
      <c r="F1007" s="29">
        <f t="shared" si="67"/>
        <v>4</v>
      </c>
    </row>
    <row r="1008" spans="1:6" ht="30" x14ac:dyDescent="0.25">
      <c r="A1008" s="19" t="s">
        <v>1497</v>
      </c>
      <c r="D1008" s="157">
        <f>VLOOKUP(A1008, 'Purchase Register'!C:D, 2, FALSE)</f>
        <v>20</v>
      </c>
      <c r="E1008" s="157">
        <f>SUMIF('Sales Register'!C:C, A1008, 'Sales Register'!D:D)</f>
        <v>3</v>
      </c>
      <c r="F1008" s="29">
        <f t="shared" si="67"/>
        <v>17</v>
      </c>
    </row>
    <row r="1009" spans="1:6" x14ac:dyDescent="0.25">
      <c r="A1009" s="19" t="s">
        <v>1498</v>
      </c>
      <c r="D1009" s="157">
        <f>VLOOKUP(A1009, 'Purchase Register'!C:D, 2, FALSE)</f>
        <v>36</v>
      </c>
      <c r="E1009" s="157">
        <f>SUMIF('Sales Register'!C:C, A1009, 'Sales Register'!D:D)</f>
        <v>9</v>
      </c>
      <c r="F1009" s="29">
        <f t="shared" si="67"/>
        <v>27</v>
      </c>
    </row>
    <row r="1010" spans="1:6" ht="30" x14ac:dyDescent="0.25">
      <c r="A1010" s="19" t="s">
        <v>1499</v>
      </c>
      <c r="D1010" s="157">
        <f>VLOOKUP(A1010, 'Purchase Register'!C:D, 2, FALSE)</f>
        <v>48</v>
      </c>
      <c r="E1010" s="157">
        <f>SUMIF('Sales Register'!C:C, A1010, 'Sales Register'!D:D)</f>
        <v>3</v>
      </c>
      <c r="F1010" s="29">
        <f t="shared" si="67"/>
        <v>45</v>
      </c>
    </row>
    <row r="1011" spans="1:6" ht="30" x14ac:dyDescent="0.25">
      <c r="A1011" s="19" t="s">
        <v>1500</v>
      </c>
      <c r="D1011" s="157">
        <f>VLOOKUP(A1011, 'Purchase Register'!C:D, 2, FALSE)</f>
        <v>48</v>
      </c>
      <c r="E1011" s="157">
        <f>SUMIF('Sales Register'!C:C, A1011, 'Sales Register'!D:D)</f>
        <v>16</v>
      </c>
      <c r="F1011" s="29">
        <f t="shared" si="67"/>
        <v>32</v>
      </c>
    </row>
    <row r="1012" spans="1:6" x14ac:dyDescent="0.25">
      <c r="A1012" s="19" t="s">
        <v>1501</v>
      </c>
      <c r="D1012" s="157">
        <f>VLOOKUP(A1012, 'Purchase Register'!C:D, 2, FALSE)</f>
        <v>36</v>
      </c>
      <c r="E1012" s="157">
        <f>SUMIF('Sales Register'!C:C, A1012, 'Sales Register'!D:D)</f>
        <v>0</v>
      </c>
      <c r="F1012" s="29">
        <f t="shared" si="67"/>
        <v>36</v>
      </c>
    </row>
    <row r="1013" spans="1:6" x14ac:dyDescent="0.25">
      <c r="A1013" s="19" t="s">
        <v>1502</v>
      </c>
      <c r="D1013" s="157">
        <f>VLOOKUP(A1013, 'Purchase Register'!C:D, 2, FALSE)</f>
        <v>72</v>
      </c>
      <c r="E1013" s="157">
        <f>SUMIF('Sales Register'!C:C, A1013, 'Sales Register'!D:D)</f>
        <v>6</v>
      </c>
      <c r="F1013" s="29">
        <f t="shared" si="67"/>
        <v>66</v>
      </c>
    </row>
    <row r="1014" spans="1:6" x14ac:dyDescent="0.25">
      <c r="A1014" s="19" t="s">
        <v>1503</v>
      </c>
      <c r="D1014" s="157">
        <f>VLOOKUP(A1014, 'Purchase Register'!C:D, 2, FALSE)</f>
        <v>100</v>
      </c>
      <c r="E1014" s="157">
        <f>SUMIF('Sales Register'!C:C, A1014, 'Sales Register'!D:D)</f>
        <v>13</v>
      </c>
      <c r="F1014" s="29">
        <f t="shared" si="67"/>
        <v>87</v>
      </c>
    </row>
    <row r="1015" spans="1:6" x14ac:dyDescent="0.25">
      <c r="A1015" s="19" t="s">
        <v>1504</v>
      </c>
      <c r="D1015" s="157">
        <f>VLOOKUP(A1015, 'Purchase Register'!C:D, 2, FALSE)</f>
        <v>70</v>
      </c>
      <c r="E1015" s="157">
        <f>SUMIF('Sales Register'!C:C, A1015, 'Sales Register'!D:D)</f>
        <v>0</v>
      </c>
      <c r="F1015" s="29">
        <f t="shared" si="67"/>
        <v>70</v>
      </c>
    </row>
    <row r="1016" spans="1:6" x14ac:dyDescent="0.25">
      <c r="A1016" s="19" t="s">
        <v>1510</v>
      </c>
      <c r="D1016" s="157">
        <f>VLOOKUP(A1016, 'Purchase Register'!C:D, 2, FALSE)</f>
        <v>10</v>
      </c>
      <c r="E1016" s="157">
        <f>SUMIF('Sales Register'!C:C, A1016, 'Sales Register'!D:D)</f>
        <v>0</v>
      </c>
      <c r="F1016" s="29">
        <f t="shared" si="67"/>
        <v>10</v>
      </c>
    </row>
    <row r="1017" spans="1:6" ht="30" x14ac:dyDescent="0.25">
      <c r="A1017" s="19" t="s">
        <v>1511</v>
      </c>
      <c r="D1017" s="157">
        <f>VLOOKUP(A1017, 'Purchase Register'!C:D, 2, FALSE)</f>
        <v>30</v>
      </c>
      <c r="E1017" s="157">
        <f>SUMIF('Sales Register'!C:C, A1017, 'Sales Register'!D:D)</f>
        <v>1</v>
      </c>
      <c r="F1017" s="29">
        <f t="shared" si="67"/>
        <v>29</v>
      </c>
    </row>
    <row r="1018" spans="1:6" ht="30" x14ac:dyDescent="0.25">
      <c r="A1018" s="19" t="s">
        <v>1508</v>
      </c>
      <c r="D1018" s="157">
        <f>VLOOKUP(A1018, 'Purchase Register'!C:D, 2, FALSE)</f>
        <v>40</v>
      </c>
      <c r="E1018" s="157">
        <f>SUMIF('Sales Register'!C:C, A1018, 'Sales Register'!D:D)</f>
        <v>7</v>
      </c>
      <c r="F1018" s="29">
        <f t="shared" si="67"/>
        <v>33</v>
      </c>
    </row>
    <row r="1019" spans="1:6" ht="30" x14ac:dyDescent="0.25">
      <c r="A1019" s="19" t="s">
        <v>1509</v>
      </c>
      <c r="D1019" s="157">
        <f>VLOOKUP(A1019, 'Purchase Register'!C:D, 2, FALSE)</f>
        <v>30</v>
      </c>
      <c r="E1019" s="157">
        <f>SUMIF('Sales Register'!C:C, A1019, 'Sales Register'!D:D)</f>
        <v>1</v>
      </c>
      <c r="F1019" s="29">
        <f t="shared" si="67"/>
        <v>29</v>
      </c>
    </row>
    <row r="1020" spans="1:6" ht="30" x14ac:dyDescent="0.25">
      <c r="A1020" s="19" t="s">
        <v>1512</v>
      </c>
      <c r="D1020" s="157">
        <f>VLOOKUP(A1020, 'Purchase Register'!C:D, 2, FALSE)</f>
        <v>30</v>
      </c>
      <c r="E1020" s="157">
        <f>SUMIF('Sales Register'!C:C, A1020, 'Sales Register'!D:D)</f>
        <v>0</v>
      </c>
      <c r="F1020" s="29">
        <f t="shared" si="67"/>
        <v>30</v>
      </c>
    </row>
    <row r="1021" spans="1:6" x14ac:dyDescent="0.25">
      <c r="A1021" s="19" t="s">
        <v>1513</v>
      </c>
      <c r="D1021" s="157">
        <f>VLOOKUP(A1021, 'Purchase Register'!C:D, 2, FALSE)</f>
        <v>210</v>
      </c>
      <c r="E1021" s="157">
        <f>SUMIF('Sales Register'!C:C, A1021, 'Sales Register'!D:D)</f>
        <v>194</v>
      </c>
      <c r="F1021" s="29">
        <f t="shared" si="67"/>
        <v>16</v>
      </c>
    </row>
    <row r="1022" spans="1:6" x14ac:dyDescent="0.25">
      <c r="D1022" s="157" t="e">
        <f>VLOOKUP(A1022, 'Purchase Register'!C:D, 2, FALSE)</f>
        <v>#N/A</v>
      </c>
      <c r="E1022" s="157">
        <f>SUMIF('Sales Register'!C:C, A1022, 'Sales Register'!D:D)</f>
        <v>0</v>
      </c>
      <c r="F1022" s="29" t="e">
        <f t="shared" si="67"/>
        <v>#N/A</v>
      </c>
    </row>
    <row r="1023" spans="1:6" x14ac:dyDescent="0.25">
      <c r="D1023" s="157" t="e">
        <f>VLOOKUP(A1023, 'Purchase Register'!C:D, 2, FALSE)</f>
        <v>#N/A</v>
      </c>
      <c r="E1023" s="157">
        <f>SUMIF('Sales Register'!C:C, A1023, 'Sales Register'!D:D)</f>
        <v>0</v>
      </c>
      <c r="F1023" s="29" t="e">
        <f t="shared" si="67"/>
        <v>#N/A</v>
      </c>
    </row>
    <row r="1024" spans="1:6" x14ac:dyDescent="0.25">
      <c r="D1024" s="157" t="e">
        <f>VLOOKUP(A1024, 'Purchase Register'!C:D, 2, FALSE)</f>
        <v>#N/A</v>
      </c>
      <c r="E1024" s="157">
        <f>SUMIF('Sales Register'!C:C, A1024, 'Sales Register'!D:D)</f>
        <v>0</v>
      </c>
      <c r="F1024" s="29" t="e">
        <f t="shared" si="67"/>
        <v>#N/A</v>
      </c>
    </row>
    <row r="1025" spans="4:6" x14ac:dyDescent="0.25">
      <c r="D1025" s="157" t="e">
        <f>VLOOKUP(A1025, 'Purchase Register'!C:D, 2, FALSE)</f>
        <v>#N/A</v>
      </c>
      <c r="E1025" s="157">
        <f>SUMIF('Sales Register'!C:C, A1025, 'Sales Register'!D:D)</f>
        <v>0</v>
      </c>
      <c r="F1025" s="29" t="e">
        <f t="shared" si="67"/>
        <v>#N/A</v>
      </c>
    </row>
    <row r="1026" spans="4:6" x14ac:dyDescent="0.25">
      <c r="D1026" s="157" t="e">
        <f>VLOOKUP(A1026, 'Purchase Register'!C:D, 2, FALSE)</f>
        <v>#N/A</v>
      </c>
      <c r="E1026" s="157">
        <f>SUMIF('Sales Register'!C:C, A1026, 'Sales Register'!D:D)</f>
        <v>0</v>
      </c>
      <c r="F1026" s="29" t="e">
        <f t="shared" si="67"/>
        <v>#N/A</v>
      </c>
    </row>
    <row r="1027" spans="4:6" x14ac:dyDescent="0.25">
      <c r="D1027" s="157" t="e">
        <f>VLOOKUP(A1027, 'Purchase Register'!C:D, 2, FALSE)</f>
        <v>#N/A</v>
      </c>
      <c r="E1027" s="157">
        <f>SUMIF('Sales Register'!C:C, A1027, 'Sales Register'!D:D)</f>
        <v>0</v>
      </c>
      <c r="F1027" s="29" t="e">
        <f t="shared" si="67"/>
        <v>#N/A</v>
      </c>
    </row>
    <row r="1028" spans="4:6" x14ac:dyDescent="0.25">
      <c r="D1028" s="157" t="e">
        <f>VLOOKUP(A1028, 'Purchase Register'!C:D, 2, FALSE)</f>
        <v>#N/A</v>
      </c>
      <c r="E1028" s="157">
        <f>SUMIF('Sales Register'!C:C, A1028, 'Sales Register'!D:D)</f>
        <v>0</v>
      </c>
      <c r="F1028" s="29" t="e">
        <f t="shared" si="67"/>
        <v>#N/A</v>
      </c>
    </row>
    <row r="1029" spans="4:6" x14ac:dyDescent="0.25">
      <c r="D1029" s="157" t="e">
        <f>VLOOKUP(A1029, 'Purchase Register'!C:D, 2, FALSE)</f>
        <v>#N/A</v>
      </c>
      <c r="E1029" s="157">
        <f>SUMIF('Sales Register'!C:C, A1029, 'Sales Register'!D:D)</f>
        <v>0</v>
      </c>
      <c r="F1029" s="29" t="e">
        <f t="shared" si="67"/>
        <v>#N/A</v>
      </c>
    </row>
    <row r="1030" spans="4:6" x14ac:dyDescent="0.25">
      <c r="D1030" s="157" t="e">
        <f>VLOOKUP(A1030, 'Purchase Register'!C:D, 2, FALSE)</f>
        <v>#N/A</v>
      </c>
      <c r="E1030" s="157">
        <f>SUMIF('Sales Register'!C:C, A1030, 'Sales Register'!D:D)</f>
        <v>0</v>
      </c>
      <c r="F1030" s="29" t="e">
        <f t="shared" si="67"/>
        <v>#N/A</v>
      </c>
    </row>
    <row r="1031" spans="4:6" x14ac:dyDescent="0.25">
      <c r="D1031" s="157" t="e">
        <f>VLOOKUP(A1031, 'Purchase Register'!C:D, 2, FALSE)</f>
        <v>#N/A</v>
      </c>
      <c r="E1031" s="157">
        <f>SUMIF('Sales Register'!C:C, A1031, 'Sales Register'!D:D)</f>
        <v>0</v>
      </c>
      <c r="F1031" s="29" t="e">
        <f t="shared" si="67"/>
        <v>#N/A</v>
      </c>
    </row>
    <row r="1032" spans="4:6" x14ac:dyDescent="0.25">
      <c r="D1032" s="157" t="e">
        <f>VLOOKUP(A1032, 'Purchase Register'!C:D, 2, FALSE)</f>
        <v>#N/A</v>
      </c>
      <c r="E1032" s="157">
        <f>SUMIF('Sales Register'!C:C, A1032, 'Sales Register'!D:D)</f>
        <v>0</v>
      </c>
      <c r="F1032" s="29" t="e">
        <f t="shared" si="67"/>
        <v>#N/A</v>
      </c>
    </row>
    <row r="1033" spans="4:6" x14ac:dyDescent="0.25">
      <c r="D1033" s="157" t="e">
        <f>VLOOKUP(A1033, 'Purchase Register'!C:D, 2, FALSE)</f>
        <v>#N/A</v>
      </c>
      <c r="E1033" s="157">
        <f>SUMIF('Sales Register'!C:C, A1033, 'Sales Register'!D:D)</f>
        <v>0</v>
      </c>
      <c r="F1033" s="29" t="e">
        <f t="shared" si="67"/>
        <v>#N/A</v>
      </c>
    </row>
    <row r="1034" spans="4:6" x14ac:dyDescent="0.25">
      <c r="D1034" s="157" t="e">
        <f>VLOOKUP(A1034, 'Purchase Register'!C:D, 2, FALSE)</f>
        <v>#N/A</v>
      </c>
      <c r="E1034" s="157">
        <f>SUMIF('Sales Register'!C:C, A1034, 'Sales Register'!D:D)</f>
        <v>0</v>
      </c>
      <c r="F1034" s="29" t="e">
        <f t="shared" si="67"/>
        <v>#N/A</v>
      </c>
    </row>
    <row r="1035" spans="4:6" x14ac:dyDescent="0.25">
      <c r="D1035" s="157" t="e">
        <f>VLOOKUP(A1035, 'Purchase Register'!C:D, 2, FALSE)</f>
        <v>#N/A</v>
      </c>
      <c r="E1035" s="157">
        <f>SUMIF('Sales Register'!C:C, A1035, 'Sales Register'!D:D)</f>
        <v>0</v>
      </c>
      <c r="F1035" s="29" t="e">
        <f t="shared" ref="F1035:F1098" si="68">C1035+D1035-E1035</f>
        <v>#N/A</v>
      </c>
    </row>
    <row r="1036" spans="4:6" x14ac:dyDescent="0.25">
      <c r="D1036" s="157" t="e">
        <f>VLOOKUP(A1036, 'Purchase Register'!C:D, 2, FALSE)</f>
        <v>#N/A</v>
      </c>
      <c r="E1036" s="157">
        <f>SUMIF('Sales Register'!C:C, A1036, 'Sales Register'!D:D)</f>
        <v>0</v>
      </c>
      <c r="F1036" s="29" t="e">
        <f t="shared" si="68"/>
        <v>#N/A</v>
      </c>
    </row>
    <row r="1037" spans="4:6" x14ac:dyDescent="0.25">
      <c r="D1037" s="157" t="e">
        <f>VLOOKUP(A1037, 'Purchase Register'!C:D, 2, FALSE)</f>
        <v>#N/A</v>
      </c>
      <c r="E1037" s="157">
        <f>SUMIF('Sales Register'!C:C, A1037, 'Sales Register'!D:D)</f>
        <v>0</v>
      </c>
      <c r="F1037" s="29" t="e">
        <f t="shared" si="68"/>
        <v>#N/A</v>
      </c>
    </row>
    <row r="1038" spans="4:6" x14ac:dyDescent="0.25">
      <c r="D1038" s="157" t="e">
        <f>VLOOKUP(A1038, 'Purchase Register'!C:D, 2, FALSE)</f>
        <v>#N/A</v>
      </c>
      <c r="E1038" s="157">
        <f>SUMIF('Sales Register'!C:C, A1038, 'Sales Register'!D:D)</f>
        <v>0</v>
      </c>
      <c r="F1038" s="29" t="e">
        <f t="shared" si="68"/>
        <v>#N/A</v>
      </c>
    </row>
    <row r="1039" spans="4:6" x14ac:dyDescent="0.25">
      <c r="D1039" s="157" t="e">
        <f>VLOOKUP(A1039, 'Purchase Register'!C:D, 2, FALSE)</f>
        <v>#N/A</v>
      </c>
      <c r="E1039" s="157">
        <f>SUMIF('Sales Register'!C:C, A1039, 'Sales Register'!D:D)</f>
        <v>0</v>
      </c>
      <c r="F1039" s="29" t="e">
        <f t="shared" si="68"/>
        <v>#N/A</v>
      </c>
    </row>
    <row r="1040" spans="4:6" x14ac:dyDescent="0.25">
      <c r="D1040" s="157" t="e">
        <f>VLOOKUP(A1040, 'Purchase Register'!C:D, 2, FALSE)</f>
        <v>#N/A</v>
      </c>
      <c r="E1040" s="157">
        <f>SUMIF('Sales Register'!C:C, A1040, 'Sales Register'!D:D)</f>
        <v>0</v>
      </c>
      <c r="F1040" s="29" t="e">
        <f t="shared" si="68"/>
        <v>#N/A</v>
      </c>
    </row>
    <row r="1041" spans="4:6" x14ac:dyDescent="0.25">
      <c r="D1041" s="157" t="e">
        <f>VLOOKUP(A1041, 'Purchase Register'!C:D, 2, FALSE)</f>
        <v>#N/A</v>
      </c>
      <c r="E1041" s="157">
        <f>SUMIF('Sales Register'!C:C, A1041, 'Sales Register'!D:D)</f>
        <v>0</v>
      </c>
      <c r="F1041" s="29" t="e">
        <f t="shared" si="68"/>
        <v>#N/A</v>
      </c>
    </row>
    <row r="1042" spans="4:6" x14ac:dyDescent="0.25">
      <c r="D1042" s="157" t="e">
        <f>VLOOKUP(A1042, 'Purchase Register'!C:D, 2, FALSE)</f>
        <v>#N/A</v>
      </c>
      <c r="E1042" s="157">
        <f>SUMIF('Sales Register'!C:C, A1042, 'Sales Register'!D:D)</f>
        <v>0</v>
      </c>
      <c r="F1042" s="29" t="e">
        <f t="shared" si="68"/>
        <v>#N/A</v>
      </c>
    </row>
    <row r="1043" spans="4:6" x14ac:dyDescent="0.25">
      <c r="D1043" s="157" t="e">
        <f>VLOOKUP(A1043, 'Purchase Register'!C:D, 2, FALSE)</f>
        <v>#N/A</v>
      </c>
      <c r="E1043" s="157">
        <f>SUMIF('Sales Register'!C:C, A1043, 'Sales Register'!D:D)</f>
        <v>0</v>
      </c>
      <c r="F1043" s="29" t="e">
        <f t="shared" si="68"/>
        <v>#N/A</v>
      </c>
    </row>
    <row r="1044" spans="4:6" x14ac:dyDescent="0.25">
      <c r="D1044" s="157" t="e">
        <f>VLOOKUP(A1044, 'Purchase Register'!C:D, 2, FALSE)</f>
        <v>#N/A</v>
      </c>
      <c r="E1044" s="157">
        <f>SUMIF('Sales Register'!C:C, A1044, 'Sales Register'!D:D)</f>
        <v>0</v>
      </c>
      <c r="F1044" s="29" t="e">
        <f t="shared" si="68"/>
        <v>#N/A</v>
      </c>
    </row>
    <row r="1045" spans="4:6" x14ac:dyDescent="0.25">
      <c r="D1045" s="157" t="e">
        <f>VLOOKUP(A1045, 'Purchase Register'!C:D, 2, FALSE)</f>
        <v>#N/A</v>
      </c>
      <c r="E1045" s="157">
        <f>SUMIF('Sales Register'!C:C, A1045, 'Sales Register'!D:D)</f>
        <v>0</v>
      </c>
      <c r="F1045" s="29" t="e">
        <f t="shared" si="68"/>
        <v>#N/A</v>
      </c>
    </row>
    <row r="1046" spans="4:6" x14ac:dyDescent="0.25">
      <c r="D1046" s="157" t="e">
        <f>VLOOKUP(A1046, 'Purchase Register'!C:D, 2, FALSE)</f>
        <v>#N/A</v>
      </c>
      <c r="E1046" s="157">
        <f>SUMIF('Sales Register'!C:C, A1046, 'Sales Register'!D:D)</f>
        <v>0</v>
      </c>
      <c r="F1046" s="29" t="e">
        <f t="shared" si="68"/>
        <v>#N/A</v>
      </c>
    </row>
    <row r="1047" spans="4:6" x14ac:dyDescent="0.25">
      <c r="D1047" s="157" t="e">
        <f>VLOOKUP(A1047, 'Purchase Register'!C:D, 2, FALSE)</f>
        <v>#N/A</v>
      </c>
      <c r="E1047" s="157">
        <f>SUMIF('Sales Register'!C:C, A1047, 'Sales Register'!D:D)</f>
        <v>0</v>
      </c>
      <c r="F1047" s="29" t="e">
        <f t="shared" si="68"/>
        <v>#N/A</v>
      </c>
    </row>
    <row r="1048" spans="4:6" x14ac:dyDescent="0.25">
      <c r="D1048" s="157" t="e">
        <f>VLOOKUP(A1048, 'Purchase Register'!C:D, 2, FALSE)</f>
        <v>#N/A</v>
      </c>
      <c r="E1048" s="157">
        <f>SUMIF('Sales Register'!C:C, A1048, 'Sales Register'!D:D)</f>
        <v>0</v>
      </c>
      <c r="F1048" s="29" t="e">
        <f t="shared" si="68"/>
        <v>#N/A</v>
      </c>
    </row>
    <row r="1049" spans="4:6" x14ac:dyDescent="0.25">
      <c r="D1049" s="157" t="e">
        <f>VLOOKUP(A1049, 'Purchase Register'!C:D, 2, FALSE)</f>
        <v>#N/A</v>
      </c>
      <c r="E1049" s="157">
        <f>SUMIF('Sales Register'!C:C, A1049, 'Sales Register'!D:D)</f>
        <v>0</v>
      </c>
      <c r="F1049" s="29" t="e">
        <f t="shared" si="68"/>
        <v>#N/A</v>
      </c>
    </row>
    <row r="1050" spans="4:6" x14ac:dyDescent="0.25">
      <c r="D1050" s="157" t="e">
        <f>VLOOKUP(A1050, 'Purchase Register'!C:D, 2, FALSE)</f>
        <v>#N/A</v>
      </c>
      <c r="E1050" s="157">
        <f>SUMIF('Sales Register'!C:C, A1050, 'Sales Register'!D:D)</f>
        <v>0</v>
      </c>
      <c r="F1050" s="29" t="e">
        <f t="shared" si="68"/>
        <v>#N/A</v>
      </c>
    </row>
    <row r="1051" spans="4:6" x14ac:dyDescent="0.25">
      <c r="D1051" s="157" t="e">
        <f>VLOOKUP(A1051, 'Purchase Register'!C:D, 2, FALSE)</f>
        <v>#N/A</v>
      </c>
      <c r="E1051" s="157">
        <f>SUMIF('Sales Register'!C:C, A1051, 'Sales Register'!D:D)</f>
        <v>0</v>
      </c>
      <c r="F1051" s="29" t="e">
        <f t="shared" si="68"/>
        <v>#N/A</v>
      </c>
    </row>
    <row r="1052" spans="4:6" x14ac:dyDescent="0.25">
      <c r="D1052" s="157" t="e">
        <f>VLOOKUP(A1052, 'Purchase Register'!C:D, 2, FALSE)</f>
        <v>#N/A</v>
      </c>
      <c r="E1052" s="157">
        <f>SUMIF('Sales Register'!C:C, A1052, 'Sales Register'!D:D)</f>
        <v>0</v>
      </c>
      <c r="F1052" s="29" t="e">
        <f t="shared" si="68"/>
        <v>#N/A</v>
      </c>
    </row>
    <row r="1053" spans="4:6" x14ac:dyDescent="0.25">
      <c r="D1053" s="157" t="e">
        <f>VLOOKUP(A1053, 'Purchase Register'!C:D, 2, FALSE)</f>
        <v>#N/A</v>
      </c>
      <c r="E1053" s="157">
        <f>SUMIF('Sales Register'!C:C, A1053, 'Sales Register'!D:D)</f>
        <v>0</v>
      </c>
      <c r="F1053" s="29" t="e">
        <f t="shared" si="68"/>
        <v>#N/A</v>
      </c>
    </row>
    <row r="1054" spans="4:6" x14ac:dyDescent="0.25">
      <c r="D1054" s="157" t="e">
        <f>VLOOKUP(A1054, 'Purchase Register'!C:D, 2, FALSE)</f>
        <v>#N/A</v>
      </c>
      <c r="E1054" s="157">
        <f>SUMIF('Sales Register'!C:C, A1054, 'Sales Register'!D:D)</f>
        <v>0</v>
      </c>
      <c r="F1054" s="29" t="e">
        <f t="shared" si="68"/>
        <v>#N/A</v>
      </c>
    </row>
    <row r="1055" spans="4:6" x14ac:dyDescent="0.25">
      <c r="D1055" s="157" t="e">
        <f>VLOOKUP(A1055, 'Purchase Register'!C:D, 2, FALSE)</f>
        <v>#N/A</v>
      </c>
      <c r="E1055" s="157">
        <f>SUMIF('Sales Register'!C:C, A1055, 'Sales Register'!D:D)</f>
        <v>0</v>
      </c>
      <c r="F1055" s="29" t="e">
        <f t="shared" si="68"/>
        <v>#N/A</v>
      </c>
    </row>
    <row r="1056" spans="4:6" x14ac:dyDescent="0.25">
      <c r="D1056" s="157" t="e">
        <f>VLOOKUP(A1056, 'Purchase Register'!C:D, 2, FALSE)</f>
        <v>#N/A</v>
      </c>
      <c r="E1056" s="157">
        <f>SUMIF('Sales Register'!C:C, A1056, 'Sales Register'!D:D)</f>
        <v>0</v>
      </c>
      <c r="F1056" s="29" t="e">
        <f t="shared" si="68"/>
        <v>#N/A</v>
      </c>
    </row>
    <row r="1057" spans="4:6" x14ac:dyDescent="0.25">
      <c r="D1057" s="157" t="e">
        <f>VLOOKUP(A1057, 'Purchase Register'!C:D, 2, FALSE)</f>
        <v>#N/A</v>
      </c>
      <c r="E1057" s="157">
        <f>SUMIF('Sales Register'!C:C, A1057, 'Sales Register'!D:D)</f>
        <v>0</v>
      </c>
      <c r="F1057" s="29" t="e">
        <f t="shared" si="68"/>
        <v>#N/A</v>
      </c>
    </row>
    <row r="1058" spans="4:6" x14ac:dyDescent="0.25">
      <c r="D1058" s="157" t="e">
        <f>VLOOKUP(A1058, 'Purchase Register'!C:D, 2, FALSE)</f>
        <v>#N/A</v>
      </c>
      <c r="E1058" s="157">
        <f>SUMIF('Sales Register'!C:C, A1058, 'Sales Register'!D:D)</f>
        <v>0</v>
      </c>
      <c r="F1058" s="29" t="e">
        <f t="shared" si="68"/>
        <v>#N/A</v>
      </c>
    </row>
    <row r="1059" spans="4:6" x14ac:dyDescent="0.25">
      <c r="D1059" s="157" t="e">
        <f>VLOOKUP(A1059, 'Purchase Register'!C:D, 2, FALSE)</f>
        <v>#N/A</v>
      </c>
      <c r="E1059" s="157">
        <f>SUMIF('Sales Register'!C:C, A1059, 'Sales Register'!D:D)</f>
        <v>0</v>
      </c>
      <c r="F1059" s="29" t="e">
        <f t="shared" si="68"/>
        <v>#N/A</v>
      </c>
    </row>
    <row r="1060" spans="4:6" x14ac:dyDescent="0.25">
      <c r="D1060" s="157" t="e">
        <f>VLOOKUP(A1060, 'Purchase Register'!C:D, 2, FALSE)</f>
        <v>#N/A</v>
      </c>
      <c r="E1060" s="157">
        <f>SUMIF('Sales Register'!C:C, A1060, 'Sales Register'!D:D)</f>
        <v>0</v>
      </c>
      <c r="F1060" s="29" t="e">
        <f t="shared" si="68"/>
        <v>#N/A</v>
      </c>
    </row>
    <row r="1061" spans="4:6" x14ac:dyDescent="0.25">
      <c r="D1061" s="157" t="e">
        <f>VLOOKUP(A1061, 'Purchase Register'!C:D, 2, FALSE)</f>
        <v>#N/A</v>
      </c>
      <c r="E1061" s="157">
        <f>SUMIF('Sales Register'!C:C, A1061, 'Sales Register'!D:D)</f>
        <v>0</v>
      </c>
      <c r="F1061" s="29" t="e">
        <f t="shared" si="68"/>
        <v>#N/A</v>
      </c>
    </row>
    <row r="1062" spans="4:6" x14ac:dyDescent="0.25">
      <c r="D1062" s="157" t="e">
        <f>VLOOKUP(A1062, 'Purchase Register'!C:D, 2, FALSE)</f>
        <v>#N/A</v>
      </c>
      <c r="E1062" s="157">
        <f>SUMIF('Sales Register'!C:C, A1062, 'Sales Register'!D:D)</f>
        <v>0</v>
      </c>
      <c r="F1062" s="29" t="e">
        <f t="shared" si="68"/>
        <v>#N/A</v>
      </c>
    </row>
    <row r="1063" spans="4:6" x14ac:dyDescent="0.25">
      <c r="D1063" s="157" t="e">
        <f>VLOOKUP(A1063, 'Purchase Register'!C:D, 2, FALSE)</f>
        <v>#N/A</v>
      </c>
      <c r="E1063" s="157">
        <f>SUMIF('Sales Register'!C:C, A1063, 'Sales Register'!D:D)</f>
        <v>0</v>
      </c>
      <c r="F1063" s="29" t="e">
        <f t="shared" si="68"/>
        <v>#N/A</v>
      </c>
    </row>
    <row r="1064" spans="4:6" x14ac:dyDescent="0.25">
      <c r="D1064" s="157" t="e">
        <f>VLOOKUP(A1064, 'Purchase Register'!C:D, 2, FALSE)</f>
        <v>#N/A</v>
      </c>
      <c r="E1064" s="157">
        <f>SUMIF('Sales Register'!C:C, A1064, 'Sales Register'!D:D)</f>
        <v>0</v>
      </c>
      <c r="F1064" s="29" t="e">
        <f t="shared" si="68"/>
        <v>#N/A</v>
      </c>
    </row>
    <row r="1065" spans="4:6" x14ac:dyDescent="0.25">
      <c r="D1065" s="157" t="e">
        <f>VLOOKUP(A1065, 'Purchase Register'!C:D, 2, FALSE)</f>
        <v>#N/A</v>
      </c>
      <c r="E1065" s="157">
        <f>SUMIF('Sales Register'!C:C, A1065, 'Sales Register'!D:D)</f>
        <v>0</v>
      </c>
      <c r="F1065" s="29" t="e">
        <f t="shared" si="68"/>
        <v>#N/A</v>
      </c>
    </row>
    <row r="1066" spans="4:6" x14ac:dyDescent="0.25">
      <c r="D1066" s="157" t="e">
        <f>VLOOKUP(A1066, 'Purchase Register'!C:D, 2, FALSE)</f>
        <v>#N/A</v>
      </c>
      <c r="E1066" s="157">
        <f>SUMIF('Sales Register'!C:C, A1066, 'Sales Register'!D:D)</f>
        <v>0</v>
      </c>
      <c r="F1066" s="29" t="e">
        <f t="shared" si="68"/>
        <v>#N/A</v>
      </c>
    </row>
    <row r="1067" spans="4:6" x14ac:dyDescent="0.25">
      <c r="D1067" s="157" t="e">
        <f>VLOOKUP(A1067, 'Purchase Register'!C:D, 2, FALSE)</f>
        <v>#N/A</v>
      </c>
      <c r="E1067" s="157">
        <f>SUMIF('Sales Register'!C:C, A1067, 'Sales Register'!D:D)</f>
        <v>0</v>
      </c>
      <c r="F1067" s="29" t="e">
        <f t="shared" si="68"/>
        <v>#N/A</v>
      </c>
    </row>
    <row r="1068" spans="4:6" x14ac:dyDescent="0.25">
      <c r="D1068" s="157" t="e">
        <f>VLOOKUP(A1068, 'Purchase Register'!C:D, 2, FALSE)</f>
        <v>#N/A</v>
      </c>
      <c r="E1068" s="157">
        <f>SUMIF('Sales Register'!C:C, A1068, 'Sales Register'!D:D)</f>
        <v>0</v>
      </c>
      <c r="F1068" s="29" t="e">
        <f t="shared" si="68"/>
        <v>#N/A</v>
      </c>
    </row>
    <row r="1069" spans="4:6" x14ac:dyDescent="0.25">
      <c r="D1069" s="157" t="e">
        <f>VLOOKUP(A1069, 'Purchase Register'!C:D, 2, FALSE)</f>
        <v>#N/A</v>
      </c>
      <c r="E1069" s="157">
        <f>SUMIF('Sales Register'!C:C, A1069, 'Sales Register'!D:D)</f>
        <v>0</v>
      </c>
      <c r="F1069" s="29" t="e">
        <f t="shared" si="68"/>
        <v>#N/A</v>
      </c>
    </row>
    <row r="1070" spans="4:6" x14ac:dyDescent="0.25">
      <c r="D1070" s="157" t="e">
        <f>VLOOKUP(A1070, 'Purchase Register'!C:D, 2, FALSE)</f>
        <v>#N/A</v>
      </c>
      <c r="E1070" s="157">
        <f>SUMIF('Sales Register'!C:C, A1070, 'Sales Register'!D:D)</f>
        <v>0</v>
      </c>
      <c r="F1070" s="29" t="e">
        <f t="shared" si="68"/>
        <v>#N/A</v>
      </c>
    </row>
    <row r="1071" spans="4:6" x14ac:dyDescent="0.25">
      <c r="D1071" s="157" t="e">
        <f>VLOOKUP(A1071, 'Purchase Register'!C:D, 2, FALSE)</f>
        <v>#N/A</v>
      </c>
      <c r="E1071" s="157">
        <f>SUMIF('Sales Register'!C:C, A1071, 'Sales Register'!D:D)</f>
        <v>0</v>
      </c>
      <c r="F1071" s="29" t="e">
        <f t="shared" si="68"/>
        <v>#N/A</v>
      </c>
    </row>
    <row r="1072" spans="4:6" x14ac:dyDescent="0.25">
      <c r="D1072" s="157" t="e">
        <f>VLOOKUP(A1072, 'Purchase Register'!C:D, 2, FALSE)</f>
        <v>#N/A</v>
      </c>
      <c r="E1072" s="157">
        <f>SUMIF('Sales Register'!C:C, A1072, 'Sales Register'!D:D)</f>
        <v>0</v>
      </c>
      <c r="F1072" s="29" t="e">
        <f t="shared" si="68"/>
        <v>#N/A</v>
      </c>
    </row>
    <row r="1073" spans="4:6" x14ac:dyDescent="0.25">
      <c r="D1073" s="157" t="e">
        <f>VLOOKUP(A1073, 'Purchase Register'!C:D, 2, FALSE)</f>
        <v>#N/A</v>
      </c>
      <c r="E1073" s="157">
        <f>SUMIF('Sales Register'!C:C, A1073, 'Sales Register'!D:D)</f>
        <v>0</v>
      </c>
      <c r="F1073" s="29" t="e">
        <f t="shared" si="68"/>
        <v>#N/A</v>
      </c>
    </row>
    <row r="1074" spans="4:6" x14ac:dyDescent="0.25">
      <c r="D1074" s="157" t="e">
        <f>VLOOKUP(A1074, 'Purchase Register'!C:D, 2, FALSE)</f>
        <v>#N/A</v>
      </c>
      <c r="E1074" s="157">
        <f>SUMIF('Sales Register'!C:C, A1074, 'Sales Register'!D:D)</f>
        <v>0</v>
      </c>
      <c r="F1074" s="29" t="e">
        <f t="shared" si="68"/>
        <v>#N/A</v>
      </c>
    </row>
    <row r="1075" spans="4:6" x14ac:dyDescent="0.25">
      <c r="D1075" s="157" t="e">
        <f>VLOOKUP(A1075, 'Purchase Register'!C:D, 2, FALSE)</f>
        <v>#N/A</v>
      </c>
      <c r="E1075" s="157">
        <f>SUMIF('Sales Register'!C:C, A1075, 'Sales Register'!D:D)</f>
        <v>0</v>
      </c>
      <c r="F1075" s="29" t="e">
        <f t="shared" si="68"/>
        <v>#N/A</v>
      </c>
    </row>
    <row r="1076" spans="4:6" x14ac:dyDescent="0.25">
      <c r="D1076" s="157" t="e">
        <f>VLOOKUP(A1076, 'Purchase Register'!C:D, 2, FALSE)</f>
        <v>#N/A</v>
      </c>
      <c r="E1076" s="157">
        <f>SUMIF('Sales Register'!C:C, A1076, 'Sales Register'!D:D)</f>
        <v>0</v>
      </c>
      <c r="F1076" s="29" t="e">
        <f t="shared" si="68"/>
        <v>#N/A</v>
      </c>
    </row>
    <row r="1077" spans="4:6" x14ac:dyDescent="0.25">
      <c r="D1077" s="157" t="e">
        <f>VLOOKUP(A1077, 'Purchase Register'!C:D, 2, FALSE)</f>
        <v>#N/A</v>
      </c>
      <c r="E1077" s="157">
        <f>SUMIF('Sales Register'!C:C, A1077, 'Sales Register'!D:D)</f>
        <v>0</v>
      </c>
      <c r="F1077" s="29" t="e">
        <f t="shared" si="68"/>
        <v>#N/A</v>
      </c>
    </row>
    <row r="1078" spans="4:6" x14ac:dyDescent="0.25">
      <c r="D1078" s="157" t="e">
        <f>VLOOKUP(A1078, 'Purchase Register'!C:D, 2, FALSE)</f>
        <v>#N/A</v>
      </c>
      <c r="E1078" s="157">
        <f>SUMIF('Sales Register'!C:C, A1078, 'Sales Register'!D:D)</f>
        <v>0</v>
      </c>
      <c r="F1078" s="29" t="e">
        <f t="shared" si="68"/>
        <v>#N/A</v>
      </c>
    </row>
    <row r="1079" spans="4:6" x14ac:dyDescent="0.25">
      <c r="D1079" s="157" t="e">
        <f>VLOOKUP(A1079, 'Purchase Register'!C:D, 2, FALSE)</f>
        <v>#N/A</v>
      </c>
      <c r="E1079" s="157">
        <f>SUMIF('Sales Register'!C:C, A1079, 'Sales Register'!D:D)</f>
        <v>0</v>
      </c>
      <c r="F1079" s="29" t="e">
        <f t="shared" si="68"/>
        <v>#N/A</v>
      </c>
    </row>
    <row r="1080" spans="4:6" x14ac:dyDescent="0.25">
      <c r="D1080" s="157" t="e">
        <f>VLOOKUP(A1080, 'Purchase Register'!C:D, 2, FALSE)</f>
        <v>#N/A</v>
      </c>
      <c r="E1080" s="157">
        <f>SUMIF('Sales Register'!C:C, A1080, 'Sales Register'!D:D)</f>
        <v>0</v>
      </c>
      <c r="F1080" s="29" t="e">
        <f t="shared" si="68"/>
        <v>#N/A</v>
      </c>
    </row>
    <row r="1081" spans="4:6" x14ac:dyDescent="0.25">
      <c r="D1081" s="157" t="e">
        <f>VLOOKUP(A1081, 'Purchase Register'!C:D, 2, FALSE)</f>
        <v>#N/A</v>
      </c>
      <c r="E1081" s="157">
        <f>SUMIF('Sales Register'!C:C, A1081, 'Sales Register'!D:D)</f>
        <v>0</v>
      </c>
      <c r="F1081" s="29" t="e">
        <f t="shared" si="68"/>
        <v>#N/A</v>
      </c>
    </row>
    <row r="1082" spans="4:6" x14ac:dyDescent="0.25">
      <c r="D1082" s="157" t="e">
        <f>VLOOKUP(A1082, 'Purchase Register'!C:D, 2, FALSE)</f>
        <v>#N/A</v>
      </c>
      <c r="E1082" s="157">
        <f>SUMIF('Sales Register'!C:C, A1082, 'Sales Register'!D:D)</f>
        <v>0</v>
      </c>
      <c r="F1082" s="29" t="e">
        <f t="shared" si="68"/>
        <v>#N/A</v>
      </c>
    </row>
    <row r="1083" spans="4:6" x14ac:dyDescent="0.25">
      <c r="D1083" s="157" t="e">
        <f>VLOOKUP(A1083, 'Purchase Register'!C:D, 2, FALSE)</f>
        <v>#N/A</v>
      </c>
      <c r="E1083" s="157">
        <f>SUMIF('Sales Register'!C:C, A1083, 'Sales Register'!D:D)</f>
        <v>0</v>
      </c>
      <c r="F1083" s="29" t="e">
        <f t="shared" si="68"/>
        <v>#N/A</v>
      </c>
    </row>
    <row r="1084" spans="4:6" x14ac:dyDescent="0.25">
      <c r="D1084" s="157" t="e">
        <f>VLOOKUP(A1084, 'Purchase Register'!C:D, 2, FALSE)</f>
        <v>#N/A</v>
      </c>
      <c r="E1084" s="157">
        <f>SUMIF('Sales Register'!C:C, A1084, 'Sales Register'!D:D)</f>
        <v>0</v>
      </c>
      <c r="F1084" s="29" t="e">
        <f t="shared" si="68"/>
        <v>#N/A</v>
      </c>
    </row>
    <row r="1085" spans="4:6" x14ac:dyDescent="0.25">
      <c r="D1085" s="157" t="e">
        <f>VLOOKUP(A1085, 'Purchase Register'!C:D, 2, FALSE)</f>
        <v>#N/A</v>
      </c>
      <c r="E1085" s="157">
        <f>SUMIF('Sales Register'!C:C, A1085, 'Sales Register'!D:D)</f>
        <v>0</v>
      </c>
      <c r="F1085" s="29" t="e">
        <f t="shared" si="68"/>
        <v>#N/A</v>
      </c>
    </row>
    <row r="1086" spans="4:6" x14ac:dyDescent="0.25">
      <c r="D1086" s="157" t="e">
        <f>VLOOKUP(A1086, 'Purchase Register'!C:D, 2, FALSE)</f>
        <v>#N/A</v>
      </c>
      <c r="E1086" s="157">
        <f>SUMIF('Sales Register'!C:C, A1086, 'Sales Register'!D:D)</f>
        <v>0</v>
      </c>
      <c r="F1086" s="29" t="e">
        <f t="shared" si="68"/>
        <v>#N/A</v>
      </c>
    </row>
    <row r="1087" spans="4:6" x14ac:dyDescent="0.25">
      <c r="D1087" s="157" t="e">
        <f>VLOOKUP(A1087, 'Purchase Register'!C:D, 2, FALSE)</f>
        <v>#N/A</v>
      </c>
      <c r="E1087" s="157">
        <f>SUMIF('Sales Register'!C:C, A1087, 'Sales Register'!D:D)</f>
        <v>0</v>
      </c>
      <c r="F1087" s="29" t="e">
        <f t="shared" si="68"/>
        <v>#N/A</v>
      </c>
    </row>
    <row r="1088" spans="4:6" x14ac:dyDescent="0.25">
      <c r="D1088" s="157" t="e">
        <f>VLOOKUP(A1088, 'Purchase Register'!C:D, 2, FALSE)</f>
        <v>#N/A</v>
      </c>
      <c r="E1088" s="157">
        <f>SUMIF('Sales Register'!C:C, A1088, 'Sales Register'!D:D)</f>
        <v>0</v>
      </c>
      <c r="F1088" s="29" t="e">
        <f t="shared" si="68"/>
        <v>#N/A</v>
      </c>
    </row>
    <row r="1089" spans="4:6" x14ac:dyDescent="0.25">
      <c r="D1089" s="157" t="e">
        <f>VLOOKUP(A1089, 'Purchase Register'!C:D, 2, FALSE)</f>
        <v>#N/A</v>
      </c>
      <c r="E1089" s="157">
        <f>SUMIF('Sales Register'!C:C, A1089, 'Sales Register'!D:D)</f>
        <v>0</v>
      </c>
      <c r="F1089" s="29" t="e">
        <f t="shared" si="68"/>
        <v>#N/A</v>
      </c>
    </row>
    <row r="1090" spans="4:6" x14ac:dyDescent="0.25">
      <c r="D1090" s="157" t="e">
        <f>VLOOKUP(A1090, 'Purchase Register'!C:D, 2, FALSE)</f>
        <v>#N/A</v>
      </c>
      <c r="E1090" s="157">
        <f>SUMIF('Sales Register'!C:C, A1090, 'Sales Register'!D:D)</f>
        <v>0</v>
      </c>
      <c r="F1090" s="29" t="e">
        <f t="shared" si="68"/>
        <v>#N/A</v>
      </c>
    </row>
    <row r="1091" spans="4:6" x14ac:dyDescent="0.25">
      <c r="D1091" s="157" t="e">
        <f>VLOOKUP(A1091, 'Purchase Register'!C:D, 2, FALSE)</f>
        <v>#N/A</v>
      </c>
      <c r="E1091" s="157">
        <f>SUMIF('Sales Register'!C:C, A1091, 'Sales Register'!D:D)</f>
        <v>0</v>
      </c>
      <c r="F1091" s="29" t="e">
        <f t="shared" si="68"/>
        <v>#N/A</v>
      </c>
    </row>
    <row r="1092" spans="4:6" x14ac:dyDescent="0.25">
      <c r="D1092" s="157" t="e">
        <f>VLOOKUP(A1092, 'Purchase Register'!C:D, 2, FALSE)</f>
        <v>#N/A</v>
      </c>
      <c r="E1092" s="157">
        <f>SUMIF('Sales Register'!C:C, A1092, 'Sales Register'!D:D)</f>
        <v>0</v>
      </c>
      <c r="F1092" s="29" t="e">
        <f t="shared" si="68"/>
        <v>#N/A</v>
      </c>
    </row>
    <row r="1093" spans="4:6" x14ac:dyDescent="0.25">
      <c r="D1093" s="157" t="e">
        <f>VLOOKUP(A1093, 'Purchase Register'!C:D, 2, FALSE)</f>
        <v>#N/A</v>
      </c>
      <c r="E1093" s="157">
        <f>SUMIF('Sales Register'!C:C, A1093, 'Sales Register'!D:D)</f>
        <v>0</v>
      </c>
      <c r="F1093" s="29" t="e">
        <f t="shared" si="68"/>
        <v>#N/A</v>
      </c>
    </row>
    <row r="1094" spans="4:6" x14ac:dyDescent="0.25">
      <c r="D1094" s="157" t="e">
        <f>VLOOKUP(A1094, 'Purchase Register'!C:D, 2, FALSE)</f>
        <v>#N/A</v>
      </c>
      <c r="E1094" s="157">
        <f>SUMIF('Sales Register'!C:C, A1094, 'Sales Register'!D:D)</f>
        <v>0</v>
      </c>
      <c r="F1094" s="29" t="e">
        <f t="shared" si="68"/>
        <v>#N/A</v>
      </c>
    </row>
    <row r="1095" spans="4:6" x14ac:dyDescent="0.25">
      <c r="D1095" s="157" t="e">
        <f>VLOOKUP(A1095, 'Purchase Register'!C:D, 2, FALSE)</f>
        <v>#N/A</v>
      </c>
      <c r="E1095" s="157">
        <f>SUMIF('Sales Register'!C:C, A1095, 'Sales Register'!D:D)</f>
        <v>0</v>
      </c>
      <c r="F1095" s="29" t="e">
        <f t="shared" si="68"/>
        <v>#N/A</v>
      </c>
    </row>
    <row r="1096" spans="4:6" x14ac:dyDescent="0.25">
      <c r="D1096" s="157" t="e">
        <f>VLOOKUP(A1096, 'Purchase Register'!C:D, 2, FALSE)</f>
        <v>#N/A</v>
      </c>
      <c r="E1096" s="157">
        <f>SUMIF('Sales Register'!C:C, A1096, 'Sales Register'!D:D)</f>
        <v>0</v>
      </c>
      <c r="F1096" s="29" t="e">
        <f t="shared" si="68"/>
        <v>#N/A</v>
      </c>
    </row>
    <row r="1097" spans="4:6" x14ac:dyDescent="0.25">
      <c r="D1097" s="157" t="e">
        <f>VLOOKUP(A1097, 'Purchase Register'!C:D, 2, FALSE)</f>
        <v>#N/A</v>
      </c>
      <c r="E1097" s="157">
        <f>SUMIF('Sales Register'!C:C, A1097, 'Sales Register'!D:D)</f>
        <v>0</v>
      </c>
      <c r="F1097" s="29" t="e">
        <f t="shared" si="68"/>
        <v>#N/A</v>
      </c>
    </row>
    <row r="1098" spans="4:6" x14ac:dyDescent="0.25">
      <c r="D1098" s="157" t="e">
        <f>VLOOKUP(A1098, 'Purchase Register'!C:D, 2, FALSE)</f>
        <v>#N/A</v>
      </c>
      <c r="E1098" s="157">
        <f>SUMIF('Sales Register'!C:C, A1098, 'Sales Register'!D:D)</f>
        <v>0</v>
      </c>
      <c r="F1098" s="29" t="e">
        <f t="shared" si="68"/>
        <v>#N/A</v>
      </c>
    </row>
    <row r="1099" spans="4:6" x14ac:dyDescent="0.25">
      <c r="D1099" s="157" t="e">
        <f>VLOOKUP(A1099, 'Purchase Register'!C:D, 2, FALSE)</f>
        <v>#N/A</v>
      </c>
      <c r="E1099" s="157">
        <f>SUMIF('Sales Register'!C:C, A1099, 'Sales Register'!D:D)</f>
        <v>0</v>
      </c>
      <c r="F1099" s="29" t="e">
        <f t="shared" ref="F1099:F1162" si="69">C1099+D1099-E1099</f>
        <v>#N/A</v>
      </c>
    </row>
    <row r="1100" spans="4:6" x14ac:dyDescent="0.25">
      <c r="D1100" s="157" t="e">
        <f>VLOOKUP(A1100, 'Purchase Register'!C:D, 2, FALSE)</f>
        <v>#N/A</v>
      </c>
      <c r="E1100" s="157">
        <f>SUMIF('Sales Register'!C:C, A1100, 'Sales Register'!D:D)</f>
        <v>0</v>
      </c>
      <c r="F1100" s="29" t="e">
        <f t="shared" si="69"/>
        <v>#N/A</v>
      </c>
    </row>
    <row r="1101" spans="4:6" x14ac:dyDescent="0.25">
      <c r="D1101" s="157" t="e">
        <f>VLOOKUP(A1101, 'Purchase Register'!C:D, 2, FALSE)</f>
        <v>#N/A</v>
      </c>
      <c r="E1101" s="157">
        <f>SUMIF('Sales Register'!C:C, A1101, 'Sales Register'!D:D)</f>
        <v>0</v>
      </c>
      <c r="F1101" s="29" t="e">
        <f t="shared" si="69"/>
        <v>#N/A</v>
      </c>
    </row>
    <row r="1102" spans="4:6" x14ac:dyDescent="0.25">
      <c r="D1102" s="157" t="e">
        <f>VLOOKUP(A1102, 'Purchase Register'!C:D, 2, FALSE)</f>
        <v>#N/A</v>
      </c>
      <c r="E1102" s="157">
        <f>SUMIF('Sales Register'!C:C, A1102, 'Sales Register'!D:D)</f>
        <v>0</v>
      </c>
      <c r="F1102" s="29" t="e">
        <f t="shared" si="69"/>
        <v>#N/A</v>
      </c>
    </row>
    <row r="1103" spans="4:6" x14ac:dyDescent="0.25">
      <c r="D1103" s="157" t="e">
        <f>VLOOKUP(A1103, 'Purchase Register'!C:D, 2, FALSE)</f>
        <v>#N/A</v>
      </c>
      <c r="E1103" s="157">
        <f>SUMIF('Sales Register'!C:C, A1103, 'Sales Register'!D:D)</f>
        <v>0</v>
      </c>
      <c r="F1103" s="29" t="e">
        <f t="shared" si="69"/>
        <v>#N/A</v>
      </c>
    </row>
    <row r="1104" spans="4:6" x14ac:dyDescent="0.25">
      <c r="D1104" s="157" t="e">
        <f>VLOOKUP(A1104, 'Purchase Register'!C:D, 2, FALSE)</f>
        <v>#N/A</v>
      </c>
      <c r="E1104" s="157">
        <f>SUMIF('Sales Register'!C:C, A1104, 'Sales Register'!D:D)</f>
        <v>0</v>
      </c>
      <c r="F1104" s="29" t="e">
        <f t="shared" si="69"/>
        <v>#N/A</v>
      </c>
    </row>
    <row r="1105" spans="4:6" x14ac:dyDescent="0.25">
      <c r="D1105" s="157" t="e">
        <f>VLOOKUP(A1105, 'Purchase Register'!C:D, 2, FALSE)</f>
        <v>#N/A</v>
      </c>
      <c r="E1105" s="157">
        <f>SUMIF('Sales Register'!C:C, A1105, 'Sales Register'!D:D)</f>
        <v>0</v>
      </c>
      <c r="F1105" s="29" t="e">
        <f t="shared" si="69"/>
        <v>#N/A</v>
      </c>
    </row>
    <row r="1106" spans="4:6" x14ac:dyDescent="0.25">
      <c r="D1106" s="157" t="e">
        <f>VLOOKUP(A1106, 'Purchase Register'!C:D, 2, FALSE)</f>
        <v>#N/A</v>
      </c>
      <c r="E1106" s="157">
        <f>SUMIF('Sales Register'!C:C, A1106, 'Sales Register'!D:D)</f>
        <v>0</v>
      </c>
      <c r="F1106" s="29" t="e">
        <f t="shared" si="69"/>
        <v>#N/A</v>
      </c>
    </row>
    <row r="1107" spans="4:6" x14ac:dyDescent="0.25">
      <c r="D1107" s="157" t="e">
        <f>VLOOKUP(A1107, 'Purchase Register'!C:D, 2, FALSE)</f>
        <v>#N/A</v>
      </c>
      <c r="E1107" s="157">
        <f>SUMIF('Sales Register'!C:C, A1107, 'Sales Register'!D:D)</f>
        <v>0</v>
      </c>
      <c r="F1107" s="29" t="e">
        <f t="shared" si="69"/>
        <v>#N/A</v>
      </c>
    </row>
    <row r="1108" spans="4:6" x14ac:dyDescent="0.25">
      <c r="D1108" s="157" t="e">
        <f>VLOOKUP(A1108, 'Purchase Register'!C:D, 2, FALSE)</f>
        <v>#N/A</v>
      </c>
      <c r="E1108" s="157">
        <f>SUMIF('Sales Register'!C:C, A1108, 'Sales Register'!D:D)</f>
        <v>0</v>
      </c>
      <c r="F1108" s="29" t="e">
        <f t="shared" si="69"/>
        <v>#N/A</v>
      </c>
    </row>
    <row r="1109" spans="4:6" x14ac:dyDescent="0.25">
      <c r="D1109" s="157" t="e">
        <f>VLOOKUP(A1109, 'Purchase Register'!C:D, 2, FALSE)</f>
        <v>#N/A</v>
      </c>
      <c r="E1109" s="157">
        <f>SUMIF('Sales Register'!C:C, A1109, 'Sales Register'!D:D)</f>
        <v>0</v>
      </c>
      <c r="F1109" s="29" t="e">
        <f t="shared" si="69"/>
        <v>#N/A</v>
      </c>
    </row>
    <row r="1110" spans="4:6" x14ac:dyDescent="0.25">
      <c r="D1110" s="157" t="e">
        <f>VLOOKUP(A1110, 'Purchase Register'!C:D, 2, FALSE)</f>
        <v>#N/A</v>
      </c>
      <c r="E1110" s="157">
        <f>SUMIF('Sales Register'!C:C, A1110, 'Sales Register'!D:D)</f>
        <v>0</v>
      </c>
      <c r="F1110" s="29" t="e">
        <f t="shared" si="69"/>
        <v>#N/A</v>
      </c>
    </row>
    <row r="1111" spans="4:6" x14ac:dyDescent="0.25">
      <c r="D1111" s="157" t="e">
        <f>VLOOKUP(A1111, 'Purchase Register'!C:D, 2, FALSE)</f>
        <v>#N/A</v>
      </c>
      <c r="E1111" s="157">
        <f>SUMIF('Sales Register'!C:C, A1111, 'Sales Register'!D:D)</f>
        <v>0</v>
      </c>
      <c r="F1111" s="29" t="e">
        <f t="shared" si="69"/>
        <v>#N/A</v>
      </c>
    </row>
    <row r="1112" spans="4:6" x14ac:dyDescent="0.25">
      <c r="D1112" s="157" t="e">
        <f>VLOOKUP(A1112, 'Purchase Register'!C:D, 2, FALSE)</f>
        <v>#N/A</v>
      </c>
      <c r="E1112" s="157">
        <f>SUMIF('Sales Register'!C:C, A1112, 'Sales Register'!D:D)</f>
        <v>0</v>
      </c>
      <c r="F1112" s="29" t="e">
        <f t="shared" si="69"/>
        <v>#N/A</v>
      </c>
    </row>
    <row r="1113" spans="4:6" x14ac:dyDescent="0.25">
      <c r="D1113" s="157" t="e">
        <f>VLOOKUP(A1113, 'Purchase Register'!C:D, 2, FALSE)</f>
        <v>#N/A</v>
      </c>
      <c r="E1113" s="157">
        <f>SUMIF('Sales Register'!C:C, A1113, 'Sales Register'!D:D)</f>
        <v>0</v>
      </c>
      <c r="F1113" s="29" t="e">
        <f t="shared" si="69"/>
        <v>#N/A</v>
      </c>
    </row>
    <row r="1114" spans="4:6" x14ac:dyDescent="0.25">
      <c r="D1114" s="157" t="e">
        <f>VLOOKUP(A1114, 'Purchase Register'!C:D, 2, FALSE)</f>
        <v>#N/A</v>
      </c>
      <c r="E1114" s="157">
        <f>SUMIF('Sales Register'!C:C, A1114, 'Sales Register'!D:D)</f>
        <v>0</v>
      </c>
      <c r="F1114" s="29" t="e">
        <f t="shared" si="69"/>
        <v>#N/A</v>
      </c>
    </row>
    <row r="1115" spans="4:6" x14ac:dyDescent="0.25">
      <c r="D1115" s="157" t="e">
        <f>VLOOKUP(A1115, 'Purchase Register'!C:D, 2, FALSE)</f>
        <v>#N/A</v>
      </c>
      <c r="E1115" s="157">
        <f>SUMIF('Sales Register'!C:C, A1115, 'Sales Register'!D:D)</f>
        <v>0</v>
      </c>
      <c r="F1115" s="29" t="e">
        <f t="shared" si="69"/>
        <v>#N/A</v>
      </c>
    </row>
    <row r="1116" spans="4:6" x14ac:dyDescent="0.25">
      <c r="D1116" s="157" t="e">
        <f>VLOOKUP(A1116, 'Purchase Register'!C:D, 2, FALSE)</f>
        <v>#N/A</v>
      </c>
      <c r="E1116" s="157">
        <f>SUMIF('Sales Register'!C:C, A1116, 'Sales Register'!D:D)</f>
        <v>0</v>
      </c>
      <c r="F1116" s="29" t="e">
        <f t="shared" si="69"/>
        <v>#N/A</v>
      </c>
    </row>
    <row r="1117" spans="4:6" x14ac:dyDescent="0.25">
      <c r="D1117" s="157" t="e">
        <f>VLOOKUP(A1117, 'Purchase Register'!C:D, 2, FALSE)</f>
        <v>#N/A</v>
      </c>
      <c r="E1117" s="157">
        <f>SUMIF('Sales Register'!C:C, A1117, 'Sales Register'!D:D)</f>
        <v>0</v>
      </c>
      <c r="F1117" s="29" t="e">
        <f t="shared" si="69"/>
        <v>#N/A</v>
      </c>
    </row>
    <row r="1118" spans="4:6" x14ac:dyDescent="0.25">
      <c r="D1118" s="157" t="e">
        <f>VLOOKUP(A1118, 'Purchase Register'!C:D, 2, FALSE)</f>
        <v>#N/A</v>
      </c>
      <c r="E1118" s="157">
        <f>SUMIF('Sales Register'!C:C, A1118, 'Sales Register'!D:D)</f>
        <v>0</v>
      </c>
      <c r="F1118" s="29" t="e">
        <f t="shared" si="69"/>
        <v>#N/A</v>
      </c>
    </row>
    <row r="1119" spans="4:6" x14ac:dyDescent="0.25">
      <c r="D1119" s="157" t="e">
        <f>VLOOKUP(A1119, 'Purchase Register'!C:D, 2, FALSE)</f>
        <v>#N/A</v>
      </c>
      <c r="E1119" s="157">
        <f>SUMIF('Sales Register'!C:C, A1119, 'Sales Register'!D:D)</f>
        <v>0</v>
      </c>
      <c r="F1119" s="29" t="e">
        <f t="shared" si="69"/>
        <v>#N/A</v>
      </c>
    </row>
    <row r="1120" spans="4:6" x14ac:dyDescent="0.25">
      <c r="D1120" s="157" t="e">
        <f>VLOOKUP(A1120, 'Purchase Register'!C:D, 2, FALSE)</f>
        <v>#N/A</v>
      </c>
      <c r="E1120" s="157">
        <f>SUMIF('Sales Register'!C:C, A1120, 'Sales Register'!D:D)</f>
        <v>0</v>
      </c>
      <c r="F1120" s="29" t="e">
        <f t="shared" si="69"/>
        <v>#N/A</v>
      </c>
    </row>
    <row r="1121" spans="4:6" x14ac:dyDescent="0.25">
      <c r="D1121" s="157" t="e">
        <f>VLOOKUP(A1121, 'Purchase Register'!C:D, 2, FALSE)</f>
        <v>#N/A</v>
      </c>
      <c r="E1121" s="157">
        <f>SUMIF('Sales Register'!C:C, A1121, 'Sales Register'!D:D)</f>
        <v>0</v>
      </c>
      <c r="F1121" s="29" t="e">
        <f t="shared" si="69"/>
        <v>#N/A</v>
      </c>
    </row>
    <row r="1122" spans="4:6" x14ac:dyDescent="0.25">
      <c r="D1122" s="157" t="e">
        <f>VLOOKUP(A1122, 'Purchase Register'!C:D, 2, FALSE)</f>
        <v>#N/A</v>
      </c>
      <c r="E1122" s="157">
        <f>SUMIF('Sales Register'!C:C, A1122, 'Sales Register'!D:D)</f>
        <v>0</v>
      </c>
      <c r="F1122" s="29" t="e">
        <f t="shared" si="69"/>
        <v>#N/A</v>
      </c>
    </row>
    <row r="1123" spans="4:6" x14ac:dyDescent="0.25">
      <c r="D1123" s="157" t="e">
        <f>VLOOKUP(A1123, 'Purchase Register'!C:D, 2, FALSE)</f>
        <v>#N/A</v>
      </c>
      <c r="E1123" s="157">
        <f>SUMIF('Sales Register'!C:C, A1123, 'Sales Register'!D:D)</f>
        <v>0</v>
      </c>
      <c r="F1123" s="29" t="e">
        <f t="shared" si="69"/>
        <v>#N/A</v>
      </c>
    </row>
    <row r="1124" spans="4:6" x14ac:dyDescent="0.25">
      <c r="D1124" s="157" t="e">
        <f>VLOOKUP(A1124, 'Purchase Register'!C:D, 2, FALSE)</f>
        <v>#N/A</v>
      </c>
      <c r="E1124" s="157">
        <f>SUMIF('Sales Register'!C:C, A1124, 'Sales Register'!D:D)</f>
        <v>0</v>
      </c>
      <c r="F1124" s="29" t="e">
        <f t="shared" si="69"/>
        <v>#N/A</v>
      </c>
    </row>
    <row r="1125" spans="4:6" x14ac:dyDescent="0.25">
      <c r="D1125" s="157" t="e">
        <f>VLOOKUP(A1125, 'Purchase Register'!C:D, 2, FALSE)</f>
        <v>#N/A</v>
      </c>
      <c r="E1125" s="157">
        <f>SUMIF('Sales Register'!C:C, A1125, 'Sales Register'!D:D)</f>
        <v>0</v>
      </c>
      <c r="F1125" s="29" t="e">
        <f t="shared" si="69"/>
        <v>#N/A</v>
      </c>
    </row>
    <row r="1126" spans="4:6" x14ac:dyDescent="0.25">
      <c r="D1126" s="157" t="e">
        <f>VLOOKUP(A1126, 'Purchase Register'!C:D, 2, FALSE)</f>
        <v>#N/A</v>
      </c>
      <c r="E1126" s="157">
        <f>SUMIF('Sales Register'!C:C, A1126, 'Sales Register'!D:D)</f>
        <v>0</v>
      </c>
      <c r="F1126" s="29" t="e">
        <f t="shared" si="69"/>
        <v>#N/A</v>
      </c>
    </row>
    <row r="1127" spans="4:6" x14ac:dyDescent="0.25">
      <c r="D1127" s="157" t="e">
        <f>VLOOKUP(A1127, 'Purchase Register'!C:D, 2, FALSE)</f>
        <v>#N/A</v>
      </c>
      <c r="E1127" s="157">
        <f>SUMIF('Sales Register'!C:C, A1127, 'Sales Register'!D:D)</f>
        <v>0</v>
      </c>
      <c r="F1127" s="29" t="e">
        <f t="shared" si="69"/>
        <v>#N/A</v>
      </c>
    </row>
    <row r="1128" spans="4:6" x14ac:dyDescent="0.25">
      <c r="D1128" s="157" t="e">
        <f>VLOOKUP(A1128, 'Purchase Register'!C:D, 2, FALSE)</f>
        <v>#N/A</v>
      </c>
      <c r="E1128" s="157">
        <f>SUMIF('Sales Register'!C:C, A1128, 'Sales Register'!D:D)</f>
        <v>0</v>
      </c>
      <c r="F1128" s="29" t="e">
        <f t="shared" si="69"/>
        <v>#N/A</v>
      </c>
    </row>
    <row r="1129" spans="4:6" x14ac:dyDescent="0.25">
      <c r="D1129" s="157" t="e">
        <f>VLOOKUP(A1129, 'Purchase Register'!C:D, 2, FALSE)</f>
        <v>#N/A</v>
      </c>
      <c r="E1129" s="157">
        <f>SUMIF('Sales Register'!C:C, A1129, 'Sales Register'!D:D)</f>
        <v>0</v>
      </c>
      <c r="F1129" s="29" t="e">
        <f t="shared" si="69"/>
        <v>#N/A</v>
      </c>
    </row>
    <row r="1130" spans="4:6" x14ac:dyDescent="0.25">
      <c r="D1130" s="157" t="e">
        <f>VLOOKUP(A1130, 'Purchase Register'!C:D, 2, FALSE)</f>
        <v>#N/A</v>
      </c>
      <c r="E1130" s="157">
        <f>SUMIF('Sales Register'!C:C, A1130, 'Sales Register'!D:D)</f>
        <v>0</v>
      </c>
      <c r="F1130" s="29" t="e">
        <f t="shared" si="69"/>
        <v>#N/A</v>
      </c>
    </row>
    <row r="1131" spans="4:6" x14ac:dyDescent="0.25">
      <c r="D1131" s="157" t="e">
        <f>VLOOKUP(A1131, 'Purchase Register'!C:D, 2, FALSE)</f>
        <v>#N/A</v>
      </c>
      <c r="E1131" s="157">
        <f>SUMIF('Sales Register'!C:C, A1131, 'Sales Register'!D:D)</f>
        <v>0</v>
      </c>
      <c r="F1131" s="29" t="e">
        <f t="shared" si="69"/>
        <v>#N/A</v>
      </c>
    </row>
    <row r="1132" spans="4:6" x14ac:dyDescent="0.25">
      <c r="D1132" s="157" t="e">
        <f>VLOOKUP(A1132, 'Purchase Register'!C:D, 2, FALSE)</f>
        <v>#N/A</v>
      </c>
      <c r="E1132" s="157">
        <f>SUMIF('Sales Register'!C:C, A1132, 'Sales Register'!D:D)</f>
        <v>0</v>
      </c>
      <c r="F1132" s="29" t="e">
        <f t="shared" si="69"/>
        <v>#N/A</v>
      </c>
    </row>
    <row r="1133" spans="4:6" x14ac:dyDescent="0.25">
      <c r="D1133" s="157" t="e">
        <f>VLOOKUP(A1133, 'Purchase Register'!C:D, 2, FALSE)</f>
        <v>#N/A</v>
      </c>
      <c r="E1133" s="157">
        <f>SUMIF('Sales Register'!C:C, A1133, 'Sales Register'!D:D)</f>
        <v>0</v>
      </c>
      <c r="F1133" s="29" t="e">
        <f t="shared" si="69"/>
        <v>#N/A</v>
      </c>
    </row>
    <row r="1134" spans="4:6" x14ac:dyDescent="0.25">
      <c r="D1134" s="157" t="e">
        <f>VLOOKUP(A1134, 'Purchase Register'!C:D, 2, FALSE)</f>
        <v>#N/A</v>
      </c>
      <c r="E1134" s="157">
        <f>SUMIF('Sales Register'!C:C, A1134, 'Sales Register'!D:D)</f>
        <v>0</v>
      </c>
      <c r="F1134" s="29" t="e">
        <f t="shared" si="69"/>
        <v>#N/A</v>
      </c>
    </row>
    <row r="1135" spans="4:6" x14ac:dyDescent="0.25">
      <c r="D1135" s="157" t="e">
        <f>VLOOKUP(A1135, 'Purchase Register'!C:D, 2, FALSE)</f>
        <v>#N/A</v>
      </c>
      <c r="E1135" s="157">
        <f>SUMIF('Sales Register'!C:C, A1135, 'Sales Register'!D:D)</f>
        <v>0</v>
      </c>
      <c r="F1135" s="29" t="e">
        <f t="shared" si="69"/>
        <v>#N/A</v>
      </c>
    </row>
    <row r="1136" spans="4:6" x14ac:dyDescent="0.25">
      <c r="D1136" s="157" t="e">
        <f>VLOOKUP(A1136, 'Purchase Register'!C:D, 2, FALSE)</f>
        <v>#N/A</v>
      </c>
      <c r="E1136" s="157">
        <f>SUMIF('Sales Register'!C:C, A1136, 'Sales Register'!D:D)</f>
        <v>0</v>
      </c>
      <c r="F1136" s="29" t="e">
        <f t="shared" si="69"/>
        <v>#N/A</v>
      </c>
    </row>
    <row r="1137" spans="4:6" x14ac:dyDescent="0.25">
      <c r="D1137" s="157" t="e">
        <f>VLOOKUP(A1137, 'Purchase Register'!C:D, 2, FALSE)</f>
        <v>#N/A</v>
      </c>
      <c r="E1137" s="157">
        <f>SUMIF('Sales Register'!C:C, A1137, 'Sales Register'!D:D)</f>
        <v>0</v>
      </c>
      <c r="F1137" s="29" t="e">
        <f t="shared" si="69"/>
        <v>#N/A</v>
      </c>
    </row>
    <row r="1138" spans="4:6" x14ac:dyDescent="0.25">
      <c r="D1138" s="157" t="e">
        <f>VLOOKUP(A1138, 'Purchase Register'!C:D, 2, FALSE)</f>
        <v>#N/A</v>
      </c>
      <c r="E1138" s="157">
        <f>SUMIF('Sales Register'!C:C, A1138, 'Sales Register'!D:D)</f>
        <v>0</v>
      </c>
      <c r="F1138" s="29" t="e">
        <f t="shared" si="69"/>
        <v>#N/A</v>
      </c>
    </row>
    <row r="1139" spans="4:6" x14ac:dyDescent="0.25">
      <c r="D1139" s="157" t="e">
        <f>VLOOKUP(A1139, 'Purchase Register'!C:D, 2, FALSE)</f>
        <v>#N/A</v>
      </c>
      <c r="E1139" s="157">
        <f>SUMIF('Sales Register'!C:C, A1139, 'Sales Register'!D:D)</f>
        <v>0</v>
      </c>
      <c r="F1139" s="29" t="e">
        <f t="shared" si="69"/>
        <v>#N/A</v>
      </c>
    </row>
    <row r="1140" spans="4:6" x14ac:dyDescent="0.25">
      <c r="D1140" s="157" t="e">
        <f>VLOOKUP(A1140, 'Purchase Register'!C:D, 2, FALSE)</f>
        <v>#N/A</v>
      </c>
      <c r="E1140" s="157">
        <f>SUMIF('Sales Register'!C:C, A1140, 'Sales Register'!D:D)</f>
        <v>0</v>
      </c>
      <c r="F1140" s="29" t="e">
        <f t="shared" si="69"/>
        <v>#N/A</v>
      </c>
    </row>
    <row r="1141" spans="4:6" x14ac:dyDescent="0.25">
      <c r="D1141" s="157" t="e">
        <f>VLOOKUP(A1141, 'Purchase Register'!C:D, 2, FALSE)</f>
        <v>#N/A</v>
      </c>
      <c r="E1141" s="157">
        <f>SUMIF('Sales Register'!C:C, A1141, 'Sales Register'!D:D)</f>
        <v>0</v>
      </c>
      <c r="F1141" s="29" t="e">
        <f t="shared" si="69"/>
        <v>#N/A</v>
      </c>
    </row>
    <row r="1142" spans="4:6" x14ac:dyDescent="0.25">
      <c r="D1142" s="157" t="e">
        <f>VLOOKUP(A1142, 'Purchase Register'!C:D, 2, FALSE)</f>
        <v>#N/A</v>
      </c>
      <c r="E1142" s="157">
        <f>SUMIF('Sales Register'!C:C, A1142, 'Sales Register'!D:D)</f>
        <v>0</v>
      </c>
      <c r="F1142" s="29" t="e">
        <f t="shared" si="69"/>
        <v>#N/A</v>
      </c>
    </row>
    <row r="1143" spans="4:6" x14ac:dyDescent="0.25">
      <c r="D1143" s="157" t="e">
        <f>VLOOKUP(A1143, 'Purchase Register'!C:D, 2, FALSE)</f>
        <v>#N/A</v>
      </c>
      <c r="E1143" s="157">
        <f>SUMIF('Sales Register'!C:C, A1143, 'Sales Register'!D:D)</f>
        <v>0</v>
      </c>
      <c r="F1143" s="29" t="e">
        <f t="shared" si="69"/>
        <v>#N/A</v>
      </c>
    </row>
    <row r="1144" spans="4:6" x14ac:dyDescent="0.25">
      <c r="D1144" s="157" t="e">
        <f>VLOOKUP(A1144, 'Purchase Register'!C:D, 2, FALSE)</f>
        <v>#N/A</v>
      </c>
      <c r="E1144" s="157">
        <f>SUMIF('Sales Register'!C:C, A1144, 'Sales Register'!D:D)</f>
        <v>0</v>
      </c>
      <c r="F1144" s="29" t="e">
        <f t="shared" si="69"/>
        <v>#N/A</v>
      </c>
    </row>
    <row r="1145" spans="4:6" x14ac:dyDescent="0.25">
      <c r="D1145" s="157" t="e">
        <f>VLOOKUP(A1145, 'Purchase Register'!C:D, 2, FALSE)</f>
        <v>#N/A</v>
      </c>
      <c r="E1145" s="157">
        <f>SUMIF('Sales Register'!C:C, A1145, 'Sales Register'!D:D)</f>
        <v>0</v>
      </c>
      <c r="F1145" s="29" t="e">
        <f t="shared" si="69"/>
        <v>#N/A</v>
      </c>
    </row>
    <row r="1146" spans="4:6" x14ac:dyDescent="0.25">
      <c r="D1146" s="157" t="e">
        <f>VLOOKUP(A1146, 'Purchase Register'!C:D, 2, FALSE)</f>
        <v>#N/A</v>
      </c>
      <c r="E1146" s="157">
        <f>SUMIF('Sales Register'!C:C, A1146, 'Sales Register'!D:D)</f>
        <v>0</v>
      </c>
      <c r="F1146" s="29" t="e">
        <f t="shared" si="69"/>
        <v>#N/A</v>
      </c>
    </row>
    <row r="1147" spans="4:6" x14ac:dyDescent="0.25">
      <c r="D1147" s="157" t="e">
        <f>VLOOKUP(A1147, 'Purchase Register'!C:D, 2, FALSE)</f>
        <v>#N/A</v>
      </c>
      <c r="E1147" s="157">
        <f>SUMIF('Sales Register'!C:C, A1147, 'Sales Register'!D:D)</f>
        <v>0</v>
      </c>
      <c r="F1147" s="29" t="e">
        <f t="shared" si="69"/>
        <v>#N/A</v>
      </c>
    </row>
    <row r="1148" spans="4:6" x14ac:dyDescent="0.25">
      <c r="D1148" s="157" t="e">
        <f>VLOOKUP(A1148, 'Purchase Register'!C:D, 2, FALSE)</f>
        <v>#N/A</v>
      </c>
      <c r="E1148" s="157">
        <f>SUMIF('Sales Register'!C:C, A1148, 'Sales Register'!D:D)</f>
        <v>0</v>
      </c>
      <c r="F1148" s="29" t="e">
        <f t="shared" si="69"/>
        <v>#N/A</v>
      </c>
    </row>
    <row r="1149" spans="4:6" x14ac:dyDescent="0.25">
      <c r="D1149" s="157" t="e">
        <f>VLOOKUP(A1149, 'Purchase Register'!C:D, 2, FALSE)</f>
        <v>#N/A</v>
      </c>
      <c r="E1149" s="157">
        <f>SUMIF('Sales Register'!C:C, A1149, 'Sales Register'!D:D)</f>
        <v>0</v>
      </c>
      <c r="F1149" s="29" t="e">
        <f t="shared" si="69"/>
        <v>#N/A</v>
      </c>
    </row>
    <row r="1150" spans="4:6" x14ac:dyDescent="0.25">
      <c r="D1150" s="157" t="e">
        <f>VLOOKUP(A1150, 'Purchase Register'!C:D, 2, FALSE)</f>
        <v>#N/A</v>
      </c>
      <c r="E1150" s="157">
        <f>SUMIF('Sales Register'!C:C, A1150, 'Sales Register'!D:D)</f>
        <v>0</v>
      </c>
      <c r="F1150" s="29" t="e">
        <f t="shared" si="69"/>
        <v>#N/A</v>
      </c>
    </row>
    <row r="1151" spans="4:6" x14ac:dyDescent="0.25">
      <c r="D1151" s="157" t="e">
        <f>VLOOKUP(A1151, 'Purchase Register'!C:D, 2, FALSE)</f>
        <v>#N/A</v>
      </c>
      <c r="E1151" s="157">
        <f>SUMIF('Sales Register'!C:C, A1151, 'Sales Register'!D:D)</f>
        <v>0</v>
      </c>
      <c r="F1151" s="29" t="e">
        <f t="shared" si="69"/>
        <v>#N/A</v>
      </c>
    </row>
    <row r="1152" spans="4:6" x14ac:dyDescent="0.25">
      <c r="D1152" s="157" t="e">
        <f>VLOOKUP(A1152, 'Purchase Register'!C:D, 2, FALSE)</f>
        <v>#N/A</v>
      </c>
      <c r="E1152" s="157">
        <f>SUMIF('Sales Register'!C:C, A1152, 'Sales Register'!D:D)</f>
        <v>0</v>
      </c>
      <c r="F1152" s="29" t="e">
        <f t="shared" si="69"/>
        <v>#N/A</v>
      </c>
    </row>
    <row r="1153" spans="4:6" x14ac:dyDescent="0.25">
      <c r="D1153" s="157" t="e">
        <f>VLOOKUP(A1153, 'Purchase Register'!C:D, 2, FALSE)</f>
        <v>#N/A</v>
      </c>
      <c r="E1153" s="157">
        <f>SUMIF('Sales Register'!C:C, A1153, 'Sales Register'!D:D)</f>
        <v>0</v>
      </c>
      <c r="F1153" s="29" t="e">
        <f t="shared" si="69"/>
        <v>#N/A</v>
      </c>
    </row>
    <row r="1154" spans="4:6" x14ac:dyDescent="0.25">
      <c r="D1154" s="157" t="e">
        <f>VLOOKUP(A1154, 'Purchase Register'!C:D, 2, FALSE)</f>
        <v>#N/A</v>
      </c>
      <c r="E1154" s="157">
        <f>SUMIF('Sales Register'!C:C, A1154, 'Sales Register'!D:D)</f>
        <v>0</v>
      </c>
      <c r="F1154" s="29" t="e">
        <f t="shared" si="69"/>
        <v>#N/A</v>
      </c>
    </row>
    <row r="1155" spans="4:6" x14ac:dyDescent="0.25">
      <c r="D1155" s="157" t="e">
        <f>VLOOKUP(A1155, 'Purchase Register'!C:D, 2, FALSE)</f>
        <v>#N/A</v>
      </c>
      <c r="E1155" s="157">
        <f>SUMIF('Sales Register'!C:C, A1155, 'Sales Register'!D:D)</f>
        <v>0</v>
      </c>
      <c r="F1155" s="29" t="e">
        <f t="shared" si="69"/>
        <v>#N/A</v>
      </c>
    </row>
    <row r="1156" spans="4:6" x14ac:dyDescent="0.25">
      <c r="D1156" s="157" t="e">
        <f>VLOOKUP(A1156, 'Purchase Register'!C:D, 2, FALSE)</f>
        <v>#N/A</v>
      </c>
      <c r="E1156" s="157">
        <f>SUMIF('Sales Register'!C:C, A1156, 'Sales Register'!D:D)</f>
        <v>0</v>
      </c>
      <c r="F1156" s="29" t="e">
        <f t="shared" si="69"/>
        <v>#N/A</v>
      </c>
    </row>
    <row r="1157" spans="4:6" x14ac:dyDescent="0.25">
      <c r="D1157" s="157" t="e">
        <f>VLOOKUP(A1157, 'Purchase Register'!C:D, 2, FALSE)</f>
        <v>#N/A</v>
      </c>
      <c r="E1157" s="157">
        <f>SUMIF('Sales Register'!C:C, A1157, 'Sales Register'!D:D)</f>
        <v>0</v>
      </c>
      <c r="F1157" s="29" t="e">
        <f t="shared" si="69"/>
        <v>#N/A</v>
      </c>
    </row>
    <row r="1158" spans="4:6" x14ac:dyDescent="0.25">
      <c r="D1158" s="157" t="e">
        <f>VLOOKUP(A1158, 'Purchase Register'!C:D, 2, FALSE)</f>
        <v>#N/A</v>
      </c>
      <c r="E1158" s="157">
        <f>SUMIF('Sales Register'!C:C, A1158, 'Sales Register'!D:D)</f>
        <v>0</v>
      </c>
      <c r="F1158" s="29" t="e">
        <f t="shared" si="69"/>
        <v>#N/A</v>
      </c>
    </row>
    <row r="1159" spans="4:6" x14ac:dyDescent="0.25">
      <c r="D1159" s="157" t="e">
        <f>VLOOKUP(A1159, 'Purchase Register'!C:D, 2, FALSE)</f>
        <v>#N/A</v>
      </c>
      <c r="E1159" s="157">
        <f>SUMIF('Sales Register'!C:C, A1159, 'Sales Register'!D:D)</f>
        <v>0</v>
      </c>
      <c r="F1159" s="29" t="e">
        <f t="shared" si="69"/>
        <v>#N/A</v>
      </c>
    </row>
    <row r="1160" spans="4:6" x14ac:dyDescent="0.25">
      <c r="D1160" s="157" t="e">
        <f>VLOOKUP(A1160, 'Purchase Register'!C:D, 2, FALSE)</f>
        <v>#N/A</v>
      </c>
      <c r="E1160" s="157">
        <f>SUMIF('Sales Register'!C:C, A1160, 'Sales Register'!D:D)</f>
        <v>0</v>
      </c>
      <c r="F1160" s="29" t="e">
        <f t="shared" si="69"/>
        <v>#N/A</v>
      </c>
    </row>
    <row r="1161" spans="4:6" x14ac:dyDescent="0.25">
      <c r="D1161" s="157" t="e">
        <f>VLOOKUP(A1161, 'Purchase Register'!C:D, 2, FALSE)</f>
        <v>#N/A</v>
      </c>
      <c r="E1161" s="157">
        <f>SUMIF('Sales Register'!C:C, A1161, 'Sales Register'!D:D)</f>
        <v>0</v>
      </c>
      <c r="F1161" s="29" t="e">
        <f t="shared" si="69"/>
        <v>#N/A</v>
      </c>
    </row>
    <row r="1162" spans="4:6" x14ac:dyDescent="0.25">
      <c r="D1162" s="157" t="e">
        <f>VLOOKUP(A1162, 'Purchase Register'!C:D, 2, FALSE)</f>
        <v>#N/A</v>
      </c>
      <c r="E1162" s="157">
        <f>SUMIF('Sales Register'!C:C, A1162, 'Sales Register'!D:D)</f>
        <v>0</v>
      </c>
      <c r="F1162" s="29" t="e">
        <f t="shared" si="69"/>
        <v>#N/A</v>
      </c>
    </row>
    <row r="1163" spans="4:6" x14ac:dyDescent="0.25">
      <c r="D1163" s="157" t="e">
        <f>VLOOKUP(A1163, 'Purchase Register'!C:D, 2, FALSE)</f>
        <v>#N/A</v>
      </c>
      <c r="E1163" s="157">
        <f>SUMIF('Sales Register'!C:C, A1163, 'Sales Register'!D:D)</f>
        <v>0</v>
      </c>
      <c r="F1163" s="29" t="e">
        <f t="shared" ref="F1163:F1211" si="70">C1163+D1163-E1163</f>
        <v>#N/A</v>
      </c>
    </row>
    <row r="1164" spans="4:6" x14ac:dyDescent="0.25">
      <c r="D1164" s="157" t="e">
        <f>VLOOKUP(A1164, 'Purchase Register'!C:D, 2, FALSE)</f>
        <v>#N/A</v>
      </c>
      <c r="E1164" s="157">
        <f>SUMIF('Sales Register'!C:C, A1164, 'Sales Register'!D:D)</f>
        <v>0</v>
      </c>
      <c r="F1164" s="29" t="e">
        <f t="shared" si="70"/>
        <v>#N/A</v>
      </c>
    </row>
    <row r="1165" spans="4:6" x14ac:dyDescent="0.25">
      <c r="D1165" s="157" t="e">
        <f>VLOOKUP(A1165, 'Purchase Register'!C:D, 2, FALSE)</f>
        <v>#N/A</v>
      </c>
      <c r="E1165" s="157">
        <f>SUMIF('Sales Register'!C:C, A1165, 'Sales Register'!D:D)</f>
        <v>0</v>
      </c>
      <c r="F1165" s="29" t="e">
        <f t="shared" si="70"/>
        <v>#N/A</v>
      </c>
    </row>
    <row r="1166" spans="4:6" x14ac:dyDescent="0.25">
      <c r="D1166" s="157" t="e">
        <f>VLOOKUP(A1166, 'Purchase Register'!C:D, 2, FALSE)</f>
        <v>#N/A</v>
      </c>
      <c r="E1166" s="157">
        <f>SUMIF('Sales Register'!C:C, A1166, 'Sales Register'!D:D)</f>
        <v>0</v>
      </c>
      <c r="F1166" s="29" t="e">
        <f t="shared" si="70"/>
        <v>#N/A</v>
      </c>
    </row>
    <row r="1167" spans="4:6" x14ac:dyDescent="0.25">
      <c r="D1167" s="157" t="e">
        <f>VLOOKUP(A1167, 'Purchase Register'!C:D, 2, FALSE)</f>
        <v>#N/A</v>
      </c>
      <c r="E1167" s="157">
        <f>SUMIF('Sales Register'!C:C, A1167, 'Sales Register'!D:D)</f>
        <v>0</v>
      </c>
      <c r="F1167" s="29" t="e">
        <f t="shared" si="70"/>
        <v>#N/A</v>
      </c>
    </row>
    <row r="1168" spans="4:6" x14ac:dyDescent="0.25">
      <c r="D1168" s="157" t="e">
        <f>VLOOKUP(A1168, 'Purchase Register'!C:D, 2, FALSE)</f>
        <v>#N/A</v>
      </c>
      <c r="E1168" s="157">
        <f>SUMIF('Sales Register'!C:C, A1168, 'Sales Register'!D:D)</f>
        <v>0</v>
      </c>
      <c r="F1168" s="29" t="e">
        <f t="shared" si="70"/>
        <v>#N/A</v>
      </c>
    </row>
    <row r="1169" spans="4:6" x14ac:dyDescent="0.25">
      <c r="D1169" s="157" t="e">
        <f>VLOOKUP(A1169, 'Purchase Register'!C:D, 2, FALSE)</f>
        <v>#N/A</v>
      </c>
      <c r="E1169" s="157">
        <f>SUMIF('Sales Register'!C:C, A1169, 'Sales Register'!D:D)</f>
        <v>0</v>
      </c>
      <c r="F1169" s="29" t="e">
        <f t="shared" si="70"/>
        <v>#N/A</v>
      </c>
    </row>
    <row r="1170" spans="4:6" x14ac:dyDescent="0.25">
      <c r="D1170" s="157" t="e">
        <f>VLOOKUP(A1170, 'Purchase Register'!C:D, 2, FALSE)</f>
        <v>#N/A</v>
      </c>
      <c r="E1170" s="157">
        <f>SUMIF('Sales Register'!C:C, A1170, 'Sales Register'!D:D)</f>
        <v>0</v>
      </c>
      <c r="F1170" s="29" t="e">
        <f t="shared" si="70"/>
        <v>#N/A</v>
      </c>
    </row>
    <row r="1171" spans="4:6" x14ac:dyDescent="0.25">
      <c r="D1171" s="157" t="e">
        <f>VLOOKUP(A1171, 'Purchase Register'!C:D, 2, FALSE)</f>
        <v>#N/A</v>
      </c>
      <c r="E1171" s="157">
        <f>SUMIF('Sales Register'!C:C, A1171, 'Sales Register'!D:D)</f>
        <v>0</v>
      </c>
      <c r="F1171" s="29" t="e">
        <f t="shared" si="70"/>
        <v>#N/A</v>
      </c>
    </row>
    <row r="1172" spans="4:6" x14ac:dyDescent="0.25">
      <c r="D1172" s="157" t="e">
        <f>VLOOKUP(A1172, 'Purchase Register'!C:D, 2, FALSE)</f>
        <v>#N/A</v>
      </c>
      <c r="E1172" s="157">
        <f>SUMIF('Sales Register'!C:C, A1172, 'Sales Register'!D:D)</f>
        <v>0</v>
      </c>
      <c r="F1172" s="29" t="e">
        <f t="shared" si="70"/>
        <v>#N/A</v>
      </c>
    </row>
    <row r="1173" spans="4:6" x14ac:dyDescent="0.25">
      <c r="D1173" s="157" t="e">
        <f>VLOOKUP(A1173, 'Purchase Register'!C:D, 2, FALSE)</f>
        <v>#N/A</v>
      </c>
      <c r="E1173" s="157">
        <f>SUMIF('Sales Register'!C:C, A1173, 'Sales Register'!D:D)</f>
        <v>0</v>
      </c>
      <c r="F1173" s="29" t="e">
        <f t="shared" si="70"/>
        <v>#N/A</v>
      </c>
    </row>
    <row r="1174" spans="4:6" x14ac:dyDescent="0.25">
      <c r="D1174" s="157" t="e">
        <f>VLOOKUP(A1174, 'Purchase Register'!C:D, 2, FALSE)</f>
        <v>#N/A</v>
      </c>
      <c r="E1174" s="157">
        <f>SUMIF('Sales Register'!C:C, A1174, 'Sales Register'!D:D)</f>
        <v>0</v>
      </c>
      <c r="F1174" s="29" t="e">
        <f t="shared" si="70"/>
        <v>#N/A</v>
      </c>
    </row>
    <row r="1175" spans="4:6" x14ac:dyDescent="0.25">
      <c r="D1175" s="157" t="e">
        <f>VLOOKUP(A1175, 'Purchase Register'!C:D, 2, FALSE)</f>
        <v>#N/A</v>
      </c>
      <c r="E1175" s="157">
        <f>SUMIF('Sales Register'!C:C, A1175, 'Sales Register'!D:D)</f>
        <v>0</v>
      </c>
      <c r="F1175" s="29" t="e">
        <f t="shared" si="70"/>
        <v>#N/A</v>
      </c>
    </row>
    <row r="1176" spans="4:6" x14ac:dyDescent="0.25">
      <c r="D1176" s="157" t="e">
        <f>VLOOKUP(A1176, 'Purchase Register'!C:D, 2, FALSE)</f>
        <v>#N/A</v>
      </c>
      <c r="E1176" s="157">
        <f>SUMIF('Sales Register'!C:C, A1176, 'Sales Register'!D:D)</f>
        <v>0</v>
      </c>
      <c r="F1176" s="29" t="e">
        <f t="shared" si="70"/>
        <v>#N/A</v>
      </c>
    </row>
    <row r="1177" spans="4:6" x14ac:dyDescent="0.25">
      <c r="D1177" s="157" t="e">
        <f>VLOOKUP(A1177, 'Purchase Register'!C:D, 2, FALSE)</f>
        <v>#N/A</v>
      </c>
      <c r="E1177" s="157">
        <f>SUMIF('Sales Register'!C:C, A1177, 'Sales Register'!D:D)</f>
        <v>0</v>
      </c>
      <c r="F1177" s="29" t="e">
        <f t="shared" si="70"/>
        <v>#N/A</v>
      </c>
    </row>
    <row r="1178" spans="4:6" x14ac:dyDescent="0.25">
      <c r="D1178" s="157" t="e">
        <f>VLOOKUP(A1178, 'Purchase Register'!C:D, 2, FALSE)</f>
        <v>#N/A</v>
      </c>
      <c r="E1178" s="157">
        <f>SUMIF('Sales Register'!C:C, A1178, 'Sales Register'!D:D)</f>
        <v>0</v>
      </c>
      <c r="F1178" s="29" t="e">
        <f t="shared" si="70"/>
        <v>#N/A</v>
      </c>
    </row>
    <row r="1179" spans="4:6" x14ac:dyDescent="0.25">
      <c r="D1179" s="157" t="e">
        <f>VLOOKUP(A1179, 'Purchase Register'!C:D, 2, FALSE)</f>
        <v>#N/A</v>
      </c>
      <c r="E1179" s="157">
        <f>SUMIF('Sales Register'!C:C, A1179, 'Sales Register'!D:D)</f>
        <v>0</v>
      </c>
      <c r="F1179" s="29" t="e">
        <f t="shared" si="70"/>
        <v>#N/A</v>
      </c>
    </row>
    <row r="1180" spans="4:6" x14ac:dyDescent="0.25">
      <c r="D1180" s="157" t="e">
        <f>VLOOKUP(A1180, 'Purchase Register'!C:D, 2, FALSE)</f>
        <v>#N/A</v>
      </c>
      <c r="E1180" s="157">
        <f>SUMIF('Sales Register'!C:C, A1180, 'Sales Register'!D:D)</f>
        <v>0</v>
      </c>
      <c r="F1180" s="29" t="e">
        <f t="shared" si="70"/>
        <v>#N/A</v>
      </c>
    </row>
    <row r="1181" spans="4:6" x14ac:dyDescent="0.25">
      <c r="D1181" s="157" t="e">
        <f>VLOOKUP(A1181, 'Purchase Register'!C:D, 2, FALSE)</f>
        <v>#N/A</v>
      </c>
      <c r="E1181" s="157">
        <f>SUMIF('Sales Register'!C:C, A1181, 'Sales Register'!D:D)</f>
        <v>0</v>
      </c>
      <c r="F1181" s="29" t="e">
        <f t="shared" si="70"/>
        <v>#N/A</v>
      </c>
    </row>
    <row r="1182" spans="4:6" x14ac:dyDescent="0.25">
      <c r="D1182" s="157" t="e">
        <f>VLOOKUP(A1182, 'Purchase Register'!C:D, 2, FALSE)</f>
        <v>#N/A</v>
      </c>
      <c r="E1182" s="157">
        <f>SUMIF('Sales Register'!C:C, A1182, 'Sales Register'!D:D)</f>
        <v>0</v>
      </c>
      <c r="F1182" s="29" t="e">
        <f t="shared" si="70"/>
        <v>#N/A</v>
      </c>
    </row>
    <row r="1183" spans="4:6" x14ac:dyDescent="0.25">
      <c r="D1183" s="157" t="e">
        <f>VLOOKUP(A1183, 'Purchase Register'!C:D, 2, FALSE)</f>
        <v>#N/A</v>
      </c>
      <c r="E1183" s="157">
        <f>SUMIF('Sales Register'!C:C, A1183, 'Sales Register'!D:D)</f>
        <v>0</v>
      </c>
      <c r="F1183" s="29" t="e">
        <f t="shared" si="70"/>
        <v>#N/A</v>
      </c>
    </row>
    <row r="1184" spans="4:6" x14ac:dyDescent="0.25">
      <c r="D1184" s="157" t="e">
        <f>VLOOKUP(A1184, 'Purchase Register'!C:D, 2, FALSE)</f>
        <v>#N/A</v>
      </c>
      <c r="E1184" s="157">
        <f>SUMIF('Sales Register'!C:C, A1184, 'Sales Register'!D:D)</f>
        <v>0</v>
      </c>
      <c r="F1184" s="29" t="e">
        <f t="shared" si="70"/>
        <v>#N/A</v>
      </c>
    </row>
    <row r="1185" spans="4:6" x14ac:dyDescent="0.25">
      <c r="D1185" s="157" t="e">
        <f>VLOOKUP(A1185, 'Purchase Register'!C:D, 2, FALSE)</f>
        <v>#N/A</v>
      </c>
      <c r="E1185" s="157">
        <f>SUMIF('Sales Register'!C:C, A1185, 'Sales Register'!D:D)</f>
        <v>0</v>
      </c>
      <c r="F1185" s="29" t="e">
        <f t="shared" si="70"/>
        <v>#N/A</v>
      </c>
    </row>
    <row r="1186" spans="4:6" x14ac:dyDescent="0.25">
      <c r="D1186" s="157" t="e">
        <f>VLOOKUP(A1186, 'Purchase Register'!C:D, 2, FALSE)</f>
        <v>#N/A</v>
      </c>
      <c r="E1186" s="157">
        <f>SUMIF('Sales Register'!C:C, A1186, 'Sales Register'!D:D)</f>
        <v>0</v>
      </c>
      <c r="F1186" s="29" t="e">
        <f t="shared" si="70"/>
        <v>#N/A</v>
      </c>
    </row>
    <row r="1187" spans="4:6" x14ac:dyDescent="0.25">
      <c r="D1187" s="157" t="e">
        <f>VLOOKUP(A1187, 'Purchase Register'!C:D, 2, FALSE)</f>
        <v>#N/A</v>
      </c>
      <c r="E1187" s="157">
        <f>SUMIF('Sales Register'!C:C, A1187, 'Sales Register'!D:D)</f>
        <v>0</v>
      </c>
      <c r="F1187" s="29" t="e">
        <f t="shared" si="70"/>
        <v>#N/A</v>
      </c>
    </row>
    <row r="1188" spans="4:6" x14ac:dyDescent="0.25">
      <c r="D1188" s="157" t="e">
        <f>VLOOKUP(A1188, 'Purchase Register'!C:D, 2, FALSE)</f>
        <v>#N/A</v>
      </c>
      <c r="E1188" s="157">
        <f>SUMIF('Sales Register'!C:C, A1188, 'Sales Register'!D:D)</f>
        <v>0</v>
      </c>
      <c r="F1188" s="29" t="e">
        <f t="shared" si="70"/>
        <v>#N/A</v>
      </c>
    </row>
    <row r="1189" spans="4:6" x14ac:dyDescent="0.25">
      <c r="D1189" s="157" t="e">
        <f>VLOOKUP(A1189, 'Purchase Register'!C:D, 2, FALSE)</f>
        <v>#N/A</v>
      </c>
      <c r="E1189" s="157">
        <f>SUMIF('Sales Register'!C:C, A1189, 'Sales Register'!D:D)</f>
        <v>0</v>
      </c>
      <c r="F1189" s="29" t="e">
        <f t="shared" si="70"/>
        <v>#N/A</v>
      </c>
    </row>
    <row r="1190" spans="4:6" x14ac:dyDescent="0.25">
      <c r="D1190" s="157" t="e">
        <f>VLOOKUP(A1190, 'Purchase Register'!C:D, 2, FALSE)</f>
        <v>#N/A</v>
      </c>
      <c r="E1190" s="157">
        <f>SUMIF('Sales Register'!C:C, A1190, 'Sales Register'!D:D)</f>
        <v>0</v>
      </c>
      <c r="F1190" s="29" t="e">
        <f t="shared" si="70"/>
        <v>#N/A</v>
      </c>
    </row>
    <row r="1191" spans="4:6" x14ac:dyDescent="0.25">
      <c r="D1191" s="157" t="e">
        <f>VLOOKUP(A1191, 'Purchase Register'!C:D, 2, FALSE)</f>
        <v>#N/A</v>
      </c>
      <c r="E1191" s="157">
        <f>SUMIF('Sales Register'!C:C, A1191, 'Sales Register'!D:D)</f>
        <v>0</v>
      </c>
      <c r="F1191" s="29" t="e">
        <f t="shared" si="70"/>
        <v>#N/A</v>
      </c>
    </row>
    <row r="1192" spans="4:6" x14ac:dyDescent="0.25">
      <c r="D1192" s="157" t="e">
        <f>VLOOKUP(A1192, 'Purchase Register'!C:D, 2, FALSE)</f>
        <v>#N/A</v>
      </c>
      <c r="E1192" s="157">
        <f>SUMIF('Sales Register'!C:C, A1192, 'Sales Register'!D:D)</f>
        <v>0</v>
      </c>
      <c r="F1192" s="29" t="e">
        <f t="shared" si="70"/>
        <v>#N/A</v>
      </c>
    </row>
    <row r="1193" spans="4:6" x14ac:dyDescent="0.25">
      <c r="D1193" s="157" t="e">
        <f>VLOOKUP(A1193, 'Purchase Register'!C:D, 2, FALSE)</f>
        <v>#N/A</v>
      </c>
      <c r="E1193" s="157">
        <f>SUMIF('Sales Register'!C:C, A1193, 'Sales Register'!D:D)</f>
        <v>0</v>
      </c>
      <c r="F1193" s="29" t="e">
        <f t="shared" si="70"/>
        <v>#N/A</v>
      </c>
    </row>
    <row r="1194" spans="4:6" x14ac:dyDescent="0.25">
      <c r="D1194" s="157" t="e">
        <f>VLOOKUP(A1194, 'Purchase Register'!C:D, 2, FALSE)</f>
        <v>#N/A</v>
      </c>
      <c r="E1194" s="157">
        <f>SUMIF('Sales Register'!C:C, A1194, 'Sales Register'!D:D)</f>
        <v>0</v>
      </c>
      <c r="F1194" s="29" t="e">
        <f t="shared" si="70"/>
        <v>#N/A</v>
      </c>
    </row>
    <row r="1195" spans="4:6" x14ac:dyDescent="0.25">
      <c r="D1195" s="157" t="e">
        <f>VLOOKUP(A1195, 'Purchase Register'!C:D, 2, FALSE)</f>
        <v>#N/A</v>
      </c>
      <c r="E1195" s="157">
        <f>SUMIF('Sales Register'!C:C, A1195, 'Sales Register'!D:D)</f>
        <v>0</v>
      </c>
      <c r="F1195" s="29" t="e">
        <f t="shared" si="70"/>
        <v>#N/A</v>
      </c>
    </row>
    <row r="1196" spans="4:6" x14ac:dyDescent="0.25">
      <c r="D1196" s="157" t="e">
        <f>VLOOKUP(A1196, 'Purchase Register'!C:D, 2, FALSE)</f>
        <v>#N/A</v>
      </c>
      <c r="E1196" s="157">
        <f>SUMIF('Sales Register'!C:C, A1196, 'Sales Register'!D:D)</f>
        <v>0</v>
      </c>
      <c r="F1196" s="29" t="e">
        <f t="shared" si="70"/>
        <v>#N/A</v>
      </c>
    </row>
    <row r="1197" spans="4:6" x14ac:dyDescent="0.25">
      <c r="D1197" s="157" t="e">
        <f>VLOOKUP(A1197, 'Purchase Register'!C:D, 2, FALSE)</f>
        <v>#N/A</v>
      </c>
      <c r="E1197" s="157">
        <f>SUMIF('Sales Register'!C:C, A1197, 'Sales Register'!D:D)</f>
        <v>0</v>
      </c>
      <c r="F1197" s="29" t="e">
        <f t="shared" si="70"/>
        <v>#N/A</v>
      </c>
    </row>
    <row r="1198" spans="4:6" x14ac:dyDescent="0.25">
      <c r="D1198" s="157" t="e">
        <f>VLOOKUP(A1198, 'Purchase Register'!C:D, 2, FALSE)</f>
        <v>#N/A</v>
      </c>
      <c r="E1198" s="157">
        <f>SUMIF('Sales Register'!C:C, A1198, 'Sales Register'!D:D)</f>
        <v>0</v>
      </c>
      <c r="F1198" s="29" t="e">
        <f t="shared" si="70"/>
        <v>#N/A</v>
      </c>
    </row>
    <row r="1199" spans="4:6" x14ac:dyDescent="0.25">
      <c r="D1199" s="157" t="e">
        <f>VLOOKUP(A1199, 'Purchase Register'!C:D, 2, FALSE)</f>
        <v>#N/A</v>
      </c>
      <c r="E1199" s="157">
        <f>SUMIF('Sales Register'!C:C, A1199, 'Sales Register'!D:D)</f>
        <v>0</v>
      </c>
      <c r="F1199" s="29" t="e">
        <f t="shared" si="70"/>
        <v>#N/A</v>
      </c>
    </row>
    <row r="1200" spans="4:6" x14ac:dyDescent="0.25">
      <c r="D1200" s="157" t="e">
        <f>VLOOKUP(A1200, 'Purchase Register'!C:D, 2, FALSE)</f>
        <v>#N/A</v>
      </c>
      <c r="E1200" s="157">
        <f>SUMIF('Sales Register'!C:C, A1200, 'Sales Register'!D:D)</f>
        <v>0</v>
      </c>
      <c r="F1200" s="29" t="e">
        <f t="shared" si="70"/>
        <v>#N/A</v>
      </c>
    </row>
    <row r="1201" spans="4:6" x14ac:dyDescent="0.25">
      <c r="D1201" s="157" t="e">
        <f>VLOOKUP(A1201, 'Purchase Register'!C:D, 2, FALSE)</f>
        <v>#N/A</v>
      </c>
      <c r="E1201" s="157">
        <f>SUMIF('Sales Register'!C:C, A1201, 'Sales Register'!D:D)</f>
        <v>0</v>
      </c>
      <c r="F1201" s="29" t="e">
        <f t="shared" si="70"/>
        <v>#N/A</v>
      </c>
    </row>
    <row r="1202" spans="4:6" x14ac:dyDescent="0.25">
      <c r="D1202" s="157" t="e">
        <f>VLOOKUP(A1202, 'Purchase Register'!C:D, 2, FALSE)</f>
        <v>#N/A</v>
      </c>
      <c r="E1202" s="157">
        <f>SUMIF('Sales Register'!C:C, A1202, 'Sales Register'!D:D)</f>
        <v>0</v>
      </c>
      <c r="F1202" s="29" t="e">
        <f t="shared" si="70"/>
        <v>#N/A</v>
      </c>
    </row>
    <row r="1203" spans="4:6" x14ac:dyDescent="0.25">
      <c r="D1203" s="157" t="e">
        <f>VLOOKUP(A1203, 'Purchase Register'!C:D, 2, FALSE)</f>
        <v>#N/A</v>
      </c>
      <c r="E1203" s="157">
        <f>SUMIF('Sales Register'!C:C, A1203, 'Sales Register'!D:D)</f>
        <v>0</v>
      </c>
      <c r="F1203" s="29" t="e">
        <f t="shared" si="70"/>
        <v>#N/A</v>
      </c>
    </row>
    <row r="1204" spans="4:6" x14ac:dyDescent="0.25">
      <c r="D1204" s="157" t="e">
        <f>VLOOKUP(A1204, 'Purchase Register'!C:D, 2, FALSE)</f>
        <v>#N/A</v>
      </c>
      <c r="E1204" s="157">
        <f>SUMIF('Sales Register'!C:C, A1204, 'Sales Register'!D:D)</f>
        <v>0</v>
      </c>
      <c r="F1204" s="29" t="e">
        <f t="shared" si="70"/>
        <v>#N/A</v>
      </c>
    </row>
    <row r="1205" spans="4:6" x14ac:dyDescent="0.25">
      <c r="D1205" s="157" t="e">
        <f>VLOOKUP(A1205, 'Purchase Register'!C:D, 2, FALSE)</f>
        <v>#N/A</v>
      </c>
      <c r="E1205" s="157">
        <f>SUMIF('Sales Register'!C:C, A1205, 'Sales Register'!D:D)</f>
        <v>0</v>
      </c>
      <c r="F1205" s="29" t="e">
        <f t="shared" si="70"/>
        <v>#N/A</v>
      </c>
    </row>
    <row r="1206" spans="4:6" x14ac:dyDescent="0.25">
      <c r="D1206" s="157" t="e">
        <f>VLOOKUP(A1206, 'Purchase Register'!C:D, 2, FALSE)</f>
        <v>#N/A</v>
      </c>
      <c r="E1206" s="157">
        <f>SUMIF('Sales Register'!C:C, A1206, 'Sales Register'!D:D)</f>
        <v>0</v>
      </c>
      <c r="F1206" s="29" t="e">
        <f t="shared" si="70"/>
        <v>#N/A</v>
      </c>
    </row>
    <row r="1207" spans="4:6" x14ac:dyDescent="0.25">
      <c r="D1207" s="157" t="e">
        <f>VLOOKUP(A1207, 'Purchase Register'!C:D, 2, FALSE)</f>
        <v>#N/A</v>
      </c>
      <c r="E1207" s="157">
        <f>SUMIF('Sales Register'!C:C, A1207, 'Sales Register'!D:D)</f>
        <v>0</v>
      </c>
      <c r="F1207" s="29" t="e">
        <f t="shared" si="70"/>
        <v>#N/A</v>
      </c>
    </row>
    <row r="1208" spans="4:6" x14ac:dyDescent="0.25">
      <c r="D1208" s="157" t="e">
        <f>VLOOKUP(A1208, 'Purchase Register'!C:D, 2, FALSE)</f>
        <v>#N/A</v>
      </c>
      <c r="E1208" s="157">
        <f>SUMIF('Sales Register'!C:C, A1208, 'Sales Register'!D:D)</f>
        <v>0</v>
      </c>
      <c r="F1208" s="29" t="e">
        <f t="shared" si="70"/>
        <v>#N/A</v>
      </c>
    </row>
    <row r="1209" spans="4:6" x14ac:dyDescent="0.25">
      <c r="D1209" s="157" t="e">
        <f>VLOOKUP(A1209, 'Purchase Register'!C:D, 2, FALSE)</f>
        <v>#N/A</v>
      </c>
      <c r="E1209" s="157">
        <f>SUMIF('Sales Register'!C:C, A1209, 'Sales Register'!D:D)</f>
        <v>0</v>
      </c>
      <c r="F1209" s="29" t="e">
        <f t="shared" si="70"/>
        <v>#N/A</v>
      </c>
    </row>
    <row r="1210" spans="4:6" x14ac:dyDescent="0.25">
      <c r="D1210" s="157" t="e">
        <f>VLOOKUP(A1210, 'Purchase Register'!C:D, 2, FALSE)</f>
        <v>#N/A</v>
      </c>
      <c r="E1210" s="157">
        <f>SUMIF('Sales Register'!C:C, A1210, 'Sales Register'!D:D)</f>
        <v>0</v>
      </c>
      <c r="F1210" s="29" t="e">
        <f t="shared" si="70"/>
        <v>#N/A</v>
      </c>
    </row>
    <row r="1211" spans="4:6" x14ac:dyDescent="0.25">
      <c r="D1211" s="157" t="e">
        <f>VLOOKUP(A1211, 'Purchase Register'!C:D, 2, FALSE)</f>
        <v>#N/A</v>
      </c>
      <c r="E1211" s="157">
        <f>SUMIF('Sales Register'!C:C, A1211, 'Sales Register'!D:D)</f>
        <v>0</v>
      </c>
      <c r="F1211" s="29" t="e">
        <f t="shared" si="70"/>
        <v>#N/A</v>
      </c>
    </row>
  </sheetData>
  <autoFilter ref="A1:I882" xr:uid="{00000000-0001-0000-0300-000000000000}"/>
  <phoneticPr fontId="18" type="noConversion"/>
  <conditionalFormatting sqref="I1:I1048576">
    <cfRule type="cellIs" dxfId="13" priority="1" operator="equal">
      <formula>$I$8</formula>
    </cfRule>
    <cfRule type="cellIs" dxfId="12" priority="2" operator="equal">
      <formula>$I$8</formula>
    </cfRule>
    <cfRule type="cellIs" dxfId="11" priority="4" operator="equal">
      <formula>$I$8</formula>
    </cfRule>
    <cfRule type="cellIs" dxfId="10" priority="5" operator="equal">
      <formula>$I$136</formula>
    </cfRule>
    <cfRule type="cellIs" dxfId="9" priority="9" operator="equal">
      <formula>"SERIOUS LOSS"</formula>
    </cfRule>
  </conditionalFormatting>
  <conditionalFormatting sqref="F84:F103 F1:F81 F105:F1048573">
    <cfRule type="cellIs" dxfId="8" priority="8" operator="greaterThan">
      <formula>F2&lt;0</formula>
    </cfRule>
  </conditionalFormatting>
  <conditionalFormatting sqref="F2">
    <cfRule type="cellIs" dxfId="7" priority="7" operator="greaterThan">
      <formula>F2&lt;0</formula>
    </cfRule>
  </conditionalFormatting>
  <conditionalFormatting sqref="F1048574:F1048576">
    <cfRule type="cellIs" dxfId="6" priority="16" operator="greaterThan">
      <formula>F1&lt;0</formula>
    </cfRule>
  </conditionalFormatting>
  <conditionalFormatting sqref="F82:F83">
    <cfRule type="cellIs" dxfId="5" priority="18" operator="greaterThan">
      <formula>#REF!&lt;0</formula>
    </cfRule>
  </conditionalFormatting>
  <conditionalFormatting sqref="F104">
    <cfRule type="cellIs" dxfId="4" priority="29" operator="greaterThan">
      <formula>#REF!&lt;0</formula>
    </cfRule>
  </conditionalFormatting>
  <conditionalFormatting sqref="F136">
    <cfRule type="cellIs" dxfId="3" priority="6" operator="equal">
      <formula>$I$136</formula>
    </cfRule>
  </conditionalFormatting>
  <conditionalFormatting sqref="I8">
    <cfRule type="cellIs" dxfId="2" priority="3" operator="equal">
      <formula>$I$8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20811837-FEDE-4330-BB58-D2A5C33AB8B2}">
          <x14:formula1>
            <xm:f>PA!$A$1:$A$498</xm:f>
          </x14:formula1>
          <xm:sqref>A138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K1044"/>
  <sheetViews>
    <sheetView zoomScaleNormal="100" workbookViewId="0">
      <pane ySplit="1" topLeftCell="A1031" activePane="bottomLeft" state="frozen"/>
      <selection pane="bottomLeft" activeCell="C1043" sqref="C1043"/>
    </sheetView>
  </sheetViews>
  <sheetFormatPr defaultRowHeight="15" x14ac:dyDescent="0.25"/>
  <cols>
    <col min="1" max="1" width="20" style="10" customWidth="1"/>
    <col min="2" max="2" width="20" style="13" customWidth="1"/>
    <col min="3" max="3" width="20" style="19" customWidth="1"/>
    <col min="4" max="6" width="20" style="10" customWidth="1"/>
    <col min="7" max="7" width="13.28515625" style="10" bestFit="1" customWidth="1"/>
  </cols>
  <sheetData>
    <row r="1" spans="1:9" s="5" customFormat="1" ht="15.6" customHeight="1" x14ac:dyDescent="0.25">
      <c r="A1" s="12" t="s">
        <v>0</v>
      </c>
      <c r="B1" s="18" t="s">
        <v>48</v>
      </c>
      <c r="C1" s="18" t="s">
        <v>2</v>
      </c>
      <c r="D1" s="12" t="s">
        <v>3</v>
      </c>
      <c r="E1" s="12" t="s">
        <v>4</v>
      </c>
      <c r="F1" s="12" t="s">
        <v>49</v>
      </c>
      <c r="G1" s="12" t="s">
        <v>50</v>
      </c>
      <c r="H1" s="26"/>
    </row>
    <row r="2" spans="1:9" x14ac:dyDescent="0.25">
      <c r="A2" s="27">
        <v>46052</v>
      </c>
      <c r="B2" s="28" t="s">
        <v>51</v>
      </c>
      <c r="C2" s="33" t="s">
        <v>8</v>
      </c>
      <c r="D2" s="29">
        <v>9</v>
      </c>
      <c r="E2" s="29">
        <v>210</v>
      </c>
      <c r="F2" s="29" t="s">
        <v>52</v>
      </c>
      <c r="G2" s="29">
        <f>E2/D2</f>
        <v>23.333333333333332</v>
      </c>
    </row>
    <row r="3" spans="1:9" x14ac:dyDescent="0.25">
      <c r="A3" s="27">
        <v>46063</v>
      </c>
      <c r="B3" s="28" t="s">
        <v>51</v>
      </c>
      <c r="C3" s="33" t="s">
        <v>8</v>
      </c>
      <c r="D3" s="29">
        <v>9</v>
      </c>
      <c r="E3" s="29">
        <v>210</v>
      </c>
      <c r="F3" s="29" t="s">
        <v>52</v>
      </c>
      <c r="G3" s="29">
        <f>E3/D3</f>
        <v>23.333333333333332</v>
      </c>
    </row>
    <row r="4" spans="1:9" x14ac:dyDescent="0.25">
      <c r="A4" s="27">
        <v>46072</v>
      </c>
      <c r="B4" s="28" t="s">
        <v>53</v>
      </c>
      <c r="C4" s="33" t="s">
        <v>55</v>
      </c>
      <c r="D4" s="29">
        <v>170</v>
      </c>
      <c r="E4" s="29">
        <v>145</v>
      </c>
      <c r="F4" s="29" t="s">
        <v>52</v>
      </c>
      <c r="G4" s="29">
        <v>0.85199999999999998</v>
      </c>
    </row>
    <row r="5" spans="1:9" ht="30" x14ac:dyDescent="0.25">
      <c r="A5" s="27">
        <v>46072</v>
      </c>
      <c r="B5" s="28" t="s">
        <v>56</v>
      </c>
      <c r="C5" s="33" t="s">
        <v>57</v>
      </c>
      <c r="D5" s="29">
        <v>170</v>
      </c>
      <c r="E5" s="29">
        <v>145</v>
      </c>
      <c r="F5" s="29" t="s">
        <v>52</v>
      </c>
      <c r="G5" s="29">
        <v>0.85199999999999998</v>
      </c>
    </row>
    <row r="6" spans="1:9" ht="28.9" customHeight="1" x14ac:dyDescent="0.25">
      <c r="A6" s="27">
        <v>46072</v>
      </c>
      <c r="B6" s="28" t="s">
        <v>53</v>
      </c>
      <c r="C6" s="33" t="s">
        <v>54</v>
      </c>
      <c r="D6" s="29">
        <v>175</v>
      </c>
      <c r="E6" s="29">
        <v>145</v>
      </c>
      <c r="F6" s="29" t="s">
        <v>52</v>
      </c>
      <c r="G6" s="29">
        <v>0.82799999999999996</v>
      </c>
    </row>
    <row r="7" spans="1:9" ht="28.9" customHeight="1" x14ac:dyDescent="0.25">
      <c r="A7" s="27">
        <v>46073</v>
      </c>
      <c r="B7" s="28" t="s">
        <v>56</v>
      </c>
      <c r="C7" s="33" t="s">
        <v>59</v>
      </c>
      <c r="D7" s="29">
        <v>2</v>
      </c>
      <c r="E7" s="29">
        <v>18</v>
      </c>
      <c r="F7" s="29" t="s">
        <v>52</v>
      </c>
      <c r="G7" s="29">
        <v>9</v>
      </c>
    </row>
    <row r="8" spans="1:9" ht="45" x14ac:dyDescent="0.25">
      <c r="A8" s="27">
        <v>46073</v>
      </c>
      <c r="B8" s="28" t="s">
        <v>56</v>
      </c>
      <c r="C8" s="33" t="s">
        <v>12</v>
      </c>
      <c r="D8" s="29">
        <v>16</v>
      </c>
      <c r="E8" s="29">
        <v>60</v>
      </c>
      <c r="F8" s="29" t="s">
        <v>52</v>
      </c>
      <c r="G8" s="29">
        <v>3.75</v>
      </c>
    </row>
    <row r="9" spans="1:9" ht="45" x14ac:dyDescent="0.25">
      <c r="A9" s="27">
        <v>46073</v>
      </c>
      <c r="B9" s="28" t="s">
        <v>56</v>
      </c>
      <c r="C9" s="33" t="s">
        <v>63</v>
      </c>
      <c r="D9" s="29">
        <v>20</v>
      </c>
      <c r="E9" s="29">
        <v>60</v>
      </c>
      <c r="F9" s="29" t="s">
        <v>52</v>
      </c>
      <c r="G9" s="29">
        <v>3</v>
      </c>
    </row>
    <row r="10" spans="1:9" ht="30" x14ac:dyDescent="0.25">
      <c r="A10" s="27">
        <v>46073</v>
      </c>
      <c r="B10" s="28" t="s">
        <v>56</v>
      </c>
      <c r="C10" s="33" t="s">
        <v>11</v>
      </c>
      <c r="D10" s="29">
        <v>2</v>
      </c>
      <c r="E10" s="29">
        <v>18</v>
      </c>
      <c r="F10" s="29" t="s">
        <v>52</v>
      </c>
      <c r="G10" s="29">
        <v>9</v>
      </c>
    </row>
    <row r="11" spans="1:9" ht="30" x14ac:dyDescent="0.25">
      <c r="A11" s="27">
        <v>46073</v>
      </c>
      <c r="B11" s="28" t="s">
        <v>56</v>
      </c>
      <c r="C11" s="33" t="s">
        <v>58</v>
      </c>
      <c r="D11" s="29">
        <v>2</v>
      </c>
      <c r="E11" s="29">
        <v>18</v>
      </c>
      <c r="F11" s="29" t="s">
        <v>52</v>
      </c>
      <c r="G11" s="29">
        <v>9</v>
      </c>
    </row>
    <row r="12" spans="1:9" ht="30" x14ac:dyDescent="0.25">
      <c r="A12" s="27">
        <v>46073</v>
      </c>
      <c r="B12" s="28" t="s">
        <v>56</v>
      </c>
      <c r="C12" s="33" t="s">
        <v>20</v>
      </c>
      <c r="D12" s="29">
        <v>2</v>
      </c>
      <c r="E12" s="29">
        <v>18</v>
      </c>
      <c r="F12" s="29" t="s">
        <v>52</v>
      </c>
      <c r="G12" s="29">
        <v>9</v>
      </c>
    </row>
    <row r="13" spans="1:9" ht="30" x14ac:dyDescent="0.25">
      <c r="A13" s="27">
        <v>46073</v>
      </c>
      <c r="B13" s="28" t="s">
        <v>56</v>
      </c>
      <c r="C13" s="33" t="s">
        <v>61</v>
      </c>
      <c r="D13" s="29">
        <v>2</v>
      </c>
      <c r="E13" s="29">
        <v>18</v>
      </c>
      <c r="F13" s="29" t="s">
        <v>52</v>
      </c>
      <c r="G13" s="29">
        <v>9</v>
      </c>
    </row>
    <row r="14" spans="1:9" ht="60" x14ac:dyDescent="0.25">
      <c r="A14" s="27">
        <v>46073</v>
      </c>
      <c r="B14" s="28" t="s">
        <v>56</v>
      </c>
      <c r="C14" s="33" t="s">
        <v>64</v>
      </c>
      <c r="D14" s="29">
        <v>15</v>
      </c>
      <c r="E14" s="29">
        <v>60</v>
      </c>
      <c r="F14" s="29" t="s">
        <v>52</v>
      </c>
      <c r="G14" s="29">
        <v>4</v>
      </c>
    </row>
    <row r="15" spans="1:9" ht="30" x14ac:dyDescent="0.25">
      <c r="A15" s="27">
        <v>46073</v>
      </c>
      <c r="B15" s="28" t="s">
        <v>56</v>
      </c>
      <c r="C15" s="33" t="s">
        <v>62</v>
      </c>
      <c r="D15" s="29">
        <v>5</v>
      </c>
      <c r="E15" s="29">
        <v>90</v>
      </c>
      <c r="F15" s="29" t="s">
        <v>52</v>
      </c>
      <c r="G15" s="29">
        <v>18</v>
      </c>
    </row>
    <row r="16" spans="1:9" ht="30" x14ac:dyDescent="0.25">
      <c r="A16" s="27">
        <v>46073</v>
      </c>
      <c r="B16" s="28" t="s">
        <v>56</v>
      </c>
      <c r="C16" s="33" t="s">
        <v>60</v>
      </c>
      <c r="D16" s="29">
        <v>2</v>
      </c>
      <c r="E16" s="29">
        <v>18</v>
      </c>
      <c r="F16" s="29" t="s">
        <v>52</v>
      </c>
      <c r="G16" s="29">
        <v>9</v>
      </c>
      <c r="I16">
        <f>SUM(E5:E16)</f>
        <v>668</v>
      </c>
    </row>
    <row r="17" spans="1:7" ht="45" x14ac:dyDescent="0.25">
      <c r="A17" s="27">
        <v>46088</v>
      </c>
      <c r="B17" s="28" t="s">
        <v>65</v>
      </c>
      <c r="C17" s="33" t="s">
        <v>12</v>
      </c>
      <c r="D17" s="29">
        <v>16</v>
      </c>
      <c r="E17" s="29">
        <v>70</v>
      </c>
      <c r="F17" s="29" t="s">
        <v>52</v>
      </c>
      <c r="G17" s="29">
        <v>4.375</v>
      </c>
    </row>
    <row r="18" spans="1:7" ht="30" x14ac:dyDescent="0.25">
      <c r="A18" s="27">
        <v>46088</v>
      </c>
      <c r="B18" s="28" t="s">
        <v>65</v>
      </c>
      <c r="C18" s="33" t="s">
        <v>66</v>
      </c>
      <c r="D18" s="29">
        <v>12</v>
      </c>
      <c r="E18" s="29">
        <v>104</v>
      </c>
      <c r="F18" s="29" t="s">
        <v>52</v>
      </c>
      <c r="G18" s="29">
        <v>8.66</v>
      </c>
    </row>
    <row r="19" spans="1:7" ht="30" x14ac:dyDescent="0.25">
      <c r="A19" s="27">
        <v>46088</v>
      </c>
      <c r="B19" s="28" t="s">
        <v>65</v>
      </c>
      <c r="C19" s="33" t="s">
        <v>375</v>
      </c>
      <c r="D19" s="29">
        <v>240</v>
      </c>
      <c r="E19" s="29">
        <v>210</v>
      </c>
      <c r="F19" s="29" t="s">
        <v>52</v>
      </c>
      <c r="G19" s="29">
        <v>0.875</v>
      </c>
    </row>
    <row r="20" spans="1:7" ht="30" x14ac:dyDescent="0.25">
      <c r="A20" s="27">
        <v>46088</v>
      </c>
      <c r="B20" s="28" t="s">
        <v>65</v>
      </c>
      <c r="C20" s="33" t="s">
        <v>68</v>
      </c>
      <c r="D20" s="29">
        <v>10</v>
      </c>
      <c r="E20" s="29">
        <v>80</v>
      </c>
      <c r="F20" s="29" t="s">
        <v>52</v>
      </c>
      <c r="G20" s="29">
        <v>8</v>
      </c>
    </row>
    <row r="21" spans="1:7" ht="30" x14ac:dyDescent="0.25">
      <c r="A21" s="27">
        <v>46088</v>
      </c>
      <c r="B21" s="28" t="s">
        <v>65</v>
      </c>
      <c r="C21" s="33" t="s">
        <v>13</v>
      </c>
      <c r="D21" s="29">
        <v>10</v>
      </c>
      <c r="E21" s="29">
        <v>120</v>
      </c>
      <c r="F21" s="29" t="s">
        <v>52</v>
      </c>
      <c r="G21" s="29">
        <v>12</v>
      </c>
    </row>
    <row r="22" spans="1:7" ht="30" x14ac:dyDescent="0.25">
      <c r="A22" s="27">
        <v>46088</v>
      </c>
      <c r="B22" s="28" t="s">
        <v>65</v>
      </c>
      <c r="C22" s="33" t="s">
        <v>67</v>
      </c>
      <c r="D22" s="29">
        <v>10</v>
      </c>
      <c r="E22" s="29">
        <v>80</v>
      </c>
      <c r="F22" s="29" t="s">
        <v>52</v>
      </c>
      <c r="G22" s="29">
        <v>8</v>
      </c>
    </row>
    <row r="23" spans="1:7" ht="45" x14ac:dyDescent="0.25">
      <c r="A23" s="27">
        <v>46088</v>
      </c>
      <c r="B23" s="28" t="s">
        <v>65</v>
      </c>
      <c r="C23" s="33" t="s">
        <v>71</v>
      </c>
      <c r="D23" s="29">
        <v>6</v>
      </c>
      <c r="E23" s="29">
        <v>55</v>
      </c>
      <c r="F23" s="29" t="s">
        <v>52</v>
      </c>
      <c r="G23" s="29">
        <f>E23/D23</f>
        <v>9.1666666666666661</v>
      </c>
    </row>
    <row r="24" spans="1:7" ht="45" x14ac:dyDescent="0.25">
      <c r="A24" s="27">
        <v>46088</v>
      </c>
      <c r="B24" s="28" t="s">
        <v>65</v>
      </c>
      <c r="C24" s="33" t="s">
        <v>70</v>
      </c>
      <c r="D24" s="29">
        <v>6</v>
      </c>
      <c r="E24" s="29">
        <v>27.5</v>
      </c>
      <c r="F24" s="29" t="s">
        <v>52</v>
      </c>
      <c r="G24" s="29">
        <f>E24/D24</f>
        <v>4.583333333333333</v>
      </c>
    </row>
    <row r="25" spans="1:7" ht="30" x14ac:dyDescent="0.25">
      <c r="A25" s="27">
        <v>46088</v>
      </c>
      <c r="B25" s="28" t="s">
        <v>65</v>
      </c>
      <c r="C25" s="33" t="s">
        <v>69</v>
      </c>
      <c r="D25" s="29">
        <v>6</v>
      </c>
      <c r="E25" s="29">
        <v>55</v>
      </c>
      <c r="F25" s="29" t="s">
        <v>52</v>
      </c>
      <c r="G25" s="29">
        <v>9.16</v>
      </c>
    </row>
    <row r="26" spans="1:7" ht="30" x14ac:dyDescent="0.25">
      <c r="A26" s="27">
        <v>46088</v>
      </c>
      <c r="B26" s="28" t="s">
        <v>65</v>
      </c>
      <c r="C26" s="33" t="s">
        <v>60</v>
      </c>
      <c r="D26" s="29">
        <v>6</v>
      </c>
      <c r="E26" s="29">
        <v>53.5</v>
      </c>
      <c r="F26" s="29" t="s">
        <v>52</v>
      </c>
      <c r="G26" s="29">
        <f>E26/D26</f>
        <v>8.9166666666666661</v>
      </c>
    </row>
    <row r="27" spans="1:7" ht="30" x14ac:dyDescent="0.25">
      <c r="A27" s="27">
        <v>46092</v>
      </c>
      <c r="B27" s="28" t="s">
        <v>56</v>
      </c>
      <c r="C27" s="33" t="s">
        <v>72</v>
      </c>
      <c r="D27" s="29">
        <v>48</v>
      </c>
      <c r="E27" s="29">
        <v>425</v>
      </c>
      <c r="F27" s="29" t="s">
        <v>52</v>
      </c>
      <c r="G27" s="29">
        <v>8.85</v>
      </c>
    </row>
    <row r="28" spans="1:7" ht="30" x14ac:dyDescent="0.25">
      <c r="A28" s="27">
        <v>46092</v>
      </c>
      <c r="B28" s="28" t="s">
        <v>76</v>
      </c>
      <c r="C28" s="33" t="s">
        <v>77</v>
      </c>
      <c r="D28" s="29">
        <v>30</v>
      </c>
      <c r="E28" s="29">
        <v>90</v>
      </c>
      <c r="F28" s="29" t="s">
        <v>52</v>
      </c>
      <c r="G28" s="29">
        <v>3</v>
      </c>
    </row>
    <row r="29" spans="1:7" ht="30" x14ac:dyDescent="0.25">
      <c r="A29" s="27">
        <v>46092</v>
      </c>
      <c r="B29" s="28" t="s">
        <v>56</v>
      </c>
      <c r="C29" s="33" t="s">
        <v>74</v>
      </c>
      <c r="D29" s="29">
        <v>12</v>
      </c>
      <c r="E29" s="29">
        <v>180</v>
      </c>
      <c r="F29" s="29" t="s">
        <v>52</v>
      </c>
      <c r="G29" s="29">
        <v>15</v>
      </c>
    </row>
    <row r="30" spans="1:7" ht="30" x14ac:dyDescent="0.25">
      <c r="A30" s="27">
        <v>46092</v>
      </c>
      <c r="B30" s="28" t="s">
        <v>56</v>
      </c>
      <c r="C30" s="33" t="s">
        <v>73</v>
      </c>
      <c r="D30" s="29">
        <v>12</v>
      </c>
      <c r="E30" s="29">
        <v>90</v>
      </c>
      <c r="F30" s="29" t="s">
        <v>52</v>
      </c>
      <c r="G30" s="29">
        <v>7.5</v>
      </c>
    </row>
    <row r="31" spans="1:7" ht="45" x14ac:dyDescent="0.25">
      <c r="A31" s="27">
        <v>46092</v>
      </c>
      <c r="B31" s="28" t="s">
        <v>56</v>
      </c>
      <c r="C31" s="33" t="s">
        <v>75</v>
      </c>
      <c r="D31" s="29">
        <v>24</v>
      </c>
      <c r="E31" s="29">
        <v>170</v>
      </c>
      <c r="F31" s="29" t="s">
        <v>52</v>
      </c>
      <c r="G31" s="29">
        <v>7.08</v>
      </c>
    </row>
    <row r="32" spans="1:7" ht="30" x14ac:dyDescent="0.25">
      <c r="A32" s="27">
        <v>46092</v>
      </c>
      <c r="B32" s="28" t="s">
        <v>56</v>
      </c>
      <c r="C32" s="33" t="s">
        <v>22</v>
      </c>
      <c r="D32" s="29">
        <v>32</v>
      </c>
      <c r="E32" s="29">
        <v>26</v>
      </c>
      <c r="F32" s="29" t="s">
        <v>52</v>
      </c>
      <c r="G32" s="29">
        <v>0.81</v>
      </c>
    </row>
    <row r="33" spans="1:7" ht="30" x14ac:dyDescent="0.25">
      <c r="A33" s="27">
        <v>46095</v>
      </c>
      <c r="B33" s="28" t="s">
        <v>78</v>
      </c>
      <c r="C33" s="33" t="s">
        <v>14</v>
      </c>
      <c r="D33" s="29">
        <v>6</v>
      </c>
      <c r="E33" s="29">
        <v>240</v>
      </c>
      <c r="F33" s="29" t="s">
        <v>52</v>
      </c>
      <c r="G33" s="29">
        <v>40</v>
      </c>
    </row>
    <row r="34" spans="1:7" ht="30" x14ac:dyDescent="0.25">
      <c r="A34" s="27">
        <v>46095</v>
      </c>
      <c r="B34" s="28" t="s">
        <v>56</v>
      </c>
      <c r="C34" s="33" t="s">
        <v>89</v>
      </c>
      <c r="D34" s="29">
        <v>48</v>
      </c>
      <c r="E34" s="29">
        <v>39</v>
      </c>
      <c r="F34" s="29" t="s">
        <v>52</v>
      </c>
      <c r="G34" s="29">
        <f t="shared" ref="G34:G44" si="0">E34/D34</f>
        <v>0.8125</v>
      </c>
    </row>
    <row r="35" spans="1:7" ht="30" x14ac:dyDescent="0.25">
      <c r="A35" s="27">
        <v>46095</v>
      </c>
      <c r="B35" s="28" t="s">
        <v>56</v>
      </c>
      <c r="C35" s="33" t="s">
        <v>80</v>
      </c>
      <c r="D35" s="29">
        <v>3</v>
      </c>
      <c r="E35" s="29">
        <v>108</v>
      </c>
      <c r="F35" s="29" t="s">
        <v>52</v>
      </c>
      <c r="G35" s="29">
        <f t="shared" si="0"/>
        <v>36</v>
      </c>
    </row>
    <row r="36" spans="1:7" ht="30" x14ac:dyDescent="0.25">
      <c r="A36" s="27">
        <v>46095</v>
      </c>
      <c r="B36" s="28" t="s">
        <v>56</v>
      </c>
      <c r="C36" s="33" t="s">
        <v>43</v>
      </c>
      <c r="D36" s="29">
        <v>12</v>
      </c>
      <c r="E36" s="29">
        <v>48</v>
      </c>
      <c r="F36" s="29" t="s">
        <v>52</v>
      </c>
      <c r="G36" s="29">
        <f t="shared" si="0"/>
        <v>4</v>
      </c>
    </row>
    <row r="37" spans="1:7" ht="30" x14ac:dyDescent="0.25">
      <c r="A37" s="27">
        <v>46095</v>
      </c>
      <c r="B37" s="28" t="s">
        <v>56</v>
      </c>
      <c r="C37" s="33" t="s">
        <v>85</v>
      </c>
      <c r="D37" s="29">
        <v>5</v>
      </c>
      <c r="E37" s="29">
        <v>80</v>
      </c>
      <c r="F37" s="29" t="s">
        <v>52</v>
      </c>
      <c r="G37" s="29">
        <f t="shared" si="0"/>
        <v>16</v>
      </c>
    </row>
    <row r="38" spans="1:7" ht="30" x14ac:dyDescent="0.25">
      <c r="A38" s="27">
        <v>46095</v>
      </c>
      <c r="B38" s="28" t="s">
        <v>56</v>
      </c>
      <c r="C38" s="33" t="s">
        <v>88</v>
      </c>
      <c r="D38" s="29">
        <v>4</v>
      </c>
      <c r="E38" s="29">
        <v>380</v>
      </c>
      <c r="F38" s="29" t="s">
        <v>52</v>
      </c>
      <c r="G38" s="29">
        <f t="shared" si="0"/>
        <v>95</v>
      </c>
    </row>
    <row r="39" spans="1:7" ht="30" x14ac:dyDescent="0.25">
      <c r="A39" s="27">
        <v>46095</v>
      </c>
      <c r="B39" s="28" t="s">
        <v>56</v>
      </c>
      <c r="C39" s="33" t="s">
        <v>87</v>
      </c>
      <c r="D39" s="29">
        <v>4</v>
      </c>
      <c r="E39" s="29">
        <v>300</v>
      </c>
      <c r="F39" s="29" t="s">
        <v>52</v>
      </c>
      <c r="G39" s="29">
        <f t="shared" si="0"/>
        <v>75</v>
      </c>
    </row>
    <row r="40" spans="1:7" ht="30" x14ac:dyDescent="0.25">
      <c r="A40" s="27">
        <v>46095</v>
      </c>
      <c r="B40" s="28" t="s">
        <v>56</v>
      </c>
      <c r="C40" s="33" t="s">
        <v>84</v>
      </c>
      <c r="D40" s="29">
        <v>4</v>
      </c>
      <c r="E40" s="29">
        <v>168</v>
      </c>
      <c r="F40" s="29" t="s">
        <v>52</v>
      </c>
      <c r="G40" s="29">
        <f t="shared" si="0"/>
        <v>42</v>
      </c>
    </row>
    <row r="41" spans="1:7" ht="30" x14ac:dyDescent="0.25">
      <c r="A41" s="27">
        <v>46095</v>
      </c>
      <c r="B41" s="28" t="s">
        <v>56</v>
      </c>
      <c r="C41" s="33" t="s">
        <v>91</v>
      </c>
      <c r="D41" s="29">
        <v>1</v>
      </c>
      <c r="E41" s="29">
        <v>48</v>
      </c>
      <c r="F41" s="29" t="s">
        <v>52</v>
      </c>
      <c r="G41" s="29">
        <f t="shared" si="0"/>
        <v>48</v>
      </c>
    </row>
    <row r="42" spans="1:7" ht="45" x14ac:dyDescent="0.25">
      <c r="A42" s="27">
        <v>46095</v>
      </c>
      <c r="B42" s="28" t="s">
        <v>56</v>
      </c>
      <c r="C42" s="33" t="s">
        <v>82</v>
      </c>
      <c r="D42" s="29">
        <v>2</v>
      </c>
      <c r="E42" s="29">
        <v>160</v>
      </c>
      <c r="F42" s="29" t="s">
        <v>52</v>
      </c>
      <c r="G42" s="29">
        <f t="shared" si="0"/>
        <v>80</v>
      </c>
    </row>
    <row r="43" spans="1:7" ht="30" x14ac:dyDescent="0.25">
      <c r="A43" s="27">
        <v>46095</v>
      </c>
      <c r="B43" s="28" t="s">
        <v>56</v>
      </c>
      <c r="C43" s="33" t="s">
        <v>15</v>
      </c>
      <c r="D43" s="29">
        <v>10</v>
      </c>
      <c r="E43" s="29">
        <v>95</v>
      </c>
      <c r="F43" s="29" t="s">
        <v>52</v>
      </c>
      <c r="G43" s="29">
        <f t="shared" si="0"/>
        <v>9.5</v>
      </c>
    </row>
    <row r="44" spans="1:7" ht="30" x14ac:dyDescent="0.25">
      <c r="A44" s="27">
        <v>46095</v>
      </c>
      <c r="B44" s="28" t="s">
        <v>56</v>
      </c>
      <c r="C44" s="33" t="s">
        <v>81</v>
      </c>
      <c r="D44" s="29">
        <v>161</v>
      </c>
      <c r="E44" s="29">
        <v>135</v>
      </c>
      <c r="F44" s="29" t="s">
        <v>52</v>
      </c>
      <c r="G44" s="29">
        <f t="shared" si="0"/>
        <v>0.83850931677018636</v>
      </c>
    </row>
    <row r="45" spans="1:7" ht="30" x14ac:dyDescent="0.25">
      <c r="A45" s="27">
        <v>46095</v>
      </c>
      <c r="B45" s="28" t="s">
        <v>78</v>
      </c>
      <c r="C45" s="33" t="s">
        <v>79</v>
      </c>
      <c r="D45" s="29">
        <v>6</v>
      </c>
      <c r="E45" s="29">
        <v>240</v>
      </c>
      <c r="F45" s="29" t="s">
        <v>52</v>
      </c>
      <c r="G45" s="29">
        <v>40</v>
      </c>
    </row>
    <row r="46" spans="1:7" ht="30" x14ac:dyDescent="0.25">
      <c r="A46" s="27">
        <v>46095</v>
      </c>
      <c r="B46" s="28" t="s">
        <v>56</v>
      </c>
      <c r="C46" s="33" t="s">
        <v>86</v>
      </c>
      <c r="D46" s="29">
        <v>12</v>
      </c>
      <c r="E46" s="29">
        <v>95</v>
      </c>
      <c r="F46" s="29" t="s">
        <v>52</v>
      </c>
      <c r="G46" s="29">
        <f t="shared" ref="G46:G109" si="1">E46/D46</f>
        <v>7.916666666666667</v>
      </c>
    </row>
    <row r="47" spans="1:7" ht="45" x14ac:dyDescent="0.25">
      <c r="A47" s="27">
        <v>46095</v>
      </c>
      <c r="B47" s="28" t="s">
        <v>56</v>
      </c>
      <c r="C47" s="33" t="s">
        <v>83</v>
      </c>
      <c r="D47" s="29">
        <v>6</v>
      </c>
      <c r="E47" s="29">
        <v>54</v>
      </c>
      <c r="F47" s="29" t="s">
        <v>52</v>
      </c>
      <c r="G47" s="29">
        <f t="shared" si="1"/>
        <v>9</v>
      </c>
    </row>
    <row r="48" spans="1:7" ht="30" x14ac:dyDescent="0.25">
      <c r="A48" s="27">
        <v>46095</v>
      </c>
      <c r="B48" s="28" t="s">
        <v>56</v>
      </c>
      <c r="C48" s="33" t="s">
        <v>90</v>
      </c>
      <c r="D48" s="29">
        <v>48</v>
      </c>
      <c r="E48" s="29">
        <v>220</v>
      </c>
      <c r="F48" s="29" t="s">
        <v>52</v>
      </c>
      <c r="G48" s="29">
        <f t="shared" si="1"/>
        <v>4.583333333333333</v>
      </c>
    </row>
    <row r="49" spans="1:11" ht="30" x14ac:dyDescent="0.25">
      <c r="A49" s="27">
        <v>46105</v>
      </c>
      <c r="B49" s="28" t="s">
        <v>56</v>
      </c>
      <c r="C49" s="33" t="s">
        <v>109</v>
      </c>
      <c r="D49" s="29">
        <v>10</v>
      </c>
      <c r="E49" s="29">
        <v>125</v>
      </c>
      <c r="F49" s="29" t="s">
        <v>52</v>
      </c>
      <c r="G49" s="29">
        <f t="shared" si="1"/>
        <v>12.5</v>
      </c>
    </row>
    <row r="50" spans="1:11" ht="30" x14ac:dyDescent="0.25">
      <c r="A50" s="27">
        <v>46105</v>
      </c>
      <c r="B50" s="28" t="s">
        <v>56</v>
      </c>
      <c r="C50" s="33" t="s">
        <v>107</v>
      </c>
      <c r="D50" s="29">
        <v>4</v>
      </c>
      <c r="E50" s="29">
        <v>448</v>
      </c>
      <c r="F50" s="29" t="s">
        <v>52</v>
      </c>
      <c r="G50" s="29">
        <f t="shared" si="1"/>
        <v>112</v>
      </c>
    </row>
    <row r="51" spans="1:11" ht="30" x14ac:dyDescent="0.25">
      <c r="A51" s="27">
        <v>46105</v>
      </c>
      <c r="B51" s="28" t="s">
        <v>56</v>
      </c>
      <c r="C51" s="33" t="s">
        <v>110</v>
      </c>
      <c r="D51" s="29">
        <v>60</v>
      </c>
      <c r="E51" s="29">
        <v>270</v>
      </c>
      <c r="F51" s="29" t="s">
        <v>52</v>
      </c>
      <c r="G51" s="29">
        <f t="shared" si="1"/>
        <v>4.5</v>
      </c>
    </row>
    <row r="52" spans="1:11" ht="30" x14ac:dyDescent="0.25">
      <c r="A52" s="27">
        <v>46105</v>
      </c>
      <c r="B52" s="28" t="s">
        <v>56</v>
      </c>
      <c r="C52" s="33" t="s">
        <v>108</v>
      </c>
      <c r="D52" s="29">
        <v>2</v>
      </c>
      <c r="E52" s="29">
        <v>44</v>
      </c>
      <c r="F52" s="29" t="s">
        <v>52</v>
      </c>
      <c r="G52" s="29">
        <f t="shared" si="1"/>
        <v>22</v>
      </c>
    </row>
    <row r="53" spans="1:11" ht="30" x14ac:dyDescent="0.25">
      <c r="A53" s="27">
        <v>46105</v>
      </c>
      <c r="B53" s="28" t="s">
        <v>56</v>
      </c>
      <c r="C53" s="33" t="s">
        <v>21</v>
      </c>
      <c r="D53" s="29">
        <v>1</v>
      </c>
      <c r="E53" s="29">
        <v>50</v>
      </c>
      <c r="F53" s="29" t="s">
        <v>52</v>
      </c>
      <c r="G53" s="29">
        <f t="shared" si="1"/>
        <v>50</v>
      </c>
    </row>
    <row r="54" spans="1:11" ht="30" x14ac:dyDescent="0.25">
      <c r="A54" s="27">
        <v>46105</v>
      </c>
      <c r="B54" s="28" t="s">
        <v>92</v>
      </c>
      <c r="C54" s="33" t="s">
        <v>97</v>
      </c>
      <c r="D54" s="29">
        <v>10</v>
      </c>
      <c r="E54" s="29">
        <v>280</v>
      </c>
      <c r="F54" s="29" t="s">
        <v>52</v>
      </c>
      <c r="G54" s="29">
        <f t="shared" si="1"/>
        <v>28</v>
      </c>
    </row>
    <row r="55" spans="1:11" ht="30" x14ac:dyDescent="0.25">
      <c r="A55" s="27">
        <v>46105</v>
      </c>
      <c r="B55" s="28" t="s">
        <v>92</v>
      </c>
      <c r="C55" s="33" t="s">
        <v>99</v>
      </c>
      <c r="D55" s="29">
        <v>26</v>
      </c>
      <c r="E55" s="29">
        <v>140</v>
      </c>
      <c r="F55" s="29" t="s">
        <v>52</v>
      </c>
      <c r="G55" s="29">
        <f t="shared" si="1"/>
        <v>5.384615384615385</v>
      </c>
    </row>
    <row r="56" spans="1:11" ht="30" x14ac:dyDescent="0.25">
      <c r="A56" s="27">
        <v>46105</v>
      </c>
      <c r="B56" s="28" t="s">
        <v>92</v>
      </c>
      <c r="C56" s="33" t="s">
        <v>96</v>
      </c>
      <c r="D56" s="29">
        <v>4</v>
      </c>
      <c r="E56" s="29">
        <v>280</v>
      </c>
      <c r="F56" s="29" t="s">
        <v>52</v>
      </c>
      <c r="G56" s="29">
        <f t="shared" si="1"/>
        <v>70</v>
      </c>
      <c r="K56">
        <f>SUM(E1:E56)</f>
        <v>7116</v>
      </c>
    </row>
    <row r="57" spans="1:11" ht="30" x14ac:dyDescent="0.25">
      <c r="A57" s="27">
        <v>46105</v>
      </c>
      <c r="B57" s="28" t="s">
        <v>92</v>
      </c>
      <c r="C57" s="33" t="s">
        <v>98</v>
      </c>
      <c r="D57" s="29">
        <v>25</v>
      </c>
      <c r="E57" s="29">
        <v>280</v>
      </c>
      <c r="F57" s="29" t="s">
        <v>52</v>
      </c>
      <c r="G57" s="29">
        <f t="shared" si="1"/>
        <v>11.2</v>
      </c>
    </row>
    <row r="58" spans="1:11" ht="30" x14ac:dyDescent="0.25">
      <c r="A58" s="27">
        <v>46105</v>
      </c>
      <c r="B58" s="28" t="s">
        <v>92</v>
      </c>
      <c r="C58" s="33" t="s">
        <v>101</v>
      </c>
      <c r="D58" s="29">
        <v>10</v>
      </c>
      <c r="E58" s="29">
        <v>470</v>
      </c>
      <c r="F58" s="29" t="s">
        <v>52</v>
      </c>
      <c r="G58" s="29">
        <f t="shared" si="1"/>
        <v>47</v>
      </c>
    </row>
    <row r="59" spans="1:11" ht="30" x14ac:dyDescent="0.25">
      <c r="A59" s="27">
        <v>46105</v>
      </c>
      <c r="B59" s="28" t="s">
        <v>92</v>
      </c>
      <c r="C59" s="33" t="s">
        <v>103</v>
      </c>
      <c r="D59" s="29">
        <v>26</v>
      </c>
      <c r="E59" s="29">
        <v>235</v>
      </c>
      <c r="F59" s="29" t="s">
        <v>52</v>
      </c>
      <c r="G59" s="29">
        <f t="shared" si="1"/>
        <v>9.0384615384615383</v>
      </c>
    </row>
    <row r="60" spans="1:11" ht="30" x14ac:dyDescent="0.25">
      <c r="A60" s="27">
        <v>46105</v>
      </c>
      <c r="B60" s="28" t="s">
        <v>92</v>
      </c>
      <c r="C60" s="33" t="s">
        <v>100</v>
      </c>
      <c r="D60" s="29">
        <v>4</v>
      </c>
      <c r="E60" s="29">
        <v>470</v>
      </c>
      <c r="F60" s="29" t="s">
        <v>52</v>
      </c>
      <c r="G60" s="29">
        <f t="shared" si="1"/>
        <v>117.5</v>
      </c>
    </row>
    <row r="61" spans="1:11" ht="30" x14ac:dyDescent="0.25">
      <c r="A61" s="27">
        <v>46105</v>
      </c>
      <c r="B61" s="28" t="s">
        <v>92</v>
      </c>
      <c r="C61" s="33" t="s">
        <v>102</v>
      </c>
      <c r="D61" s="29">
        <v>25</v>
      </c>
      <c r="E61" s="29">
        <v>470</v>
      </c>
      <c r="F61" s="29" t="s">
        <v>52</v>
      </c>
      <c r="G61" s="29">
        <f t="shared" si="1"/>
        <v>18.8</v>
      </c>
    </row>
    <row r="62" spans="1:11" ht="30" x14ac:dyDescent="0.25">
      <c r="A62" s="27">
        <v>46105</v>
      </c>
      <c r="B62" s="28" t="s">
        <v>92</v>
      </c>
      <c r="C62" s="33" t="s">
        <v>93</v>
      </c>
      <c r="D62" s="29">
        <v>10</v>
      </c>
      <c r="E62" s="29">
        <v>270</v>
      </c>
      <c r="F62" s="29" t="s">
        <v>52</v>
      </c>
      <c r="G62" s="29">
        <f t="shared" si="1"/>
        <v>27</v>
      </c>
    </row>
    <row r="63" spans="1:11" ht="30" x14ac:dyDescent="0.25">
      <c r="A63" s="27">
        <v>46105</v>
      </c>
      <c r="B63" s="28" t="s">
        <v>92</v>
      </c>
      <c r="C63" s="33" t="s">
        <v>95</v>
      </c>
      <c r="D63" s="29">
        <v>26</v>
      </c>
      <c r="E63" s="29">
        <v>135</v>
      </c>
      <c r="F63" s="29" t="s">
        <v>52</v>
      </c>
      <c r="G63" s="29">
        <f t="shared" si="1"/>
        <v>5.1923076923076925</v>
      </c>
    </row>
    <row r="64" spans="1:11" ht="30" x14ac:dyDescent="0.25">
      <c r="A64" s="27">
        <v>46105</v>
      </c>
      <c r="B64" s="28" t="s">
        <v>92</v>
      </c>
      <c r="C64" s="33" t="s">
        <v>33</v>
      </c>
      <c r="D64" s="29">
        <v>4</v>
      </c>
      <c r="E64" s="29">
        <v>270</v>
      </c>
      <c r="F64" s="29" t="s">
        <v>52</v>
      </c>
      <c r="G64" s="29">
        <f t="shared" si="1"/>
        <v>67.5</v>
      </c>
    </row>
    <row r="65" spans="1:9" ht="30" x14ac:dyDescent="0.25">
      <c r="A65" s="27">
        <v>46105</v>
      </c>
      <c r="B65" s="28" t="s">
        <v>92</v>
      </c>
      <c r="C65" s="33" t="s">
        <v>94</v>
      </c>
      <c r="D65" s="29">
        <v>25</v>
      </c>
      <c r="E65" s="29">
        <v>270</v>
      </c>
      <c r="F65" s="29" t="s">
        <v>52</v>
      </c>
      <c r="G65" s="29">
        <f t="shared" si="1"/>
        <v>10.8</v>
      </c>
    </row>
    <row r="66" spans="1:9" ht="30" x14ac:dyDescent="0.25">
      <c r="A66" s="27">
        <v>46105</v>
      </c>
      <c r="B66" s="28" t="s">
        <v>56</v>
      </c>
      <c r="C66" s="33" t="s">
        <v>105</v>
      </c>
      <c r="D66" s="29">
        <v>2</v>
      </c>
      <c r="E66" s="29">
        <v>152</v>
      </c>
      <c r="F66" s="29" t="s">
        <v>52</v>
      </c>
      <c r="G66" s="29">
        <f t="shared" si="1"/>
        <v>76</v>
      </c>
    </row>
    <row r="67" spans="1:9" ht="30" x14ac:dyDescent="0.25">
      <c r="A67" s="27">
        <v>46105</v>
      </c>
      <c r="B67" s="28" t="s">
        <v>56</v>
      </c>
      <c r="C67" s="33" t="s">
        <v>106</v>
      </c>
      <c r="D67" s="29">
        <v>2</v>
      </c>
      <c r="E67" s="29">
        <v>152</v>
      </c>
      <c r="F67" s="29" t="s">
        <v>52</v>
      </c>
      <c r="G67" s="29">
        <f t="shared" si="1"/>
        <v>76</v>
      </c>
    </row>
    <row r="68" spans="1:9" ht="30" x14ac:dyDescent="0.25">
      <c r="A68" s="27">
        <v>46105</v>
      </c>
      <c r="B68" s="28" t="s">
        <v>56</v>
      </c>
      <c r="C68" s="33" t="s">
        <v>18</v>
      </c>
      <c r="D68" s="29">
        <v>12</v>
      </c>
      <c r="E68" s="29">
        <v>105</v>
      </c>
      <c r="F68" s="29" t="s">
        <v>52</v>
      </c>
      <c r="G68" s="29">
        <f t="shared" si="1"/>
        <v>8.75</v>
      </c>
      <c r="I68">
        <f>SUM(E54:E70)</f>
        <v>4209</v>
      </c>
    </row>
    <row r="69" spans="1:9" ht="30" x14ac:dyDescent="0.25">
      <c r="A69" s="27">
        <v>46105</v>
      </c>
      <c r="B69" s="28" t="s">
        <v>56</v>
      </c>
      <c r="C69" s="33" t="s">
        <v>104</v>
      </c>
      <c r="D69" s="29">
        <v>2</v>
      </c>
      <c r="E69" s="29">
        <v>190</v>
      </c>
      <c r="F69" s="29" t="s">
        <v>52</v>
      </c>
      <c r="G69" s="29">
        <f t="shared" si="1"/>
        <v>95</v>
      </c>
    </row>
    <row r="70" spans="1:9" ht="45" x14ac:dyDescent="0.25">
      <c r="A70" s="27">
        <v>46107</v>
      </c>
      <c r="B70" s="28" t="s">
        <v>111</v>
      </c>
      <c r="C70" s="33" t="s">
        <v>121</v>
      </c>
      <c r="D70" s="29">
        <v>10</v>
      </c>
      <c r="E70" s="29">
        <v>40</v>
      </c>
      <c r="F70" s="29" t="s">
        <v>52</v>
      </c>
      <c r="G70" s="29">
        <f t="shared" si="1"/>
        <v>4</v>
      </c>
    </row>
    <row r="71" spans="1:9" ht="45" x14ac:dyDescent="0.25">
      <c r="A71" s="27">
        <v>46107</v>
      </c>
      <c r="B71" s="28" t="s">
        <v>111</v>
      </c>
      <c r="C71" s="33" t="s">
        <v>112</v>
      </c>
      <c r="D71" s="29">
        <v>20</v>
      </c>
      <c r="E71" s="29">
        <v>70</v>
      </c>
      <c r="F71" s="29" t="s">
        <v>52</v>
      </c>
      <c r="G71" s="29">
        <f t="shared" si="1"/>
        <v>3.5</v>
      </c>
    </row>
    <row r="72" spans="1:9" ht="30" x14ac:dyDescent="0.25">
      <c r="A72" s="27">
        <v>46107</v>
      </c>
      <c r="B72" s="28" t="s">
        <v>123</v>
      </c>
      <c r="C72" s="33" t="s">
        <v>17</v>
      </c>
      <c r="D72" s="29">
        <v>3</v>
      </c>
      <c r="E72" s="29">
        <v>231</v>
      </c>
      <c r="F72" s="29" t="s">
        <v>52</v>
      </c>
      <c r="G72" s="29">
        <f t="shared" si="1"/>
        <v>77</v>
      </c>
    </row>
    <row r="73" spans="1:9" ht="30" x14ac:dyDescent="0.25">
      <c r="A73" s="27">
        <v>46107</v>
      </c>
      <c r="B73" s="28" t="s">
        <v>123</v>
      </c>
      <c r="C73" s="33" t="s">
        <v>124</v>
      </c>
      <c r="D73" s="29">
        <v>3</v>
      </c>
      <c r="E73" s="29">
        <v>108</v>
      </c>
      <c r="F73" s="29" t="s">
        <v>52</v>
      </c>
      <c r="G73" s="29">
        <f t="shared" si="1"/>
        <v>36</v>
      </c>
    </row>
    <row r="74" spans="1:9" ht="45" x14ac:dyDescent="0.25">
      <c r="A74" s="27">
        <v>46107</v>
      </c>
      <c r="B74" s="28" t="s">
        <v>123</v>
      </c>
      <c r="C74" s="33" t="s">
        <v>127</v>
      </c>
      <c r="D74" s="29">
        <v>2</v>
      </c>
      <c r="E74" s="29">
        <v>90</v>
      </c>
      <c r="F74" s="29" t="s">
        <v>52</v>
      </c>
      <c r="G74" s="29">
        <f t="shared" si="1"/>
        <v>45</v>
      </c>
    </row>
    <row r="75" spans="1:9" ht="30" x14ac:dyDescent="0.25">
      <c r="A75" s="27">
        <v>46107</v>
      </c>
      <c r="B75" s="28" t="s">
        <v>123</v>
      </c>
      <c r="C75" s="33" t="s">
        <v>131</v>
      </c>
      <c r="D75" s="29">
        <v>12</v>
      </c>
      <c r="E75" s="29">
        <v>100</v>
      </c>
      <c r="F75" s="29" t="s">
        <v>52</v>
      </c>
      <c r="G75" s="29">
        <f t="shared" si="1"/>
        <v>8.3333333333333339</v>
      </c>
    </row>
    <row r="76" spans="1:9" ht="43.15" customHeight="1" x14ac:dyDescent="0.25">
      <c r="A76" s="27">
        <v>46107</v>
      </c>
      <c r="B76" s="28" t="s">
        <v>123</v>
      </c>
      <c r="C76" s="33" t="s">
        <v>132</v>
      </c>
      <c r="D76" s="29">
        <v>6</v>
      </c>
      <c r="E76" s="29">
        <v>100</v>
      </c>
      <c r="F76" s="29" t="s">
        <v>52</v>
      </c>
      <c r="G76" s="29">
        <f t="shared" si="1"/>
        <v>16.666666666666668</v>
      </c>
    </row>
    <row r="77" spans="1:9" ht="30" x14ac:dyDescent="0.25">
      <c r="A77" s="27">
        <v>46107</v>
      </c>
      <c r="B77" s="28" t="s">
        <v>123</v>
      </c>
      <c r="C77" s="33" t="s">
        <v>129</v>
      </c>
      <c r="D77" s="29">
        <v>22</v>
      </c>
      <c r="E77" s="29">
        <v>230</v>
      </c>
      <c r="F77" s="29" t="s">
        <v>52</v>
      </c>
      <c r="G77" s="29">
        <f t="shared" si="1"/>
        <v>10.454545454545455</v>
      </c>
    </row>
    <row r="78" spans="1:9" ht="45" x14ac:dyDescent="0.25">
      <c r="A78" s="27">
        <v>46107</v>
      </c>
      <c r="B78" s="28" t="s">
        <v>111</v>
      </c>
      <c r="C78" s="33" t="s">
        <v>113</v>
      </c>
      <c r="D78" s="29">
        <v>20</v>
      </c>
      <c r="E78" s="29">
        <v>65</v>
      </c>
      <c r="F78" s="29" t="s">
        <v>52</v>
      </c>
      <c r="G78" s="29">
        <f t="shared" si="1"/>
        <v>3.25</v>
      </c>
    </row>
    <row r="79" spans="1:9" ht="45" x14ac:dyDescent="0.25">
      <c r="A79" s="27">
        <v>46107</v>
      </c>
      <c r="B79" s="28" t="s">
        <v>111</v>
      </c>
      <c r="C79" s="33" t="s">
        <v>120</v>
      </c>
      <c r="D79" s="29">
        <v>10</v>
      </c>
      <c r="E79" s="29">
        <v>40</v>
      </c>
      <c r="F79" s="29" t="s">
        <v>52</v>
      </c>
      <c r="G79" s="29">
        <f t="shared" si="1"/>
        <v>4</v>
      </c>
    </row>
    <row r="80" spans="1:9" ht="30" x14ac:dyDescent="0.25">
      <c r="A80" s="27">
        <v>46107</v>
      </c>
      <c r="B80" s="28" t="s">
        <v>123</v>
      </c>
      <c r="C80" s="33" t="s">
        <v>125</v>
      </c>
      <c r="D80" s="29">
        <v>2</v>
      </c>
      <c r="E80" s="29">
        <v>150</v>
      </c>
      <c r="F80" s="29" t="s">
        <v>52</v>
      </c>
      <c r="G80" s="29">
        <f t="shared" si="1"/>
        <v>75</v>
      </c>
    </row>
    <row r="81" spans="1:7" ht="30" x14ac:dyDescent="0.25">
      <c r="A81" s="27">
        <v>46107</v>
      </c>
      <c r="B81" s="28" t="s">
        <v>123</v>
      </c>
      <c r="C81" s="33" t="s">
        <v>25</v>
      </c>
      <c r="D81" s="29">
        <v>15</v>
      </c>
      <c r="E81" s="29">
        <v>115</v>
      </c>
      <c r="F81" s="29" t="s">
        <v>52</v>
      </c>
      <c r="G81" s="29">
        <f t="shared" si="1"/>
        <v>7.666666666666667</v>
      </c>
    </row>
    <row r="82" spans="1:7" ht="45" x14ac:dyDescent="0.25">
      <c r="A82" s="27">
        <v>46107</v>
      </c>
      <c r="B82" s="28" t="s">
        <v>111</v>
      </c>
      <c r="C82" s="33" t="s">
        <v>119</v>
      </c>
      <c r="D82" s="29">
        <v>10</v>
      </c>
      <c r="E82" s="29">
        <v>80</v>
      </c>
      <c r="F82" s="29" t="s">
        <v>52</v>
      </c>
      <c r="G82" s="29">
        <f t="shared" si="1"/>
        <v>8</v>
      </c>
    </row>
    <row r="83" spans="1:7" ht="45" x14ac:dyDescent="0.25">
      <c r="A83" s="27">
        <v>46107</v>
      </c>
      <c r="B83" s="28" t="s">
        <v>111</v>
      </c>
      <c r="C83" s="33" t="s">
        <v>118</v>
      </c>
      <c r="D83" s="29">
        <v>25</v>
      </c>
      <c r="E83" s="29">
        <v>103</v>
      </c>
      <c r="F83" s="29" t="s">
        <v>52</v>
      </c>
      <c r="G83" s="29">
        <f t="shared" si="1"/>
        <v>4.12</v>
      </c>
    </row>
    <row r="84" spans="1:7" ht="45" x14ac:dyDescent="0.25">
      <c r="A84" s="27">
        <v>46107</v>
      </c>
      <c r="B84" s="28" t="s">
        <v>111</v>
      </c>
      <c r="C84" s="33" t="s">
        <v>122</v>
      </c>
      <c r="D84" s="29">
        <v>50</v>
      </c>
      <c r="E84" s="29">
        <v>175</v>
      </c>
      <c r="F84" s="29" t="s">
        <v>52</v>
      </c>
      <c r="G84" s="29">
        <f t="shared" si="1"/>
        <v>3.5</v>
      </c>
    </row>
    <row r="85" spans="1:7" ht="30" x14ac:dyDescent="0.25">
      <c r="A85" s="27">
        <v>46107</v>
      </c>
      <c r="B85" s="28" t="s">
        <v>123</v>
      </c>
      <c r="C85" s="33" t="s">
        <v>134</v>
      </c>
      <c r="D85" s="29">
        <v>10</v>
      </c>
      <c r="E85" s="29">
        <v>240</v>
      </c>
      <c r="F85" s="29" t="s">
        <v>52</v>
      </c>
      <c r="G85" s="29">
        <f t="shared" si="1"/>
        <v>24</v>
      </c>
    </row>
    <row r="86" spans="1:7" ht="30" x14ac:dyDescent="0.25">
      <c r="A86" s="27">
        <v>46107</v>
      </c>
      <c r="B86" s="28" t="s">
        <v>123</v>
      </c>
      <c r="C86" s="33" t="s">
        <v>135</v>
      </c>
      <c r="D86" s="29">
        <v>10</v>
      </c>
      <c r="E86" s="29">
        <v>100</v>
      </c>
      <c r="F86" s="29" t="s">
        <v>52</v>
      </c>
      <c r="G86" s="29">
        <f t="shared" si="1"/>
        <v>10</v>
      </c>
    </row>
    <row r="87" spans="1:7" ht="45" x14ac:dyDescent="0.25">
      <c r="A87" s="27">
        <v>46107</v>
      </c>
      <c r="B87" s="28" t="s">
        <v>111</v>
      </c>
      <c r="C87" s="33" t="s">
        <v>115</v>
      </c>
      <c r="D87" s="29">
        <v>10</v>
      </c>
      <c r="E87" s="29">
        <v>75</v>
      </c>
      <c r="F87" s="29" t="s">
        <v>52</v>
      </c>
      <c r="G87" s="29">
        <f t="shared" si="1"/>
        <v>7.5</v>
      </c>
    </row>
    <row r="88" spans="1:7" ht="30" x14ac:dyDescent="0.25">
      <c r="A88" s="27">
        <v>46107</v>
      </c>
      <c r="B88" s="28" t="s">
        <v>123</v>
      </c>
      <c r="C88" s="33" t="s">
        <v>130</v>
      </c>
      <c r="D88" s="29">
        <v>32</v>
      </c>
      <c r="E88" s="29">
        <v>50</v>
      </c>
      <c r="F88" s="29" t="s">
        <v>52</v>
      </c>
      <c r="G88" s="29">
        <f t="shared" si="1"/>
        <v>1.5625</v>
      </c>
    </row>
    <row r="89" spans="1:7" ht="45" x14ac:dyDescent="0.25">
      <c r="A89" s="27">
        <v>46107</v>
      </c>
      <c r="B89" s="28" t="s">
        <v>123</v>
      </c>
      <c r="C89" s="33" t="s">
        <v>128</v>
      </c>
      <c r="D89" s="29">
        <v>2</v>
      </c>
      <c r="E89" s="29">
        <v>144</v>
      </c>
      <c r="F89" s="29" t="s">
        <v>52</v>
      </c>
      <c r="G89" s="29">
        <f t="shared" si="1"/>
        <v>72</v>
      </c>
    </row>
    <row r="90" spans="1:7" ht="45" x14ac:dyDescent="0.25">
      <c r="A90" s="27">
        <v>46107</v>
      </c>
      <c r="B90" s="28" t="s">
        <v>111</v>
      </c>
      <c r="C90" s="33" t="s">
        <v>116</v>
      </c>
      <c r="D90" s="29">
        <v>4</v>
      </c>
      <c r="E90" s="29">
        <v>152</v>
      </c>
      <c r="F90" s="29" t="s">
        <v>52</v>
      </c>
      <c r="G90" s="29">
        <f t="shared" si="1"/>
        <v>38</v>
      </c>
    </row>
    <row r="91" spans="1:7" ht="30" x14ac:dyDescent="0.25">
      <c r="A91" s="27">
        <v>46107</v>
      </c>
      <c r="B91" s="28" t="s">
        <v>123</v>
      </c>
      <c r="C91" s="33" t="s">
        <v>133</v>
      </c>
      <c r="D91" s="29">
        <v>12</v>
      </c>
      <c r="E91" s="29">
        <v>110</v>
      </c>
      <c r="F91" s="29" t="s">
        <v>52</v>
      </c>
      <c r="G91" s="29">
        <f t="shared" si="1"/>
        <v>9.1666666666666661</v>
      </c>
    </row>
    <row r="92" spans="1:7" ht="45" x14ac:dyDescent="0.25">
      <c r="A92" s="27">
        <v>46107</v>
      </c>
      <c r="B92" s="28" t="s">
        <v>111</v>
      </c>
      <c r="C92" s="33" t="s">
        <v>114</v>
      </c>
      <c r="D92" s="29">
        <v>10</v>
      </c>
      <c r="E92" s="29">
        <v>70</v>
      </c>
      <c r="F92" s="29" t="s">
        <v>52</v>
      </c>
      <c r="G92" s="29">
        <f t="shared" si="1"/>
        <v>7</v>
      </c>
    </row>
    <row r="93" spans="1:7" ht="45" x14ac:dyDescent="0.25">
      <c r="A93" s="27">
        <v>46107</v>
      </c>
      <c r="B93" s="28" t="s">
        <v>111</v>
      </c>
      <c r="C93" s="33" t="s">
        <v>117</v>
      </c>
      <c r="D93" s="29">
        <v>60</v>
      </c>
      <c r="E93" s="29">
        <v>450</v>
      </c>
      <c r="F93" s="29" t="s">
        <v>52</v>
      </c>
      <c r="G93" s="29">
        <f t="shared" si="1"/>
        <v>7.5</v>
      </c>
    </row>
    <row r="94" spans="1:7" ht="45" x14ac:dyDescent="0.25">
      <c r="A94" s="27">
        <v>46107</v>
      </c>
      <c r="B94" s="28" t="s">
        <v>123</v>
      </c>
      <c r="C94" s="33" t="s">
        <v>126</v>
      </c>
      <c r="D94" s="29">
        <v>2</v>
      </c>
      <c r="E94" s="29">
        <v>142</v>
      </c>
      <c r="F94" s="29" t="s">
        <v>52</v>
      </c>
      <c r="G94" s="29">
        <f t="shared" si="1"/>
        <v>71</v>
      </c>
    </row>
    <row r="95" spans="1:7" ht="30" x14ac:dyDescent="0.25">
      <c r="A95" s="27">
        <v>46107</v>
      </c>
      <c r="B95" s="28" t="s">
        <v>123</v>
      </c>
      <c r="C95" s="33" t="s">
        <v>24</v>
      </c>
      <c r="D95" s="29">
        <v>3</v>
      </c>
      <c r="E95" s="29">
        <v>192</v>
      </c>
      <c r="F95" s="29" t="s">
        <v>52</v>
      </c>
      <c r="G95" s="29">
        <f t="shared" si="1"/>
        <v>64</v>
      </c>
    </row>
    <row r="96" spans="1:7" ht="30" x14ac:dyDescent="0.25">
      <c r="A96" s="27">
        <v>46107</v>
      </c>
      <c r="B96" s="28" t="s">
        <v>123</v>
      </c>
      <c r="C96" s="33" t="s">
        <v>19</v>
      </c>
      <c r="D96" s="29">
        <v>12</v>
      </c>
      <c r="E96" s="29">
        <v>108</v>
      </c>
      <c r="F96" s="29" t="s">
        <v>52</v>
      </c>
      <c r="G96" s="29">
        <f t="shared" si="1"/>
        <v>9</v>
      </c>
    </row>
    <row r="97" spans="1:10" ht="45" x14ac:dyDescent="0.25">
      <c r="A97" s="27">
        <v>46112</v>
      </c>
      <c r="B97" s="28" t="s">
        <v>123</v>
      </c>
      <c r="C97" s="33" t="s">
        <v>136</v>
      </c>
      <c r="D97" s="29">
        <v>3</v>
      </c>
      <c r="E97" s="29">
        <v>138</v>
      </c>
      <c r="F97" s="29" t="s">
        <v>52</v>
      </c>
      <c r="G97" s="29">
        <f t="shared" si="1"/>
        <v>46</v>
      </c>
    </row>
    <row r="98" spans="1:10" ht="30" x14ac:dyDescent="0.25">
      <c r="A98" s="27">
        <v>46112</v>
      </c>
      <c r="B98" s="28" t="s">
        <v>123</v>
      </c>
      <c r="C98" s="33" t="s">
        <v>137</v>
      </c>
      <c r="D98" s="29">
        <v>3</v>
      </c>
      <c r="E98" s="29">
        <v>81</v>
      </c>
      <c r="F98" s="29" t="s">
        <v>52</v>
      </c>
      <c r="G98" s="29">
        <f t="shared" si="1"/>
        <v>27</v>
      </c>
    </row>
    <row r="99" spans="1:10" ht="30" x14ac:dyDescent="0.25">
      <c r="A99" s="27">
        <v>46112</v>
      </c>
      <c r="B99" s="28" t="s">
        <v>123</v>
      </c>
      <c r="C99" s="33" t="s">
        <v>23</v>
      </c>
      <c r="D99" s="29">
        <v>4</v>
      </c>
      <c r="E99" s="29">
        <v>200</v>
      </c>
      <c r="F99" s="29" t="s">
        <v>52</v>
      </c>
      <c r="G99" s="29">
        <f t="shared" si="1"/>
        <v>50</v>
      </c>
      <c r="J99">
        <f>SUM(E97:E100)</f>
        <v>639</v>
      </c>
    </row>
    <row r="100" spans="1:10" ht="30" x14ac:dyDescent="0.25">
      <c r="A100" s="27">
        <v>46115</v>
      </c>
      <c r="B100" s="28" t="s">
        <v>138</v>
      </c>
      <c r="C100" s="33" t="s">
        <v>35</v>
      </c>
      <c r="D100" s="29">
        <v>2</v>
      </c>
      <c r="E100" s="29">
        <v>220</v>
      </c>
      <c r="F100" s="29" t="s">
        <v>52</v>
      </c>
      <c r="G100" s="29">
        <f t="shared" si="1"/>
        <v>110</v>
      </c>
    </row>
    <row r="101" spans="1:10" ht="30" x14ac:dyDescent="0.25">
      <c r="A101" s="27">
        <v>46115</v>
      </c>
      <c r="B101" s="28" t="s">
        <v>138</v>
      </c>
      <c r="C101" s="33" t="s">
        <v>139</v>
      </c>
      <c r="D101" s="29">
        <v>2</v>
      </c>
      <c r="E101" s="29">
        <v>320</v>
      </c>
      <c r="F101" s="29" t="s">
        <v>52</v>
      </c>
      <c r="G101" s="29">
        <f t="shared" si="1"/>
        <v>160</v>
      </c>
    </row>
    <row r="102" spans="1:10" ht="30" x14ac:dyDescent="0.25">
      <c r="A102" s="27">
        <v>46115</v>
      </c>
      <c r="B102" s="28" t="s">
        <v>138</v>
      </c>
      <c r="C102" s="33" t="s">
        <v>141</v>
      </c>
      <c r="D102" s="29">
        <v>5</v>
      </c>
      <c r="E102" s="29">
        <v>150</v>
      </c>
      <c r="F102" s="29" t="s">
        <v>52</v>
      </c>
      <c r="G102" s="29">
        <f t="shared" si="1"/>
        <v>30</v>
      </c>
    </row>
    <row r="103" spans="1:10" ht="30" x14ac:dyDescent="0.25">
      <c r="A103" s="27">
        <v>46115</v>
      </c>
      <c r="B103" s="28" t="s">
        <v>138</v>
      </c>
      <c r="C103" s="33" t="s">
        <v>144</v>
      </c>
      <c r="D103" s="29">
        <v>3</v>
      </c>
      <c r="E103" s="29">
        <v>190</v>
      </c>
      <c r="F103" s="29" t="s">
        <v>52</v>
      </c>
      <c r="G103" s="29">
        <f t="shared" si="1"/>
        <v>63.333333333333336</v>
      </c>
    </row>
    <row r="104" spans="1:10" ht="30" x14ac:dyDescent="0.25">
      <c r="A104" s="27">
        <v>46115</v>
      </c>
      <c r="B104" s="28" t="s">
        <v>138</v>
      </c>
      <c r="C104" s="33" t="s">
        <v>36</v>
      </c>
      <c r="D104" s="29">
        <v>3</v>
      </c>
      <c r="E104" s="29">
        <v>155</v>
      </c>
      <c r="F104" s="29" t="s">
        <v>52</v>
      </c>
      <c r="G104" s="29">
        <f t="shared" si="1"/>
        <v>51.666666666666664</v>
      </c>
    </row>
    <row r="105" spans="1:10" ht="30" x14ac:dyDescent="0.25">
      <c r="A105" s="27">
        <v>46115</v>
      </c>
      <c r="B105" s="28" t="s">
        <v>138</v>
      </c>
      <c r="C105" s="33" t="s">
        <v>151</v>
      </c>
      <c r="D105" s="29">
        <v>12</v>
      </c>
      <c r="E105" s="29">
        <v>85</v>
      </c>
      <c r="F105" s="29" t="s">
        <v>52</v>
      </c>
      <c r="G105" s="29">
        <f t="shared" si="1"/>
        <v>7.083333333333333</v>
      </c>
    </row>
    <row r="106" spans="1:10" ht="30" x14ac:dyDescent="0.25">
      <c r="A106" s="27">
        <v>46115</v>
      </c>
      <c r="B106" s="28" t="s">
        <v>138</v>
      </c>
      <c r="C106" s="33" t="s">
        <v>148</v>
      </c>
      <c r="D106" s="29">
        <v>4</v>
      </c>
      <c r="E106" s="29">
        <v>704</v>
      </c>
      <c r="F106" s="29" t="s">
        <v>52</v>
      </c>
      <c r="G106" s="29">
        <f t="shared" si="1"/>
        <v>176</v>
      </c>
    </row>
    <row r="107" spans="1:10" ht="30" x14ac:dyDescent="0.25">
      <c r="A107" s="27">
        <v>46115</v>
      </c>
      <c r="B107" s="28" t="s">
        <v>138</v>
      </c>
      <c r="C107" s="33" t="s">
        <v>147</v>
      </c>
      <c r="D107" s="29">
        <v>3</v>
      </c>
      <c r="E107" s="29">
        <v>435</v>
      </c>
      <c r="F107" s="29" t="s">
        <v>52</v>
      </c>
      <c r="G107" s="29">
        <f t="shared" si="1"/>
        <v>145</v>
      </c>
    </row>
    <row r="108" spans="1:10" ht="30" x14ac:dyDescent="0.25">
      <c r="A108" s="27">
        <v>46115</v>
      </c>
      <c r="B108" s="28" t="s">
        <v>138</v>
      </c>
      <c r="C108" s="33" t="s">
        <v>28</v>
      </c>
      <c r="D108" s="29">
        <v>2</v>
      </c>
      <c r="E108" s="29">
        <v>200</v>
      </c>
      <c r="F108" s="29" t="s">
        <v>52</v>
      </c>
      <c r="G108" s="29">
        <f t="shared" si="1"/>
        <v>100</v>
      </c>
    </row>
    <row r="109" spans="1:10" ht="30" x14ac:dyDescent="0.25">
      <c r="A109" s="27">
        <v>46115</v>
      </c>
      <c r="B109" s="28" t="s">
        <v>138</v>
      </c>
      <c r="C109" s="33" t="s">
        <v>30</v>
      </c>
      <c r="D109" s="29">
        <v>1</v>
      </c>
      <c r="E109" s="29">
        <v>80</v>
      </c>
      <c r="F109" s="29" t="s">
        <v>52</v>
      </c>
      <c r="G109" s="29">
        <f t="shared" si="1"/>
        <v>80</v>
      </c>
    </row>
    <row r="110" spans="1:10" ht="30" x14ac:dyDescent="0.25">
      <c r="A110" s="27">
        <v>46115</v>
      </c>
      <c r="B110" s="28" t="s">
        <v>138</v>
      </c>
      <c r="C110" s="33" t="s">
        <v>143</v>
      </c>
      <c r="D110" s="29">
        <v>0.5</v>
      </c>
      <c r="E110" s="29">
        <v>125</v>
      </c>
      <c r="F110" s="29" t="s">
        <v>52</v>
      </c>
      <c r="G110" s="29">
        <f t="shared" ref="G110:G173" si="2">E110/D110</f>
        <v>250</v>
      </c>
    </row>
    <row r="111" spans="1:10" ht="30" x14ac:dyDescent="0.25">
      <c r="A111" s="27">
        <v>46115</v>
      </c>
      <c r="B111" s="28" t="s">
        <v>138</v>
      </c>
      <c r="C111" s="33" t="s">
        <v>29</v>
      </c>
      <c r="D111" s="29">
        <v>0.25</v>
      </c>
      <c r="E111" s="29">
        <v>220</v>
      </c>
      <c r="F111" s="29" t="s">
        <v>52</v>
      </c>
      <c r="G111" s="29">
        <f t="shared" si="2"/>
        <v>880</v>
      </c>
    </row>
    <row r="112" spans="1:10" ht="30" x14ac:dyDescent="0.25">
      <c r="A112" s="27">
        <v>46115</v>
      </c>
      <c r="B112" s="28" t="s">
        <v>138</v>
      </c>
      <c r="C112" s="33" t="s">
        <v>145</v>
      </c>
      <c r="D112" s="29">
        <v>25</v>
      </c>
      <c r="E112" s="29">
        <v>110</v>
      </c>
      <c r="F112" s="29" t="s">
        <v>52</v>
      </c>
      <c r="G112" s="29">
        <f t="shared" si="2"/>
        <v>4.4000000000000004</v>
      </c>
    </row>
    <row r="113" spans="1:7" ht="30" x14ac:dyDescent="0.25">
      <c r="A113" s="27">
        <v>46115</v>
      </c>
      <c r="B113" s="28" t="s">
        <v>138</v>
      </c>
      <c r="C113" s="33" t="s">
        <v>38</v>
      </c>
      <c r="D113" s="29">
        <v>4</v>
      </c>
      <c r="E113" s="29">
        <v>160</v>
      </c>
      <c r="F113" s="29" t="s">
        <v>52</v>
      </c>
      <c r="G113" s="29">
        <f t="shared" si="2"/>
        <v>40</v>
      </c>
    </row>
    <row r="114" spans="1:7" ht="30" x14ac:dyDescent="0.25">
      <c r="A114" s="27">
        <v>46115</v>
      </c>
      <c r="B114" s="28" t="s">
        <v>138</v>
      </c>
      <c r="C114" s="33" t="s">
        <v>27</v>
      </c>
      <c r="D114" s="29">
        <v>2</v>
      </c>
      <c r="E114" s="29">
        <v>160</v>
      </c>
      <c r="F114" s="29" t="s">
        <v>52</v>
      </c>
      <c r="G114" s="29">
        <f t="shared" si="2"/>
        <v>80</v>
      </c>
    </row>
    <row r="115" spans="1:7" ht="30" x14ac:dyDescent="0.25">
      <c r="A115" s="27">
        <v>46115</v>
      </c>
      <c r="B115" s="28" t="s">
        <v>138</v>
      </c>
      <c r="C115" s="33" t="s">
        <v>149</v>
      </c>
      <c r="D115" s="29">
        <v>1</v>
      </c>
      <c r="E115" s="29">
        <v>140</v>
      </c>
      <c r="F115" s="29" t="s">
        <v>52</v>
      </c>
      <c r="G115" s="29">
        <f t="shared" si="2"/>
        <v>140</v>
      </c>
    </row>
    <row r="116" spans="1:7" ht="30" x14ac:dyDescent="0.25">
      <c r="A116" s="27">
        <v>46115</v>
      </c>
      <c r="B116" s="28" t="s">
        <v>138</v>
      </c>
      <c r="C116" s="33" t="s">
        <v>142</v>
      </c>
      <c r="D116" s="29">
        <v>3</v>
      </c>
      <c r="E116" s="29">
        <v>390</v>
      </c>
      <c r="F116" s="29" t="s">
        <v>52</v>
      </c>
      <c r="G116" s="29">
        <f t="shared" si="2"/>
        <v>130</v>
      </c>
    </row>
    <row r="117" spans="1:7" ht="30" x14ac:dyDescent="0.25">
      <c r="A117" s="27">
        <v>46115</v>
      </c>
      <c r="B117" s="28" t="s">
        <v>138</v>
      </c>
      <c r="C117" s="33" t="s">
        <v>24</v>
      </c>
      <c r="D117" s="29">
        <v>2</v>
      </c>
      <c r="E117" s="29">
        <v>128</v>
      </c>
      <c r="F117" s="29" t="s">
        <v>52</v>
      </c>
      <c r="G117" s="29">
        <f t="shared" si="2"/>
        <v>64</v>
      </c>
    </row>
    <row r="118" spans="1:7" ht="30" x14ac:dyDescent="0.25">
      <c r="A118" s="27">
        <v>46115</v>
      </c>
      <c r="B118" s="28" t="s">
        <v>138</v>
      </c>
      <c r="C118" s="33" t="s">
        <v>26</v>
      </c>
      <c r="D118" s="29">
        <v>2</v>
      </c>
      <c r="E118" s="29">
        <v>70</v>
      </c>
      <c r="F118" s="29" t="s">
        <v>52</v>
      </c>
      <c r="G118" s="29">
        <f t="shared" si="2"/>
        <v>35</v>
      </c>
    </row>
    <row r="119" spans="1:7" ht="30" x14ac:dyDescent="0.25">
      <c r="A119" s="27">
        <v>46115</v>
      </c>
      <c r="B119" s="28" t="s">
        <v>138</v>
      </c>
      <c r="C119" s="33" t="s">
        <v>37</v>
      </c>
      <c r="D119" s="29">
        <v>5</v>
      </c>
      <c r="E119" s="29">
        <v>135</v>
      </c>
      <c r="F119" s="29" t="s">
        <v>52</v>
      </c>
      <c r="G119" s="29">
        <f t="shared" si="2"/>
        <v>27</v>
      </c>
    </row>
    <row r="120" spans="1:7" ht="30" x14ac:dyDescent="0.25">
      <c r="A120" s="27">
        <v>46115</v>
      </c>
      <c r="B120" s="28" t="s">
        <v>138</v>
      </c>
      <c r="C120" s="33" t="s">
        <v>140</v>
      </c>
      <c r="D120" s="29">
        <v>1</v>
      </c>
      <c r="E120" s="29">
        <v>200</v>
      </c>
      <c r="F120" s="29" t="s">
        <v>52</v>
      </c>
      <c r="G120" s="29">
        <f t="shared" si="2"/>
        <v>200</v>
      </c>
    </row>
    <row r="121" spans="1:7" ht="30" x14ac:dyDescent="0.25">
      <c r="A121" s="27">
        <v>46115</v>
      </c>
      <c r="B121" s="28" t="s">
        <v>138</v>
      </c>
      <c r="C121" s="33" t="s">
        <v>150</v>
      </c>
      <c r="D121" s="29">
        <v>4</v>
      </c>
      <c r="E121" s="29">
        <v>60</v>
      </c>
      <c r="F121" s="29" t="s">
        <v>52</v>
      </c>
      <c r="G121" s="29">
        <f t="shared" si="2"/>
        <v>15</v>
      </c>
    </row>
    <row r="122" spans="1:7" ht="30" x14ac:dyDescent="0.25">
      <c r="A122" s="27">
        <v>46115</v>
      </c>
      <c r="B122" s="28" t="s">
        <v>138</v>
      </c>
      <c r="C122" s="33" t="s">
        <v>146</v>
      </c>
      <c r="D122" s="29">
        <v>5</v>
      </c>
      <c r="E122" s="29">
        <v>85</v>
      </c>
      <c r="F122" s="29" t="s">
        <v>52</v>
      </c>
      <c r="G122" s="29">
        <f t="shared" si="2"/>
        <v>17</v>
      </c>
    </row>
    <row r="123" spans="1:7" ht="30" x14ac:dyDescent="0.25">
      <c r="A123" s="27">
        <v>46116</v>
      </c>
      <c r="B123" s="28" t="s">
        <v>138</v>
      </c>
      <c r="C123" s="33" t="s">
        <v>139</v>
      </c>
      <c r="D123" s="29">
        <v>3</v>
      </c>
      <c r="E123" s="29">
        <v>480</v>
      </c>
      <c r="F123" s="29" t="s">
        <v>52</v>
      </c>
      <c r="G123" s="29">
        <f t="shared" si="2"/>
        <v>160</v>
      </c>
    </row>
    <row r="124" spans="1:7" ht="30" x14ac:dyDescent="0.25">
      <c r="A124" s="27">
        <v>46116</v>
      </c>
      <c r="B124" s="28" t="s">
        <v>155</v>
      </c>
      <c r="C124" s="33" t="s">
        <v>41</v>
      </c>
      <c r="D124" s="29">
        <v>2</v>
      </c>
      <c r="E124" s="29">
        <v>144</v>
      </c>
      <c r="F124" s="29" t="s">
        <v>52</v>
      </c>
      <c r="G124" s="29">
        <f t="shared" si="2"/>
        <v>72</v>
      </c>
    </row>
    <row r="125" spans="1:7" ht="30" x14ac:dyDescent="0.25">
      <c r="A125" s="27">
        <v>46116</v>
      </c>
      <c r="B125" s="28" t="s">
        <v>92</v>
      </c>
      <c r="C125" s="33" t="s">
        <v>161</v>
      </c>
      <c r="D125" s="29">
        <v>6</v>
      </c>
      <c r="E125" s="29">
        <v>330</v>
      </c>
      <c r="F125" s="29" t="s">
        <v>52</v>
      </c>
      <c r="G125" s="29">
        <f t="shared" si="2"/>
        <v>55</v>
      </c>
    </row>
    <row r="126" spans="1:7" ht="30" x14ac:dyDescent="0.25">
      <c r="A126" s="27">
        <v>46116</v>
      </c>
      <c r="B126" s="28" t="s">
        <v>155</v>
      </c>
      <c r="C126" s="33" t="s">
        <v>156</v>
      </c>
      <c r="D126" s="29">
        <v>6</v>
      </c>
      <c r="E126" s="29">
        <v>252</v>
      </c>
      <c r="F126" s="29" t="s">
        <v>52</v>
      </c>
      <c r="G126" s="29">
        <f t="shared" si="2"/>
        <v>42</v>
      </c>
    </row>
    <row r="127" spans="1:7" ht="45" x14ac:dyDescent="0.25">
      <c r="A127" s="27">
        <v>46116</v>
      </c>
      <c r="B127" s="28" t="s">
        <v>155</v>
      </c>
      <c r="C127" s="33" t="s">
        <v>363</v>
      </c>
      <c r="D127" s="29">
        <v>24</v>
      </c>
      <c r="E127" s="29">
        <v>114</v>
      </c>
      <c r="F127" s="29" t="s">
        <v>52</v>
      </c>
      <c r="G127" s="29">
        <f t="shared" si="2"/>
        <v>4.75</v>
      </c>
    </row>
    <row r="128" spans="1:7" ht="30" x14ac:dyDescent="0.25">
      <c r="A128" s="27">
        <v>46116</v>
      </c>
      <c r="B128" s="28" t="s">
        <v>56</v>
      </c>
      <c r="C128" s="33" t="s">
        <v>154</v>
      </c>
      <c r="D128" s="29">
        <v>48</v>
      </c>
      <c r="E128" s="29">
        <v>39</v>
      </c>
      <c r="F128" s="29" t="s">
        <v>52</v>
      </c>
      <c r="G128" s="29">
        <f t="shared" si="2"/>
        <v>0.8125</v>
      </c>
    </row>
    <row r="129" spans="1:7" ht="30" x14ac:dyDescent="0.25">
      <c r="A129" s="27">
        <v>46116</v>
      </c>
      <c r="B129" s="28" t="s">
        <v>138</v>
      </c>
      <c r="C129" s="33" t="s">
        <v>152</v>
      </c>
      <c r="D129" s="29">
        <v>3</v>
      </c>
      <c r="E129" s="29">
        <v>405</v>
      </c>
      <c r="F129" s="29" t="s">
        <v>52</v>
      </c>
      <c r="G129" s="29">
        <f t="shared" si="2"/>
        <v>135</v>
      </c>
    </row>
    <row r="130" spans="1:7" ht="30" x14ac:dyDescent="0.25">
      <c r="A130" s="27">
        <v>46116</v>
      </c>
      <c r="B130" s="28" t="s">
        <v>56</v>
      </c>
      <c r="C130" s="33" t="s">
        <v>153</v>
      </c>
      <c r="D130" s="29">
        <v>26</v>
      </c>
      <c r="E130" s="29">
        <v>220</v>
      </c>
      <c r="F130" s="29" t="s">
        <v>52</v>
      </c>
      <c r="G130" s="29">
        <f t="shared" si="2"/>
        <v>8.4615384615384617</v>
      </c>
    </row>
    <row r="131" spans="1:7" ht="30" x14ac:dyDescent="0.25">
      <c r="A131" s="27">
        <v>46116</v>
      </c>
      <c r="B131" s="28" t="s">
        <v>56</v>
      </c>
      <c r="C131" s="33" t="s">
        <v>34</v>
      </c>
      <c r="D131" s="29">
        <v>3</v>
      </c>
      <c r="E131" s="29">
        <v>90</v>
      </c>
      <c r="F131" s="29" t="s">
        <v>52</v>
      </c>
      <c r="G131" s="29">
        <f t="shared" si="2"/>
        <v>30</v>
      </c>
    </row>
    <row r="132" spans="1:7" ht="30" x14ac:dyDescent="0.25">
      <c r="A132" s="27">
        <v>46116</v>
      </c>
      <c r="B132" s="28" t="s">
        <v>92</v>
      </c>
      <c r="C132" s="33" t="s">
        <v>159</v>
      </c>
      <c r="D132" s="29">
        <v>5</v>
      </c>
      <c r="E132" s="29">
        <v>674</v>
      </c>
      <c r="F132" s="29" t="s">
        <v>52</v>
      </c>
      <c r="G132" s="29">
        <f t="shared" si="2"/>
        <v>134.80000000000001</v>
      </c>
    </row>
    <row r="133" spans="1:7" ht="30" x14ac:dyDescent="0.25">
      <c r="A133" s="27">
        <v>46116</v>
      </c>
      <c r="B133" s="28" t="s">
        <v>155</v>
      </c>
      <c r="C133" s="33" t="s">
        <v>31</v>
      </c>
      <c r="D133" s="29">
        <v>1</v>
      </c>
      <c r="E133" s="29">
        <v>120</v>
      </c>
      <c r="F133" s="29" t="s">
        <v>52</v>
      </c>
      <c r="G133" s="29">
        <f t="shared" si="2"/>
        <v>120</v>
      </c>
    </row>
    <row r="134" spans="1:7" ht="30" x14ac:dyDescent="0.25">
      <c r="A134" s="27">
        <v>46116</v>
      </c>
      <c r="B134" s="28" t="s">
        <v>92</v>
      </c>
      <c r="C134" s="33" t="s">
        <v>160</v>
      </c>
      <c r="D134" s="29">
        <v>5</v>
      </c>
      <c r="E134" s="29">
        <v>450</v>
      </c>
      <c r="F134" s="29" t="s">
        <v>52</v>
      </c>
      <c r="G134" s="29">
        <f t="shared" si="2"/>
        <v>90</v>
      </c>
    </row>
    <row r="135" spans="1:7" ht="30" x14ac:dyDescent="0.25">
      <c r="A135" s="27">
        <v>46116</v>
      </c>
      <c r="B135" s="28" t="s">
        <v>92</v>
      </c>
      <c r="C135" s="33" t="s">
        <v>158</v>
      </c>
      <c r="D135" s="29">
        <v>0.5</v>
      </c>
      <c r="E135" s="29">
        <v>70</v>
      </c>
      <c r="F135" s="29" t="s">
        <v>52</v>
      </c>
      <c r="G135" s="29">
        <f t="shared" si="2"/>
        <v>140</v>
      </c>
    </row>
    <row r="136" spans="1:7" ht="30" x14ac:dyDescent="0.25">
      <c r="A136" s="27">
        <v>46116</v>
      </c>
      <c r="B136" s="28" t="s">
        <v>155</v>
      </c>
      <c r="C136" s="33" t="s">
        <v>157</v>
      </c>
      <c r="D136" s="29">
        <v>5</v>
      </c>
      <c r="E136" s="29">
        <v>875</v>
      </c>
      <c r="F136" s="29" t="s">
        <v>52</v>
      </c>
      <c r="G136" s="29">
        <f t="shared" si="2"/>
        <v>175</v>
      </c>
    </row>
    <row r="137" spans="1:7" ht="30" x14ac:dyDescent="0.25">
      <c r="A137" s="27">
        <v>46116</v>
      </c>
      <c r="B137" s="28" t="s">
        <v>92</v>
      </c>
      <c r="C137" s="33" t="s">
        <v>40</v>
      </c>
      <c r="D137" s="29">
        <v>2</v>
      </c>
      <c r="E137" s="29">
        <v>440</v>
      </c>
      <c r="F137" s="29" t="s">
        <v>52</v>
      </c>
      <c r="G137" s="29">
        <f t="shared" si="2"/>
        <v>220</v>
      </c>
    </row>
    <row r="138" spans="1:7" ht="30" x14ac:dyDescent="0.25">
      <c r="A138" s="27">
        <v>46116</v>
      </c>
      <c r="B138" s="28" t="s">
        <v>92</v>
      </c>
      <c r="C138" s="33" t="s">
        <v>162</v>
      </c>
      <c r="D138" s="29">
        <v>25</v>
      </c>
      <c r="E138" s="29">
        <v>330</v>
      </c>
      <c r="F138" s="29" t="s">
        <v>52</v>
      </c>
      <c r="G138" s="29">
        <f t="shared" si="2"/>
        <v>13.2</v>
      </c>
    </row>
    <row r="139" spans="1:7" ht="30" x14ac:dyDescent="0.25">
      <c r="A139" s="27">
        <v>46116</v>
      </c>
      <c r="B139" s="28" t="s">
        <v>56</v>
      </c>
      <c r="C139" s="33" t="s">
        <v>22</v>
      </c>
      <c r="D139" s="29">
        <v>32</v>
      </c>
      <c r="E139" s="29">
        <v>26</v>
      </c>
      <c r="F139" s="29" t="s">
        <v>52</v>
      </c>
      <c r="G139" s="29">
        <f t="shared" si="2"/>
        <v>0.8125</v>
      </c>
    </row>
    <row r="140" spans="1:7" ht="30" x14ac:dyDescent="0.25">
      <c r="A140" s="27">
        <v>46116</v>
      </c>
      <c r="B140" s="28" t="s">
        <v>92</v>
      </c>
      <c r="C140" s="33" t="s">
        <v>37</v>
      </c>
      <c r="D140" s="29">
        <v>5</v>
      </c>
      <c r="E140" s="29">
        <v>130</v>
      </c>
      <c r="F140" s="29" t="s">
        <v>52</v>
      </c>
      <c r="G140" s="29">
        <f t="shared" si="2"/>
        <v>26</v>
      </c>
    </row>
    <row r="141" spans="1:7" ht="30" x14ac:dyDescent="0.25">
      <c r="A141" s="27">
        <v>46117</v>
      </c>
      <c r="B141" s="28" t="s">
        <v>155</v>
      </c>
      <c r="C141" s="33" t="s">
        <v>35</v>
      </c>
      <c r="D141" s="29">
        <v>2</v>
      </c>
      <c r="E141" s="29">
        <v>224</v>
      </c>
      <c r="F141" s="29" t="s">
        <v>52</v>
      </c>
      <c r="G141" s="29">
        <f t="shared" si="2"/>
        <v>112</v>
      </c>
    </row>
    <row r="142" spans="1:7" ht="30" x14ac:dyDescent="0.25">
      <c r="A142" s="27">
        <v>46117</v>
      </c>
      <c r="B142" s="28" t="s">
        <v>155</v>
      </c>
      <c r="C142" s="33" t="s">
        <v>41</v>
      </c>
      <c r="D142" s="29">
        <v>2</v>
      </c>
      <c r="E142" s="29">
        <v>144</v>
      </c>
      <c r="F142" s="29" t="s">
        <v>52</v>
      </c>
      <c r="G142" s="29">
        <f t="shared" si="2"/>
        <v>72</v>
      </c>
    </row>
    <row r="143" spans="1:7" ht="30" x14ac:dyDescent="0.25">
      <c r="A143" s="27">
        <v>46117</v>
      </c>
      <c r="B143" s="28" t="s">
        <v>155</v>
      </c>
      <c r="C143" s="33" t="s">
        <v>43</v>
      </c>
      <c r="D143" s="29">
        <v>1</v>
      </c>
      <c r="E143" s="29">
        <v>4</v>
      </c>
      <c r="F143" s="29" t="s">
        <v>52</v>
      </c>
      <c r="G143" s="29">
        <f t="shared" si="2"/>
        <v>4</v>
      </c>
    </row>
    <row r="144" spans="1:7" ht="30" x14ac:dyDescent="0.25">
      <c r="A144" s="27">
        <v>46117</v>
      </c>
      <c r="B144" s="28" t="s">
        <v>155</v>
      </c>
      <c r="C144" s="33" t="s">
        <v>148</v>
      </c>
      <c r="D144" s="29">
        <v>16</v>
      </c>
      <c r="E144" s="29">
        <v>2816</v>
      </c>
      <c r="F144" s="29" t="s">
        <v>52</v>
      </c>
      <c r="G144" s="29">
        <f t="shared" si="2"/>
        <v>176</v>
      </c>
    </row>
    <row r="145" spans="1:7" ht="30" x14ac:dyDescent="0.25">
      <c r="A145" s="27">
        <v>46117</v>
      </c>
      <c r="B145" s="28" t="s">
        <v>155</v>
      </c>
      <c r="C145" s="33" t="s">
        <v>163</v>
      </c>
      <c r="D145" s="29">
        <v>6</v>
      </c>
      <c r="E145" s="29">
        <v>222</v>
      </c>
      <c r="F145" s="29" t="s">
        <v>52</v>
      </c>
      <c r="G145" s="29">
        <f t="shared" si="2"/>
        <v>37</v>
      </c>
    </row>
    <row r="146" spans="1:7" ht="30" x14ac:dyDescent="0.25">
      <c r="A146" s="27">
        <v>46117</v>
      </c>
      <c r="B146" s="28" t="s">
        <v>155</v>
      </c>
      <c r="C146" s="33" t="s">
        <v>91</v>
      </c>
      <c r="D146" s="29">
        <v>3</v>
      </c>
      <c r="E146" s="29">
        <v>133</v>
      </c>
      <c r="F146" s="29" t="s">
        <v>52</v>
      </c>
      <c r="G146" s="29">
        <f t="shared" si="2"/>
        <v>44.333333333333336</v>
      </c>
    </row>
    <row r="147" spans="1:7" ht="30" x14ac:dyDescent="0.25">
      <c r="A147" s="27">
        <v>46117</v>
      </c>
      <c r="B147" s="28" t="s">
        <v>155</v>
      </c>
      <c r="C147" s="33" t="s">
        <v>27</v>
      </c>
      <c r="D147" s="29">
        <v>3</v>
      </c>
      <c r="E147" s="29">
        <v>243</v>
      </c>
      <c r="F147" s="29" t="s">
        <v>52</v>
      </c>
      <c r="G147" s="29">
        <f t="shared" si="2"/>
        <v>81</v>
      </c>
    </row>
    <row r="148" spans="1:7" ht="30" x14ac:dyDescent="0.25">
      <c r="A148" s="27">
        <v>46117</v>
      </c>
      <c r="B148" s="28" t="s">
        <v>155</v>
      </c>
      <c r="C148" s="33" t="s">
        <v>23</v>
      </c>
      <c r="D148" s="29">
        <v>3</v>
      </c>
      <c r="E148" s="29">
        <v>156</v>
      </c>
      <c r="F148" s="29" t="s">
        <v>52</v>
      </c>
      <c r="G148" s="29">
        <f t="shared" si="2"/>
        <v>52</v>
      </c>
    </row>
    <row r="149" spans="1:7" ht="30" x14ac:dyDescent="0.25">
      <c r="A149" s="27">
        <v>46119</v>
      </c>
      <c r="B149" s="28" t="s">
        <v>92</v>
      </c>
      <c r="C149" s="33" t="s">
        <v>288</v>
      </c>
      <c r="D149" s="29">
        <v>4</v>
      </c>
      <c r="E149" s="29">
        <v>200</v>
      </c>
      <c r="F149" s="29" t="s">
        <v>52</v>
      </c>
      <c r="G149" s="29">
        <f t="shared" si="2"/>
        <v>50</v>
      </c>
    </row>
    <row r="150" spans="1:7" ht="30" x14ac:dyDescent="0.25">
      <c r="A150" s="27">
        <v>46119</v>
      </c>
      <c r="B150" s="28" t="s">
        <v>92</v>
      </c>
      <c r="C150" s="33" t="s">
        <v>289</v>
      </c>
      <c r="D150" s="29">
        <v>2</v>
      </c>
      <c r="E150" s="29">
        <v>190</v>
      </c>
      <c r="F150" s="29" t="s">
        <v>52</v>
      </c>
      <c r="G150" s="29">
        <f t="shared" si="2"/>
        <v>95</v>
      </c>
    </row>
    <row r="151" spans="1:7" ht="30" x14ac:dyDescent="0.25">
      <c r="A151" s="27">
        <v>46119</v>
      </c>
      <c r="B151" s="28" t="s">
        <v>92</v>
      </c>
      <c r="C151" s="33" t="s">
        <v>291</v>
      </c>
      <c r="D151" s="29">
        <v>12</v>
      </c>
      <c r="E151" s="29">
        <v>110</v>
      </c>
      <c r="F151" s="29" t="s">
        <v>52</v>
      </c>
      <c r="G151" s="29">
        <f t="shared" si="2"/>
        <v>9.1666666666666661</v>
      </c>
    </row>
    <row r="152" spans="1:7" ht="30" x14ac:dyDescent="0.25">
      <c r="A152" s="27">
        <v>46119</v>
      </c>
      <c r="B152" s="28" t="s">
        <v>92</v>
      </c>
      <c r="C152" s="33" t="s">
        <v>290</v>
      </c>
      <c r="D152" s="29">
        <v>24</v>
      </c>
      <c r="E152" s="29">
        <v>200</v>
      </c>
      <c r="F152" s="29" t="s">
        <v>52</v>
      </c>
      <c r="G152" s="29">
        <f t="shared" si="2"/>
        <v>8.3333333333333339</v>
      </c>
    </row>
    <row r="153" spans="1:7" x14ac:dyDescent="0.25">
      <c r="A153" s="27">
        <v>46120</v>
      </c>
      <c r="B153" s="28"/>
      <c r="C153" s="33" t="s">
        <v>296</v>
      </c>
      <c r="D153" s="29">
        <v>1</v>
      </c>
      <c r="E153" s="29">
        <v>1250</v>
      </c>
      <c r="F153" s="29" t="s">
        <v>52</v>
      </c>
      <c r="G153" s="29">
        <f t="shared" si="2"/>
        <v>1250</v>
      </c>
    </row>
    <row r="154" spans="1:7" ht="30" x14ac:dyDescent="0.25">
      <c r="A154" s="27">
        <v>46120</v>
      </c>
      <c r="B154" s="13" t="s">
        <v>123</v>
      </c>
      <c r="C154" s="19" t="s">
        <v>319</v>
      </c>
      <c r="D154" s="10">
        <v>3</v>
      </c>
      <c r="E154" s="10">
        <v>249</v>
      </c>
      <c r="F154" s="10" t="s">
        <v>52</v>
      </c>
      <c r="G154" s="10">
        <f t="shared" si="2"/>
        <v>83</v>
      </c>
    </row>
    <row r="155" spans="1:7" ht="30" x14ac:dyDescent="0.25">
      <c r="A155" s="27">
        <v>46120</v>
      </c>
      <c r="B155" s="13" t="s">
        <v>123</v>
      </c>
      <c r="C155" s="19" t="s">
        <v>345</v>
      </c>
      <c r="D155" s="10">
        <v>100</v>
      </c>
      <c r="E155" s="10">
        <v>87</v>
      </c>
      <c r="F155" s="10" t="s">
        <v>52</v>
      </c>
      <c r="G155" s="10">
        <f t="shared" si="2"/>
        <v>0.87</v>
      </c>
    </row>
    <row r="156" spans="1:7" ht="30" x14ac:dyDescent="0.25">
      <c r="A156" s="27">
        <v>46120</v>
      </c>
      <c r="B156" s="13" t="s">
        <v>123</v>
      </c>
      <c r="C156" s="19" t="s">
        <v>313</v>
      </c>
      <c r="D156" s="10">
        <v>2</v>
      </c>
      <c r="E156" s="10">
        <v>224</v>
      </c>
      <c r="F156" s="10" t="s">
        <v>52</v>
      </c>
      <c r="G156" s="10">
        <f t="shared" si="2"/>
        <v>112</v>
      </c>
    </row>
    <row r="157" spans="1:7" ht="30" x14ac:dyDescent="0.25">
      <c r="A157" s="27">
        <v>46120</v>
      </c>
      <c r="B157" s="13" t="s">
        <v>65</v>
      </c>
      <c r="C157" s="19" t="s">
        <v>310</v>
      </c>
      <c r="D157" s="10">
        <v>72</v>
      </c>
      <c r="E157" s="10">
        <v>340</v>
      </c>
      <c r="F157" s="10" t="s">
        <v>52</v>
      </c>
      <c r="G157" s="10">
        <f t="shared" si="2"/>
        <v>4.7222222222222223</v>
      </c>
    </row>
    <row r="158" spans="1:7" ht="30" x14ac:dyDescent="0.25">
      <c r="A158" s="27">
        <v>46120</v>
      </c>
      <c r="B158" s="13" t="s">
        <v>123</v>
      </c>
      <c r="C158" s="19" t="s">
        <v>318</v>
      </c>
      <c r="D158" s="10">
        <v>30</v>
      </c>
      <c r="E158" s="10">
        <v>200</v>
      </c>
      <c r="F158" s="10" t="s">
        <v>52</v>
      </c>
      <c r="G158" s="10">
        <f t="shared" si="2"/>
        <v>6.666666666666667</v>
      </c>
    </row>
    <row r="159" spans="1:7" ht="30" x14ac:dyDescent="0.25">
      <c r="A159" s="27">
        <v>46120</v>
      </c>
      <c r="B159" s="13" t="s">
        <v>65</v>
      </c>
      <c r="C159" s="19" t="s">
        <v>308</v>
      </c>
      <c r="D159" s="10">
        <v>210</v>
      </c>
      <c r="E159" s="10">
        <v>200</v>
      </c>
      <c r="F159" s="10" t="s">
        <v>52</v>
      </c>
      <c r="G159" s="10">
        <f t="shared" si="2"/>
        <v>0.95238095238095233</v>
      </c>
    </row>
    <row r="160" spans="1:7" ht="30" x14ac:dyDescent="0.25">
      <c r="A160" s="27">
        <v>46120</v>
      </c>
      <c r="B160" s="13" t="s">
        <v>123</v>
      </c>
      <c r="C160" s="19" t="s">
        <v>324</v>
      </c>
      <c r="D160" s="10">
        <v>3</v>
      </c>
      <c r="E160" s="10">
        <v>162</v>
      </c>
      <c r="F160" s="10" t="s">
        <v>52</v>
      </c>
      <c r="G160" s="10">
        <f t="shared" si="2"/>
        <v>54</v>
      </c>
    </row>
    <row r="161" spans="1:9" ht="45" x14ac:dyDescent="0.25">
      <c r="A161" s="27">
        <v>46120</v>
      </c>
      <c r="B161" s="13" t="s">
        <v>123</v>
      </c>
      <c r="C161" s="19" t="s">
        <v>323</v>
      </c>
      <c r="D161" s="10">
        <v>3</v>
      </c>
      <c r="E161" s="10">
        <v>230</v>
      </c>
      <c r="F161" s="10" t="s">
        <v>52</v>
      </c>
      <c r="G161" s="10">
        <f t="shared" si="2"/>
        <v>76.666666666666671</v>
      </c>
    </row>
    <row r="162" spans="1:9" ht="30" x14ac:dyDescent="0.25">
      <c r="A162" s="27">
        <v>46120</v>
      </c>
      <c r="B162" s="13" t="s">
        <v>123</v>
      </c>
      <c r="C162" s="19" t="s">
        <v>317</v>
      </c>
      <c r="D162" s="10">
        <v>4</v>
      </c>
      <c r="E162" s="10">
        <v>212</v>
      </c>
      <c r="F162" s="10" t="s">
        <v>52</v>
      </c>
      <c r="G162" s="10">
        <f t="shared" si="2"/>
        <v>53</v>
      </c>
    </row>
    <row r="163" spans="1:9" ht="30" x14ac:dyDescent="0.25">
      <c r="A163" s="27">
        <v>46120</v>
      </c>
      <c r="B163" s="13" t="s">
        <v>65</v>
      </c>
      <c r="C163" s="19" t="s">
        <v>309</v>
      </c>
      <c r="D163" s="10">
        <v>32</v>
      </c>
      <c r="E163" s="10">
        <v>150</v>
      </c>
      <c r="F163" s="10" t="s">
        <v>52</v>
      </c>
      <c r="G163" s="10">
        <f t="shared" si="2"/>
        <v>4.6875</v>
      </c>
    </row>
    <row r="164" spans="1:9" ht="30" x14ac:dyDescent="0.25">
      <c r="A164" s="27">
        <v>46120</v>
      </c>
      <c r="B164" s="13" t="s">
        <v>123</v>
      </c>
      <c r="C164" s="19" t="s">
        <v>320</v>
      </c>
      <c r="D164" s="10">
        <v>12</v>
      </c>
      <c r="E164" s="10">
        <v>105</v>
      </c>
      <c r="F164" s="10" t="s">
        <v>52</v>
      </c>
      <c r="G164" s="10">
        <f t="shared" si="2"/>
        <v>8.75</v>
      </c>
    </row>
    <row r="165" spans="1:9" ht="30" x14ac:dyDescent="0.25">
      <c r="A165" s="27">
        <v>46120</v>
      </c>
      <c r="B165" s="13" t="s">
        <v>123</v>
      </c>
      <c r="C165" s="19" t="s">
        <v>321</v>
      </c>
      <c r="D165" s="10">
        <v>6</v>
      </c>
      <c r="E165" s="10">
        <v>582</v>
      </c>
      <c r="F165" s="10" t="s">
        <v>52</v>
      </c>
      <c r="G165" s="10">
        <f t="shared" si="2"/>
        <v>97</v>
      </c>
    </row>
    <row r="166" spans="1:9" ht="30" x14ac:dyDescent="0.25">
      <c r="A166" s="27">
        <v>46120</v>
      </c>
      <c r="B166" s="13" t="s">
        <v>123</v>
      </c>
      <c r="C166" s="19" t="s">
        <v>314</v>
      </c>
      <c r="D166" s="10">
        <v>2</v>
      </c>
      <c r="E166" s="10">
        <v>380</v>
      </c>
      <c r="F166" s="10" t="s">
        <v>52</v>
      </c>
      <c r="G166" s="10">
        <f t="shared" si="2"/>
        <v>190</v>
      </c>
    </row>
    <row r="167" spans="1:9" ht="30" x14ac:dyDescent="0.25">
      <c r="A167" s="27">
        <v>46120</v>
      </c>
      <c r="B167" s="13" t="s">
        <v>65</v>
      </c>
      <c r="C167" s="19" t="s">
        <v>311</v>
      </c>
      <c r="D167" s="10">
        <v>22</v>
      </c>
      <c r="E167" s="10">
        <v>210</v>
      </c>
      <c r="F167" s="10" t="s">
        <v>52</v>
      </c>
      <c r="G167" s="10">
        <f t="shared" si="2"/>
        <v>9.545454545454545</v>
      </c>
    </row>
    <row r="168" spans="1:9" ht="30" x14ac:dyDescent="0.25">
      <c r="A168" s="27">
        <v>46120</v>
      </c>
      <c r="B168" s="13" t="s">
        <v>123</v>
      </c>
      <c r="C168" s="19" t="s">
        <v>312</v>
      </c>
      <c r="D168" s="10">
        <v>2</v>
      </c>
      <c r="E168" s="10">
        <v>184</v>
      </c>
      <c r="F168" s="10" t="s">
        <v>52</v>
      </c>
      <c r="G168" s="10">
        <f t="shared" si="2"/>
        <v>92</v>
      </c>
      <c r="I168">
        <f>SUM(E160:E169)</f>
        <v>2468</v>
      </c>
    </row>
    <row r="169" spans="1:9" ht="30" x14ac:dyDescent="0.25">
      <c r="A169" s="27">
        <v>46120</v>
      </c>
      <c r="B169" s="13" t="s">
        <v>123</v>
      </c>
      <c r="C169" s="19" t="s">
        <v>322</v>
      </c>
      <c r="D169" s="10">
        <v>4</v>
      </c>
      <c r="E169" s="10">
        <v>253</v>
      </c>
      <c r="F169" s="10" t="s">
        <v>52</v>
      </c>
      <c r="G169" s="10">
        <f t="shared" si="2"/>
        <v>63.25</v>
      </c>
    </row>
    <row r="170" spans="1:9" ht="30" x14ac:dyDescent="0.25">
      <c r="A170" s="27">
        <v>46120</v>
      </c>
      <c r="B170" s="13" t="s">
        <v>123</v>
      </c>
      <c r="C170" s="19" t="s">
        <v>19</v>
      </c>
      <c r="D170" s="10">
        <v>12</v>
      </c>
      <c r="E170" s="10">
        <v>108</v>
      </c>
      <c r="F170" s="10" t="s">
        <v>52</v>
      </c>
      <c r="G170" s="10">
        <f t="shared" si="2"/>
        <v>9</v>
      </c>
    </row>
    <row r="171" spans="1:9" ht="30" x14ac:dyDescent="0.25">
      <c r="A171" s="27">
        <v>46120</v>
      </c>
      <c r="B171" s="13" t="s">
        <v>123</v>
      </c>
      <c r="C171" s="19" t="s">
        <v>315</v>
      </c>
      <c r="D171" s="10">
        <v>2</v>
      </c>
      <c r="E171" s="10">
        <v>154</v>
      </c>
      <c r="F171" s="10" t="s">
        <v>52</v>
      </c>
      <c r="G171" s="10">
        <f t="shared" si="2"/>
        <v>77</v>
      </c>
    </row>
    <row r="172" spans="1:9" ht="30" x14ac:dyDescent="0.25">
      <c r="A172" s="27">
        <v>46120</v>
      </c>
      <c r="B172" s="13" t="s">
        <v>123</v>
      </c>
      <c r="C172" s="19" t="s">
        <v>316</v>
      </c>
      <c r="D172" s="10">
        <v>6</v>
      </c>
      <c r="E172" s="10">
        <v>200</v>
      </c>
      <c r="F172" s="10" t="s">
        <v>52</v>
      </c>
      <c r="G172" s="10">
        <f t="shared" si="2"/>
        <v>33.333333333333336</v>
      </c>
    </row>
    <row r="173" spans="1:9" ht="30" x14ac:dyDescent="0.25">
      <c r="A173" s="37">
        <v>46121</v>
      </c>
      <c r="B173" s="13" t="s">
        <v>138</v>
      </c>
      <c r="C173" s="19" t="s">
        <v>342</v>
      </c>
      <c r="D173" s="10">
        <v>4</v>
      </c>
      <c r="E173" s="10">
        <v>390</v>
      </c>
      <c r="F173" s="10" t="s">
        <v>52</v>
      </c>
      <c r="G173" s="10">
        <f t="shared" si="2"/>
        <v>97.5</v>
      </c>
    </row>
    <row r="174" spans="1:9" ht="30" x14ac:dyDescent="0.25">
      <c r="A174" s="37">
        <v>46121</v>
      </c>
      <c r="C174" s="19" t="s">
        <v>326</v>
      </c>
      <c r="D174" s="10">
        <v>52</v>
      </c>
      <c r="E174" s="10">
        <v>2500</v>
      </c>
      <c r="F174" s="10" t="s">
        <v>52</v>
      </c>
      <c r="G174" s="10">
        <f t="shared" ref="G174:G237" si="3">E174/D174</f>
        <v>48.07692307692308</v>
      </c>
    </row>
    <row r="175" spans="1:9" ht="30" x14ac:dyDescent="0.25">
      <c r="A175" s="37">
        <v>46121</v>
      </c>
      <c r="B175" s="13" t="s">
        <v>92</v>
      </c>
      <c r="C175" s="19" t="s">
        <v>344</v>
      </c>
      <c r="D175" s="10">
        <v>5</v>
      </c>
      <c r="E175" s="10">
        <v>215</v>
      </c>
      <c r="F175" s="10" t="s">
        <v>52</v>
      </c>
      <c r="G175" s="10">
        <f t="shared" si="3"/>
        <v>43</v>
      </c>
    </row>
    <row r="176" spans="1:9" ht="45" x14ac:dyDescent="0.25">
      <c r="A176" s="37">
        <v>46121</v>
      </c>
      <c r="B176" s="13" t="s">
        <v>138</v>
      </c>
      <c r="C176" s="19" t="s">
        <v>343</v>
      </c>
      <c r="D176" s="10">
        <v>5</v>
      </c>
      <c r="E176" s="10">
        <v>125</v>
      </c>
      <c r="F176" s="10" t="s">
        <v>52</v>
      </c>
      <c r="G176" s="10">
        <f t="shared" si="3"/>
        <v>25</v>
      </c>
    </row>
    <row r="177" spans="1:7" ht="30" x14ac:dyDescent="0.25">
      <c r="A177" s="37">
        <v>46122</v>
      </c>
      <c r="B177" s="13" t="s">
        <v>411</v>
      </c>
      <c r="C177" s="19" t="s">
        <v>386</v>
      </c>
      <c r="D177" s="10">
        <v>30</v>
      </c>
      <c r="E177" s="10">
        <v>245</v>
      </c>
      <c r="F177" s="10" t="s">
        <v>52</v>
      </c>
      <c r="G177" s="10">
        <f t="shared" si="3"/>
        <v>8.1666666666666661</v>
      </c>
    </row>
    <row r="178" spans="1:7" ht="30" x14ac:dyDescent="0.25">
      <c r="A178" s="37">
        <v>46122</v>
      </c>
      <c r="B178" s="13" t="s">
        <v>411</v>
      </c>
      <c r="C178" s="19" t="s">
        <v>385</v>
      </c>
      <c r="D178" s="10">
        <v>30</v>
      </c>
      <c r="E178" s="10">
        <v>245</v>
      </c>
      <c r="F178" s="10" t="s">
        <v>52</v>
      </c>
      <c r="G178" s="10">
        <f t="shared" si="3"/>
        <v>8.1666666666666661</v>
      </c>
    </row>
    <row r="179" spans="1:7" x14ac:dyDescent="0.25">
      <c r="A179" s="37">
        <v>46122</v>
      </c>
      <c r="C179" s="19" t="s">
        <v>389</v>
      </c>
      <c r="D179" s="10">
        <v>120</v>
      </c>
      <c r="E179" s="10">
        <v>880</v>
      </c>
      <c r="F179" s="10" t="s">
        <v>52</v>
      </c>
      <c r="G179" s="10">
        <f t="shared" si="3"/>
        <v>7.333333333333333</v>
      </c>
    </row>
    <row r="180" spans="1:7" x14ac:dyDescent="0.25">
      <c r="A180" s="37">
        <v>46122</v>
      </c>
      <c r="C180" s="19" t="s">
        <v>388</v>
      </c>
      <c r="D180" s="10">
        <v>120</v>
      </c>
      <c r="E180" s="10">
        <v>760</v>
      </c>
      <c r="F180" s="10" t="s">
        <v>52</v>
      </c>
      <c r="G180" s="10">
        <f t="shared" si="3"/>
        <v>6.333333333333333</v>
      </c>
    </row>
    <row r="181" spans="1:7" ht="30" x14ac:dyDescent="0.25">
      <c r="A181" s="37">
        <v>46123</v>
      </c>
      <c r="C181" s="19" t="s">
        <v>422</v>
      </c>
      <c r="D181" s="10">
        <v>36</v>
      </c>
      <c r="E181" s="10">
        <v>330</v>
      </c>
      <c r="F181" s="10" t="s">
        <v>52</v>
      </c>
      <c r="G181" s="10">
        <f t="shared" si="3"/>
        <v>9.1666666666666661</v>
      </c>
    </row>
    <row r="182" spans="1:7" x14ac:dyDescent="0.25">
      <c r="A182" s="37">
        <v>46123</v>
      </c>
      <c r="C182" s="19" t="s">
        <v>423</v>
      </c>
      <c r="D182" s="10">
        <v>12</v>
      </c>
      <c r="E182" s="10">
        <v>55</v>
      </c>
      <c r="F182" s="10" t="s">
        <v>52</v>
      </c>
      <c r="G182" s="10">
        <f t="shared" si="3"/>
        <v>4.583333333333333</v>
      </c>
    </row>
    <row r="183" spans="1:7" ht="30" x14ac:dyDescent="0.25">
      <c r="A183" s="37">
        <v>46123</v>
      </c>
      <c r="C183" s="19" t="s">
        <v>417</v>
      </c>
      <c r="D183" s="10">
        <v>6</v>
      </c>
      <c r="E183" s="10">
        <v>222</v>
      </c>
      <c r="F183" s="10" t="s">
        <v>52</v>
      </c>
      <c r="G183" s="10">
        <f t="shared" si="3"/>
        <v>37</v>
      </c>
    </row>
    <row r="184" spans="1:7" ht="45" x14ac:dyDescent="0.25">
      <c r="A184" s="37">
        <v>46123</v>
      </c>
      <c r="C184" s="19" t="s">
        <v>416</v>
      </c>
      <c r="D184" s="10">
        <v>12</v>
      </c>
      <c r="E184" s="10">
        <v>56</v>
      </c>
      <c r="F184" s="10" t="s">
        <v>52</v>
      </c>
      <c r="G184" s="10">
        <f t="shared" si="3"/>
        <v>4.666666666666667</v>
      </c>
    </row>
    <row r="185" spans="1:7" ht="30" x14ac:dyDescent="0.25">
      <c r="A185" s="37">
        <v>46123</v>
      </c>
      <c r="C185" s="19" t="s">
        <v>418</v>
      </c>
      <c r="D185" s="10">
        <v>2</v>
      </c>
      <c r="E185" s="10">
        <v>236</v>
      </c>
      <c r="F185" s="10" t="s">
        <v>52</v>
      </c>
      <c r="G185" s="10">
        <f t="shared" si="3"/>
        <v>118</v>
      </c>
    </row>
    <row r="186" spans="1:7" x14ac:dyDescent="0.25">
      <c r="A186" s="37">
        <v>46123</v>
      </c>
      <c r="C186" s="19" t="s">
        <v>401</v>
      </c>
      <c r="D186" s="10">
        <v>5</v>
      </c>
      <c r="E186" s="10">
        <v>70</v>
      </c>
      <c r="F186" s="10" t="s">
        <v>52</v>
      </c>
      <c r="G186" s="10">
        <f t="shared" si="3"/>
        <v>14</v>
      </c>
    </row>
    <row r="187" spans="1:7" ht="30" x14ac:dyDescent="0.25">
      <c r="A187" s="37">
        <v>46123</v>
      </c>
      <c r="C187" s="19" t="s">
        <v>433</v>
      </c>
      <c r="D187" s="10">
        <v>12</v>
      </c>
      <c r="E187" s="10">
        <v>109</v>
      </c>
      <c r="F187" s="10" t="s">
        <v>52</v>
      </c>
      <c r="G187" s="10">
        <f t="shared" si="3"/>
        <v>9.0833333333333339</v>
      </c>
    </row>
    <row r="188" spans="1:7" ht="30" x14ac:dyDescent="0.25">
      <c r="A188" s="37">
        <v>46123</v>
      </c>
      <c r="B188" s="13" t="s">
        <v>410</v>
      </c>
      <c r="C188" s="19" t="s">
        <v>404</v>
      </c>
      <c r="D188" s="10">
        <v>5</v>
      </c>
      <c r="E188" s="10">
        <v>100</v>
      </c>
      <c r="F188" s="10" t="s">
        <v>52</v>
      </c>
      <c r="G188" s="10">
        <f t="shared" si="3"/>
        <v>20</v>
      </c>
    </row>
    <row r="189" spans="1:7" ht="45" x14ac:dyDescent="0.25">
      <c r="A189" s="37">
        <v>46123</v>
      </c>
      <c r="C189" s="19" t="s">
        <v>430</v>
      </c>
      <c r="D189" s="10">
        <v>12</v>
      </c>
      <c r="E189" s="10">
        <v>109</v>
      </c>
      <c r="F189" s="10" t="s">
        <v>52</v>
      </c>
      <c r="G189" s="10">
        <f t="shared" si="3"/>
        <v>9.0833333333333339</v>
      </c>
    </row>
    <row r="190" spans="1:7" ht="30" x14ac:dyDescent="0.25">
      <c r="A190" s="37">
        <v>46123</v>
      </c>
      <c r="C190" s="33" t="s">
        <v>432</v>
      </c>
      <c r="D190" s="10">
        <v>12</v>
      </c>
      <c r="E190" s="10">
        <v>109</v>
      </c>
      <c r="F190" s="10" t="s">
        <v>52</v>
      </c>
      <c r="G190" s="10">
        <f t="shared" si="3"/>
        <v>9.0833333333333339</v>
      </c>
    </row>
    <row r="191" spans="1:7" ht="45" x14ac:dyDescent="0.25">
      <c r="A191" s="37">
        <v>46123</v>
      </c>
      <c r="C191" s="19" t="s">
        <v>429</v>
      </c>
      <c r="D191" s="10">
        <v>12</v>
      </c>
      <c r="E191" s="10">
        <v>109</v>
      </c>
      <c r="F191" s="10" t="s">
        <v>52</v>
      </c>
      <c r="G191" s="10">
        <f t="shared" si="3"/>
        <v>9.0833333333333339</v>
      </c>
    </row>
    <row r="192" spans="1:7" ht="45" x14ac:dyDescent="0.25">
      <c r="A192" s="37">
        <v>46123</v>
      </c>
      <c r="C192" s="19" t="s">
        <v>428</v>
      </c>
      <c r="D192" s="10">
        <v>12</v>
      </c>
      <c r="E192" s="10">
        <v>109</v>
      </c>
      <c r="F192" s="10" t="s">
        <v>52</v>
      </c>
      <c r="G192" s="10">
        <f t="shared" si="3"/>
        <v>9.0833333333333339</v>
      </c>
    </row>
    <row r="193" spans="1:10" ht="45" x14ac:dyDescent="0.25">
      <c r="A193" s="37">
        <v>46123</v>
      </c>
      <c r="C193" s="19" t="s">
        <v>431</v>
      </c>
      <c r="D193" s="10">
        <v>24</v>
      </c>
      <c r="E193" s="10">
        <v>218</v>
      </c>
      <c r="F193" s="10" t="s">
        <v>52</v>
      </c>
      <c r="G193" s="10">
        <f t="shared" si="3"/>
        <v>9.0833333333333339</v>
      </c>
    </row>
    <row r="194" spans="1:10" ht="30" x14ac:dyDescent="0.25">
      <c r="A194" s="37">
        <v>46123</v>
      </c>
      <c r="C194" s="19" t="s">
        <v>400</v>
      </c>
      <c r="D194" s="10">
        <v>2</v>
      </c>
      <c r="E194" s="10">
        <v>100</v>
      </c>
      <c r="F194" s="10" t="s">
        <v>52</v>
      </c>
      <c r="G194" s="10">
        <f t="shared" si="3"/>
        <v>50</v>
      </c>
    </row>
    <row r="195" spans="1:10" x14ac:dyDescent="0.25">
      <c r="A195" s="37">
        <v>46123</v>
      </c>
      <c r="C195" s="19" t="s">
        <v>399</v>
      </c>
      <c r="D195" s="10">
        <v>3</v>
      </c>
      <c r="E195" s="10">
        <v>200</v>
      </c>
      <c r="F195" s="10" t="s">
        <v>52</v>
      </c>
      <c r="G195" s="10">
        <f t="shared" si="3"/>
        <v>66.666666666666671</v>
      </c>
    </row>
    <row r="196" spans="1:10" ht="30" x14ac:dyDescent="0.25">
      <c r="A196" s="37">
        <v>46123</v>
      </c>
      <c r="B196" s="13" t="s">
        <v>412</v>
      </c>
      <c r="C196" s="19" t="s">
        <v>413</v>
      </c>
      <c r="D196" s="10">
        <v>6</v>
      </c>
      <c r="E196" s="10">
        <v>390</v>
      </c>
      <c r="F196" s="10" t="s">
        <v>52</v>
      </c>
      <c r="G196" s="10">
        <f t="shared" si="3"/>
        <v>65</v>
      </c>
    </row>
    <row r="197" spans="1:10" x14ac:dyDescent="0.25">
      <c r="A197" s="37">
        <v>46123</v>
      </c>
      <c r="C197" s="19" t="s">
        <v>414</v>
      </c>
      <c r="D197" s="10">
        <v>4</v>
      </c>
      <c r="E197" s="10">
        <v>134</v>
      </c>
      <c r="F197" s="10" t="s">
        <v>52</v>
      </c>
      <c r="G197" s="10">
        <f t="shared" si="3"/>
        <v>33.5</v>
      </c>
    </row>
    <row r="198" spans="1:10" x14ac:dyDescent="0.25">
      <c r="A198" s="37">
        <v>46123</v>
      </c>
      <c r="C198" s="19" t="s">
        <v>421</v>
      </c>
      <c r="D198" s="10">
        <v>12</v>
      </c>
      <c r="E198" s="10">
        <v>110</v>
      </c>
      <c r="F198" s="10" t="s">
        <v>52</v>
      </c>
      <c r="G198" s="10">
        <f t="shared" si="3"/>
        <v>9.1666666666666661</v>
      </c>
    </row>
    <row r="199" spans="1:10" ht="30" x14ac:dyDescent="0.25">
      <c r="A199" s="37">
        <v>46123</v>
      </c>
      <c r="C199" s="19" t="s">
        <v>420</v>
      </c>
      <c r="D199" s="10">
        <v>20</v>
      </c>
      <c r="E199" s="10">
        <v>180</v>
      </c>
      <c r="F199" s="10" t="s">
        <v>52</v>
      </c>
      <c r="G199" s="10">
        <f t="shared" si="3"/>
        <v>9</v>
      </c>
    </row>
    <row r="200" spans="1:10" ht="30" x14ac:dyDescent="0.25">
      <c r="A200" s="37">
        <v>46123</v>
      </c>
      <c r="C200" s="19" t="s">
        <v>424</v>
      </c>
      <c r="D200" s="10">
        <v>20</v>
      </c>
      <c r="E200" s="10">
        <v>370</v>
      </c>
      <c r="F200" s="10" t="s">
        <v>52</v>
      </c>
      <c r="G200" s="10">
        <f t="shared" si="3"/>
        <v>18.5</v>
      </c>
    </row>
    <row r="201" spans="1:10" ht="30" x14ac:dyDescent="0.25">
      <c r="A201" s="37">
        <v>46123</v>
      </c>
      <c r="C201" s="19" t="s">
        <v>425</v>
      </c>
      <c r="D201" s="10">
        <v>4</v>
      </c>
      <c r="E201" s="10">
        <v>220</v>
      </c>
      <c r="F201" s="10" t="s">
        <v>52</v>
      </c>
      <c r="G201" s="10">
        <f t="shared" si="3"/>
        <v>55</v>
      </c>
    </row>
    <row r="202" spans="1:10" ht="30" x14ac:dyDescent="0.25">
      <c r="A202" s="37">
        <v>46123</v>
      </c>
      <c r="B202" s="13" t="s">
        <v>410</v>
      </c>
      <c r="C202" s="19" t="s">
        <v>403</v>
      </c>
      <c r="D202" s="10">
        <v>5</v>
      </c>
      <c r="E202" s="10">
        <v>50</v>
      </c>
      <c r="F202" s="10" t="s">
        <v>52</v>
      </c>
      <c r="G202" s="10">
        <f t="shared" si="3"/>
        <v>10</v>
      </c>
      <c r="J202">
        <f>SUM(E193:E208)</f>
        <v>3634</v>
      </c>
    </row>
    <row r="203" spans="1:10" x14ac:dyDescent="0.25">
      <c r="A203" s="37">
        <v>46123</v>
      </c>
      <c r="C203" s="19" t="s">
        <v>415</v>
      </c>
      <c r="D203" s="10">
        <v>4</v>
      </c>
      <c r="E203" s="10">
        <v>340</v>
      </c>
      <c r="F203" s="10" t="s">
        <v>52</v>
      </c>
      <c r="G203" s="10">
        <f t="shared" si="3"/>
        <v>85</v>
      </c>
    </row>
    <row r="204" spans="1:10" ht="30" x14ac:dyDescent="0.25">
      <c r="A204" s="37">
        <v>46123</v>
      </c>
      <c r="B204" s="13" t="s">
        <v>410</v>
      </c>
      <c r="C204" s="19" t="s">
        <v>402</v>
      </c>
      <c r="D204" s="10">
        <v>5</v>
      </c>
      <c r="E204" s="10">
        <v>60</v>
      </c>
      <c r="F204" s="10" t="s">
        <v>52</v>
      </c>
      <c r="G204" s="10">
        <f t="shared" si="3"/>
        <v>12</v>
      </c>
    </row>
    <row r="205" spans="1:10" ht="45" x14ac:dyDescent="0.25">
      <c r="A205" s="37">
        <v>46123</v>
      </c>
      <c r="C205" s="19" t="s">
        <v>427</v>
      </c>
      <c r="D205" s="10">
        <v>12</v>
      </c>
      <c r="E205" s="10">
        <v>109</v>
      </c>
      <c r="F205" s="10" t="s">
        <v>52</v>
      </c>
      <c r="G205" s="10">
        <f t="shared" si="3"/>
        <v>9.0833333333333339</v>
      </c>
      <c r="I205">
        <f>SUM(E204:E205)</f>
        <v>169</v>
      </c>
    </row>
    <row r="206" spans="1:10" ht="30" x14ac:dyDescent="0.25">
      <c r="A206" s="37">
        <v>46123</v>
      </c>
      <c r="C206" s="19" t="s">
        <v>419</v>
      </c>
      <c r="D206" s="10">
        <v>24</v>
      </c>
      <c r="E206" s="10">
        <v>218</v>
      </c>
      <c r="F206" s="10" t="s">
        <v>52</v>
      </c>
      <c r="G206" s="10">
        <f t="shared" si="3"/>
        <v>9.0833333333333339</v>
      </c>
    </row>
    <row r="207" spans="1:10" ht="30" x14ac:dyDescent="0.25">
      <c r="A207" s="37">
        <v>46125</v>
      </c>
      <c r="B207" s="13" t="s">
        <v>123</v>
      </c>
      <c r="C207" s="19" t="s">
        <v>454</v>
      </c>
      <c r="D207" s="10">
        <v>6</v>
      </c>
      <c r="E207" s="10">
        <v>55</v>
      </c>
      <c r="F207" s="10" t="s">
        <v>52</v>
      </c>
      <c r="G207" s="10">
        <f t="shared" si="3"/>
        <v>9.1666666666666661</v>
      </c>
    </row>
    <row r="208" spans="1:10" ht="30" x14ac:dyDescent="0.25">
      <c r="A208" s="37">
        <v>46125</v>
      </c>
      <c r="C208" s="19" t="s">
        <v>446</v>
      </c>
      <c r="D208" s="10">
        <v>24</v>
      </c>
      <c r="E208" s="10">
        <v>880</v>
      </c>
      <c r="F208" s="10" t="s">
        <v>52</v>
      </c>
      <c r="G208" s="10">
        <f t="shared" si="3"/>
        <v>36.666666666666664</v>
      </c>
    </row>
    <row r="209" spans="1:7" ht="30" x14ac:dyDescent="0.25">
      <c r="A209" s="37">
        <v>46125</v>
      </c>
      <c r="B209" s="13" t="s">
        <v>123</v>
      </c>
      <c r="C209" s="19" t="s">
        <v>474</v>
      </c>
      <c r="D209" s="10">
        <v>2</v>
      </c>
      <c r="E209" s="10">
        <v>64</v>
      </c>
      <c r="F209" s="10" t="s">
        <v>52</v>
      </c>
      <c r="G209" s="10">
        <f t="shared" si="3"/>
        <v>32</v>
      </c>
    </row>
    <row r="210" spans="1:7" ht="30" x14ac:dyDescent="0.25">
      <c r="A210" s="37">
        <v>46125</v>
      </c>
      <c r="B210" s="13" t="s">
        <v>155</v>
      </c>
      <c r="C210" s="19" t="s">
        <v>451</v>
      </c>
      <c r="D210" s="10">
        <v>3</v>
      </c>
      <c r="E210" s="10">
        <v>108</v>
      </c>
      <c r="F210" s="10" t="s">
        <v>52</v>
      </c>
      <c r="G210" s="10">
        <f t="shared" si="3"/>
        <v>36</v>
      </c>
    </row>
    <row r="211" spans="1:7" ht="45" x14ac:dyDescent="0.25">
      <c r="A211" s="37">
        <v>46125</v>
      </c>
      <c r="B211" s="13" t="s">
        <v>123</v>
      </c>
      <c r="C211" s="19" t="s">
        <v>458</v>
      </c>
      <c r="D211" s="10">
        <v>3</v>
      </c>
      <c r="E211" s="10">
        <v>270</v>
      </c>
      <c r="F211" s="10" t="s">
        <v>52</v>
      </c>
      <c r="G211" s="10">
        <f t="shared" si="3"/>
        <v>90</v>
      </c>
    </row>
    <row r="212" spans="1:7" ht="30" x14ac:dyDescent="0.25">
      <c r="A212" s="37">
        <v>46125</v>
      </c>
      <c r="B212" s="13" t="s">
        <v>123</v>
      </c>
      <c r="C212" s="19" t="s">
        <v>455</v>
      </c>
      <c r="D212" s="10">
        <v>3</v>
      </c>
      <c r="E212" s="10">
        <v>75</v>
      </c>
      <c r="F212" s="10" t="s">
        <v>52</v>
      </c>
      <c r="G212" s="10">
        <f t="shared" si="3"/>
        <v>25</v>
      </c>
    </row>
    <row r="213" spans="1:7" ht="30" x14ac:dyDescent="0.25">
      <c r="A213" s="37">
        <v>46125</v>
      </c>
      <c r="B213" s="13" t="s">
        <v>155</v>
      </c>
      <c r="C213" s="19" t="s">
        <v>452</v>
      </c>
      <c r="D213" s="10">
        <v>5</v>
      </c>
      <c r="E213" s="10">
        <v>730</v>
      </c>
      <c r="F213" s="10" t="s">
        <v>52</v>
      </c>
      <c r="G213" s="10">
        <f t="shared" si="3"/>
        <v>146</v>
      </c>
    </row>
    <row r="214" spans="1:7" ht="30" x14ac:dyDescent="0.25">
      <c r="A214" s="37">
        <v>46125</v>
      </c>
      <c r="C214" s="19" t="s">
        <v>450</v>
      </c>
      <c r="D214" s="10">
        <v>15</v>
      </c>
      <c r="E214" s="10">
        <v>150</v>
      </c>
      <c r="F214" s="10" t="s">
        <v>52</v>
      </c>
      <c r="G214" s="10">
        <f t="shared" si="3"/>
        <v>10</v>
      </c>
    </row>
    <row r="215" spans="1:7" ht="45" x14ac:dyDescent="0.25">
      <c r="A215" s="37">
        <v>46125</v>
      </c>
      <c r="B215" s="13" t="s">
        <v>123</v>
      </c>
      <c r="C215" s="19" t="s">
        <v>457</v>
      </c>
      <c r="D215" s="10">
        <v>32</v>
      </c>
      <c r="E215" s="10">
        <v>50</v>
      </c>
      <c r="F215" s="10" t="s">
        <v>52</v>
      </c>
      <c r="G215" s="10">
        <f t="shared" si="3"/>
        <v>1.5625</v>
      </c>
    </row>
    <row r="216" spans="1:7" ht="30" x14ac:dyDescent="0.25">
      <c r="A216" s="37">
        <v>46125</v>
      </c>
      <c r="B216" s="13" t="s">
        <v>411</v>
      </c>
      <c r="C216" s="19" t="s">
        <v>447</v>
      </c>
      <c r="D216" s="10">
        <v>24</v>
      </c>
      <c r="E216" s="10">
        <v>190</v>
      </c>
      <c r="F216" s="10" t="s">
        <v>52</v>
      </c>
      <c r="G216" s="10">
        <f t="shared" si="3"/>
        <v>7.916666666666667</v>
      </c>
    </row>
    <row r="217" spans="1:7" ht="30" x14ac:dyDescent="0.25">
      <c r="A217" s="37">
        <v>46125</v>
      </c>
      <c r="B217" s="13" t="s">
        <v>92</v>
      </c>
      <c r="C217" s="19" t="s">
        <v>464</v>
      </c>
      <c r="D217" s="10">
        <v>5</v>
      </c>
      <c r="E217" s="10">
        <v>185</v>
      </c>
      <c r="F217" s="10" t="s">
        <v>52</v>
      </c>
      <c r="G217" s="10">
        <f t="shared" si="3"/>
        <v>37</v>
      </c>
    </row>
    <row r="218" spans="1:7" ht="30" x14ac:dyDescent="0.25">
      <c r="A218" s="37">
        <v>46125</v>
      </c>
      <c r="B218" s="13" t="s">
        <v>92</v>
      </c>
      <c r="C218" s="19" t="s">
        <v>463</v>
      </c>
      <c r="D218" s="10">
        <v>5</v>
      </c>
      <c r="E218" s="10">
        <v>240</v>
      </c>
      <c r="F218" s="10" t="s">
        <v>52</v>
      </c>
      <c r="G218" s="10">
        <f t="shared" si="3"/>
        <v>48</v>
      </c>
    </row>
    <row r="219" spans="1:7" x14ac:dyDescent="0.25">
      <c r="A219" s="37">
        <v>46125</v>
      </c>
      <c r="C219" s="19" t="s">
        <v>445</v>
      </c>
      <c r="D219" s="10">
        <v>24</v>
      </c>
      <c r="E219" s="10">
        <v>150</v>
      </c>
      <c r="F219" s="10" t="s">
        <v>52</v>
      </c>
      <c r="G219" s="10">
        <f t="shared" si="3"/>
        <v>6.25</v>
      </c>
    </row>
    <row r="220" spans="1:7" ht="30" x14ac:dyDescent="0.25">
      <c r="A220" s="37">
        <v>46125</v>
      </c>
      <c r="C220" s="33" t="s">
        <v>449</v>
      </c>
      <c r="D220" s="10">
        <v>24</v>
      </c>
      <c r="E220" s="10">
        <v>108</v>
      </c>
      <c r="F220" s="10" t="s">
        <v>52</v>
      </c>
      <c r="G220" s="10">
        <f t="shared" si="3"/>
        <v>4.5</v>
      </c>
    </row>
    <row r="221" spans="1:7" ht="30" x14ac:dyDescent="0.25">
      <c r="A221" s="37">
        <v>46125</v>
      </c>
      <c r="B221" s="13" t="s">
        <v>411</v>
      </c>
      <c r="C221" s="19" t="s">
        <v>448</v>
      </c>
      <c r="D221" s="10">
        <v>40</v>
      </c>
      <c r="E221" s="10">
        <v>290</v>
      </c>
      <c r="F221" s="10" t="s">
        <v>52</v>
      </c>
      <c r="G221" s="10">
        <f t="shared" si="3"/>
        <v>7.25</v>
      </c>
    </row>
    <row r="222" spans="1:7" ht="30" x14ac:dyDescent="0.25">
      <c r="A222" s="37">
        <v>46125</v>
      </c>
      <c r="B222" s="13" t="s">
        <v>92</v>
      </c>
      <c r="C222" s="19" t="s">
        <v>461</v>
      </c>
      <c r="D222" s="10">
        <v>12</v>
      </c>
      <c r="E222" s="10">
        <v>100</v>
      </c>
      <c r="F222" s="10" t="s">
        <v>52</v>
      </c>
      <c r="G222" s="10">
        <f t="shared" si="3"/>
        <v>8.3333333333333339</v>
      </c>
    </row>
    <row r="223" spans="1:7" ht="30" x14ac:dyDescent="0.25">
      <c r="A223" s="37">
        <v>46125</v>
      </c>
      <c r="B223" s="13" t="s">
        <v>92</v>
      </c>
      <c r="C223" s="19" t="s">
        <v>460</v>
      </c>
      <c r="D223" s="10">
        <v>24</v>
      </c>
      <c r="E223" s="10">
        <v>200</v>
      </c>
      <c r="F223" s="10" t="s">
        <v>52</v>
      </c>
      <c r="G223" s="10">
        <f t="shared" si="3"/>
        <v>8.3333333333333339</v>
      </c>
    </row>
    <row r="224" spans="1:7" ht="30" x14ac:dyDescent="0.25">
      <c r="A224" s="37">
        <v>46125</v>
      </c>
      <c r="B224" s="13" t="s">
        <v>92</v>
      </c>
      <c r="C224" s="19" t="s">
        <v>459</v>
      </c>
      <c r="D224" s="10">
        <v>5</v>
      </c>
      <c r="E224" s="10">
        <v>175</v>
      </c>
      <c r="F224" s="10" t="s">
        <v>52</v>
      </c>
      <c r="G224" s="10">
        <f t="shared" si="3"/>
        <v>35</v>
      </c>
    </row>
    <row r="225" spans="1:7" ht="30" x14ac:dyDescent="0.25">
      <c r="A225" s="37">
        <v>46125</v>
      </c>
      <c r="B225" s="13" t="s">
        <v>123</v>
      </c>
      <c r="C225" s="19" t="s">
        <v>475</v>
      </c>
      <c r="D225" s="10">
        <v>3</v>
      </c>
      <c r="E225" s="10">
        <v>192</v>
      </c>
      <c r="F225" s="10" t="s">
        <v>52</v>
      </c>
      <c r="G225" s="10">
        <f t="shared" si="3"/>
        <v>64</v>
      </c>
    </row>
    <row r="226" spans="1:7" ht="30" x14ac:dyDescent="0.25">
      <c r="A226" s="37">
        <v>46125</v>
      </c>
      <c r="B226" s="13" t="s">
        <v>92</v>
      </c>
      <c r="C226" s="19" t="s">
        <v>462</v>
      </c>
      <c r="D226" s="10">
        <v>20</v>
      </c>
      <c r="E226" s="10">
        <v>80</v>
      </c>
      <c r="F226" s="10" t="s">
        <v>52</v>
      </c>
      <c r="G226" s="10">
        <f t="shared" si="3"/>
        <v>4</v>
      </c>
    </row>
    <row r="227" spans="1:7" ht="30" x14ac:dyDescent="0.25">
      <c r="A227" s="37">
        <v>46125</v>
      </c>
      <c r="B227" s="13" t="s">
        <v>123</v>
      </c>
      <c r="C227" s="19" t="s">
        <v>456</v>
      </c>
      <c r="D227" s="10">
        <v>2</v>
      </c>
      <c r="E227" s="10">
        <v>50</v>
      </c>
      <c r="F227" s="10" t="s">
        <v>52</v>
      </c>
      <c r="G227" s="10">
        <f t="shared" si="3"/>
        <v>25</v>
      </c>
    </row>
    <row r="228" spans="1:7" ht="30" x14ac:dyDescent="0.25">
      <c r="A228" s="37">
        <v>46125</v>
      </c>
      <c r="B228" s="13" t="s">
        <v>123</v>
      </c>
      <c r="C228" s="19" t="s">
        <v>453</v>
      </c>
      <c r="D228" s="10">
        <v>12</v>
      </c>
      <c r="E228" s="10">
        <v>104</v>
      </c>
      <c r="F228" s="10" t="s">
        <v>52</v>
      </c>
      <c r="G228" s="10">
        <f t="shared" si="3"/>
        <v>8.6666666666666661</v>
      </c>
    </row>
    <row r="229" spans="1:7" ht="30" x14ac:dyDescent="0.25">
      <c r="A229" s="37">
        <v>46125</v>
      </c>
      <c r="B229" s="13" t="s">
        <v>92</v>
      </c>
      <c r="C229" s="19" t="s">
        <v>465</v>
      </c>
      <c r="D229" s="10">
        <v>0.2</v>
      </c>
      <c r="E229" s="10">
        <v>80</v>
      </c>
      <c r="F229" s="10" t="s">
        <v>52</v>
      </c>
      <c r="G229" s="10">
        <f t="shared" si="3"/>
        <v>400</v>
      </c>
    </row>
    <row r="230" spans="1:7" ht="30" x14ac:dyDescent="0.25">
      <c r="A230" s="37">
        <v>46125</v>
      </c>
      <c r="B230" s="13" t="s">
        <v>92</v>
      </c>
      <c r="C230" s="19" t="s">
        <v>468</v>
      </c>
      <c r="D230" s="10">
        <v>0.2</v>
      </c>
      <c r="E230" s="10">
        <v>30</v>
      </c>
      <c r="F230" s="10" t="s">
        <v>52</v>
      </c>
      <c r="G230" s="10">
        <f t="shared" si="3"/>
        <v>150</v>
      </c>
    </row>
    <row r="231" spans="1:7" ht="30" x14ac:dyDescent="0.25">
      <c r="A231" s="37">
        <v>46125</v>
      </c>
      <c r="B231" s="13" t="s">
        <v>92</v>
      </c>
      <c r="C231" s="19" t="s">
        <v>466</v>
      </c>
      <c r="D231" s="10">
        <v>0.1</v>
      </c>
      <c r="E231" s="10">
        <v>280</v>
      </c>
      <c r="F231" s="10" t="s">
        <v>52</v>
      </c>
      <c r="G231" s="10">
        <f t="shared" si="3"/>
        <v>2800</v>
      </c>
    </row>
    <row r="232" spans="1:7" ht="30" x14ac:dyDescent="0.25">
      <c r="A232" s="37">
        <v>46125</v>
      </c>
      <c r="B232" s="13" t="s">
        <v>92</v>
      </c>
      <c r="C232" s="19" t="s">
        <v>473</v>
      </c>
      <c r="D232" s="10">
        <v>0.2</v>
      </c>
      <c r="E232" s="10">
        <v>150</v>
      </c>
      <c r="F232" s="10" t="s">
        <v>52</v>
      </c>
      <c r="G232" s="10">
        <f t="shared" si="3"/>
        <v>750</v>
      </c>
    </row>
    <row r="233" spans="1:7" ht="30" x14ac:dyDescent="0.25">
      <c r="A233" s="37">
        <v>46125</v>
      </c>
      <c r="B233" s="13" t="s">
        <v>92</v>
      </c>
      <c r="C233" s="19" t="s">
        <v>467</v>
      </c>
      <c r="D233" s="10">
        <v>0.2</v>
      </c>
      <c r="E233" s="10">
        <v>80</v>
      </c>
      <c r="F233" s="10" t="s">
        <v>52</v>
      </c>
      <c r="G233" s="10">
        <f t="shared" si="3"/>
        <v>400</v>
      </c>
    </row>
    <row r="234" spans="1:7" ht="30" x14ac:dyDescent="0.25">
      <c r="A234" s="37">
        <v>46125</v>
      </c>
      <c r="B234" s="13" t="s">
        <v>92</v>
      </c>
      <c r="C234" s="19" t="s">
        <v>469</v>
      </c>
      <c r="D234" s="10">
        <v>0.2</v>
      </c>
      <c r="E234" s="10">
        <v>70</v>
      </c>
      <c r="F234" s="10" t="s">
        <v>52</v>
      </c>
      <c r="G234" s="10">
        <f t="shared" si="3"/>
        <v>350</v>
      </c>
    </row>
    <row r="235" spans="1:7" ht="30" x14ac:dyDescent="0.25">
      <c r="A235" s="37">
        <v>46125</v>
      </c>
      <c r="B235" s="13" t="s">
        <v>92</v>
      </c>
      <c r="C235" s="19" t="s">
        <v>472</v>
      </c>
      <c r="D235" s="10">
        <v>0.2</v>
      </c>
      <c r="E235" s="10">
        <v>240</v>
      </c>
      <c r="F235" s="10" t="s">
        <v>52</v>
      </c>
      <c r="G235" s="10">
        <f t="shared" si="3"/>
        <v>1200</v>
      </c>
    </row>
    <row r="236" spans="1:7" ht="30" x14ac:dyDescent="0.25">
      <c r="A236" s="37">
        <v>46125</v>
      </c>
      <c r="B236" s="13" t="s">
        <v>92</v>
      </c>
      <c r="C236" s="19" t="s">
        <v>470</v>
      </c>
      <c r="D236" s="10">
        <v>0.2</v>
      </c>
      <c r="E236" s="10">
        <v>20</v>
      </c>
      <c r="F236" s="10" t="s">
        <v>52</v>
      </c>
      <c r="G236" s="10">
        <f t="shared" si="3"/>
        <v>100</v>
      </c>
    </row>
    <row r="237" spans="1:7" ht="30" x14ac:dyDescent="0.25">
      <c r="A237" s="37">
        <v>46125</v>
      </c>
      <c r="B237" s="13" t="s">
        <v>92</v>
      </c>
      <c r="C237" s="19" t="s">
        <v>471</v>
      </c>
      <c r="D237" s="10">
        <v>0.2</v>
      </c>
      <c r="E237" s="10">
        <v>30</v>
      </c>
      <c r="F237" s="10" t="s">
        <v>52</v>
      </c>
      <c r="G237" s="10">
        <f t="shared" si="3"/>
        <v>150</v>
      </c>
    </row>
    <row r="238" spans="1:7" ht="30" x14ac:dyDescent="0.25">
      <c r="A238" s="37">
        <v>46126</v>
      </c>
      <c r="B238" s="13" t="s">
        <v>411</v>
      </c>
      <c r="C238" s="19" t="s">
        <v>476</v>
      </c>
      <c r="D238" s="10">
        <v>30</v>
      </c>
      <c r="E238" s="10">
        <v>530</v>
      </c>
      <c r="F238" s="10" t="s">
        <v>52</v>
      </c>
      <c r="G238" s="10">
        <f t="shared" ref="G238:G301" si="4">E238/D238</f>
        <v>17.666666666666668</v>
      </c>
    </row>
    <row r="239" spans="1:7" ht="30" x14ac:dyDescent="0.25">
      <c r="A239" s="37">
        <v>46131</v>
      </c>
      <c r="C239" s="19" t="s">
        <v>495</v>
      </c>
      <c r="D239" s="10">
        <v>1</v>
      </c>
      <c r="E239" s="10">
        <v>1250</v>
      </c>
      <c r="F239" s="10" t="s">
        <v>52</v>
      </c>
      <c r="G239" s="10">
        <f t="shared" si="4"/>
        <v>1250</v>
      </c>
    </row>
    <row r="240" spans="1:7" ht="30" x14ac:dyDescent="0.25">
      <c r="A240" s="37">
        <v>46131</v>
      </c>
      <c r="B240" s="13" t="s">
        <v>92</v>
      </c>
      <c r="C240" s="19" t="s">
        <v>500</v>
      </c>
      <c r="D240" s="10">
        <v>2</v>
      </c>
      <c r="E240" s="10">
        <v>280</v>
      </c>
      <c r="F240" s="10" t="s">
        <v>52</v>
      </c>
      <c r="G240" s="10">
        <f t="shared" si="4"/>
        <v>140</v>
      </c>
    </row>
    <row r="241" spans="1:7" ht="30" x14ac:dyDescent="0.25">
      <c r="A241" s="37">
        <v>46131</v>
      </c>
      <c r="B241" s="13" t="s">
        <v>92</v>
      </c>
      <c r="C241" s="19" t="s">
        <v>497</v>
      </c>
      <c r="D241" s="10">
        <v>20</v>
      </c>
      <c r="E241" s="10">
        <v>500</v>
      </c>
      <c r="F241" s="10" t="s">
        <v>52</v>
      </c>
      <c r="G241" s="10">
        <f t="shared" si="4"/>
        <v>25</v>
      </c>
    </row>
    <row r="242" spans="1:7" ht="30" x14ac:dyDescent="0.25">
      <c r="A242" s="37">
        <v>46131</v>
      </c>
      <c r="B242" s="13" t="s">
        <v>92</v>
      </c>
      <c r="C242" s="19" t="s">
        <v>498</v>
      </c>
      <c r="D242" s="10">
        <v>2</v>
      </c>
      <c r="E242" s="10">
        <v>320</v>
      </c>
      <c r="F242" s="10" t="s">
        <v>52</v>
      </c>
      <c r="G242" s="10">
        <f t="shared" si="4"/>
        <v>160</v>
      </c>
    </row>
    <row r="243" spans="1:7" ht="30" x14ac:dyDescent="0.25">
      <c r="A243" s="37">
        <v>46131</v>
      </c>
      <c r="B243" s="13" t="s">
        <v>92</v>
      </c>
      <c r="C243" s="19" t="s">
        <v>496</v>
      </c>
      <c r="D243" s="10">
        <v>1</v>
      </c>
      <c r="E243" s="10">
        <v>240</v>
      </c>
      <c r="F243" s="10" t="s">
        <v>52</v>
      </c>
      <c r="G243" s="10">
        <f t="shared" si="4"/>
        <v>240</v>
      </c>
    </row>
    <row r="244" spans="1:7" ht="30" x14ac:dyDescent="0.25">
      <c r="A244" s="37">
        <v>46131</v>
      </c>
      <c r="B244" s="13" t="s">
        <v>92</v>
      </c>
      <c r="C244" s="19" t="s">
        <v>502</v>
      </c>
      <c r="D244" s="10">
        <v>24</v>
      </c>
      <c r="E244" s="10">
        <v>210</v>
      </c>
      <c r="F244" s="10" t="s">
        <v>52</v>
      </c>
      <c r="G244" s="10">
        <f t="shared" si="4"/>
        <v>8.75</v>
      </c>
    </row>
    <row r="245" spans="1:7" ht="45" x14ac:dyDescent="0.25">
      <c r="A245" s="37">
        <v>46131</v>
      </c>
      <c r="B245" s="13" t="s">
        <v>92</v>
      </c>
      <c r="C245" s="19" t="s">
        <v>501</v>
      </c>
      <c r="D245" s="10">
        <v>20</v>
      </c>
      <c r="E245" s="10">
        <v>60</v>
      </c>
      <c r="F245" s="10" t="s">
        <v>52</v>
      </c>
      <c r="G245" s="10">
        <f t="shared" si="4"/>
        <v>3</v>
      </c>
    </row>
    <row r="246" spans="1:7" ht="30" x14ac:dyDescent="0.25">
      <c r="A246" s="37">
        <v>46131</v>
      </c>
      <c r="B246" s="13" t="s">
        <v>92</v>
      </c>
      <c r="C246" s="19" t="s">
        <v>499</v>
      </c>
      <c r="D246" s="10">
        <v>12</v>
      </c>
      <c r="E246" s="10">
        <v>150</v>
      </c>
      <c r="F246" s="10" t="s">
        <v>52</v>
      </c>
      <c r="G246" s="10">
        <f t="shared" si="4"/>
        <v>12.5</v>
      </c>
    </row>
    <row r="247" spans="1:7" ht="30" x14ac:dyDescent="0.25">
      <c r="A247" s="37">
        <v>46131</v>
      </c>
      <c r="B247" s="13" t="s">
        <v>92</v>
      </c>
      <c r="C247" s="19" t="s">
        <v>503</v>
      </c>
      <c r="D247" s="10">
        <v>40</v>
      </c>
      <c r="E247" s="10">
        <v>260</v>
      </c>
      <c r="F247" s="10" t="s">
        <v>52</v>
      </c>
      <c r="G247" s="10">
        <f t="shared" si="4"/>
        <v>6.5</v>
      </c>
    </row>
    <row r="248" spans="1:7" x14ac:dyDescent="0.25">
      <c r="A248" s="37">
        <v>46133</v>
      </c>
      <c r="C248" s="19" t="s">
        <v>512</v>
      </c>
      <c r="D248" s="10">
        <v>6</v>
      </c>
      <c r="E248" s="10">
        <v>55</v>
      </c>
      <c r="G248" s="10">
        <f t="shared" si="4"/>
        <v>9.1666666666666661</v>
      </c>
    </row>
    <row r="249" spans="1:7" ht="30" x14ac:dyDescent="0.25">
      <c r="A249" s="37">
        <v>46133</v>
      </c>
      <c r="C249" s="19" t="s">
        <v>511</v>
      </c>
      <c r="D249" s="10">
        <v>3</v>
      </c>
      <c r="E249" s="10">
        <v>240</v>
      </c>
      <c r="G249" s="10">
        <f t="shared" si="4"/>
        <v>80</v>
      </c>
    </row>
    <row r="250" spans="1:7" ht="30" x14ac:dyDescent="0.25">
      <c r="A250" s="37">
        <v>46133</v>
      </c>
      <c r="C250" s="19" t="s">
        <v>513</v>
      </c>
      <c r="D250" s="10">
        <v>3</v>
      </c>
      <c r="E250" s="10">
        <v>3360</v>
      </c>
      <c r="G250" s="10">
        <f t="shared" si="4"/>
        <v>1120</v>
      </c>
    </row>
    <row r="251" spans="1:7" ht="30" x14ac:dyDescent="0.25">
      <c r="A251" s="37">
        <v>46133</v>
      </c>
      <c r="B251" s="13" t="s">
        <v>92</v>
      </c>
      <c r="C251" s="19" t="s">
        <v>509</v>
      </c>
      <c r="D251" s="10">
        <v>6</v>
      </c>
      <c r="E251" s="10">
        <v>720</v>
      </c>
      <c r="F251" s="10" t="s">
        <v>52</v>
      </c>
      <c r="G251" s="10">
        <f t="shared" si="4"/>
        <v>120</v>
      </c>
    </row>
    <row r="252" spans="1:7" ht="30" x14ac:dyDescent="0.25">
      <c r="A252" s="37">
        <v>46133</v>
      </c>
      <c r="C252" s="19" t="s">
        <v>510</v>
      </c>
      <c r="D252" s="10">
        <v>3</v>
      </c>
      <c r="E252" s="10">
        <v>570</v>
      </c>
      <c r="G252" s="10">
        <f t="shared" si="4"/>
        <v>190</v>
      </c>
    </row>
    <row r="253" spans="1:7" ht="30" x14ac:dyDescent="0.25">
      <c r="A253" s="37">
        <v>46134</v>
      </c>
      <c r="B253" s="13" t="s">
        <v>538</v>
      </c>
      <c r="C253" s="19" t="s">
        <v>535</v>
      </c>
      <c r="D253" s="10">
        <v>48</v>
      </c>
      <c r="E253" s="10">
        <v>440</v>
      </c>
      <c r="G253" s="10">
        <f t="shared" si="4"/>
        <v>9.1666666666666661</v>
      </c>
    </row>
    <row r="254" spans="1:7" ht="30" x14ac:dyDescent="0.25">
      <c r="A254" s="37">
        <v>46134</v>
      </c>
      <c r="B254" s="13" t="s">
        <v>538</v>
      </c>
      <c r="C254" s="19" t="s">
        <v>529</v>
      </c>
      <c r="D254" s="10">
        <v>10</v>
      </c>
      <c r="E254" s="10">
        <v>92</v>
      </c>
      <c r="G254" s="10">
        <f t="shared" si="4"/>
        <v>9.1999999999999993</v>
      </c>
    </row>
    <row r="255" spans="1:7" ht="30" x14ac:dyDescent="0.25">
      <c r="A255" s="37">
        <v>46134</v>
      </c>
      <c r="C255" s="19" t="s">
        <v>514</v>
      </c>
      <c r="D255" s="10">
        <v>4</v>
      </c>
      <c r="E255" s="10">
        <v>560</v>
      </c>
      <c r="G255" s="10">
        <f t="shared" si="4"/>
        <v>140</v>
      </c>
    </row>
    <row r="256" spans="1:7" ht="30" x14ac:dyDescent="0.25">
      <c r="A256" s="37">
        <v>46134</v>
      </c>
      <c r="B256" s="13" t="s">
        <v>92</v>
      </c>
      <c r="C256" s="19" t="s">
        <v>522</v>
      </c>
      <c r="D256" s="10">
        <v>6</v>
      </c>
      <c r="E256" s="10">
        <v>330</v>
      </c>
      <c r="G256" s="10">
        <f t="shared" si="4"/>
        <v>55</v>
      </c>
    </row>
    <row r="257" spans="1:7" ht="30" x14ac:dyDescent="0.25">
      <c r="A257" s="37">
        <v>46134</v>
      </c>
      <c r="B257" s="13" t="s">
        <v>92</v>
      </c>
      <c r="C257" s="19" t="s">
        <v>524</v>
      </c>
      <c r="D257" s="10">
        <v>200</v>
      </c>
      <c r="E257" s="10">
        <v>180</v>
      </c>
      <c r="G257" s="10">
        <f t="shared" si="4"/>
        <v>0.9</v>
      </c>
    </row>
    <row r="258" spans="1:7" ht="45" x14ac:dyDescent="0.25">
      <c r="A258" s="37">
        <v>46134</v>
      </c>
      <c r="B258" s="13" t="s">
        <v>538</v>
      </c>
      <c r="C258" s="19" t="s">
        <v>516</v>
      </c>
      <c r="D258" s="10">
        <v>2</v>
      </c>
      <c r="E258" s="10">
        <v>66</v>
      </c>
      <c r="G258" s="10">
        <f t="shared" si="4"/>
        <v>33</v>
      </c>
    </row>
    <row r="259" spans="1:7" ht="30" x14ac:dyDescent="0.25">
      <c r="A259" s="37">
        <v>46134</v>
      </c>
      <c r="B259" s="13" t="s">
        <v>538</v>
      </c>
      <c r="C259" s="19" t="s">
        <v>537</v>
      </c>
      <c r="D259" s="10">
        <v>2</v>
      </c>
      <c r="E259" s="10">
        <v>66</v>
      </c>
      <c r="G259" s="10">
        <f t="shared" si="4"/>
        <v>33</v>
      </c>
    </row>
    <row r="260" spans="1:7" x14ac:dyDescent="0.25">
      <c r="A260" s="37">
        <v>46134</v>
      </c>
      <c r="C260" s="19" t="s">
        <v>521</v>
      </c>
      <c r="D260" s="10">
        <v>10</v>
      </c>
      <c r="E260" s="10">
        <v>90</v>
      </c>
      <c r="G260" s="10">
        <f t="shared" si="4"/>
        <v>9</v>
      </c>
    </row>
    <row r="261" spans="1:7" ht="30" x14ac:dyDescent="0.25">
      <c r="A261" s="37">
        <v>46134</v>
      </c>
      <c r="C261" s="19" t="s">
        <v>520</v>
      </c>
      <c r="D261" s="10">
        <v>12</v>
      </c>
      <c r="E261" s="10">
        <v>108</v>
      </c>
      <c r="G261" s="10">
        <f t="shared" si="4"/>
        <v>9</v>
      </c>
    </row>
    <row r="262" spans="1:7" ht="30" x14ac:dyDescent="0.25">
      <c r="A262" s="37">
        <v>46134</v>
      </c>
      <c r="B262" s="13" t="s">
        <v>538</v>
      </c>
      <c r="C262" s="19" t="s">
        <v>531</v>
      </c>
      <c r="D262" s="10">
        <v>16</v>
      </c>
      <c r="E262" s="10">
        <v>75</v>
      </c>
      <c r="G262" s="10">
        <f t="shared" si="4"/>
        <v>4.6875</v>
      </c>
    </row>
    <row r="263" spans="1:7" ht="30" x14ac:dyDescent="0.25">
      <c r="A263" s="37">
        <v>46134</v>
      </c>
      <c r="B263" s="13" t="s">
        <v>538</v>
      </c>
      <c r="C263" s="19" t="s">
        <v>517</v>
      </c>
      <c r="D263" s="10">
        <v>3</v>
      </c>
      <c r="E263" s="10">
        <v>75</v>
      </c>
      <c r="G263" s="10">
        <f t="shared" si="4"/>
        <v>25</v>
      </c>
    </row>
    <row r="264" spans="1:7" ht="30" x14ac:dyDescent="0.25">
      <c r="A264" s="37">
        <v>46134</v>
      </c>
      <c r="B264" s="13" t="s">
        <v>538</v>
      </c>
      <c r="C264" s="19" t="s">
        <v>534</v>
      </c>
      <c r="D264" s="10">
        <v>12</v>
      </c>
      <c r="E264" s="10">
        <v>55</v>
      </c>
      <c r="G264" s="10">
        <f t="shared" si="4"/>
        <v>4.583333333333333</v>
      </c>
    </row>
    <row r="265" spans="1:7" ht="30" x14ac:dyDescent="0.25">
      <c r="A265" s="37">
        <v>46134</v>
      </c>
      <c r="B265" s="13" t="s">
        <v>538</v>
      </c>
      <c r="C265" s="19" t="s">
        <v>532</v>
      </c>
      <c r="D265" s="10">
        <v>60</v>
      </c>
      <c r="E265" s="10">
        <v>272</v>
      </c>
      <c r="G265" s="10">
        <f t="shared" si="4"/>
        <v>4.5333333333333332</v>
      </c>
    </row>
    <row r="266" spans="1:7" ht="30" x14ac:dyDescent="0.25">
      <c r="A266" s="37">
        <v>46134</v>
      </c>
      <c r="B266" s="13" t="s">
        <v>92</v>
      </c>
      <c r="C266" s="19" t="s">
        <v>523</v>
      </c>
      <c r="D266" s="10">
        <v>5</v>
      </c>
      <c r="E266" s="10">
        <v>1200</v>
      </c>
      <c r="G266" s="10">
        <f t="shared" si="4"/>
        <v>240</v>
      </c>
    </row>
    <row r="267" spans="1:7" ht="30" x14ac:dyDescent="0.25">
      <c r="A267" s="37">
        <v>46134</v>
      </c>
      <c r="B267" s="13" t="s">
        <v>92</v>
      </c>
      <c r="C267" s="19" t="s">
        <v>527</v>
      </c>
      <c r="D267" s="10">
        <v>5</v>
      </c>
      <c r="E267" s="10">
        <v>260</v>
      </c>
      <c r="G267" s="10">
        <f t="shared" si="4"/>
        <v>52</v>
      </c>
    </row>
    <row r="268" spans="1:7" ht="30" x14ac:dyDescent="0.25">
      <c r="A268" s="37">
        <v>46134</v>
      </c>
      <c r="B268" s="13" t="s">
        <v>538</v>
      </c>
      <c r="C268" s="19" t="s">
        <v>530</v>
      </c>
      <c r="D268" s="10">
        <v>18</v>
      </c>
      <c r="E268" s="10">
        <v>150</v>
      </c>
      <c r="G268" s="10">
        <f t="shared" si="4"/>
        <v>8.3333333333333339</v>
      </c>
    </row>
    <row r="269" spans="1:7" x14ac:dyDescent="0.25">
      <c r="A269" s="37">
        <v>46134</v>
      </c>
      <c r="C269" s="19" t="s">
        <v>519</v>
      </c>
      <c r="D269" s="10">
        <v>12</v>
      </c>
      <c r="E269" s="10">
        <v>105</v>
      </c>
      <c r="G269" s="10">
        <f t="shared" si="4"/>
        <v>8.75</v>
      </c>
    </row>
    <row r="270" spans="1:7" ht="30" x14ac:dyDescent="0.25">
      <c r="A270" s="37">
        <v>46134</v>
      </c>
      <c r="B270" s="13" t="s">
        <v>538</v>
      </c>
      <c r="C270" s="19" t="s">
        <v>515</v>
      </c>
      <c r="D270" s="10">
        <v>1</v>
      </c>
      <c r="E270" s="10">
        <v>70</v>
      </c>
      <c r="G270" s="10">
        <f t="shared" si="4"/>
        <v>70</v>
      </c>
    </row>
    <row r="271" spans="1:7" ht="30" x14ac:dyDescent="0.25">
      <c r="A271" s="37">
        <v>46134</v>
      </c>
      <c r="B271" s="13" t="s">
        <v>538</v>
      </c>
      <c r="C271" s="19" t="s">
        <v>533</v>
      </c>
      <c r="D271" s="10">
        <v>18</v>
      </c>
      <c r="E271" s="10">
        <v>150</v>
      </c>
      <c r="G271" s="10">
        <f t="shared" si="4"/>
        <v>8.3333333333333339</v>
      </c>
    </row>
    <row r="272" spans="1:7" ht="45" x14ac:dyDescent="0.25">
      <c r="A272" s="37">
        <v>46134</v>
      </c>
      <c r="B272" s="13" t="s">
        <v>92</v>
      </c>
      <c r="C272" s="19" t="s">
        <v>526</v>
      </c>
      <c r="D272" s="10">
        <v>10</v>
      </c>
      <c r="E272" s="10">
        <v>520</v>
      </c>
      <c r="G272" s="10">
        <f t="shared" si="4"/>
        <v>52</v>
      </c>
    </row>
    <row r="273" spans="1:11" ht="45" x14ac:dyDescent="0.25">
      <c r="A273" s="37">
        <v>46134</v>
      </c>
      <c r="B273" s="13" t="s">
        <v>92</v>
      </c>
      <c r="C273" s="19" t="s">
        <v>525</v>
      </c>
      <c r="D273" s="10">
        <v>25</v>
      </c>
      <c r="E273" s="10">
        <v>520</v>
      </c>
      <c r="G273" s="10">
        <f t="shared" si="4"/>
        <v>20.8</v>
      </c>
      <c r="K273">
        <f>SUM(E270:E274)</f>
        <v>1300</v>
      </c>
    </row>
    <row r="274" spans="1:11" ht="30" x14ac:dyDescent="0.25">
      <c r="A274" s="37">
        <v>46134</v>
      </c>
      <c r="B274" s="13" t="s">
        <v>538</v>
      </c>
      <c r="C274" s="19" t="s">
        <v>536</v>
      </c>
      <c r="D274" s="10">
        <v>50</v>
      </c>
      <c r="E274" s="10">
        <v>40</v>
      </c>
      <c r="G274" s="10">
        <f t="shared" si="4"/>
        <v>0.8</v>
      </c>
    </row>
    <row r="275" spans="1:11" ht="30" x14ac:dyDescent="0.25">
      <c r="A275" s="37">
        <v>46134</v>
      </c>
      <c r="B275" s="13" t="s">
        <v>538</v>
      </c>
      <c r="C275" s="19" t="s">
        <v>518</v>
      </c>
      <c r="D275" s="10">
        <v>4</v>
      </c>
      <c r="E275" s="10">
        <v>260</v>
      </c>
      <c r="G275" s="10">
        <f t="shared" si="4"/>
        <v>65</v>
      </c>
    </row>
    <row r="276" spans="1:11" ht="30" x14ac:dyDescent="0.25">
      <c r="A276" s="37">
        <v>46134</v>
      </c>
      <c r="B276" s="13" t="s">
        <v>92</v>
      </c>
      <c r="C276" s="19" t="s">
        <v>528</v>
      </c>
      <c r="D276" s="10">
        <v>0.5</v>
      </c>
      <c r="E276" s="10">
        <v>70</v>
      </c>
      <c r="G276" s="10">
        <f t="shared" si="4"/>
        <v>140</v>
      </c>
    </row>
    <row r="277" spans="1:11" ht="30" x14ac:dyDescent="0.25">
      <c r="A277" s="37">
        <v>46135</v>
      </c>
      <c r="C277" s="19" t="s">
        <v>549</v>
      </c>
      <c r="D277" s="10">
        <v>32</v>
      </c>
      <c r="E277" s="10">
        <v>630</v>
      </c>
      <c r="G277" s="10">
        <f t="shared" si="4"/>
        <v>19.6875</v>
      </c>
    </row>
    <row r="278" spans="1:11" x14ac:dyDescent="0.25">
      <c r="A278" s="37">
        <v>46135</v>
      </c>
      <c r="C278" s="19" t="s">
        <v>543</v>
      </c>
      <c r="D278" s="10">
        <v>3</v>
      </c>
      <c r="E278" s="10">
        <v>75</v>
      </c>
      <c r="G278" s="10">
        <f t="shared" si="4"/>
        <v>25</v>
      </c>
    </row>
    <row r="279" spans="1:11" x14ac:dyDescent="0.25">
      <c r="A279" s="37">
        <v>46135</v>
      </c>
      <c r="C279" s="19" t="s">
        <v>548</v>
      </c>
      <c r="D279" s="10">
        <v>30</v>
      </c>
      <c r="E279" s="10">
        <v>220</v>
      </c>
      <c r="G279" s="10">
        <f t="shared" si="4"/>
        <v>7.333333333333333</v>
      </c>
    </row>
    <row r="280" spans="1:11" x14ac:dyDescent="0.25">
      <c r="A280" s="37">
        <v>46135</v>
      </c>
      <c r="C280" s="19" t="s">
        <v>547</v>
      </c>
      <c r="D280" s="10">
        <v>30</v>
      </c>
      <c r="E280" s="10">
        <v>210</v>
      </c>
      <c r="G280" s="10">
        <f t="shared" si="4"/>
        <v>7</v>
      </c>
    </row>
    <row r="281" spans="1:11" ht="30" x14ac:dyDescent="0.25">
      <c r="A281" s="37">
        <v>46135</v>
      </c>
      <c r="C281" s="19" t="s">
        <v>542</v>
      </c>
      <c r="D281" s="10">
        <v>2</v>
      </c>
      <c r="E281" s="10">
        <v>170</v>
      </c>
      <c r="G281" s="10">
        <f t="shared" si="4"/>
        <v>85</v>
      </c>
    </row>
    <row r="282" spans="1:11" x14ac:dyDescent="0.25">
      <c r="A282" s="37">
        <v>46135</v>
      </c>
      <c r="C282" s="19" t="s">
        <v>541</v>
      </c>
      <c r="D282" s="10">
        <v>22</v>
      </c>
      <c r="E282" s="10">
        <v>1285</v>
      </c>
      <c r="G282" s="10">
        <f t="shared" si="4"/>
        <v>58.409090909090907</v>
      </c>
    </row>
    <row r="283" spans="1:11" x14ac:dyDescent="0.25">
      <c r="A283" s="37">
        <v>46135</v>
      </c>
      <c r="C283" s="19" t="s">
        <v>545</v>
      </c>
      <c r="D283" s="10">
        <v>6</v>
      </c>
      <c r="E283" s="10">
        <v>150</v>
      </c>
      <c r="G283" s="10">
        <f t="shared" si="4"/>
        <v>25</v>
      </c>
    </row>
    <row r="284" spans="1:11" ht="30" x14ac:dyDescent="0.25">
      <c r="A284" s="37">
        <v>46135</v>
      </c>
      <c r="C284" s="19" t="s">
        <v>546</v>
      </c>
      <c r="D284" s="10">
        <v>2</v>
      </c>
      <c r="E284" s="10">
        <v>74</v>
      </c>
      <c r="G284" s="10">
        <f t="shared" si="4"/>
        <v>37</v>
      </c>
    </row>
    <row r="285" spans="1:11" x14ac:dyDescent="0.25">
      <c r="A285" s="37">
        <v>46135</v>
      </c>
      <c r="C285" s="19" t="s">
        <v>540</v>
      </c>
      <c r="D285" s="10">
        <v>24</v>
      </c>
      <c r="E285" s="10">
        <v>240</v>
      </c>
      <c r="G285" s="10">
        <f t="shared" si="4"/>
        <v>10</v>
      </c>
    </row>
    <row r="286" spans="1:11" ht="30" x14ac:dyDescent="0.25">
      <c r="A286" s="37">
        <v>46135</v>
      </c>
      <c r="C286" s="19" t="s">
        <v>539</v>
      </c>
      <c r="D286" s="10">
        <v>12</v>
      </c>
      <c r="E286" s="10">
        <v>200</v>
      </c>
      <c r="G286" s="10">
        <f t="shared" si="4"/>
        <v>16.666666666666668</v>
      </c>
    </row>
    <row r="287" spans="1:11" ht="30" x14ac:dyDescent="0.25">
      <c r="A287" s="37">
        <v>46135</v>
      </c>
      <c r="C287" s="19" t="s">
        <v>544</v>
      </c>
      <c r="D287" s="10">
        <v>2</v>
      </c>
      <c r="E287" s="10">
        <v>50</v>
      </c>
      <c r="G287" s="10">
        <f t="shared" si="4"/>
        <v>25</v>
      </c>
    </row>
    <row r="288" spans="1:11" ht="30" x14ac:dyDescent="0.25">
      <c r="A288" s="37">
        <v>46135</v>
      </c>
      <c r="C288" s="19" t="s">
        <v>551</v>
      </c>
      <c r="D288" s="10">
        <v>36</v>
      </c>
      <c r="E288" s="10">
        <v>165</v>
      </c>
      <c r="G288" s="10">
        <f t="shared" si="4"/>
        <v>4.583333333333333</v>
      </c>
    </row>
    <row r="289" spans="1:7" ht="30" x14ac:dyDescent="0.25">
      <c r="A289" s="37">
        <v>46137</v>
      </c>
      <c r="C289" s="19" t="s">
        <v>560</v>
      </c>
      <c r="D289" s="10">
        <v>12</v>
      </c>
      <c r="E289" s="10">
        <v>110</v>
      </c>
      <c r="G289" s="10">
        <f t="shared" si="4"/>
        <v>9.1666666666666661</v>
      </c>
    </row>
    <row r="290" spans="1:7" x14ac:dyDescent="0.25">
      <c r="A290" s="37">
        <v>46137</v>
      </c>
      <c r="C290" s="19" t="s">
        <v>558</v>
      </c>
      <c r="D290" s="10">
        <v>12</v>
      </c>
      <c r="E290" s="10">
        <v>108</v>
      </c>
      <c r="G290" s="10">
        <f t="shared" si="4"/>
        <v>9</v>
      </c>
    </row>
    <row r="291" spans="1:7" ht="30" x14ac:dyDescent="0.25">
      <c r="A291" s="37">
        <v>46137</v>
      </c>
      <c r="C291" s="19" t="s">
        <v>559</v>
      </c>
      <c r="D291" s="10">
        <v>3</v>
      </c>
      <c r="E291" s="10">
        <v>96</v>
      </c>
      <c r="G291" s="10">
        <f t="shared" si="4"/>
        <v>32</v>
      </c>
    </row>
    <row r="292" spans="1:7" ht="30" x14ac:dyDescent="0.25">
      <c r="A292" s="37">
        <v>46137</v>
      </c>
      <c r="C292" s="19" t="s">
        <v>554</v>
      </c>
      <c r="D292" s="10">
        <v>25</v>
      </c>
      <c r="E292" s="10">
        <v>100</v>
      </c>
      <c r="G292" s="10">
        <f t="shared" si="4"/>
        <v>4</v>
      </c>
    </row>
    <row r="293" spans="1:7" x14ac:dyDescent="0.25">
      <c r="A293" s="37">
        <v>46137</v>
      </c>
      <c r="C293" s="19" t="s">
        <v>565</v>
      </c>
      <c r="D293" s="10">
        <v>120</v>
      </c>
      <c r="E293" s="10">
        <v>1090</v>
      </c>
      <c r="G293" s="10">
        <f t="shared" si="4"/>
        <v>9.0833333333333339</v>
      </c>
    </row>
    <row r="294" spans="1:7" ht="30" x14ac:dyDescent="0.25">
      <c r="A294" s="37">
        <v>46137</v>
      </c>
      <c r="C294" s="19" t="s">
        <v>564</v>
      </c>
      <c r="D294" s="10">
        <v>1</v>
      </c>
      <c r="E294" s="10">
        <v>260</v>
      </c>
      <c r="G294" s="10">
        <f t="shared" si="4"/>
        <v>260</v>
      </c>
    </row>
    <row r="295" spans="1:7" x14ac:dyDescent="0.25">
      <c r="A295" s="37">
        <v>46137</v>
      </c>
      <c r="C295" s="19" t="s">
        <v>563</v>
      </c>
      <c r="D295" s="10">
        <v>10</v>
      </c>
      <c r="E295" s="10">
        <v>250</v>
      </c>
      <c r="G295" s="10">
        <f t="shared" si="4"/>
        <v>25</v>
      </c>
    </row>
    <row r="296" spans="1:7" ht="45" x14ac:dyDescent="0.25">
      <c r="A296" s="37">
        <v>46137</v>
      </c>
      <c r="C296" s="19" t="s">
        <v>555</v>
      </c>
      <c r="D296" s="10">
        <v>3</v>
      </c>
      <c r="E296" s="10">
        <v>276</v>
      </c>
      <c r="G296" s="10">
        <f t="shared" si="4"/>
        <v>92</v>
      </c>
    </row>
    <row r="297" spans="1:7" x14ac:dyDescent="0.25">
      <c r="A297" s="37">
        <v>46137</v>
      </c>
      <c r="C297" s="19" t="s">
        <v>557</v>
      </c>
      <c r="D297" s="10">
        <v>2</v>
      </c>
      <c r="E297" s="10">
        <v>200</v>
      </c>
      <c r="G297" s="10">
        <f t="shared" si="4"/>
        <v>100</v>
      </c>
    </row>
    <row r="298" spans="1:7" x14ac:dyDescent="0.25">
      <c r="A298" s="37">
        <v>46137</v>
      </c>
      <c r="C298" s="19" t="s">
        <v>556</v>
      </c>
      <c r="D298" s="10">
        <v>24</v>
      </c>
      <c r="E298" s="10">
        <v>220</v>
      </c>
      <c r="G298" s="10">
        <f t="shared" si="4"/>
        <v>9.1666666666666661</v>
      </c>
    </row>
    <row r="299" spans="1:7" ht="30" x14ac:dyDescent="0.25">
      <c r="A299" s="37">
        <v>46137</v>
      </c>
      <c r="C299" s="19" t="s">
        <v>561</v>
      </c>
      <c r="D299" s="10">
        <v>24</v>
      </c>
      <c r="E299" s="10">
        <v>226</v>
      </c>
      <c r="G299" s="10">
        <f t="shared" si="4"/>
        <v>9.4166666666666661</v>
      </c>
    </row>
    <row r="300" spans="1:7" ht="30" x14ac:dyDescent="0.25">
      <c r="A300" s="37">
        <v>46137</v>
      </c>
      <c r="C300" s="19" t="s">
        <v>562</v>
      </c>
      <c r="D300" s="10">
        <v>32</v>
      </c>
      <c r="E300" s="10">
        <v>28</v>
      </c>
      <c r="G300" s="10">
        <f t="shared" si="4"/>
        <v>0.875</v>
      </c>
    </row>
    <row r="301" spans="1:7" ht="30" x14ac:dyDescent="0.25">
      <c r="A301" s="37">
        <v>46137</v>
      </c>
      <c r="C301" s="19" t="s">
        <v>553</v>
      </c>
      <c r="D301" s="10">
        <v>48</v>
      </c>
      <c r="E301" s="10">
        <v>216</v>
      </c>
      <c r="G301" s="10">
        <f t="shared" si="4"/>
        <v>4.5</v>
      </c>
    </row>
    <row r="302" spans="1:7" x14ac:dyDescent="0.25">
      <c r="A302" s="37">
        <v>46138</v>
      </c>
      <c r="C302" s="19" t="s">
        <v>579</v>
      </c>
      <c r="D302" s="10">
        <v>60</v>
      </c>
      <c r="E302" s="10">
        <v>220</v>
      </c>
      <c r="G302" s="10">
        <f t="shared" ref="G302:G365" si="5">E302/D302</f>
        <v>3.6666666666666665</v>
      </c>
    </row>
    <row r="303" spans="1:7" x14ac:dyDescent="0.25">
      <c r="A303" s="37">
        <v>46138</v>
      </c>
      <c r="C303" s="19" t="s">
        <v>570</v>
      </c>
      <c r="D303" s="10">
        <v>12</v>
      </c>
      <c r="E303" s="10">
        <v>130</v>
      </c>
      <c r="G303" s="10">
        <f t="shared" si="5"/>
        <v>10.833333333333334</v>
      </c>
    </row>
    <row r="304" spans="1:7" x14ac:dyDescent="0.25">
      <c r="A304" s="37">
        <v>46138</v>
      </c>
      <c r="C304" s="19" t="s">
        <v>576</v>
      </c>
      <c r="D304" s="10">
        <v>50</v>
      </c>
      <c r="E304" s="10">
        <v>200</v>
      </c>
      <c r="G304" s="10">
        <f t="shared" si="5"/>
        <v>4</v>
      </c>
    </row>
    <row r="305" spans="1:7" x14ac:dyDescent="0.25">
      <c r="A305" s="37">
        <v>46138</v>
      </c>
      <c r="C305" s="19" t="s">
        <v>567</v>
      </c>
      <c r="D305" s="10">
        <v>200</v>
      </c>
      <c r="E305" s="10">
        <v>220</v>
      </c>
      <c r="G305" s="10">
        <f t="shared" si="5"/>
        <v>1.1000000000000001</v>
      </c>
    </row>
    <row r="306" spans="1:7" x14ac:dyDescent="0.25">
      <c r="A306" s="37">
        <v>46138</v>
      </c>
      <c r="C306" s="19" t="s">
        <v>572</v>
      </c>
      <c r="D306" s="10">
        <v>30</v>
      </c>
      <c r="E306" s="10">
        <v>200</v>
      </c>
      <c r="G306" s="10">
        <f t="shared" si="5"/>
        <v>6.666666666666667</v>
      </c>
    </row>
    <row r="307" spans="1:7" ht="30" x14ac:dyDescent="0.25">
      <c r="A307" s="37">
        <v>46138</v>
      </c>
      <c r="C307" s="19" t="s">
        <v>577</v>
      </c>
      <c r="D307" s="10">
        <v>30</v>
      </c>
      <c r="E307" s="10">
        <v>120</v>
      </c>
      <c r="G307" s="10">
        <f t="shared" si="5"/>
        <v>4</v>
      </c>
    </row>
    <row r="308" spans="1:7" ht="30" x14ac:dyDescent="0.25">
      <c r="A308" s="37">
        <v>46138</v>
      </c>
      <c r="C308" s="19" t="s">
        <v>575</v>
      </c>
      <c r="D308" s="10">
        <v>12</v>
      </c>
      <c r="E308" s="10">
        <v>215</v>
      </c>
      <c r="G308" s="10">
        <f t="shared" si="5"/>
        <v>17.916666666666668</v>
      </c>
    </row>
    <row r="309" spans="1:7" x14ac:dyDescent="0.25">
      <c r="A309" s="37">
        <v>46138</v>
      </c>
      <c r="C309" s="19" t="s">
        <v>574</v>
      </c>
      <c r="D309" s="10">
        <v>12</v>
      </c>
      <c r="E309" s="10">
        <v>80</v>
      </c>
      <c r="G309" s="10">
        <f t="shared" si="5"/>
        <v>6.666666666666667</v>
      </c>
    </row>
    <row r="310" spans="1:7" x14ac:dyDescent="0.25">
      <c r="A310" s="37">
        <v>46138</v>
      </c>
      <c r="C310" s="19" t="s">
        <v>585</v>
      </c>
      <c r="D310" s="10">
        <v>30</v>
      </c>
      <c r="E310" s="10">
        <v>220</v>
      </c>
      <c r="G310" s="10">
        <f t="shared" si="5"/>
        <v>7.333333333333333</v>
      </c>
    </row>
    <row r="311" spans="1:7" x14ac:dyDescent="0.25">
      <c r="A311" s="37">
        <v>46138</v>
      </c>
      <c r="C311" s="19" t="s">
        <v>584</v>
      </c>
      <c r="D311" s="10">
        <v>30</v>
      </c>
      <c r="E311" s="10">
        <v>210</v>
      </c>
      <c r="G311" s="10">
        <f t="shared" si="5"/>
        <v>7</v>
      </c>
    </row>
    <row r="312" spans="1:7" x14ac:dyDescent="0.25">
      <c r="A312" s="37">
        <v>46138</v>
      </c>
      <c r="C312" s="19" t="s">
        <v>568</v>
      </c>
      <c r="D312" s="10">
        <v>160</v>
      </c>
      <c r="E312" s="10">
        <v>130</v>
      </c>
      <c r="G312" s="10">
        <f t="shared" si="5"/>
        <v>0.8125</v>
      </c>
    </row>
    <row r="313" spans="1:7" ht="30" x14ac:dyDescent="0.25">
      <c r="A313" s="37">
        <v>46138</v>
      </c>
      <c r="C313" s="19" t="s">
        <v>571</v>
      </c>
      <c r="D313" s="10">
        <v>40</v>
      </c>
      <c r="E313" s="10">
        <v>640</v>
      </c>
      <c r="G313" s="10">
        <f t="shared" si="5"/>
        <v>16</v>
      </c>
    </row>
    <row r="314" spans="1:7" x14ac:dyDescent="0.25">
      <c r="A314" s="37">
        <v>46138</v>
      </c>
      <c r="C314" s="19" t="s">
        <v>582</v>
      </c>
      <c r="D314" s="10">
        <v>50</v>
      </c>
      <c r="E314" s="10">
        <v>350</v>
      </c>
      <c r="G314" s="10">
        <f t="shared" si="5"/>
        <v>7</v>
      </c>
    </row>
    <row r="315" spans="1:7" x14ac:dyDescent="0.25">
      <c r="A315" s="37">
        <v>46138</v>
      </c>
      <c r="C315" s="19" t="s">
        <v>578</v>
      </c>
      <c r="D315" s="10">
        <v>50</v>
      </c>
      <c r="E315" s="10">
        <v>200</v>
      </c>
      <c r="G315" s="10">
        <f t="shared" si="5"/>
        <v>4</v>
      </c>
    </row>
    <row r="316" spans="1:7" x14ac:dyDescent="0.25">
      <c r="A316" s="37">
        <v>46138</v>
      </c>
      <c r="C316" s="19" t="s">
        <v>569</v>
      </c>
      <c r="D316" s="10">
        <v>12</v>
      </c>
      <c r="E316" s="10">
        <v>80</v>
      </c>
      <c r="G316" s="10">
        <f t="shared" si="5"/>
        <v>6.666666666666667</v>
      </c>
    </row>
    <row r="317" spans="1:7" x14ac:dyDescent="0.25">
      <c r="A317" s="37">
        <v>46138</v>
      </c>
      <c r="C317" s="19" t="s">
        <v>580</v>
      </c>
      <c r="D317" s="10">
        <v>170</v>
      </c>
      <c r="E317" s="10">
        <v>120</v>
      </c>
      <c r="G317" s="10">
        <f t="shared" si="5"/>
        <v>0.70588235294117652</v>
      </c>
    </row>
    <row r="318" spans="1:7" x14ac:dyDescent="0.25">
      <c r="A318" s="37">
        <v>46138</v>
      </c>
      <c r="C318" s="19" t="s">
        <v>573</v>
      </c>
      <c r="D318" s="10">
        <v>12</v>
      </c>
      <c r="E318" s="10">
        <v>80</v>
      </c>
      <c r="G318" s="10">
        <f t="shared" si="5"/>
        <v>6.666666666666667</v>
      </c>
    </row>
    <row r="319" spans="1:7" ht="30" x14ac:dyDescent="0.25">
      <c r="A319" s="37">
        <v>46138</v>
      </c>
      <c r="C319" s="19" t="s">
        <v>581</v>
      </c>
      <c r="D319" s="10">
        <v>140</v>
      </c>
      <c r="E319" s="10">
        <v>210</v>
      </c>
      <c r="G319" s="10">
        <f t="shared" si="5"/>
        <v>1.5</v>
      </c>
    </row>
    <row r="320" spans="1:7" ht="30" x14ac:dyDescent="0.25">
      <c r="A320" s="37">
        <v>46140</v>
      </c>
      <c r="C320" s="19" t="s">
        <v>589</v>
      </c>
      <c r="D320" s="10">
        <v>6</v>
      </c>
      <c r="E320" s="10">
        <v>720</v>
      </c>
      <c r="G320" s="10">
        <f t="shared" si="5"/>
        <v>120</v>
      </c>
    </row>
    <row r="321" spans="1:7" ht="30" x14ac:dyDescent="0.25">
      <c r="A321" s="37">
        <v>46140</v>
      </c>
      <c r="C321" s="19" t="s">
        <v>591</v>
      </c>
      <c r="D321" s="10">
        <v>6</v>
      </c>
      <c r="E321" s="10">
        <v>960</v>
      </c>
      <c r="G321" s="10">
        <f t="shared" si="5"/>
        <v>160</v>
      </c>
    </row>
    <row r="322" spans="1:7" x14ac:dyDescent="0.25">
      <c r="A322" s="37">
        <v>46140</v>
      </c>
      <c r="C322" s="19" t="s">
        <v>590</v>
      </c>
      <c r="D322" s="10">
        <v>6</v>
      </c>
      <c r="E322" s="10">
        <v>222</v>
      </c>
      <c r="G322" s="10">
        <f t="shared" si="5"/>
        <v>37</v>
      </c>
    </row>
    <row r="323" spans="1:7" ht="30" x14ac:dyDescent="0.25">
      <c r="A323" s="37">
        <v>46140</v>
      </c>
      <c r="C323" s="19" t="s">
        <v>588</v>
      </c>
      <c r="D323" s="10">
        <v>5</v>
      </c>
      <c r="E323" s="10">
        <v>800</v>
      </c>
      <c r="G323" s="10">
        <f t="shared" si="5"/>
        <v>160</v>
      </c>
    </row>
    <row r="324" spans="1:7" x14ac:dyDescent="0.25">
      <c r="A324" s="37">
        <v>46140</v>
      </c>
      <c r="C324" s="19" t="s">
        <v>587</v>
      </c>
      <c r="D324" s="10">
        <v>6</v>
      </c>
      <c r="E324" s="10">
        <v>288</v>
      </c>
      <c r="G324" s="10">
        <f t="shared" si="5"/>
        <v>48</v>
      </c>
    </row>
    <row r="325" spans="1:7" ht="30" x14ac:dyDescent="0.25">
      <c r="A325" s="37">
        <v>46143</v>
      </c>
      <c r="B325" s="13" t="s">
        <v>138</v>
      </c>
      <c r="C325" s="33" t="s">
        <v>608</v>
      </c>
      <c r="D325" s="10">
        <v>3</v>
      </c>
      <c r="E325" s="10">
        <v>27</v>
      </c>
      <c r="G325" s="10">
        <f t="shared" si="5"/>
        <v>9</v>
      </c>
    </row>
    <row r="326" spans="1:7" ht="30" x14ac:dyDescent="0.25">
      <c r="A326" s="37">
        <v>46143</v>
      </c>
      <c r="B326" s="13" t="s">
        <v>138</v>
      </c>
      <c r="C326" s="19" t="s">
        <v>635</v>
      </c>
      <c r="D326" s="10">
        <v>6</v>
      </c>
      <c r="E326" s="10">
        <v>55</v>
      </c>
      <c r="G326" s="10">
        <f t="shared" si="5"/>
        <v>9.1666666666666661</v>
      </c>
    </row>
    <row r="327" spans="1:7" ht="30" x14ac:dyDescent="0.25">
      <c r="A327" s="37">
        <v>46143</v>
      </c>
      <c r="B327" s="13" t="s">
        <v>138</v>
      </c>
      <c r="C327" s="19" t="s">
        <v>610</v>
      </c>
      <c r="D327" s="10">
        <v>30</v>
      </c>
      <c r="E327" s="10">
        <v>138</v>
      </c>
      <c r="G327" s="10">
        <f t="shared" si="5"/>
        <v>4.5999999999999996</v>
      </c>
    </row>
    <row r="328" spans="1:7" ht="30" x14ac:dyDescent="0.25">
      <c r="A328" s="37">
        <v>46143</v>
      </c>
      <c r="B328" s="13" t="s">
        <v>123</v>
      </c>
      <c r="C328" s="19" t="s">
        <v>615</v>
      </c>
      <c r="D328" s="10">
        <v>12</v>
      </c>
      <c r="E328" s="10">
        <v>290</v>
      </c>
      <c r="G328" s="10">
        <f t="shared" si="5"/>
        <v>24.166666666666668</v>
      </c>
    </row>
    <row r="329" spans="1:7" ht="30" x14ac:dyDescent="0.25">
      <c r="A329" s="37">
        <v>46143</v>
      </c>
      <c r="B329" s="13" t="s">
        <v>138</v>
      </c>
      <c r="C329" s="19" t="s">
        <v>607</v>
      </c>
      <c r="D329" s="10">
        <v>4</v>
      </c>
      <c r="E329" s="10">
        <v>108</v>
      </c>
      <c r="G329" s="10">
        <f t="shared" si="5"/>
        <v>27</v>
      </c>
    </row>
    <row r="330" spans="1:7" ht="30" x14ac:dyDescent="0.25">
      <c r="A330" s="37">
        <v>46143</v>
      </c>
      <c r="B330" s="13" t="s">
        <v>138</v>
      </c>
      <c r="C330" s="19" t="s">
        <v>606</v>
      </c>
      <c r="D330" s="10">
        <v>12</v>
      </c>
      <c r="E330" s="10">
        <v>54</v>
      </c>
      <c r="G330" s="10">
        <f t="shared" si="5"/>
        <v>4.5</v>
      </c>
    </row>
    <row r="331" spans="1:7" ht="30" x14ac:dyDescent="0.25">
      <c r="A331" s="37">
        <v>46143</v>
      </c>
      <c r="B331" s="13" t="s">
        <v>123</v>
      </c>
      <c r="C331" s="19" t="s">
        <v>616</v>
      </c>
      <c r="D331" s="10">
        <v>6</v>
      </c>
      <c r="E331" s="10">
        <v>230</v>
      </c>
      <c r="G331" s="10">
        <f t="shared" si="5"/>
        <v>38.333333333333336</v>
      </c>
    </row>
    <row r="332" spans="1:7" ht="30" x14ac:dyDescent="0.25">
      <c r="A332" s="37">
        <v>46143</v>
      </c>
      <c r="B332" s="13" t="s">
        <v>123</v>
      </c>
      <c r="C332" s="19" t="s">
        <v>619</v>
      </c>
      <c r="D332" s="10">
        <v>10</v>
      </c>
      <c r="E332" s="10">
        <v>95</v>
      </c>
      <c r="G332" s="10">
        <f t="shared" si="5"/>
        <v>9.5</v>
      </c>
    </row>
    <row r="333" spans="1:7" ht="30" x14ac:dyDescent="0.25">
      <c r="A333" s="37">
        <v>46143</v>
      </c>
      <c r="B333" s="13" t="s">
        <v>123</v>
      </c>
      <c r="C333" s="19" t="s">
        <v>620</v>
      </c>
      <c r="D333" s="10">
        <v>10</v>
      </c>
      <c r="E333" s="10">
        <v>95</v>
      </c>
      <c r="G333" s="10">
        <f t="shared" si="5"/>
        <v>9.5</v>
      </c>
    </row>
    <row r="334" spans="1:7" ht="30" x14ac:dyDescent="0.25">
      <c r="A334" s="37">
        <v>46143</v>
      </c>
      <c r="B334" s="13" t="s">
        <v>123</v>
      </c>
      <c r="C334" s="19" t="s">
        <v>617</v>
      </c>
      <c r="D334" s="10">
        <v>3</v>
      </c>
      <c r="E334" s="10">
        <v>96</v>
      </c>
      <c r="G334" s="10">
        <f t="shared" si="5"/>
        <v>32</v>
      </c>
    </row>
    <row r="335" spans="1:7" ht="30" x14ac:dyDescent="0.25">
      <c r="A335" s="37">
        <v>46143</v>
      </c>
      <c r="B335" s="13" t="s">
        <v>138</v>
      </c>
      <c r="C335" s="33" t="s">
        <v>609</v>
      </c>
      <c r="D335" s="10">
        <v>10</v>
      </c>
      <c r="E335" s="10">
        <v>90</v>
      </c>
      <c r="G335" s="10">
        <f t="shared" si="5"/>
        <v>9</v>
      </c>
    </row>
    <row r="336" spans="1:7" x14ac:dyDescent="0.25">
      <c r="A336" s="37">
        <v>46143</v>
      </c>
      <c r="B336" s="13" t="s">
        <v>602</v>
      </c>
      <c r="C336" s="33" t="s">
        <v>603</v>
      </c>
      <c r="D336" s="10">
        <v>30</v>
      </c>
      <c r="E336" s="10">
        <v>210</v>
      </c>
      <c r="G336" s="10">
        <f t="shared" si="5"/>
        <v>7</v>
      </c>
    </row>
    <row r="337" spans="1:7" ht="30" x14ac:dyDescent="0.25">
      <c r="A337" s="37">
        <v>46143</v>
      </c>
      <c r="B337" s="13" t="s">
        <v>92</v>
      </c>
      <c r="C337" s="19" t="s">
        <v>605</v>
      </c>
      <c r="D337" s="10">
        <v>20</v>
      </c>
      <c r="E337" s="10">
        <v>3840</v>
      </c>
      <c r="G337" s="10">
        <f t="shared" si="5"/>
        <v>192</v>
      </c>
    </row>
    <row r="338" spans="1:7" ht="30" x14ac:dyDescent="0.25">
      <c r="A338" s="37">
        <v>46143</v>
      </c>
      <c r="B338" s="13" t="s">
        <v>123</v>
      </c>
      <c r="C338" s="19" t="s">
        <v>622</v>
      </c>
      <c r="D338" s="10">
        <v>30</v>
      </c>
      <c r="E338" s="10">
        <v>225</v>
      </c>
      <c r="G338" s="10">
        <f t="shared" si="5"/>
        <v>7.5</v>
      </c>
    </row>
    <row r="339" spans="1:7" ht="30" x14ac:dyDescent="0.25">
      <c r="A339" s="37">
        <v>46143</v>
      </c>
      <c r="B339" s="13" t="s">
        <v>123</v>
      </c>
      <c r="C339" s="19" t="s">
        <v>618</v>
      </c>
      <c r="D339" s="10">
        <v>3</v>
      </c>
      <c r="E339" s="10">
        <v>138</v>
      </c>
      <c r="G339" s="10">
        <f t="shared" si="5"/>
        <v>46</v>
      </c>
    </row>
    <row r="340" spans="1:7" ht="30" x14ac:dyDescent="0.25">
      <c r="A340" s="37">
        <v>46143</v>
      </c>
      <c r="B340" s="13" t="s">
        <v>92</v>
      </c>
      <c r="C340" s="19" t="s">
        <v>627</v>
      </c>
      <c r="D340" s="10">
        <v>5</v>
      </c>
      <c r="E340" s="10">
        <v>140</v>
      </c>
      <c r="G340" s="10">
        <f t="shared" si="5"/>
        <v>28</v>
      </c>
    </row>
    <row r="341" spans="1:7" ht="30" x14ac:dyDescent="0.25">
      <c r="A341" s="37">
        <v>46143</v>
      </c>
      <c r="B341" s="13" t="s">
        <v>155</v>
      </c>
      <c r="C341" s="19" t="s">
        <v>599</v>
      </c>
      <c r="D341" s="10">
        <v>16</v>
      </c>
      <c r="E341" s="10">
        <v>2848</v>
      </c>
      <c r="G341" s="10">
        <f t="shared" si="5"/>
        <v>178</v>
      </c>
    </row>
    <row r="342" spans="1:7" ht="30" x14ac:dyDescent="0.25">
      <c r="A342" s="37">
        <v>46143</v>
      </c>
      <c r="B342" s="13" t="s">
        <v>92</v>
      </c>
      <c r="C342" s="19" t="s">
        <v>625</v>
      </c>
      <c r="D342" s="10">
        <v>3</v>
      </c>
      <c r="E342" s="10">
        <v>444</v>
      </c>
      <c r="G342" s="10">
        <f t="shared" si="5"/>
        <v>148</v>
      </c>
    </row>
    <row r="343" spans="1:7" ht="30" x14ac:dyDescent="0.25">
      <c r="A343" s="37">
        <v>46143</v>
      </c>
      <c r="B343" s="13" t="s">
        <v>92</v>
      </c>
      <c r="C343" s="19" t="s">
        <v>629</v>
      </c>
      <c r="D343" s="10">
        <v>3</v>
      </c>
      <c r="E343" s="10">
        <v>105</v>
      </c>
      <c r="G343" s="10">
        <f t="shared" si="5"/>
        <v>35</v>
      </c>
    </row>
    <row r="344" spans="1:7" ht="30" x14ac:dyDescent="0.25">
      <c r="A344" s="37">
        <v>46143</v>
      </c>
      <c r="B344" s="13" t="s">
        <v>138</v>
      </c>
      <c r="C344" s="19" t="s">
        <v>612</v>
      </c>
      <c r="D344" s="10">
        <v>2</v>
      </c>
      <c r="E344" s="10">
        <v>150</v>
      </c>
      <c r="G344" s="10">
        <f t="shared" si="5"/>
        <v>75</v>
      </c>
    </row>
    <row r="345" spans="1:7" ht="30" x14ac:dyDescent="0.25">
      <c r="A345" s="37">
        <v>46143</v>
      </c>
      <c r="B345" s="13" t="s">
        <v>123</v>
      </c>
      <c r="C345" s="19" t="s">
        <v>623</v>
      </c>
      <c r="D345" s="10">
        <v>60</v>
      </c>
      <c r="E345" s="10">
        <v>200</v>
      </c>
      <c r="G345" s="10">
        <f t="shared" si="5"/>
        <v>3.3333333333333335</v>
      </c>
    </row>
    <row r="346" spans="1:7" ht="30" x14ac:dyDescent="0.25">
      <c r="A346" s="37">
        <v>46143</v>
      </c>
      <c r="B346" s="13" t="s">
        <v>123</v>
      </c>
      <c r="C346" s="19" t="s">
        <v>624</v>
      </c>
      <c r="D346" s="10">
        <v>12</v>
      </c>
      <c r="E346" s="10">
        <v>115</v>
      </c>
      <c r="G346" s="10">
        <f t="shared" si="5"/>
        <v>9.5833333333333339</v>
      </c>
    </row>
    <row r="347" spans="1:7" ht="30" x14ac:dyDescent="0.25">
      <c r="A347" s="37">
        <v>46143</v>
      </c>
      <c r="B347" s="13" t="s">
        <v>123</v>
      </c>
      <c r="C347" s="19" t="s">
        <v>613</v>
      </c>
      <c r="D347" s="10">
        <v>24</v>
      </c>
      <c r="E347" s="10">
        <v>200</v>
      </c>
      <c r="G347" s="10">
        <f t="shared" si="5"/>
        <v>8.3333333333333339</v>
      </c>
    </row>
    <row r="348" spans="1:7" x14ac:dyDescent="0.25">
      <c r="A348" s="37">
        <v>46143</v>
      </c>
      <c r="B348" s="13" t="s">
        <v>602</v>
      </c>
      <c r="C348" s="19" t="s">
        <v>604</v>
      </c>
      <c r="D348" s="10">
        <v>30</v>
      </c>
      <c r="E348" s="10">
        <v>220</v>
      </c>
      <c r="G348" s="10">
        <f t="shared" si="5"/>
        <v>7.333333333333333</v>
      </c>
    </row>
    <row r="349" spans="1:7" ht="30" x14ac:dyDescent="0.25">
      <c r="A349" s="37">
        <v>46143</v>
      </c>
      <c r="B349" s="13" t="s">
        <v>600</v>
      </c>
      <c r="C349" s="19" t="s">
        <v>601</v>
      </c>
      <c r="D349" s="10">
        <v>26</v>
      </c>
      <c r="E349" s="10">
        <v>1730</v>
      </c>
      <c r="G349" s="10">
        <f t="shared" si="5"/>
        <v>66.538461538461533</v>
      </c>
    </row>
    <row r="350" spans="1:7" ht="30" x14ac:dyDescent="0.25">
      <c r="A350" s="37">
        <v>46143</v>
      </c>
      <c r="B350" s="13" t="s">
        <v>123</v>
      </c>
      <c r="C350" s="19" t="s">
        <v>621</v>
      </c>
      <c r="D350" s="10">
        <v>4</v>
      </c>
      <c r="E350" s="10">
        <v>280</v>
      </c>
      <c r="G350" s="10">
        <f t="shared" si="5"/>
        <v>70</v>
      </c>
    </row>
    <row r="351" spans="1:7" ht="30" x14ac:dyDescent="0.25">
      <c r="A351" s="37">
        <v>46143</v>
      </c>
      <c r="B351" s="13" t="s">
        <v>92</v>
      </c>
      <c r="C351" s="19" t="s">
        <v>626</v>
      </c>
      <c r="D351" s="10">
        <v>24</v>
      </c>
      <c r="E351" s="10">
        <v>210</v>
      </c>
      <c r="G351" s="10">
        <f t="shared" si="5"/>
        <v>8.75</v>
      </c>
    </row>
    <row r="352" spans="1:7" ht="30" x14ac:dyDescent="0.25">
      <c r="A352" s="37">
        <v>46143</v>
      </c>
      <c r="B352" s="13" t="s">
        <v>123</v>
      </c>
      <c r="C352" s="19" t="s">
        <v>614</v>
      </c>
      <c r="D352" s="10">
        <v>5</v>
      </c>
      <c r="E352" s="10">
        <v>75</v>
      </c>
      <c r="G352" s="10">
        <f t="shared" si="5"/>
        <v>15</v>
      </c>
    </row>
    <row r="353" spans="1:10" ht="30" x14ac:dyDescent="0.25">
      <c r="A353" s="37">
        <v>46143</v>
      </c>
      <c r="B353" s="13" t="s">
        <v>92</v>
      </c>
      <c r="C353" s="19" t="s">
        <v>630</v>
      </c>
      <c r="D353" s="10">
        <v>3</v>
      </c>
      <c r="E353" s="10">
        <v>225</v>
      </c>
      <c r="G353" s="10">
        <f t="shared" si="5"/>
        <v>75</v>
      </c>
    </row>
    <row r="354" spans="1:10" ht="30" x14ac:dyDescent="0.25">
      <c r="A354" s="37">
        <v>46143</v>
      </c>
      <c r="B354" s="13" t="s">
        <v>92</v>
      </c>
      <c r="C354" s="19" t="s">
        <v>628</v>
      </c>
      <c r="D354" s="10">
        <v>3</v>
      </c>
      <c r="E354" s="10">
        <v>159</v>
      </c>
      <c r="G354" s="10">
        <f t="shared" si="5"/>
        <v>53</v>
      </c>
    </row>
    <row r="355" spans="1:10" ht="30" x14ac:dyDescent="0.25">
      <c r="A355" s="37">
        <v>46143</v>
      </c>
      <c r="B355" s="13" t="s">
        <v>138</v>
      </c>
      <c r="C355" s="19" t="s">
        <v>611</v>
      </c>
      <c r="D355" s="10">
        <v>3</v>
      </c>
      <c r="E355" s="10">
        <v>84</v>
      </c>
      <c r="G355" s="10">
        <f t="shared" si="5"/>
        <v>28</v>
      </c>
    </row>
    <row r="356" spans="1:10" ht="30" x14ac:dyDescent="0.25">
      <c r="A356" s="37">
        <v>46145</v>
      </c>
      <c r="C356" s="19" t="s">
        <v>645</v>
      </c>
      <c r="D356" s="10">
        <v>6</v>
      </c>
      <c r="E356" s="10">
        <v>55</v>
      </c>
      <c r="G356" s="10">
        <f t="shared" si="5"/>
        <v>9.1666666666666661</v>
      </c>
    </row>
    <row r="357" spans="1:10" ht="30" x14ac:dyDescent="0.25">
      <c r="A357" s="37">
        <v>46145</v>
      </c>
      <c r="C357" s="19" t="s">
        <v>637</v>
      </c>
      <c r="D357" s="10">
        <v>2</v>
      </c>
      <c r="E357" s="10">
        <v>108</v>
      </c>
      <c r="G357" s="10">
        <f t="shared" si="5"/>
        <v>54</v>
      </c>
    </row>
    <row r="358" spans="1:10" ht="30" x14ac:dyDescent="0.25">
      <c r="A358" s="37">
        <v>46145</v>
      </c>
      <c r="C358" s="19" t="s">
        <v>649</v>
      </c>
      <c r="D358" s="10">
        <v>20</v>
      </c>
      <c r="E358" s="10">
        <v>90</v>
      </c>
      <c r="G358" s="10">
        <f t="shared" si="5"/>
        <v>4.5</v>
      </c>
    </row>
    <row r="359" spans="1:10" ht="30" x14ac:dyDescent="0.25">
      <c r="A359" s="37">
        <v>46145</v>
      </c>
      <c r="C359" s="19" t="s">
        <v>644</v>
      </c>
      <c r="D359" s="10">
        <v>1</v>
      </c>
      <c r="E359" s="10">
        <v>220</v>
      </c>
      <c r="G359" s="10">
        <f t="shared" si="5"/>
        <v>220</v>
      </c>
    </row>
    <row r="360" spans="1:10" x14ac:dyDescent="0.25">
      <c r="A360" s="37">
        <v>46145</v>
      </c>
      <c r="C360" s="19" t="s">
        <v>648</v>
      </c>
      <c r="D360" s="10">
        <v>6</v>
      </c>
      <c r="E360" s="10">
        <v>55</v>
      </c>
      <c r="G360" s="10">
        <f t="shared" si="5"/>
        <v>9.1666666666666661</v>
      </c>
    </row>
    <row r="361" spans="1:10" x14ac:dyDescent="0.25">
      <c r="A361" s="37">
        <v>46145</v>
      </c>
      <c r="C361" s="19" t="s">
        <v>647</v>
      </c>
      <c r="D361" s="10">
        <v>6</v>
      </c>
      <c r="E361" s="10">
        <v>27</v>
      </c>
      <c r="G361" s="10">
        <f t="shared" si="5"/>
        <v>4.5</v>
      </c>
    </row>
    <row r="362" spans="1:10" x14ac:dyDescent="0.25">
      <c r="A362" s="37">
        <v>46145</v>
      </c>
      <c r="C362" s="19" t="s">
        <v>636</v>
      </c>
      <c r="D362" s="10">
        <v>1000</v>
      </c>
      <c r="E362" s="10">
        <v>70</v>
      </c>
      <c r="G362" s="10">
        <f t="shared" si="5"/>
        <v>7.0000000000000007E-2</v>
      </c>
    </row>
    <row r="363" spans="1:10" ht="30" x14ac:dyDescent="0.25">
      <c r="A363" s="37">
        <v>46145</v>
      </c>
      <c r="C363" s="19" t="s">
        <v>639</v>
      </c>
      <c r="D363" s="10">
        <v>144</v>
      </c>
      <c r="E363" s="10">
        <v>240</v>
      </c>
      <c r="G363" s="10">
        <f t="shared" si="5"/>
        <v>1.6666666666666667</v>
      </c>
    </row>
    <row r="364" spans="1:10" ht="30" x14ac:dyDescent="0.25">
      <c r="A364" s="37">
        <v>46145</v>
      </c>
      <c r="C364" s="19" t="s">
        <v>641</v>
      </c>
      <c r="D364" s="10">
        <v>2</v>
      </c>
      <c r="E364" s="10">
        <v>380</v>
      </c>
      <c r="G364" s="10">
        <f t="shared" si="5"/>
        <v>190</v>
      </c>
    </row>
    <row r="365" spans="1:10" ht="45" x14ac:dyDescent="0.25">
      <c r="A365" s="37">
        <v>46145</v>
      </c>
      <c r="C365" s="19" t="s">
        <v>642</v>
      </c>
      <c r="D365" s="10">
        <v>4</v>
      </c>
      <c r="E365" s="10">
        <v>270</v>
      </c>
      <c r="G365" s="10">
        <f t="shared" si="5"/>
        <v>67.5</v>
      </c>
    </row>
    <row r="366" spans="1:10" ht="30" x14ac:dyDescent="0.25">
      <c r="A366" s="37">
        <v>46145</v>
      </c>
      <c r="C366" s="19" t="s">
        <v>643</v>
      </c>
      <c r="D366" s="10">
        <v>12</v>
      </c>
      <c r="E366" s="10">
        <v>108</v>
      </c>
      <c r="G366" s="10">
        <f t="shared" ref="G366:G429" si="6">E366/D366</f>
        <v>9</v>
      </c>
      <c r="J366">
        <f>SUM(E365:E366)</f>
        <v>378</v>
      </c>
    </row>
    <row r="367" spans="1:10" x14ac:dyDescent="0.25">
      <c r="A367" s="37">
        <v>46145</v>
      </c>
      <c r="C367" s="19" t="s">
        <v>638</v>
      </c>
      <c r="D367" s="10">
        <v>8</v>
      </c>
      <c r="E367" s="10">
        <v>216</v>
      </c>
      <c r="G367" s="10">
        <f t="shared" si="6"/>
        <v>27</v>
      </c>
    </row>
    <row r="368" spans="1:10" ht="30" x14ac:dyDescent="0.25">
      <c r="A368" s="37">
        <v>46145</v>
      </c>
      <c r="C368" s="19" t="s">
        <v>646</v>
      </c>
      <c r="D368" s="10">
        <v>30</v>
      </c>
      <c r="E368" s="10">
        <v>110</v>
      </c>
      <c r="G368" s="10">
        <f t="shared" si="6"/>
        <v>3.6666666666666665</v>
      </c>
    </row>
    <row r="369" spans="1:7" ht="30" x14ac:dyDescent="0.25">
      <c r="A369" s="37">
        <v>46145</v>
      </c>
      <c r="C369" s="19" t="s">
        <v>640</v>
      </c>
      <c r="D369" s="10">
        <v>15</v>
      </c>
      <c r="E369" s="10">
        <v>70</v>
      </c>
      <c r="G369" s="10">
        <f t="shared" si="6"/>
        <v>4.666666666666667</v>
      </c>
    </row>
    <row r="370" spans="1:7" ht="30" x14ac:dyDescent="0.25">
      <c r="A370" s="37">
        <v>46147</v>
      </c>
      <c r="C370" s="19" t="s">
        <v>560</v>
      </c>
      <c r="D370" s="10">
        <v>24</v>
      </c>
      <c r="E370" s="10">
        <v>220</v>
      </c>
      <c r="G370" s="10">
        <f t="shared" si="6"/>
        <v>9.1666666666666661</v>
      </c>
    </row>
    <row r="371" spans="1:7" x14ac:dyDescent="0.25">
      <c r="A371" s="37">
        <v>46147</v>
      </c>
      <c r="C371" s="19" t="s">
        <v>657</v>
      </c>
      <c r="D371" s="10">
        <v>6</v>
      </c>
      <c r="E371" s="10">
        <v>54</v>
      </c>
      <c r="G371" s="10">
        <f t="shared" si="6"/>
        <v>9</v>
      </c>
    </row>
    <row r="372" spans="1:7" x14ac:dyDescent="0.25">
      <c r="A372" s="37">
        <v>46147</v>
      </c>
      <c r="C372" s="19" t="s">
        <v>651</v>
      </c>
      <c r="D372" s="10">
        <v>30</v>
      </c>
      <c r="E372" s="10">
        <v>210</v>
      </c>
      <c r="G372" s="10">
        <f t="shared" si="6"/>
        <v>7</v>
      </c>
    </row>
    <row r="373" spans="1:7" ht="30" x14ac:dyDescent="0.25">
      <c r="A373" s="37">
        <v>46147</v>
      </c>
      <c r="C373" s="19" t="s">
        <v>684</v>
      </c>
      <c r="D373" s="10">
        <v>108</v>
      </c>
      <c r="E373" s="10">
        <v>980</v>
      </c>
      <c r="G373" s="10">
        <f t="shared" si="6"/>
        <v>9.0740740740740744</v>
      </c>
    </row>
    <row r="374" spans="1:7" ht="30" x14ac:dyDescent="0.25">
      <c r="A374" s="37">
        <v>46147</v>
      </c>
      <c r="C374" s="19" t="s">
        <v>652</v>
      </c>
      <c r="D374" s="10">
        <v>10</v>
      </c>
      <c r="E374" s="10">
        <v>180</v>
      </c>
      <c r="G374" s="10">
        <f t="shared" si="6"/>
        <v>18</v>
      </c>
    </row>
    <row r="375" spans="1:7" ht="30" x14ac:dyDescent="0.25">
      <c r="A375" s="37">
        <v>46147</v>
      </c>
      <c r="C375" s="19" t="s">
        <v>653</v>
      </c>
      <c r="D375" s="10">
        <v>6</v>
      </c>
      <c r="E375" s="10">
        <v>528</v>
      </c>
      <c r="G375" s="10">
        <f t="shared" si="6"/>
        <v>88</v>
      </c>
    </row>
    <row r="376" spans="1:7" ht="30" x14ac:dyDescent="0.25">
      <c r="A376" s="37">
        <v>46147</v>
      </c>
      <c r="C376" s="19" t="s">
        <v>654</v>
      </c>
      <c r="D376" s="10">
        <v>3</v>
      </c>
      <c r="E376" s="10">
        <v>225</v>
      </c>
      <c r="G376" s="10">
        <f t="shared" si="6"/>
        <v>75</v>
      </c>
    </row>
    <row r="377" spans="1:7" ht="45" x14ac:dyDescent="0.25">
      <c r="A377" s="37">
        <v>46147</v>
      </c>
      <c r="C377" s="19" t="s">
        <v>655</v>
      </c>
      <c r="D377" s="10">
        <v>50</v>
      </c>
      <c r="E377" s="10">
        <v>520</v>
      </c>
      <c r="G377" s="10">
        <f t="shared" si="6"/>
        <v>10.4</v>
      </c>
    </row>
    <row r="378" spans="1:7" ht="30" x14ac:dyDescent="0.25">
      <c r="A378" s="37">
        <v>46149</v>
      </c>
      <c r="C378" s="19" t="s">
        <v>662</v>
      </c>
      <c r="D378" s="10">
        <v>26</v>
      </c>
      <c r="E378" s="10">
        <v>1280</v>
      </c>
      <c r="G378" s="10">
        <f t="shared" si="6"/>
        <v>49.230769230769234</v>
      </c>
    </row>
    <row r="379" spans="1:7" ht="30" x14ac:dyDescent="0.25">
      <c r="A379" s="37">
        <v>46149</v>
      </c>
      <c r="C379" s="19" t="s">
        <v>661</v>
      </c>
      <c r="D379" s="10">
        <v>26</v>
      </c>
      <c r="E379" s="10">
        <v>1225</v>
      </c>
      <c r="G379" s="10">
        <f t="shared" si="6"/>
        <v>47.115384615384613</v>
      </c>
    </row>
    <row r="380" spans="1:7" x14ac:dyDescent="0.25">
      <c r="A380" s="37">
        <v>46150</v>
      </c>
      <c r="C380" s="19" t="s">
        <v>664</v>
      </c>
      <c r="D380" s="10">
        <v>30</v>
      </c>
      <c r="E380" s="10">
        <v>230</v>
      </c>
      <c r="G380" s="10">
        <f t="shared" si="6"/>
        <v>7.666666666666667</v>
      </c>
    </row>
    <row r="381" spans="1:7" x14ac:dyDescent="0.25">
      <c r="A381" s="37">
        <v>46150</v>
      </c>
      <c r="C381" s="19" t="s">
        <v>665</v>
      </c>
      <c r="D381" s="10">
        <v>9</v>
      </c>
      <c r="E381" s="10">
        <v>130</v>
      </c>
      <c r="G381" s="10">
        <f t="shared" si="6"/>
        <v>14.444444444444445</v>
      </c>
    </row>
    <row r="382" spans="1:7" ht="30" x14ac:dyDescent="0.25">
      <c r="A382" s="37">
        <v>46151</v>
      </c>
      <c r="C382" s="19" t="s">
        <v>560</v>
      </c>
      <c r="D382" s="10">
        <v>12</v>
      </c>
      <c r="E382" s="10">
        <v>110</v>
      </c>
      <c r="G382" s="10">
        <f t="shared" si="6"/>
        <v>9.1666666666666661</v>
      </c>
    </row>
    <row r="383" spans="1:7" x14ac:dyDescent="0.25">
      <c r="A383" s="37">
        <v>46151</v>
      </c>
      <c r="C383" s="19" t="s">
        <v>680</v>
      </c>
      <c r="D383" s="10">
        <v>24</v>
      </c>
      <c r="E383" s="10">
        <v>220</v>
      </c>
      <c r="G383" s="10">
        <f t="shared" si="6"/>
        <v>9.1666666666666661</v>
      </c>
    </row>
    <row r="384" spans="1:7" x14ac:dyDescent="0.25">
      <c r="A384" s="37">
        <v>46151</v>
      </c>
      <c r="C384" s="19" t="s">
        <v>687</v>
      </c>
      <c r="D384" s="10">
        <v>12</v>
      </c>
      <c r="E384" s="10">
        <v>108</v>
      </c>
      <c r="G384" s="10">
        <f t="shared" si="6"/>
        <v>9</v>
      </c>
    </row>
    <row r="385" spans="1:10" x14ac:dyDescent="0.25">
      <c r="A385" s="37">
        <v>46151</v>
      </c>
      <c r="C385" s="19" t="s">
        <v>668</v>
      </c>
      <c r="D385" s="10">
        <v>24</v>
      </c>
      <c r="E385" s="10">
        <v>108</v>
      </c>
      <c r="G385" s="10">
        <f t="shared" si="6"/>
        <v>4.5</v>
      </c>
    </row>
    <row r="386" spans="1:10" x14ac:dyDescent="0.25">
      <c r="A386" s="37">
        <v>46151</v>
      </c>
      <c r="C386" s="19" t="s">
        <v>667</v>
      </c>
      <c r="D386" s="10">
        <v>48</v>
      </c>
      <c r="E386" s="10">
        <v>216</v>
      </c>
      <c r="G386" s="10">
        <f t="shared" si="6"/>
        <v>4.5</v>
      </c>
    </row>
    <row r="387" spans="1:10" ht="30" x14ac:dyDescent="0.25">
      <c r="A387" s="37">
        <v>46151</v>
      </c>
      <c r="C387" s="19" t="s">
        <v>669</v>
      </c>
      <c r="D387" s="10">
        <v>30</v>
      </c>
      <c r="E387" s="10">
        <v>144</v>
      </c>
      <c r="G387" s="10">
        <f t="shared" si="6"/>
        <v>4.8</v>
      </c>
    </row>
    <row r="388" spans="1:10" ht="30" x14ac:dyDescent="0.25">
      <c r="A388" s="37">
        <v>46151</v>
      </c>
      <c r="C388" s="19" t="s">
        <v>670</v>
      </c>
      <c r="D388" s="10">
        <v>30</v>
      </c>
      <c r="E388" s="10">
        <v>270</v>
      </c>
      <c r="G388" s="10">
        <f t="shared" si="6"/>
        <v>9</v>
      </c>
    </row>
    <row r="389" spans="1:10" x14ac:dyDescent="0.25">
      <c r="A389" s="37">
        <v>46151</v>
      </c>
      <c r="C389" s="19" t="s">
        <v>676</v>
      </c>
      <c r="D389" s="10">
        <v>4</v>
      </c>
      <c r="E389" s="10">
        <v>100</v>
      </c>
      <c r="G389" s="10">
        <f t="shared" si="6"/>
        <v>25</v>
      </c>
    </row>
    <row r="390" spans="1:10" ht="30" x14ac:dyDescent="0.25">
      <c r="A390" s="37">
        <v>46151</v>
      </c>
      <c r="C390" s="19" t="s">
        <v>674</v>
      </c>
      <c r="D390" s="10">
        <v>3</v>
      </c>
      <c r="E390" s="10">
        <v>162</v>
      </c>
      <c r="G390" s="10">
        <f t="shared" si="6"/>
        <v>54</v>
      </c>
    </row>
    <row r="391" spans="1:10" ht="30" x14ac:dyDescent="0.25">
      <c r="A391" s="37">
        <v>46151</v>
      </c>
      <c r="C391" s="19" t="s">
        <v>678</v>
      </c>
      <c r="D391" s="10">
        <v>25</v>
      </c>
      <c r="E391" s="10">
        <v>140</v>
      </c>
      <c r="G391" s="10">
        <f t="shared" si="6"/>
        <v>5.6</v>
      </c>
    </row>
    <row r="392" spans="1:10" ht="30" x14ac:dyDescent="0.25">
      <c r="A392" s="37">
        <v>46151</v>
      </c>
      <c r="C392" s="19" t="s">
        <v>677</v>
      </c>
      <c r="D392" s="10">
        <v>20</v>
      </c>
      <c r="E392" s="10">
        <v>70</v>
      </c>
      <c r="G392" s="10">
        <f t="shared" si="6"/>
        <v>3.5</v>
      </c>
    </row>
    <row r="393" spans="1:10" x14ac:dyDescent="0.25">
      <c r="A393" s="37">
        <v>46151</v>
      </c>
      <c r="C393" s="19" t="s">
        <v>672</v>
      </c>
      <c r="D393" s="10">
        <v>2</v>
      </c>
      <c r="E393" s="10">
        <v>208</v>
      </c>
      <c r="G393" s="10">
        <f t="shared" si="6"/>
        <v>104</v>
      </c>
    </row>
    <row r="394" spans="1:10" x14ac:dyDescent="0.25">
      <c r="A394" s="37">
        <v>46151</v>
      </c>
      <c r="C394" s="19" t="s">
        <v>666</v>
      </c>
      <c r="D394" s="10">
        <v>60</v>
      </c>
      <c r="E394" s="10">
        <v>545</v>
      </c>
      <c r="G394" s="10">
        <f t="shared" si="6"/>
        <v>9.0833333333333339</v>
      </c>
    </row>
    <row r="395" spans="1:10" x14ac:dyDescent="0.25">
      <c r="A395" s="37">
        <v>46151</v>
      </c>
      <c r="C395" s="19" t="s">
        <v>679</v>
      </c>
      <c r="D395" s="10">
        <v>9</v>
      </c>
      <c r="E395" s="10">
        <v>130</v>
      </c>
      <c r="G395" s="10">
        <f t="shared" si="6"/>
        <v>14.444444444444445</v>
      </c>
    </row>
    <row r="396" spans="1:10" ht="30" x14ac:dyDescent="0.25">
      <c r="A396" s="37">
        <v>46151</v>
      </c>
      <c r="C396" s="19" t="s">
        <v>673</v>
      </c>
      <c r="D396" s="10">
        <v>4</v>
      </c>
      <c r="E396" s="10">
        <v>220</v>
      </c>
      <c r="G396" s="10">
        <f t="shared" si="6"/>
        <v>55</v>
      </c>
    </row>
    <row r="397" spans="1:10" x14ac:dyDescent="0.25">
      <c r="A397" s="37">
        <v>46151</v>
      </c>
      <c r="C397" s="19" t="s">
        <v>675</v>
      </c>
      <c r="D397" s="10">
        <v>4</v>
      </c>
      <c r="E397" s="10">
        <v>150</v>
      </c>
      <c r="G397" s="10">
        <f t="shared" si="6"/>
        <v>37.5</v>
      </c>
    </row>
    <row r="398" spans="1:10" ht="30" x14ac:dyDescent="0.25">
      <c r="A398" s="37">
        <v>46151</v>
      </c>
      <c r="C398" s="19" t="s">
        <v>671</v>
      </c>
      <c r="D398" s="10">
        <v>3</v>
      </c>
      <c r="E398" s="10">
        <v>195</v>
      </c>
      <c r="G398" s="10">
        <f t="shared" si="6"/>
        <v>65</v>
      </c>
      <c r="J398">
        <f>SUM(E376:E401)</f>
        <v>7210</v>
      </c>
    </row>
    <row r="399" spans="1:10" ht="30" x14ac:dyDescent="0.25">
      <c r="A399" s="37">
        <v>46151</v>
      </c>
      <c r="C399" s="19" t="s">
        <v>611</v>
      </c>
      <c r="D399" s="10">
        <v>3</v>
      </c>
      <c r="E399" s="10">
        <v>84</v>
      </c>
      <c r="G399" s="10">
        <f t="shared" si="6"/>
        <v>28</v>
      </c>
    </row>
    <row r="400" spans="1:10" ht="30" x14ac:dyDescent="0.25">
      <c r="A400" s="37">
        <v>46152</v>
      </c>
      <c r="C400" s="19" t="s">
        <v>682</v>
      </c>
      <c r="D400" s="10">
        <v>24</v>
      </c>
      <c r="E400" s="10">
        <v>180</v>
      </c>
      <c r="G400" s="10">
        <f t="shared" si="6"/>
        <v>7.5</v>
      </c>
    </row>
    <row r="401" spans="1:7" x14ac:dyDescent="0.25">
      <c r="A401" s="37">
        <v>46152</v>
      </c>
      <c r="C401" s="19" t="s">
        <v>681</v>
      </c>
      <c r="D401" s="10">
        <v>30</v>
      </c>
      <c r="E401" s="10">
        <v>240</v>
      </c>
      <c r="G401" s="10">
        <f t="shared" si="6"/>
        <v>8</v>
      </c>
    </row>
    <row r="402" spans="1:7" ht="30" x14ac:dyDescent="0.25">
      <c r="A402" s="37">
        <v>46152</v>
      </c>
      <c r="C402" s="19" t="s">
        <v>683</v>
      </c>
      <c r="D402" s="10">
        <v>40</v>
      </c>
      <c r="E402" s="10">
        <v>280</v>
      </c>
      <c r="G402" s="10">
        <f t="shared" si="6"/>
        <v>7</v>
      </c>
    </row>
    <row r="403" spans="1:7" x14ac:dyDescent="0.25">
      <c r="A403" s="37">
        <v>46153</v>
      </c>
      <c r="C403" s="19" t="s">
        <v>686</v>
      </c>
      <c r="D403" s="10">
        <v>30</v>
      </c>
      <c r="E403" s="10">
        <v>240</v>
      </c>
      <c r="G403" s="10">
        <f t="shared" si="6"/>
        <v>8</v>
      </c>
    </row>
    <row r="404" spans="1:7" x14ac:dyDescent="0.25">
      <c r="A404" s="37">
        <v>46153</v>
      </c>
      <c r="C404" s="19" t="s">
        <v>688</v>
      </c>
      <c r="D404" s="10">
        <v>2</v>
      </c>
      <c r="E404" s="10">
        <v>150</v>
      </c>
      <c r="G404" s="10">
        <f t="shared" si="6"/>
        <v>75</v>
      </c>
    </row>
    <row r="405" spans="1:7" x14ac:dyDescent="0.25">
      <c r="A405" s="37">
        <v>46155</v>
      </c>
      <c r="C405" s="19" t="s">
        <v>695</v>
      </c>
      <c r="D405" s="10">
        <v>5</v>
      </c>
      <c r="E405" s="10">
        <v>135</v>
      </c>
      <c r="G405" s="10">
        <f t="shared" si="6"/>
        <v>27</v>
      </c>
    </row>
    <row r="406" spans="1:7" x14ac:dyDescent="0.25">
      <c r="A406" s="37">
        <v>46155</v>
      </c>
      <c r="C406" s="19" t="s">
        <v>700</v>
      </c>
      <c r="D406" s="10">
        <v>24</v>
      </c>
      <c r="E406" s="10">
        <v>110</v>
      </c>
      <c r="G406" s="10">
        <f t="shared" si="6"/>
        <v>4.583333333333333</v>
      </c>
    </row>
    <row r="407" spans="1:7" ht="30" x14ac:dyDescent="0.25">
      <c r="A407" s="37">
        <v>46155</v>
      </c>
      <c r="C407" s="19" t="s">
        <v>698</v>
      </c>
      <c r="D407" s="10">
        <v>3</v>
      </c>
      <c r="E407" s="10">
        <v>114</v>
      </c>
      <c r="G407" s="10">
        <f t="shared" si="6"/>
        <v>38</v>
      </c>
    </row>
    <row r="408" spans="1:7" ht="30" x14ac:dyDescent="0.25">
      <c r="A408" s="37">
        <v>46155</v>
      </c>
      <c r="C408" s="19" t="s">
        <v>689</v>
      </c>
      <c r="D408" s="10">
        <v>5</v>
      </c>
      <c r="E408" s="10">
        <v>735</v>
      </c>
      <c r="G408" s="10">
        <f t="shared" si="6"/>
        <v>147</v>
      </c>
    </row>
    <row r="409" spans="1:7" ht="30" x14ac:dyDescent="0.25">
      <c r="A409" s="37">
        <v>46155</v>
      </c>
      <c r="C409" s="19" t="s">
        <v>702</v>
      </c>
      <c r="D409" s="10">
        <v>48</v>
      </c>
      <c r="E409" s="10">
        <v>360</v>
      </c>
      <c r="G409" s="10">
        <f t="shared" si="6"/>
        <v>7.5</v>
      </c>
    </row>
    <row r="410" spans="1:7" x14ac:dyDescent="0.25">
      <c r="A410" s="37">
        <v>46155</v>
      </c>
      <c r="C410" s="19" t="s">
        <v>701</v>
      </c>
      <c r="D410" s="10">
        <v>90</v>
      </c>
      <c r="E410" s="10">
        <v>720</v>
      </c>
      <c r="G410" s="10">
        <f t="shared" si="6"/>
        <v>8</v>
      </c>
    </row>
    <row r="411" spans="1:7" x14ac:dyDescent="0.25">
      <c r="A411" s="37">
        <v>46155</v>
      </c>
      <c r="C411" s="19" t="s">
        <v>692</v>
      </c>
      <c r="D411" s="10">
        <v>1</v>
      </c>
      <c r="E411" s="10">
        <v>140</v>
      </c>
      <c r="G411" s="10">
        <f t="shared" si="6"/>
        <v>140</v>
      </c>
    </row>
    <row r="412" spans="1:7" x14ac:dyDescent="0.25">
      <c r="A412" s="37">
        <v>46155</v>
      </c>
      <c r="C412" s="19" t="s">
        <v>691</v>
      </c>
      <c r="D412" s="10">
        <v>2</v>
      </c>
      <c r="E412" s="10">
        <v>110</v>
      </c>
      <c r="G412" s="10">
        <f t="shared" si="6"/>
        <v>55</v>
      </c>
    </row>
    <row r="413" spans="1:7" x14ac:dyDescent="0.25">
      <c r="A413" s="37">
        <v>46155</v>
      </c>
      <c r="C413" s="33" t="s">
        <v>693</v>
      </c>
      <c r="D413" s="10">
        <v>10</v>
      </c>
      <c r="E413" s="10">
        <v>260</v>
      </c>
      <c r="G413" s="10">
        <f t="shared" si="6"/>
        <v>26</v>
      </c>
    </row>
    <row r="414" spans="1:7" ht="30" x14ac:dyDescent="0.25">
      <c r="A414" s="37">
        <v>46155</v>
      </c>
      <c r="C414" s="19" t="s">
        <v>699</v>
      </c>
      <c r="D414" s="10">
        <v>16</v>
      </c>
      <c r="E414" s="10">
        <v>225</v>
      </c>
      <c r="G414" s="10">
        <f t="shared" si="6"/>
        <v>14.0625</v>
      </c>
    </row>
    <row r="415" spans="1:7" ht="30" x14ac:dyDescent="0.25">
      <c r="A415" s="37">
        <v>46155</v>
      </c>
      <c r="C415" s="19" t="s">
        <v>696</v>
      </c>
      <c r="D415" s="10">
        <v>3</v>
      </c>
      <c r="E415" s="10">
        <v>111</v>
      </c>
      <c r="G415" s="10">
        <f t="shared" si="6"/>
        <v>37</v>
      </c>
    </row>
    <row r="416" spans="1:7" ht="30" x14ac:dyDescent="0.25">
      <c r="A416" s="37">
        <v>46155</v>
      </c>
      <c r="C416" s="19" t="s">
        <v>690</v>
      </c>
      <c r="D416" s="10">
        <v>3</v>
      </c>
      <c r="E416" s="10">
        <v>165</v>
      </c>
      <c r="G416" s="10">
        <f t="shared" si="6"/>
        <v>55</v>
      </c>
    </row>
    <row r="417" spans="1:7" ht="45" x14ac:dyDescent="0.25">
      <c r="A417" s="37">
        <v>46155</v>
      </c>
      <c r="C417" s="19" t="s">
        <v>697</v>
      </c>
      <c r="D417" s="10">
        <v>12</v>
      </c>
      <c r="E417" s="10">
        <v>144</v>
      </c>
      <c r="G417" s="10">
        <f t="shared" si="6"/>
        <v>12</v>
      </c>
    </row>
    <row r="418" spans="1:7" ht="30" x14ac:dyDescent="0.25">
      <c r="A418" s="37">
        <v>46155</v>
      </c>
      <c r="C418" s="19" t="s">
        <v>694</v>
      </c>
      <c r="D418" s="10">
        <v>20</v>
      </c>
      <c r="E418" s="10">
        <v>420</v>
      </c>
      <c r="G418" s="10">
        <f t="shared" si="6"/>
        <v>21</v>
      </c>
    </row>
    <row r="419" spans="1:7" ht="30" x14ac:dyDescent="0.25">
      <c r="A419" s="37">
        <v>46156</v>
      </c>
      <c r="C419" s="19" t="s">
        <v>703</v>
      </c>
      <c r="D419" s="10">
        <v>2</v>
      </c>
      <c r="E419" s="10">
        <v>2560</v>
      </c>
      <c r="G419" s="10">
        <f t="shared" si="6"/>
        <v>1280</v>
      </c>
    </row>
    <row r="420" spans="1:7" ht="30" x14ac:dyDescent="0.25">
      <c r="A420" s="37">
        <v>46157</v>
      </c>
      <c r="C420" s="19" t="s">
        <v>705</v>
      </c>
      <c r="D420" s="10">
        <v>12</v>
      </c>
      <c r="E420" s="10">
        <v>110</v>
      </c>
      <c r="G420" s="10">
        <f t="shared" si="6"/>
        <v>9.1666666666666661</v>
      </c>
    </row>
    <row r="421" spans="1:7" x14ac:dyDescent="0.25">
      <c r="A421" s="37">
        <v>46157</v>
      </c>
      <c r="C421" s="19" t="s">
        <v>706</v>
      </c>
      <c r="D421" s="10">
        <v>24</v>
      </c>
      <c r="E421" s="10">
        <v>110</v>
      </c>
      <c r="G421" s="10">
        <f t="shared" si="6"/>
        <v>4.583333333333333</v>
      </c>
    </row>
    <row r="422" spans="1:7" ht="30" x14ac:dyDescent="0.25">
      <c r="A422" s="37">
        <v>46157</v>
      </c>
      <c r="C422" s="19" t="s">
        <v>715</v>
      </c>
      <c r="D422" s="10">
        <v>3</v>
      </c>
      <c r="E422" s="10">
        <v>315</v>
      </c>
      <c r="G422" s="10">
        <f t="shared" si="6"/>
        <v>105</v>
      </c>
    </row>
    <row r="423" spans="1:7" ht="30" x14ac:dyDescent="0.25">
      <c r="A423" s="37">
        <v>46157</v>
      </c>
      <c r="C423" s="19" t="s">
        <v>704</v>
      </c>
      <c r="D423" s="10">
        <v>48</v>
      </c>
      <c r="E423" s="10">
        <v>1810</v>
      </c>
      <c r="G423" s="10">
        <f t="shared" si="6"/>
        <v>37.708333333333336</v>
      </c>
    </row>
    <row r="424" spans="1:7" x14ac:dyDescent="0.25">
      <c r="A424" s="37">
        <v>46157</v>
      </c>
      <c r="C424" s="19" t="s">
        <v>709</v>
      </c>
      <c r="D424" s="10">
        <v>45</v>
      </c>
      <c r="E424" s="10">
        <v>330</v>
      </c>
      <c r="G424" s="10">
        <f t="shared" si="6"/>
        <v>7.333333333333333</v>
      </c>
    </row>
    <row r="425" spans="1:7" x14ac:dyDescent="0.25">
      <c r="A425" s="37">
        <v>46157</v>
      </c>
      <c r="C425" s="19" t="s">
        <v>710</v>
      </c>
      <c r="D425" s="10">
        <v>45</v>
      </c>
      <c r="E425" s="10">
        <v>165</v>
      </c>
      <c r="G425" s="10">
        <f t="shared" si="6"/>
        <v>3.6666666666666665</v>
      </c>
    </row>
    <row r="426" spans="1:7" x14ac:dyDescent="0.25">
      <c r="A426" s="37">
        <v>46157</v>
      </c>
      <c r="C426" s="19" t="s">
        <v>708</v>
      </c>
      <c r="D426" s="10">
        <v>12</v>
      </c>
      <c r="E426" s="10">
        <v>52</v>
      </c>
      <c r="G426" s="10">
        <f t="shared" si="6"/>
        <v>4.333333333333333</v>
      </c>
    </row>
    <row r="427" spans="1:7" x14ac:dyDescent="0.25">
      <c r="A427" s="37">
        <v>46157</v>
      </c>
      <c r="C427" s="19" t="s">
        <v>719</v>
      </c>
      <c r="D427" s="10">
        <v>6</v>
      </c>
      <c r="E427" s="10">
        <v>228</v>
      </c>
      <c r="G427" s="10">
        <f t="shared" si="6"/>
        <v>38</v>
      </c>
    </row>
    <row r="428" spans="1:7" ht="30" x14ac:dyDescent="0.25">
      <c r="A428" s="37">
        <v>46157</v>
      </c>
      <c r="C428" s="19" t="s">
        <v>727</v>
      </c>
      <c r="D428" s="10">
        <v>3</v>
      </c>
      <c r="E428" s="10">
        <v>240</v>
      </c>
      <c r="G428" s="10">
        <f t="shared" si="6"/>
        <v>80</v>
      </c>
    </row>
    <row r="429" spans="1:7" ht="30" x14ac:dyDescent="0.25">
      <c r="A429" s="37">
        <v>46157</v>
      </c>
      <c r="C429" s="19" t="s">
        <v>716</v>
      </c>
      <c r="D429" s="10">
        <v>3</v>
      </c>
      <c r="E429" s="10">
        <v>150</v>
      </c>
      <c r="G429" s="10">
        <f t="shared" si="6"/>
        <v>50</v>
      </c>
    </row>
    <row r="430" spans="1:7" ht="30" x14ac:dyDescent="0.25">
      <c r="A430" s="37">
        <v>46157</v>
      </c>
      <c r="C430" s="19" t="s">
        <v>731</v>
      </c>
      <c r="D430" s="10">
        <v>2</v>
      </c>
      <c r="E430" s="10">
        <v>100</v>
      </c>
      <c r="G430" s="10">
        <f t="shared" ref="G430:G493" si="7">E430/D430</f>
        <v>50</v>
      </c>
    </row>
    <row r="431" spans="1:7" ht="30" x14ac:dyDescent="0.25">
      <c r="A431" s="37">
        <v>46157</v>
      </c>
      <c r="C431" s="19" t="s">
        <v>723</v>
      </c>
      <c r="D431" s="10">
        <v>1</v>
      </c>
      <c r="E431" s="10">
        <v>260</v>
      </c>
      <c r="G431" s="10">
        <f t="shared" si="7"/>
        <v>260</v>
      </c>
    </row>
    <row r="432" spans="1:7" x14ac:dyDescent="0.25">
      <c r="A432" s="37">
        <v>46157</v>
      </c>
      <c r="C432" s="19" t="s">
        <v>721</v>
      </c>
      <c r="D432" s="10">
        <v>1</v>
      </c>
      <c r="E432" s="10">
        <v>750</v>
      </c>
      <c r="G432" s="10">
        <f t="shared" si="7"/>
        <v>750</v>
      </c>
    </row>
    <row r="433" spans="1:10" ht="30" x14ac:dyDescent="0.25">
      <c r="A433" s="37">
        <v>46157</v>
      </c>
      <c r="C433" s="19" t="s">
        <v>720</v>
      </c>
      <c r="D433" s="10">
        <v>10</v>
      </c>
      <c r="E433" s="10">
        <v>1150</v>
      </c>
      <c r="G433" s="10">
        <f t="shared" si="7"/>
        <v>115</v>
      </c>
    </row>
    <row r="434" spans="1:10" ht="30" x14ac:dyDescent="0.25">
      <c r="A434" s="37">
        <v>46157</v>
      </c>
      <c r="C434" s="19" t="s">
        <v>726</v>
      </c>
      <c r="D434" s="10">
        <v>5</v>
      </c>
      <c r="E434" s="10">
        <v>450</v>
      </c>
      <c r="G434" s="10">
        <f t="shared" si="7"/>
        <v>90</v>
      </c>
    </row>
    <row r="435" spans="1:10" ht="30" x14ac:dyDescent="0.25">
      <c r="A435" s="37">
        <v>46157</v>
      </c>
      <c r="C435" s="19" t="s">
        <v>728</v>
      </c>
      <c r="D435" s="10">
        <v>1</v>
      </c>
      <c r="E435" s="10">
        <v>120</v>
      </c>
      <c r="G435" s="10">
        <f t="shared" si="7"/>
        <v>120</v>
      </c>
    </row>
    <row r="436" spans="1:10" ht="30" x14ac:dyDescent="0.25">
      <c r="A436" s="37">
        <v>46157</v>
      </c>
      <c r="C436" s="19" t="s">
        <v>725</v>
      </c>
      <c r="D436" s="10">
        <v>0.5</v>
      </c>
      <c r="E436" s="10">
        <v>55</v>
      </c>
      <c r="G436" s="10">
        <f t="shared" si="7"/>
        <v>110</v>
      </c>
    </row>
    <row r="437" spans="1:10" x14ac:dyDescent="0.25">
      <c r="A437" s="37">
        <v>46157</v>
      </c>
      <c r="C437" s="19" t="s">
        <v>730</v>
      </c>
      <c r="D437" s="10">
        <v>5</v>
      </c>
      <c r="E437" s="10">
        <v>240</v>
      </c>
      <c r="G437" s="10">
        <f t="shared" si="7"/>
        <v>48</v>
      </c>
    </row>
    <row r="438" spans="1:10" ht="30" x14ac:dyDescent="0.25">
      <c r="A438" s="37">
        <v>46157</v>
      </c>
      <c r="C438" s="19" t="s">
        <v>717</v>
      </c>
      <c r="D438" s="10">
        <v>3</v>
      </c>
      <c r="E438" s="10">
        <v>255</v>
      </c>
      <c r="G438" s="10">
        <f t="shared" si="7"/>
        <v>85</v>
      </c>
    </row>
    <row r="439" spans="1:10" ht="30" x14ac:dyDescent="0.25">
      <c r="A439" s="37">
        <v>46157</v>
      </c>
      <c r="C439" s="19" t="s">
        <v>718</v>
      </c>
      <c r="D439" s="10">
        <v>2</v>
      </c>
      <c r="E439" s="10">
        <v>280</v>
      </c>
      <c r="G439" s="10">
        <f t="shared" si="7"/>
        <v>140</v>
      </c>
    </row>
    <row r="440" spans="1:10" ht="30" x14ac:dyDescent="0.25">
      <c r="A440" s="37">
        <v>46157</v>
      </c>
      <c r="C440" s="19" t="s">
        <v>729</v>
      </c>
      <c r="D440" s="10">
        <v>24</v>
      </c>
      <c r="E440" s="10">
        <v>210</v>
      </c>
      <c r="G440" s="10">
        <f t="shared" si="7"/>
        <v>8.75</v>
      </c>
    </row>
    <row r="441" spans="1:10" ht="30" x14ac:dyDescent="0.25">
      <c r="A441" s="37">
        <v>46157</v>
      </c>
      <c r="C441" s="19" t="s">
        <v>713</v>
      </c>
      <c r="D441" s="10">
        <v>2</v>
      </c>
      <c r="E441" s="10">
        <v>280</v>
      </c>
      <c r="G441" s="10">
        <f t="shared" si="7"/>
        <v>140</v>
      </c>
    </row>
    <row r="442" spans="1:10" ht="30" x14ac:dyDescent="0.25">
      <c r="A442" s="37">
        <v>46157</v>
      </c>
      <c r="C442" s="19" t="s">
        <v>712</v>
      </c>
      <c r="D442" s="10">
        <v>3</v>
      </c>
      <c r="E442" s="10">
        <v>224</v>
      </c>
      <c r="G442" s="10">
        <f t="shared" si="7"/>
        <v>74.666666666666671</v>
      </c>
    </row>
    <row r="443" spans="1:10" ht="30" x14ac:dyDescent="0.25">
      <c r="A443" s="37">
        <v>46157</v>
      </c>
      <c r="C443" s="19" t="s">
        <v>724</v>
      </c>
      <c r="D443" s="10">
        <v>10</v>
      </c>
      <c r="E443" s="10">
        <v>85</v>
      </c>
      <c r="G443" s="10">
        <f t="shared" si="7"/>
        <v>8.5</v>
      </c>
    </row>
    <row r="444" spans="1:10" ht="45" x14ac:dyDescent="0.25">
      <c r="A444" s="37">
        <v>46157</v>
      </c>
      <c r="C444" s="19" t="s">
        <v>707</v>
      </c>
      <c r="D444" s="10">
        <v>12</v>
      </c>
      <c r="E444" s="10">
        <v>155</v>
      </c>
      <c r="G444" s="10">
        <f t="shared" si="7"/>
        <v>12.916666666666666</v>
      </c>
      <c r="J444">
        <f>SUM(E443:E446)</f>
        <v>870</v>
      </c>
    </row>
    <row r="445" spans="1:10" x14ac:dyDescent="0.25">
      <c r="A445" s="37">
        <v>46157</v>
      </c>
      <c r="C445" s="19" t="s">
        <v>714</v>
      </c>
      <c r="D445" s="10">
        <v>15</v>
      </c>
      <c r="E445" s="10">
        <v>390</v>
      </c>
      <c r="G445" s="10">
        <f t="shared" si="7"/>
        <v>26</v>
      </c>
    </row>
    <row r="446" spans="1:10" ht="30" x14ac:dyDescent="0.25">
      <c r="A446" s="37">
        <v>46157</v>
      </c>
      <c r="C446" s="19" t="s">
        <v>711</v>
      </c>
      <c r="D446" s="10">
        <v>2</v>
      </c>
      <c r="E446" s="10">
        <v>240</v>
      </c>
      <c r="G446" s="10">
        <f t="shared" si="7"/>
        <v>120</v>
      </c>
    </row>
    <row r="447" spans="1:10" x14ac:dyDescent="0.25">
      <c r="A447" s="37">
        <v>46157</v>
      </c>
      <c r="C447" s="19" t="s">
        <v>722</v>
      </c>
      <c r="D447" s="10">
        <v>1</v>
      </c>
      <c r="E447" s="10">
        <v>300</v>
      </c>
      <c r="G447" s="10">
        <f t="shared" si="7"/>
        <v>300</v>
      </c>
    </row>
    <row r="448" spans="1:10" ht="30" x14ac:dyDescent="0.25">
      <c r="A448" s="37">
        <v>46158</v>
      </c>
      <c r="C448" s="19" t="s">
        <v>737</v>
      </c>
      <c r="D448" s="10">
        <v>6</v>
      </c>
      <c r="E448" s="10">
        <v>90</v>
      </c>
      <c r="G448" s="10">
        <f t="shared" si="7"/>
        <v>15</v>
      </c>
    </row>
    <row r="449" spans="1:7" ht="30" x14ac:dyDescent="0.25">
      <c r="A449" s="37">
        <v>46158</v>
      </c>
      <c r="C449" s="19" t="s">
        <v>736</v>
      </c>
      <c r="D449" s="10">
        <v>9</v>
      </c>
      <c r="E449" s="10">
        <v>450</v>
      </c>
      <c r="G449" s="10">
        <f t="shared" si="7"/>
        <v>50</v>
      </c>
    </row>
    <row r="450" spans="1:7" ht="30" x14ac:dyDescent="0.25">
      <c r="A450" s="37">
        <v>46158</v>
      </c>
      <c r="C450" s="19" t="s">
        <v>733</v>
      </c>
      <c r="D450" s="10">
        <v>104</v>
      </c>
      <c r="E450" s="10">
        <v>5120</v>
      </c>
      <c r="G450" s="10">
        <f t="shared" si="7"/>
        <v>49.230769230769234</v>
      </c>
    </row>
    <row r="451" spans="1:7" ht="30" x14ac:dyDescent="0.25">
      <c r="A451" s="37">
        <v>46158</v>
      </c>
      <c r="C451" s="19" t="s">
        <v>734</v>
      </c>
      <c r="D451" s="10">
        <v>26</v>
      </c>
      <c r="E451" s="10">
        <v>1130</v>
      </c>
      <c r="G451" s="10">
        <f t="shared" si="7"/>
        <v>43.46153846153846</v>
      </c>
    </row>
    <row r="452" spans="1:7" ht="30" x14ac:dyDescent="0.25">
      <c r="A452" s="37">
        <v>46158</v>
      </c>
      <c r="C452" s="19" t="s">
        <v>735</v>
      </c>
      <c r="D452" s="10">
        <v>26</v>
      </c>
      <c r="E452" s="10">
        <v>1730</v>
      </c>
      <c r="G452" s="10">
        <f t="shared" si="7"/>
        <v>66.538461538461533</v>
      </c>
    </row>
    <row r="453" spans="1:7" x14ac:dyDescent="0.25">
      <c r="A453" s="37">
        <v>46159</v>
      </c>
      <c r="C453" s="19" t="s">
        <v>738</v>
      </c>
      <c r="D453" s="10">
        <v>2</v>
      </c>
      <c r="E453" s="10">
        <v>84</v>
      </c>
      <c r="G453" s="10">
        <f t="shared" si="7"/>
        <v>42</v>
      </c>
    </row>
    <row r="454" spans="1:7" ht="30" x14ac:dyDescent="0.25">
      <c r="A454" s="37">
        <v>46159</v>
      </c>
      <c r="C454" s="19" t="s">
        <v>739</v>
      </c>
      <c r="D454" s="10">
        <v>3</v>
      </c>
      <c r="E454" s="10">
        <v>126</v>
      </c>
      <c r="G454" s="10">
        <f t="shared" si="7"/>
        <v>42</v>
      </c>
    </row>
    <row r="455" spans="1:7" x14ac:dyDescent="0.25">
      <c r="A455" s="37">
        <v>46159</v>
      </c>
      <c r="C455" s="19" t="s">
        <v>743</v>
      </c>
      <c r="D455" s="10">
        <v>1</v>
      </c>
      <c r="E455" s="10">
        <v>180</v>
      </c>
      <c r="G455" s="10">
        <f t="shared" si="7"/>
        <v>180</v>
      </c>
    </row>
    <row r="456" spans="1:7" x14ac:dyDescent="0.25">
      <c r="A456" s="37">
        <v>46159</v>
      </c>
      <c r="C456" s="19" t="s">
        <v>744</v>
      </c>
      <c r="D456" s="10">
        <v>2</v>
      </c>
      <c r="E456" s="10">
        <v>100</v>
      </c>
      <c r="G456" s="10">
        <f t="shared" si="7"/>
        <v>50</v>
      </c>
    </row>
    <row r="457" spans="1:7" ht="30" x14ac:dyDescent="0.25">
      <c r="A457" s="37">
        <v>46159</v>
      </c>
      <c r="C457" s="19" t="s">
        <v>741</v>
      </c>
      <c r="D457" s="10">
        <v>30</v>
      </c>
      <c r="E457" s="10">
        <v>245</v>
      </c>
      <c r="G457" s="10">
        <f t="shared" si="7"/>
        <v>8.1666666666666661</v>
      </c>
    </row>
    <row r="458" spans="1:7" ht="30" x14ac:dyDescent="0.25">
      <c r="A458" s="37">
        <v>46159</v>
      </c>
      <c r="C458" s="19" t="s">
        <v>740</v>
      </c>
      <c r="D458" s="10">
        <v>30</v>
      </c>
      <c r="E458" s="10">
        <v>245</v>
      </c>
      <c r="G458" s="10">
        <f t="shared" si="7"/>
        <v>8.1666666666666661</v>
      </c>
    </row>
    <row r="459" spans="1:7" ht="30" x14ac:dyDescent="0.25">
      <c r="A459" s="37">
        <v>46159</v>
      </c>
      <c r="C459" s="19" t="s">
        <v>745</v>
      </c>
      <c r="D459" s="10">
        <v>20</v>
      </c>
      <c r="E459" s="10">
        <v>80</v>
      </c>
      <c r="G459" s="10">
        <f t="shared" si="7"/>
        <v>4</v>
      </c>
    </row>
    <row r="460" spans="1:7" x14ac:dyDescent="0.25">
      <c r="A460" s="37">
        <v>46159</v>
      </c>
      <c r="C460" s="19" t="s">
        <v>747</v>
      </c>
      <c r="D460" s="10">
        <v>12</v>
      </c>
      <c r="E460" s="10">
        <v>110</v>
      </c>
      <c r="G460" s="10">
        <f t="shared" si="7"/>
        <v>9.1666666666666661</v>
      </c>
    </row>
    <row r="461" spans="1:7" ht="30" x14ac:dyDescent="0.25">
      <c r="A461" s="37">
        <v>46159</v>
      </c>
      <c r="C461" s="19" t="s">
        <v>742</v>
      </c>
      <c r="D461" s="10">
        <v>3</v>
      </c>
      <c r="E461" s="10">
        <v>54</v>
      </c>
      <c r="G461" s="10">
        <f t="shared" si="7"/>
        <v>18</v>
      </c>
    </row>
    <row r="462" spans="1:7" ht="30" x14ac:dyDescent="0.25">
      <c r="A462" s="37">
        <v>46159</v>
      </c>
      <c r="C462" s="19" t="s">
        <v>746</v>
      </c>
      <c r="D462" s="10">
        <v>3</v>
      </c>
      <c r="E462" s="10">
        <v>150</v>
      </c>
      <c r="G462" s="10">
        <f t="shared" si="7"/>
        <v>50</v>
      </c>
    </row>
    <row r="463" spans="1:7" ht="30" x14ac:dyDescent="0.25">
      <c r="A463" s="37">
        <v>46162</v>
      </c>
      <c r="C463" s="19" t="s">
        <v>762</v>
      </c>
      <c r="D463" s="10">
        <v>12</v>
      </c>
      <c r="E463" s="10">
        <v>110</v>
      </c>
      <c r="G463" s="10">
        <f t="shared" si="7"/>
        <v>9.1666666666666661</v>
      </c>
    </row>
    <row r="464" spans="1:7" ht="30" x14ac:dyDescent="0.25">
      <c r="A464" s="37">
        <v>46162</v>
      </c>
      <c r="C464" s="19" t="s">
        <v>769</v>
      </c>
      <c r="D464" s="10">
        <v>12</v>
      </c>
      <c r="E464" s="10">
        <v>200</v>
      </c>
      <c r="G464" s="10">
        <f t="shared" si="7"/>
        <v>16.666666666666668</v>
      </c>
    </row>
    <row r="465" spans="1:7" ht="30" x14ac:dyDescent="0.25">
      <c r="A465" s="37">
        <v>46162</v>
      </c>
      <c r="C465" s="19" t="s">
        <v>772</v>
      </c>
      <c r="D465" s="10">
        <v>10</v>
      </c>
      <c r="E465" s="10">
        <v>180</v>
      </c>
      <c r="G465" s="10">
        <f t="shared" si="7"/>
        <v>18</v>
      </c>
    </row>
    <row r="466" spans="1:7" x14ac:dyDescent="0.25">
      <c r="A466" s="37">
        <v>46162</v>
      </c>
      <c r="C466" s="19" t="s">
        <v>763</v>
      </c>
      <c r="D466" s="10">
        <v>12</v>
      </c>
      <c r="E466" s="10">
        <v>55</v>
      </c>
      <c r="G466" s="10">
        <f t="shared" si="7"/>
        <v>4.583333333333333</v>
      </c>
    </row>
    <row r="467" spans="1:7" ht="30" x14ac:dyDescent="0.25">
      <c r="A467" s="37">
        <v>46162</v>
      </c>
      <c r="C467" s="19" t="s">
        <v>773</v>
      </c>
      <c r="D467" s="10">
        <v>2</v>
      </c>
      <c r="E467" s="10">
        <v>110</v>
      </c>
      <c r="G467" s="10">
        <f t="shared" si="7"/>
        <v>55</v>
      </c>
    </row>
    <row r="468" spans="1:7" ht="30" x14ac:dyDescent="0.25">
      <c r="A468" s="37">
        <v>46162</v>
      </c>
      <c r="C468" s="19" t="s">
        <v>755</v>
      </c>
      <c r="D468" s="10">
        <v>3</v>
      </c>
      <c r="E468" s="10">
        <v>165</v>
      </c>
      <c r="G468" s="10">
        <f t="shared" si="7"/>
        <v>55</v>
      </c>
    </row>
    <row r="469" spans="1:7" ht="30" x14ac:dyDescent="0.25">
      <c r="A469" s="37">
        <v>46162</v>
      </c>
      <c r="C469" s="19" t="s">
        <v>753</v>
      </c>
      <c r="D469" s="10">
        <v>30</v>
      </c>
      <c r="E469" s="10">
        <v>245</v>
      </c>
      <c r="G469" s="10">
        <f t="shared" si="7"/>
        <v>8.1666666666666661</v>
      </c>
    </row>
    <row r="470" spans="1:7" ht="30" x14ac:dyDescent="0.25">
      <c r="A470" s="37">
        <v>46162</v>
      </c>
      <c r="C470" s="19" t="s">
        <v>754</v>
      </c>
      <c r="D470" s="10">
        <v>30</v>
      </c>
      <c r="E470" s="10">
        <v>245</v>
      </c>
      <c r="G470" s="10">
        <f t="shared" si="7"/>
        <v>8.1666666666666661</v>
      </c>
    </row>
    <row r="471" spans="1:7" ht="30" x14ac:dyDescent="0.25">
      <c r="A471" s="37">
        <v>46162</v>
      </c>
      <c r="C471" s="33" t="s">
        <v>751</v>
      </c>
      <c r="D471" s="10">
        <v>2</v>
      </c>
      <c r="E471" s="10">
        <v>180</v>
      </c>
      <c r="G471" s="10">
        <f t="shared" si="7"/>
        <v>90</v>
      </c>
    </row>
    <row r="472" spans="1:7" ht="30" x14ac:dyDescent="0.25">
      <c r="A472" s="37">
        <v>46162</v>
      </c>
      <c r="C472" s="19" t="s">
        <v>766</v>
      </c>
      <c r="D472" s="10">
        <v>3</v>
      </c>
      <c r="E472" s="10">
        <v>200</v>
      </c>
      <c r="G472" s="10">
        <f t="shared" si="7"/>
        <v>66.666666666666671</v>
      </c>
    </row>
    <row r="473" spans="1:7" ht="30" x14ac:dyDescent="0.25">
      <c r="A473" s="37">
        <v>46162</v>
      </c>
      <c r="C473" s="19" t="s">
        <v>765</v>
      </c>
      <c r="D473" s="10">
        <v>3</v>
      </c>
      <c r="E473" s="10">
        <v>380</v>
      </c>
      <c r="G473" s="10">
        <f t="shared" si="7"/>
        <v>126.66666666666667</v>
      </c>
    </row>
    <row r="474" spans="1:7" ht="30" x14ac:dyDescent="0.25">
      <c r="A474" s="37">
        <v>46162</v>
      </c>
      <c r="C474" s="19" t="s">
        <v>771</v>
      </c>
      <c r="D474" s="10">
        <v>3</v>
      </c>
      <c r="E474" s="10">
        <v>444</v>
      </c>
      <c r="G474" s="10">
        <f t="shared" si="7"/>
        <v>148</v>
      </c>
    </row>
    <row r="475" spans="1:7" ht="30" x14ac:dyDescent="0.25">
      <c r="A475" s="37">
        <v>46162</v>
      </c>
      <c r="C475" s="19" t="s">
        <v>770</v>
      </c>
      <c r="D475" s="10">
        <v>3</v>
      </c>
      <c r="E475" s="10">
        <v>246</v>
      </c>
      <c r="G475" s="10">
        <f t="shared" si="7"/>
        <v>82</v>
      </c>
    </row>
    <row r="476" spans="1:7" ht="30" x14ac:dyDescent="0.25">
      <c r="A476" s="37">
        <v>46162</v>
      </c>
      <c r="C476" s="19" t="s">
        <v>758</v>
      </c>
      <c r="D476" s="10">
        <v>3</v>
      </c>
      <c r="E476" s="10">
        <v>60</v>
      </c>
      <c r="G476" s="10">
        <f t="shared" si="7"/>
        <v>20</v>
      </c>
    </row>
    <row r="477" spans="1:7" x14ac:dyDescent="0.25">
      <c r="A477" s="37">
        <v>46162</v>
      </c>
      <c r="C477" s="19" t="s">
        <v>761</v>
      </c>
      <c r="D477" s="10">
        <v>6</v>
      </c>
      <c r="E477" s="10">
        <v>235</v>
      </c>
      <c r="G477" s="10">
        <f t="shared" si="7"/>
        <v>39.166666666666664</v>
      </c>
    </row>
    <row r="478" spans="1:7" x14ac:dyDescent="0.25">
      <c r="A478" s="37">
        <v>46162</v>
      </c>
      <c r="C478" s="19" t="s">
        <v>748</v>
      </c>
      <c r="D478" s="10">
        <v>60</v>
      </c>
      <c r="E478" s="10">
        <v>460</v>
      </c>
      <c r="G478" s="10">
        <f t="shared" si="7"/>
        <v>7.666666666666667</v>
      </c>
    </row>
    <row r="479" spans="1:7" ht="30" x14ac:dyDescent="0.25">
      <c r="A479" s="37">
        <v>46162</v>
      </c>
      <c r="C479" s="19" t="s">
        <v>757</v>
      </c>
      <c r="D479" s="10">
        <v>2</v>
      </c>
      <c r="E479" s="10">
        <v>250</v>
      </c>
      <c r="G479" s="10">
        <f t="shared" si="7"/>
        <v>125</v>
      </c>
    </row>
    <row r="480" spans="1:7" ht="30" x14ac:dyDescent="0.25">
      <c r="A480" s="37">
        <v>46162</v>
      </c>
      <c r="C480" s="19" t="s">
        <v>768</v>
      </c>
      <c r="D480" s="10">
        <v>10</v>
      </c>
      <c r="E480" s="10">
        <v>90</v>
      </c>
      <c r="G480" s="10">
        <f t="shared" si="7"/>
        <v>9</v>
      </c>
    </row>
    <row r="481" spans="1:7" ht="45" x14ac:dyDescent="0.25">
      <c r="A481" s="37">
        <v>46162</v>
      </c>
      <c r="C481" s="19" t="s">
        <v>756</v>
      </c>
      <c r="D481" s="10">
        <v>4</v>
      </c>
      <c r="E481" s="10">
        <v>520</v>
      </c>
      <c r="G481" s="10">
        <f t="shared" si="7"/>
        <v>130</v>
      </c>
    </row>
    <row r="482" spans="1:7" x14ac:dyDescent="0.25">
      <c r="A482" s="37">
        <v>46162</v>
      </c>
      <c r="C482" s="19" t="s">
        <v>750</v>
      </c>
      <c r="D482" s="10">
        <v>15</v>
      </c>
      <c r="E482" s="10">
        <v>683</v>
      </c>
      <c r="G482" s="10">
        <f t="shared" si="7"/>
        <v>45.533333333333331</v>
      </c>
    </row>
    <row r="483" spans="1:7" x14ac:dyDescent="0.25">
      <c r="A483" s="37">
        <v>46162</v>
      </c>
      <c r="C483" s="19" t="s">
        <v>749</v>
      </c>
      <c r="D483" s="10">
        <v>2</v>
      </c>
      <c r="E483" s="10">
        <v>180</v>
      </c>
      <c r="G483" s="10">
        <f t="shared" si="7"/>
        <v>90</v>
      </c>
    </row>
    <row r="484" spans="1:7" ht="30" x14ac:dyDescent="0.25">
      <c r="A484" s="37">
        <v>46162</v>
      </c>
      <c r="C484" s="19" t="s">
        <v>759</v>
      </c>
      <c r="D484" s="10">
        <v>20</v>
      </c>
      <c r="E484" s="10">
        <v>84</v>
      </c>
      <c r="G484" s="10">
        <f t="shared" si="7"/>
        <v>4.2</v>
      </c>
    </row>
    <row r="485" spans="1:7" ht="30" x14ac:dyDescent="0.25">
      <c r="A485" s="37">
        <v>46162</v>
      </c>
      <c r="C485" s="19" t="s">
        <v>760</v>
      </c>
      <c r="D485" s="10">
        <v>32</v>
      </c>
      <c r="E485" s="10">
        <v>28</v>
      </c>
      <c r="G485" s="10">
        <f t="shared" si="7"/>
        <v>0.875</v>
      </c>
    </row>
    <row r="486" spans="1:7" ht="30" x14ac:dyDescent="0.25">
      <c r="A486" s="37">
        <v>46162</v>
      </c>
      <c r="C486" s="19" t="s">
        <v>767</v>
      </c>
      <c r="D486" s="10">
        <v>24</v>
      </c>
      <c r="E486" s="10">
        <v>216</v>
      </c>
      <c r="G486" s="10">
        <f t="shared" si="7"/>
        <v>9</v>
      </c>
    </row>
    <row r="487" spans="1:7" x14ac:dyDescent="0.25">
      <c r="A487" s="37">
        <v>46162</v>
      </c>
      <c r="C487" s="19" t="s">
        <v>752</v>
      </c>
      <c r="D487" s="10">
        <v>15</v>
      </c>
      <c r="E487" s="10">
        <v>683</v>
      </c>
      <c r="G487" s="10">
        <f t="shared" si="7"/>
        <v>45.533333333333331</v>
      </c>
    </row>
    <row r="488" spans="1:7" x14ac:dyDescent="0.25">
      <c r="A488" s="37">
        <v>46162</v>
      </c>
      <c r="C488" s="19" t="s">
        <v>764</v>
      </c>
      <c r="D488" s="10">
        <v>12</v>
      </c>
      <c r="E488" s="10">
        <v>55</v>
      </c>
      <c r="F488" s="109"/>
      <c r="G488" s="10">
        <f t="shared" si="7"/>
        <v>4.583333333333333</v>
      </c>
    </row>
    <row r="489" spans="1:7" x14ac:dyDescent="0.25">
      <c r="A489" s="37">
        <v>46163</v>
      </c>
      <c r="C489" s="19" t="s">
        <v>775</v>
      </c>
      <c r="D489" s="10">
        <v>30</v>
      </c>
      <c r="E489" s="10">
        <v>230</v>
      </c>
      <c r="G489" s="10">
        <f t="shared" si="7"/>
        <v>7.666666666666667</v>
      </c>
    </row>
    <row r="490" spans="1:7" ht="30" x14ac:dyDescent="0.25">
      <c r="A490" s="37">
        <v>46163</v>
      </c>
      <c r="C490" s="19" t="s">
        <v>774</v>
      </c>
      <c r="D490" s="10">
        <v>2</v>
      </c>
      <c r="E490" s="10">
        <v>3570</v>
      </c>
      <c r="G490" s="10">
        <f t="shared" si="7"/>
        <v>1785</v>
      </c>
    </row>
    <row r="491" spans="1:7" x14ac:dyDescent="0.25">
      <c r="A491" s="37">
        <v>46163</v>
      </c>
      <c r="C491" s="19" t="s">
        <v>776</v>
      </c>
      <c r="D491" s="10">
        <v>19</v>
      </c>
      <c r="E491" s="10">
        <v>86</v>
      </c>
      <c r="G491" s="10">
        <f t="shared" si="7"/>
        <v>4.5263157894736841</v>
      </c>
    </row>
    <row r="492" spans="1:7" x14ac:dyDescent="0.25">
      <c r="A492" s="37">
        <v>46165</v>
      </c>
      <c r="C492" s="19" t="s">
        <v>782</v>
      </c>
      <c r="D492" s="10">
        <v>60</v>
      </c>
      <c r="E492" s="10">
        <v>460</v>
      </c>
      <c r="G492" s="10">
        <f t="shared" si="7"/>
        <v>7.666666666666667</v>
      </c>
    </row>
    <row r="493" spans="1:7" x14ac:dyDescent="0.25">
      <c r="A493" s="37">
        <v>46165</v>
      </c>
      <c r="C493" s="19" t="s">
        <v>781</v>
      </c>
      <c r="D493" s="10">
        <v>1</v>
      </c>
      <c r="E493" s="10">
        <v>140</v>
      </c>
      <c r="G493" s="10">
        <f t="shared" si="7"/>
        <v>140</v>
      </c>
    </row>
    <row r="494" spans="1:7" x14ac:dyDescent="0.25">
      <c r="A494" s="37">
        <v>46165</v>
      </c>
      <c r="C494" s="19" t="s">
        <v>780</v>
      </c>
      <c r="D494" s="10">
        <v>1</v>
      </c>
      <c r="E494" s="10">
        <v>90</v>
      </c>
      <c r="G494" s="10">
        <f t="shared" ref="G494:G557" si="8">E494/D494</f>
        <v>90</v>
      </c>
    </row>
    <row r="495" spans="1:7" x14ac:dyDescent="0.25">
      <c r="A495" s="37">
        <v>46165</v>
      </c>
      <c r="C495" s="19" t="s">
        <v>779</v>
      </c>
      <c r="D495" s="10">
        <v>10</v>
      </c>
      <c r="E495" s="10">
        <v>280</v>
      </c>
      <c r="G495" s="10">
        <f t="shared" si="8"/>
        <v>28</v>
      </c>
    </row>
    <row r="496" spans="1:7" x14ac:dyDescent="0.25">
      <c r="A496" s="37">
        <v>46165</v>
      </c>
      <c r="C496" s="19" t="s">
        <v>778</v>
      </c>
      <c r="D496" s="10">
        <v>10</v>
      </c>
      <c r="E496" s="10">
        <v>160</v>
      </c>
      <c r="G496" s="10">
        <f t="shared" si="8"/>
        <v>16</v>
      </c>
    </row>
    <row r="497" spans="1:7" ht="30" x14ac:dyDescent="0.25">
      <c r="A497" s="37">
        <v>46166</v>
      </c>
      <c r="C497" s="19" t="s">
        <v>762</v>
      </c>
      <c r="D497" s="10">
        <v>24</v>
      </c>
      <c r="E497" s="10">
        <v>220</v>
      </c>
      <c r="G497" s="10">
        <f t="shared" si="8"/>
        <v>9.1666666666666661</v>
      </c>
    </row>
    <row r="498" spans="1:7" ht="30" x14ac:dyDescent="0.25">
      <c r="A498" s="37">
        <v>46166</v>
      </c>
      <c r="C498" s="19" t="s">
        <v>787</v>
      </c>
      <c r="D498" s="10">
        <v>3</v>
      </c>
      <c r="E498" s="10">
        <v>96</v>
      </c>
      <c r="G498" s="10">
        <f t="shared" si="8"/>
        <v>32</v>
      </c>
    </row>
    <row r="499" spans="1:7" ht="30" x14ac:dyDescent="0.25">
      <c r="A499" s="37">
        <v>46166</v>
      </c>
      <c r="C499" s="19" t="s">
        <v>786</v>
      </c>
      <c r="D499" s="10">
        <v>5</v>
      </c>
      <c r="E499" s="10">
        <v>180</v>
      </c>
      <c r="G499" s="10">
        <f t="shared" si="8"/>
        <v>36</v>
      </c>
    </row>
    <row r="500" spans="1:7" ht="45" x14ac:dyDescent="0.25">
      <c r="A500" s="37">
        <v>46166</v>
      </c>
      <c r="C500" s="19" t="s">
        <v>789</v>
      </c>
      <c r="D500" s="10">
        <v>12</v>
      </c>
      <c r="E500" s="10">
        <v>55</v>
      </c>
      <c r="G500" s="10">
        <f t="shared" si="8"/>
        <v>4.583333333333333</v>
      </c>
    </row>
    <row r="501" spans="1:7" ht="30" x14ac:dyDescent="0.25">
      <c r="A501" s="37">
        <v>46166</v>
      </c>
      <c r="C501" s="19" t="s">
        <v>783</v>
      </c>
      <c r="D501" s="10">
        <v>30</v>
      </c>
      <c r="E501" s="10">
        <v>250</v>
      </c>
      <c r="G501" s="10">
        <f t="shared" si="8"/>
        <v>8.3333333333333339</v>
      </c>
    </row>
    <row r="502" spans="1:7" x14ac:dyDescent="0.25">
      <c r="A502" s="37">
        <v>46166</v>
      </c>
      <c r="C502" s="19" t="s">
        <v>790</v>
      </c>
      <c r="D502" s="10">
        <v>4</v>
      </c>
      <c r="E502" s="10">
        <v>100</v>
      </c>
      <c r="G502" s="10">
        <f t="shared" si="8"/>
        <v>25</v>
      </c>
    </row>
    <row r="503" spans="1:7" x14ac:dyDescent="0.25">
      <c r="A503" s="37">
        <v>46166</v>
      </c>
      <c r="C503" s="19" t="s">
        <v>784</v>
      </c>
      <c r="D503" s="10">
        <v>170</v>
      </c>
      <c r="E503" s="10">
        <v>150</v>
      </c>
      <c r="G503" s="10">
        <f t="shared" si="8"/>
        <v>0.88235294117647056</v>
      </c>
    </row>
    <row r="504" spans="1:7" ht="30" x14ac:dyDescent="0.25">
      <c r="A504" s="37">
        <v>46166</v>
      </c>
      <c r="C504" s="33" t="s">
        <v>785</v>
      </c>
      <c r="D504" s="10">
        <v>170</v>
      </c>
      <c r="E504" s="10">
        <v>150</v>
      </c>
      <c r="G504" s="10">
        <f t="shared" si="8"/>
        <v>0.88235294117647056</v>
      </c>
    </row>
    <row r="505" spans="1:7" ht="30" x14ac:dyDescent="0.25">
      <c r="A505" s="37">
        <v>46166</v>
      </c>
      <c r="C505" s="19" t="s">
        <v>795</v>
      </c>
      <c r="D505" s="10">
        <v>5</v>
      </c>
      <c r="E505" s="10">
        <v>700</v>
      </c>
      <c r="G505" s="10">
        <f t="shared" si="8"/>
        <v>140</v>
      </c>
    </row>
    <row r="506" spans="1:7" x14ac:dyDescent="0.25">
      <c r="A506" s="37">
        <v>46166</v>
      </c>
      <c r="C506" s="19" t="s">
        <v>793</v>
      </c>
      <c r="D506" s="10">
        <v>6</v>
      </c>
      <c r="E506" s="10">
        <v>222</v>
      </c>
      <c r="G506" s="10">
        <f t="shared" si="8"/>
        <v>37</v>
      </c>
    </row>
    <row r="507" spans="1:7" ht="30" x14ac:dyDescent="0.25">
      <c r="A507" s="37">
        <v>46166</v>
      </c>
      <c r="C507" s="19" t="s">
        <v>796</v>
      </c>
      <c r="D507" s="10">
        <v>6</v>
      </c>
      <c r="E507" s="10">
        <v>870</v>
      </c>
      <c r="G507" s="10">
        <f t="shared" si="8"/>
        <v>145</v>
      </c>
    </row>
    <row r="508" spans="1:7" x14ac:dyDescent="0.25">
      <c r="A508" s="37">
        <v>46166</v>
      </c>
      <c r="C508" s="19" t="s">
        <v>794</v>
      </c>
      <c r="D508" s="10">
        <v>6</v>
      </c>
      <c r="E508" s="10">
        <v>300</v>
      </c>
      <c r="G508" s="10">
        <f t="shared" si="8"/>
        <v>50</v>
      </c>
    </row>
    <row r="509" spans="1:7" ht="30" x14ac:dyDescent="0.25">
      <c r="A509" s="37">
        <v>46166</v>
      </c>
      <c r="C509" s="19" t="s">
        <v>792</v>
      </c>
      <c r="D509" s="10">
        <v>3</v>
      </c>
      <c r="E509" s="10">
        <v>420</v>
      </c>
      <c r="G509" s="10">
        <f t="shared" si="8"/>
        <v>140</v>
      </c>
    </row>
    <row r="510" spans="1:7" x14ac:dyDescent="0.25">
      <c r="A510" s="37">
        <v>46166</v>
      </c>
      <c r="C510" s="19" t="s">
        <v>788</v>
      </c>
      <c r="D510" s="10">
        <v>3</v>
      </c>
      <c r="E510" s="10">
        <v>111</v>
      </c>
      <c r="G510" s="10">
        <f t="shared" si="8"/>
        <v>37</v>
      </c>
    </row>
    <row r="511" spans="1:7" ht="30" x14ac:dyDescent="0.25">
      <c r="A511" s="37">
        <v>46166</v>
      </c>
      <c r="C511" s="19" t="s">
        <v>797</v>
      </c>
      <c r="D511" s="10">
        <v>3</v>
      </c>
      <c r="E511" s="10">
        <v>270</v>
      </c>
      <c r="G511" s="10">
        <f t="shared" si="8"/>
        <v>90</v>
      </c>
    </row>
    <row r="512" spans="1:7" ht="30" x14ac:dyDescent="0.25">
      <c r="A512" s="37">
        <v>46166</v>
      </c>
      <c r="C512" s="19" t="s">
        <v>791</v>
      </c>
      <c r="D512" s="10">
        <v>12</v>
      </c>
      <c r="E512" s="10">
        <v>108</v>
      </c>
      <c r="G512" s="10">
        <f t="shared" si="8"/>
        <v>9</v>
      </c>
    </row>
    <row r="513" spans="1:7" ht="30" x14ac:dyDescent="0.25">
      <c r="A513" s="37">
        <v>46167</v>
      </c>
      <c r="C513" s="19" t="s">
        <v>798</v>
      </c>
      <c r="D513" s="10">
        <v>1</v>
      </c>
      <c r="E513" s="10">
        <v>360</v>
      </c>
      <c r="G513" s="10">
        <f t="shared" si="8"/>
        <v>360</v>
      </c>
    </row>
    <row r="514" spans="1:7" x14ac:dyDescent="0.25">
      <c r="A514" s="37">
        <v>46167</v>
      </c>
      <c r="C514" s="19" t="s">
        <v>801</v>
      </c>
      <c r="D514" s="10">
        <v>6</v>
      </c>
      <c r="E514" s="10">
        <v>108</v>
      </c>
      <c r="G514" s="10">
        <f t="shared" si="8"/>
        <v>18</v>
      </c>
    </row>
    <row r="515" spans="1:7" ht="30" x14ac:dyDescent="0.25">
      <c r="A515" s="37">
        <v>46167</v>
      </c>
      <c r="C515" s="19" t="s">
        <v>800</v>
      </c>
      <c r="D515" s="10">
        <v>3</v>
      </c>
      <c r="E515" s="10">
        <v>129</v>
      </c>
      <c r="G515" s="10">
        <f t="shared" si="8"/>
        <v>43</v>
      </c>
    </row>
    <row r="516" spans="1:7" ht="45" x14ac:dyDescent="0.25">
      <c r="A516" s="37">
        <v>46167</v>
      </c>
      <c r="C516" s="19" t="s">
        <v>799</v>
      </c>
      <c r="D516" s="10">
        <v>3</v>
      </c>
      <c r="E516" s="10">
        <v>150</v>
      </c>
      <c r="G516" s="10">
        <f t="shared" si="8"/>
        <v>50</v>
      </c>
    </row>
    <row r="517" spans="1:7" ht="30" x14ac:dyDescent="0.25">
      <c r="A517" s="37">
        <v>46170</v>
      </c>
      <c r="C517" s="19" t="s">
        <v>819</v>
      </c>
      <c r="D517" s="10">
        <v>10</v>
      </c>
      <c r="E517" s="10">
        <v>380</v>
      </c>
      <c r="G517" s="10">
        <f t="shared" si="8"/>
        <v>38</v>
      </c>
    </row>
    <row r="518" spans="1:7" ht="30" x14ac:dyDescent="0.25">
      <c r="A518" s="37">
        <v>46170</v>
      </c>
      <c r="C518" s="19" t="s">
        <v>808</v>
      </c>
      <c r="D518" s="10">
        <v>6</v>
      </c>
      <c r="E518" s="10">
        <v>330</v>
      </c>
      <c r="G518" s="10">
        <f t="shared" si="8"/>
        <v>55</v>
      </c>
    </row>
    <row r="519" spans="1:7" ht="45" x14ac:dyDescent="0.25">
      <c r="A519" s="37">
        <v>46170</v>
      </c>
      <c r="C519" s="19" t="s">
        <v>826</v>
      </c>
      <c r="D519" s="10">
        <v>16</v>
      </c>
      <c r="E519" s="10">
        <v>14</v>
      </c>
      <c r="G519" s="10">
        <f t="shared" si="8"/>
        <v>0.875</v>
      </c>
    </row>
    <row r="520" spans="1:7" ht="30" x14ac:dyDescent="0.25">
      <c r="A520" s="37">
        <v>46170</v>
      </c>
      <c r="C520" s="19" t="s">
        <v>824</v>
      </c>
      <c r="D520" s="10">
        <v>1</v>
      </c>
      <c r="E520" s="10">
        <v>464</v>
      </c>
      <c r="G520" s="10">
        <f t="shared" si="8"/>
        <v>464</v>
      </c>
    </row>
    <row r="521" spans="1:7" ht="30" x14ac:dyDescent="0.25">
      <c r="A521" s="37">
        <v>46170</v>
      </c>
      <c r="C521" s="19" t="s">
        <v>830</v>
      </c>
      <c r="D521" s="10">
        <v>3</v>
      </c>
      <c r="E521" s="10">
        <v>441</v>
      </c>
      <c r="G521" s="10">
        <f t="shared" si="8"/>
        <v>147</v>
      </c>
    </row>
    <row r="522" spans="1:7" ht="45" x14ac:dyDescent="0.25">
      <c r="A522" s="37">
        <v>46170</v>
      </c>
      <c r="C522" s="19" t="s">
        <v>817</v>
      </c>
      <c r="D522" s="10">
        <v>4</v>
      </c>
      <c r="E522" s="10">
        <v>316</v>
      </c>
      <c r="G522" s="10">
        <f t="shared" si="8"/>
        <v>79</v>
      </c>
    </row>
    <row r="523" spans="1:7" ht="30" x14ac:dyDescent="0.25">
      <c r="A523" s="37">
        <v>46170</v>
      </c>
      <c r="C523" s="19" t="s">
        <v>828</v>
      </c>
      <c r="D523" s="10">
        <v>2</v>
      </c>
      <c r="E523" s="10">
        <v>236</v>
      </c>
      <c r="G523" s="10">
        <f t="shared" si="8"/>
        <v>118</v>
      </c>
    </row>
    <row r="524" spans="1:7" x14ac:dyDescent="0.25">
      <c r="A524" s="37">
        <v>46170</v>
      </c>
      <c r="C524" s="19" t="s">
        <v>806</v>
      </c>
      <c r="D524" s="10">
        <v>90</v>
      </c>
      <c r="E524" s="10">
        <v>690</v>
      </c>
      <c r="G524" s="10">
        <f t="shared" si="8"/>
        <v>7.666666666666667</v>
      </c>
    </row>
    <row r="525" spans="1:7" ht="30" x14ac:dyDescent="0.25">
      <c r="A525" s="37">
        <v>46170</v>
      </c>
      <c r="C525" s="19" t="s">
        <v>805</v>
      </c>
      <c r="D525" s="10">
        <v>104</v>
      </c>
      <c r="E525" s="10">
        <v>5511</v>
      </c>
      <c r="G525" s="10">
        <f t="shared" si="8"/>
        <v>52.990384615384613</v>
      </c>
    </row>
    <row r="526" spans="1:7" x14ac:dyDescent="0.25">
      <c r="A526" s="37">
        <v>46170</v>
      </c>
      <c r="C526" s="19" t="s">
        <v>811</v>
      </c>
      <c r="D526" s="10">
        <v>1</v>
      </c>
      <c r="E526" s="10">
        <v>140</v>
      </c>
      <c r="G526" s="10">
        <f t="shared" si="8"/>
        <v>140</v>
      </c>
    </row>
    <row r="527" spans="1:7" ht="30" x14ac:dyDescent="0.25">
      <c r="A527" s="37">
        <v>46170</v>
      </c>
      <c r="C527" s="19" t="s">
        <v>815</v>
      </c>
      <c r="D527" s="10">
        <v>3</v>
      </c>
      <c r="E527" s="10">
        <v>150</v>
      </c>
      <c r="G527" s="10">
        <f t="shared" si="8"/>
        <v>50</v>
      </c>
    </row>
    <row r="528" spans="1:7" ht="30" x14ac:dyDescent="0.25">
      <c r="A528" s="37">
        <v>46170</v>
      </c>
      <c r="C528" s="19" t="s">
        <v>814</v>
      </c>
      <c r="D528" s="10">
        <v>3</v>
      </c>
      <c r="E528" s="10">
        <v>150</v>
      </c>
      <c r="G528" s="10">
        <f t="shared" si="8"/>
        <v>50</v>
      </c>
    </row>
    <row r="529" spans="1:7" ht="30" x14ac:dyDescent="0.25">
      <c r="A529" s="37">
        <v>46170</v>
      </c>
      <c r="C529" s="19" t="s">
        <v>809</v>
      </c>
      <c r="D529" s="10">
        <v>2</v>
      </c>
      <c r="E529" s="10">
        <v>240</v>
      </c>
      <c r="G529" s="10">
        <f t="shared" si="8"/>
        <v>120</v>
      </c>
    </row>
    <row r="530" spans="1:7" x14ac:dyDescent="0.25">
      <c r="A530" s="37">
        <v>46170</v>
      </c>
      <c r="C530" s="19" t="s">
        <v>810</v>
      </c>
      <c r="D530" s="10">
        <v>2</v>
      </c>
      <c r="E530" s="10">
        <v>110</v>
      </c>
      <c r="G530" s="10">
        <f t="shared" si="8"/>
        <v>55</v>
      </c>
    </row>
    <row r="531" spans="1:7" x14ac:dyDescent="0.25">
      <c r="A531" s="37">
        <v>46170</v>
      </c>
      <c r="C531" s="19" t="s">
        <v>807</v>
      </c>
      <c r="D531" s="10">
        <v>17.93</v>
      </c>
      <c r="E531" s="10">
        <v>1040</v>
      </c>
      <c r="G531" s="10">
        <f t="shared" si="8"/>
        <v>58.003346346904628</v>
      </c>
    </row>
    <row r="532" spans="1:7" x14ac:dyDescent="0.25">
      <c r="A532" s="37">
        <v>46170</v>
      </c>
      <c r="C532" s="19" t="s">
        <v>822</v>
      </c>
      <c r="D532" s="10">
        <v>5</v>
      </c>
      <c r="E532" s="10">
        <v>140</v>
      </c>
      <c r="G532" s="10">
        <f t="shared" si="8"/>
        <v>28</v>
      </c>
    </row>
    <row r="533" spans="1:7" x14ac:dyDescent="0.25">
      <c r="A533" s="37">
        <v>46170</v>
      </c>
      <c r="C533" s="19" t="s">
        <v>821</v>
      </c>
      <c r="D533" s="10">
        <v>10</v>
      </c>
      <c r="E533" s="10">
        <v>160</v>
      </c>
      <c r="G533" s="10">
        <f t="shared" si="8"/>
        <v>16</v>
      </c>
    </row>
    <row r="534" spans="1:7" ht="30" x14ac:dyDescent="0.25">
      <c r="A534" s="37">
        <v>46170</v>
      </c>
      <c r="C534" s="19" t="s">
        <v>823</v>
      </c>
      <c r="D534" s="10">
        <v>2</v>
      </c>
      <c r="E534" s="10">
        <v>380</v>
      </c>
      <c r="G534" s="10">
        <f t="shared" si="8"/>
        <v>190</v>
      </c>
    </row>
    <row r="535" spans="1:7" x14ac:dyDescent="0.25">
      <c r="A535" s="37">
        <v>46170</v>
      </c>
      <c r="C535" s="19" t="s">
        <v>820</v>
      </c>
      <c r="D535" s="10">
        <v>6</v>
      </c>
      <c r="E535" s="10">
        <v>294</v>
      </c>
      <c r="G535" s="10">
        <f t="shared" si="8"/>
        <v>49</v>
      </c>
    </row>
    <row r="536" spans="1:7" x14ac:dyDescent="0.25">
      <c r="A536" s="37">
        <v>46170</v>
      </c>
      <c r="C536" s="19" t="s">
        <v>816</v>
      </c>
      <c r="D536" s="10">
        <v>12</v>
      </c>
      <c r="E536" s="10">
        <v>80</v>
      </c>
      <c r="G536" s="10">
        <f t="shared" si="8"/>
        <v>6.666666666666667</v>
      </c>
    </row>
    <row r="537" spans="1:7" ht="30" x14ac:dyDescent="0.25">
      <c r="A537" s="37">
        <v>46170</v>
      </c>
      <c r="C537" s="19" t="s">
        <v>829</v>
      </c>
      <c r="D537" s="10">
        <v>6</v>
      </c>
      <c r="E537" s="10">
        <v>1140</v>
      </c>
      <c r="G537" s="10">
        <f t="shared" si="8"/>
        <v>190</v>
      </c>
    </row>
    <row r="538" spans="1:7" ht="30" x14ac:dyDescent="0.25">
      <c r="A538" s="37">
        <v>46170</v>
      </c>
      <c r="C538" s="19" t="s">
        <v>818</v>
      </c>
      <c r="D538" s="10">
        <v>16</v>
      </c>
      <c r="E538" s="10">
        <v>14</v>
      </c>
      <c r="G538" s="10">
        <f t="shared" si="8"/>
        <v>0.875</v>
      </c>
    </row>
    <row r="539" spans="1:7" ht="30" x14ac:dyDescent="0.25">
      <c r="A539" s="37">
        <v>46170</v>
      </c>
      <c r="C539" s="19" t="s">
        <v>827</v>
      </c>
      <c r="D539" s="10">
        <v>16</v>
      </c>
      <c r="E539" s="10">
        <v>14</v>
      </c>
      <c r="G539" s="10">
        <f t="shared" si="8"/>
        <v>0.875</v>
      </c>
    </row>
    <row r="540" spans="1:7" ht="30" x14ac:dyDescent="0.25">
      <c r="A540" s="37">
        <v>46170</v>
      </c>
      <c r="C540" s="19" t="s">
        <v>825</v>
      </c>
      <c r="D540" s="10">
        <v>5</v>
      </c>
      <c r="E540" s="10">
        <v>325</v>
      </c>
      <c r="G540" s="10">
        <f t="shared" si="8"/>
        <v>65</v>
      </c>
    </row>
    <row r="541" spans="1:7" x14ac:dyDescent="0.25">
      <c r="A541" s="37">
        <v>46170</v>
      </c>
      <c r="C541" s="19" t="s">
        <v>812</v>
      </c>
      <c r="D541" s="10">
        <v>4</v>
      </c>
      <c r="E541" s="10">
        <v>200</v>
      </c>
      <c r="G541" s="10">
        <f t="shared" si="8"/>
        <v>50</v>
      </c>
    </row>
    <row r="542" spans="1:7" x14ac:dyDescent="0.25">
      <c r="A542" s="37">
        <v>46170</v>
      </c>
      <c r="C542" s="19" t="s">
        <v>813</v>
      </c>
      <c r="D542" s="10">
        <v>7</v>
      </c>
      <c r="E542" s="10">
        <v>189</v>
      </c>
      <c r="G542" s="10">
        <f t="shared" si="8"/>
        <v>27</v>
      </c>
    </row>
    <row r="543" spans="1:7" ht="30" x14ac:dyDescent="0.25">
      <c r="A543" s="37">
        <v>46171</v>
      </c>
      <c r="C543" s="19" t="s">
        <v>831</v>
      </c>
      <c r="D543" s="10">
        <v>1</v>
      </c>
      <c r="E543" s="10">
        <v>419</v>
      </c>
      <c r="G543" s="10">
        <f t="shared" si="8"/>
        <v>419</v>
      </c>
    </row>
    <row r="544" spans="1:7" ht="60" x14ac:dyDescent="0.25">
      <c r="A544" s="37">
        <v>46171</v>
      </c>
      <c r="C544" s="19" t="s">
        <v>832</v>
      </c>
      <c r="D544" s="10">
        <v>1</v>
      </c>
      <c r="E544" s="10">
        <v>145</v>
      </c>
      <c r="G544" s="10">
        <f t="shared" si="8"/>
        <v>145</v>
      </c>
    </row>
    <row r="545" spans="1:7" ht="45" x14ac:dyDescent="0.25">
      <c r="A545" s="37">
        <v>46172</v>
      </c>
      <c r="C545" s="19" t="s">
        <v>833</v>
      </c>
      <c r="D545" s="10">
        <v>30</v>
      </c>
      <c r="E545" s="10">
        <v>1950</v>
      </c>
      <c r="G545" s="10">
        <f t="shared" si="8"/>
        <v>65</v>
      </c>
    </row>
    <row r="546" spans="1:7" x14ac:dyDescent="0.25">
      <c r="A546" s="37">
        <v>46173</v>
      </c>
      <c r="C546" s="19" t="s">
        <v>834</v>
      </c>
      <c r="D546" s="10">
        <v>9</v>
      </c>
      <c r="E546" s="10">
        <v>130</v>
      </c>
      <c r="G546" s="10">
        <f t="shared" si="8"/>
        <v>14.444444444444445</v>
      </c>
    </row>
    <row r="547" spans="1:7" x14ac:dyDescent="0.25">
      <c r="A547" s="37">
        <v>46173</v>
      </c>
      <c r="C547" s="19" t="s">
        <v>835</v>
      </c>
      <c r="D547" s="10">
        <v>1</v>
      </c>
      <c r="E547" s="10">
        <v>80</v>
      </c>
      <c r="G547" s="10">
        <f t="shared" si="8"/>
        <v>80</v>
      </c>
    </row>
    <row r="548" spans="1:7" x14ac:dyDescent="0.25">
      <c r="A548" s="37">
        <v>46173</v>
      </c>
      <c r="C548" s="19" t="s">
        <v>836</v>
      </c>
      <c r="D548" s="10">
        <v>3</v>
      </c>
      <c r="E548" s="10">
        <v>84</v>
      </c>
      <c r="G548" s="10">
        <f t="shared" si="8"/>
        <v>28</v>
      </c>
    </row>
    <row r="549" spans="1:7" x14ac:dyDescent="0.25">
      <c r="A549" s="37">
        <v>46173</v>
      </c>
      <c r="C549" s="19" t="s">
        <v>837</v>
      </c>
      <c r="D549" s="10">
        <v>2</v>
      </c>
      <c r="E549" s="10">
        <v>114</v>
      </c>
      <c r="G549" s="10">
        <f t="shared" si="8"/>
        <v>57</v>
      </c>
    </row>
    <row r="550" spans="1:7" ht="30" x14ac:dyDescent="0.25">
      <c r="A550" s="37">
        <v>46176</v>
      </c>
      <c r="C550" s="19" t="s">
        <v>840</v>
      </c>
      <c r="D550" s="10">
        <v>6</v>
      </c>
      <c r="E550" s="10">
        <v>240</v>
      </c>
      <c r="G550" s="10">
        <f t="shared" si="8"/>
        <v>40</v>
      </c>
    </row>
    <row r="551" spans="1:7" x14ac:dyDescent="0.25">
      <c r="A551" s="37">
        <v>46176</v>
      </c>
      <c r="C551" s="19" t="s">
        <v>843</v>
      </c>
      <c r="D551" s="10">
        <v>36</v>
      </c>
      <c r="E551" s="10">
        <v>200</v>
      </c>
      <c r="G551" s="10">
        <f t="shared" si="8"/>
        <v>5.5555555555555554</v>
      </c>
    </row>
    <row r="552" spans="1:7" x14ac:dyDescent="0.25">
      <c r="A552" s="37">
        <v>46176</v>
      </c>
      <c r="C552" s="19" t="s">
        <v>838</v>
      </c>
      <c r="D552" s="10">
        <v>60</v>
      </c>
      <c r="E552" s="10">
        <v>460</v>
      </c>
      <c r="G552" s="10">
        <f t="shared" si="8"/>
        <v>7.666666666666667</v>
      </c>
    </row>
    <row r="553" spans="1:7" x14ac:dyDescent="0.25">
      <c r="A553" s="37">
        <v>46176</v>
      </c>
      <c r="C553" s="19" t="s">
        <v>844</v>
      </c>
      <c r="D553" s="10">
        <v>2</v>
      </c>
      <c r="E553" s="10">
        <v>340</v>
      </c>
      <c r="G553" s="10">
        <f t="shared" si="8"/>
        <v>170</v>
      </c>
    </row>
    <row r="554" spans="1:7" ht="30" x14ac:dyDescent="0.25">
      <c r="A554" s="37">
        <v>46176</v>
      </c>
      <c r="C554" s="19" t="s">
        <v>839</v>
      </c>
      <c r="D554" s="10">
        <v>6</v>
      </c>
      <c r="E554" s="10">
        <v>240</v>
      </c>
      <c r="G554" s="10">
        <f t="shared" si="8"/>
        <v>40</v>
      </c>
    </row>
    <row r="555" spans="1:7" x14ac:dyDescent="0.25">
      <c r="A555" s="37">
        <v>46176</v>
      </c>
      <c r="C555" s="19" t="s">
        <v>842</v>
      </c>
      <c r="D555" s="10">
        <v>4</v>
      </c>
      <c r="E555" s="10">
        <v>200</v>
      </c>
      <c r="G555" s="10">
        <f t="shared" si="8"/>
        <v>50</v>
      </c>
    </row>
    <row r="556" spans="1:7" ht="30" x14ac:dyDescent="0.25">
      <c r="A556" s="37">
        <v>46176</v>
      </c>
      <c r="C556" s="19" t="s">
        <v>845</v>
      </c>
      <c r="D556" s="10">
        <v>0.5</v>
      </c>
      <c r="E556" s="10">
        <v>160</v>
      </c>
      <c r="G556" s="10">
        <f t="shared" si="8"/>
        <v>320</v>
      </c>
    </row>
    <row r="557" spans="1:7" x14ac:dyDescent="0.25">
      <c r="A557" s="37">
        <v>46176</v>
      </c>
      <c r="C557" s="19" t="s">
        <v>841</v>
      </c>
      <c r="D557" s="10">
        <v>0.5</v>
      </c>
      <c r="E557" s="10">
        <v>50</v>
      </c>
      <c r="G557" s="10">
        <f t="shared" si="8"/>
        <v>100</v>
      </c>
    </row>
    <row r="558" spans="1:7" ht="30" x14ac:dyDescent="0.25">
      <c r="A558" s="37">
        <v>46177</v>
      </c>
      <c r="C558" s="19" t="s">
        <v>859</v>
      </c>
      <c r="D558" s="10">
        <v>12</v>
      </c>
      <c r="E558" s="10">
        <v>110</v>
      </c>
      <c r="G558" s="10">
        <f t="shared" ref="G558:G621" si="9">E558/D558</f>
        <v>9.1666666666666661</v>
      </c>
    </row>
    <row r="559" spans="1:7" ht="30" x14ac:dyDescent="0.25">
      <c r="A559" s="37">
        <v>46177</v>
      </c>
      <c r="C559" s="19" t="s">
        <v>858</v>
      </c>
      <c r="D559" s="10">
        <v>12</v>
      </c>
      <c r="E559" s="10">
        <v>110</v>
      </c>
      <c r="G559" s="10">
        <f t="shared" si="9"/>
        <v>9.1666666666666661</v>
      </c>
    </row>
    <row r="560" spans="1:7" ht="30" x14ac:dyDescent="0.25">
      <c r="A560" s="37">
        <v>46177</v>
      </c>
      <c r="C560" s="19" t="s">
        <v>856</v>
      </c>
      <c r="D560" s="10">
        <v>12</v>
      </c>
      <c r="E560" s="10">
        <v>110</v>
      </c>
      <c r="G560" s="10">
        <f t="shared" si="9"/>
        <v>9.1666666666666661</v>
      </c>
    </row>
    <row r="561" spans="1:7" ht="30" x14ac:dyDescent="0.25">
      <c r="A561" s="37">
        <v>46177</v>
      </c>
      <c r="C561" s="19" t="s">
        <v>846</v>
      </c>
      <c r="D561" s="10">
        <v>12</v>
      </c>
      <c r="E561" s="10">
        <v>110</v>
      </c>
      <c r="G561" s="10">
        <f t="shared" si="9"/>
        <v>9.1666666666666661</v>
      </c>
    </row>
    <row r="562" spans="1:7" ht="30" x14ac:dyDescent="0.25">
      <c r="A562" s="37">
        <v>46177</v>
      </c>
      <c r="C562" s="19" t="s">
        <v>854</v>
      </c>
      <c r="D562" s="10">
        <v>4</v>
      </c>
      <c r="E562" s="10">
        <v>150</v>
      </c>
      <c r="G562" s="10">
        <f t="shared" si="9"/>
        <v>37.5</v>
      </c>
    </row>
    <row r="563" spans="1:7" x14ac:dyDescent="0.25">
      <c r="A563" s="37">
        <v>46177</v>
      </c>
      <c r="C563" s="19" t="s">
        <v>848</v>
      </c>
      <c r="D563" s="10">
        <v>48</v>
      </c>
      <c r="E563" s="10">
        <v>220</v>
      </c>
      <c r="G563" s="10">
        <f t="shared" si="9"/>
        <v>4.583333333333333</v>
      </c>
    </row>
    <row r="564" spans="1:7" ht="30" x14ac:dyDescent="0.25">
      <c r="A564" s="37">
        <v>46177</v>
      </c>
      <c r="C564" s="19" t="s">
        <v>860</v>
      </c>
      <c r="D564" s="10">
        <v>60</v>
      </c>
      <c r="E564" s="10">
        <v>270</v>
      </c>
      <c r="G564" s="10">
        <f t="shared" si="9"/>
        <v>4.5</v>
      </c>
    </row>
    <row r="565" spans="1:7" ht="30" x14ac:dyDescent="0.25">
      <c r="A565" s="37">
        <v>46177</v>
      </c>
      <c r="C565" s="19" t="s">
        <v>857</v>
      </c>
      <c r="D565" s="10">
        <v>30</v>
      </c>
      <c r="E565" s="10">
        <v>144</v>
      </c>
      <c r="G565" s="10">
        <f t="shared" si="9"/>
        <v>4.8</v>
      </c>
    </row>
    <row r="566" spans="1:7" ht="30" x14ac:dyDescent="0.25">
      <c r="A566" s="37">
        <v>46177</v>
      </c>
      <c r="C566" s="19" t="s">
        <v>850</v>
      </c>
      <c r="D566" s="10">
        <v>6</v>
      </c>
      <c r="E566" s="10">
        <v>192</v>
      </c>
      <c r="G566" s="10">
        <f t="shared" si="9"/>
        <v>32</v>
      </c>
    </row>
    <row r="567" spans="1:7" x14ac:dyDescent="0.25">
      <c r="A567" s="37">
        <v>46177</v>
      </c>
      <c r="C567" s="19" t="s">
        <v>849</v>
      </c>
      <c r="D567" s="10">
        <v>3</v>
      </c>
      <c r="E567" s="10">
        <v>84</v>
      </c>
      <c r="G567" s="10">
        <f t="shared" si="9"/>
        <v>28</v>
      </c>
    </row>
    <row r="568" spans="1:7" ht="30" x14ac:dyDescent="0.25">
      <c r="A568" s="37">
        <v>46177</v>
      </c>
      <c r="C568" s="19" t="s">
        <v>853</v>
      </c>
      <c r="D568" s="10">
        <v>12</v>
      </c>
      <c r="E568" s="10">
        <v>800</v>
      </c>
      <c r="G568" s="10">
        <f t="shared" si="9"/>
        <v>66.666666666666671</v>
      </c>
    </row>
    <row r="569" spans="1:7" x14ac:dyDescent="0.25">
      <c r="A569" s="37">
        <v>46177</v>
      </c>
      <c r="C569" s="19" t="s">
        <v>862</v>
      </c>
      <c r="D569" s="10">
        <v>5</v>
      </c>
      <c r="E569" s="10">
        <v>120</v>
      </c>
      <c r="G569" s="10">
        <f t="shared" si="9"/>
        <v>24</v>
      </c>
    </row>
    <row r="570" spans="1:7" x14ac:dyDescent="0.25">
      <c r="A570" s="37">
        <v>46177</v>
      </c>
      <c r="C570" s="19" t="s">
        <v>861</v>
      </c>
      <c r="D570" s="10">
        <v>10</v>
      </c>
      <c r="E570" s="10">
        <v>130</v>
      </c>
      <c r="G570" s="10">
        <f t="shared" si="9"/>
        <v>13</v>
      </c>
    </row>
    <row r="571" spans="1:7" ht="30" x14ac:dyDescent="0.25">
      <c r="A571" s="37">
        <v>46177</v>
      </c>
      <c r="C571" s="19" t="s">
        <v>852</v>
      </c>
      <c r="D571" s="10">
        <v>6</v>
      </c>
      <c r="E571" s="10">
        <v>585</v>
      </c>
      <c r="G571" s="10">
        <f t="shared" si="9"/>
        <v>97.5</v>
      </c>
    </row>
    <row r="572" spans="1:7" ht="30" x14ac:dyDescent="0.25">
      <c r="A572" s="37">
        <v>46177</v>
      </c>
      <c r="C572" s="19" t="s">
        <v>847</v>
      </c>
      <c r="D572" s="10">
        <v>6</v>
      </c>
      <c r="E572" s="10">
        <v>350</v>
      </c>
      <c r="G572" s="10">
        <f t="shared" si="9"/>
        <v>58.333333333333336</v>
      </c>
    </row>
    <row r="573" spans="1:7" ht="30" x14ac:dyDescent="0.25">
      <c r="A573" s="37">
        <v>46177</v>
      </c>
      <c r="C573" s="19" t="s">
        <v>851</v>
      </c>
      <c r="D573" s="10">
        <v>3</v>
      </c>
      <c r="E573" s="10">
        <v>195</v>
      </c>
      <c r="G573" s="10">
        <f t="shared" si="9"/>
        <v>65</v>
      </c>
    </row>
    <row r="574" spans="1:7" ht="30" x14ac:dyDescent="0.25">
      <c r="A574" s="37">
        <v>46177</v>
      </c>
      <c r="C574" s="19" t="s">
        <v>855</v>
      </c>
      <c r="D574" s="10">
        <v>12</v>
      </c>
      <c r="E574" s="10">
        <v>108</v>
      </c>
      <c r="G574" s="10">
        <f t="shared" si="9"/>
        <v>9</v>
      </c>
    </row>
    <row r="575" spans="1:7" ht="30" x14ac:dyDescent="0.25">
      <c r="A575" s="37">
        <v>46179</v>
      </c>
      <c r="C575" s="19" t="s">
        <v>863</v>
      </c>
      <c r="D575" s="10">
        <v>7</v>
      </c>
      <c r="E575" s="10">
        <v>259</v>
      </c>
      <c r="G575" s="10">
        <f t="shared" si="9"/>
        <v>37</v>
      </c>
    </row>
    <row r="576" spans="1:7" ht="30" x14ac:dyDescent="0.25">
      <c r="A576" s="37">
        <v>46179</v>
      </c>
      <c r="C576" s="19" t="s">
        <v>864</v>
      </c>
      <c r="D576" s="10">
        <v>6</v>
      </c>
      <c r="E576" s="10">
        <v>108</v>
      </c>
      <c r="G576" s="10">
        <f t="shared" si="9"/>
        <v>18</v>
      </c>
    </row>
    <row r="577" spans="1:7" ht="30" x14ac:dyDescent="0.25">
      <c r="A577" s="37">
        <v>46180</v>
      </c>
      <c r="C577" s="19" t="s">
        <v>873</v>
      </c>
      <c r="D577" s="10">
        <v>3</v>
      </c>
      <c r="E577" s="10">
        <v>57</v>
      </c>
      <c r="G577" s="10">
        <f t="shared" si="9"/>
        <v>19</v>
      </c>
    </row>
    <row r="578" spans="1:7" ht="30" x14ac:dyDescent="0.25">
      <c r="A578" s="37">
        <v>46180</v>
      </c>
      <c r="C578" s="19" t="s">
        <v>872</v>
      </c>
      <c r="D578" s="10">
        <v>2</v>
      </c>
      <c r="E578" s="10">
        <v>34</v>
      </c>
      <c r="G578" s="10">
        <f t="shared" si="9"/>
        <v>17</v>
      </c>
    </row>
    <row r="579" spans="1:7" ht="30" x14ac:dyDescent="0.25">
      <c r="A579" s="37">
        <v>46180</v>
      </c>
      <c r="C579" s="19" t="s">
        <v>875</v>
      </c>
      <c r="D579" s="10">
        <v>2</v>
      </c>
      <c r="E579" s="10">
        <v>34</v>
      </c>
      <c r="G579" s="10">
        <f t="shared" si="9"/>
        <v>17</v>
      </c>
    </row>
    <row r="580" spans="1:7" ht="30" x14ac:dyDescent="0.25">
      <c r="A580" s="37">
        <v>46180</v>
      </c>
      <c r="C580" s="19" t="s">
        <v>874</v>
      </c>
      <c r="D580" s="10">
        <v>4</v>
      </c>
      <c r="E580" s="10">
        <v>132</v>
      </c>
      <c r="G580" s="10">
        <f t="shared" si="9"/>
        <v>33</v>
      </c>
    </row>
    <row r="581" spans="1:7" x14ac:dyDescent="0.25">
      <c r="A581" s="37">
        <v>46180</v>
      </c>
      <c r="C581" s="19" t="s">
        <v>868</v>
      </c>
      <c r="D581" s="10">
        <v>2</v>
      </c>
      <c r="E581" s="10">
        <v>28</v>
      </c>
      <c r="G581" s="10">
        <f t="shared" si="9"/>
        <v>14</v>
      </c>
    </row>
    <row r="582" spans="1:7" ht="30" x14ac:dyDescent="0.25">
      <c r="A582" s="37">
        <v>46180</v>
      </c>
      <c r="C582" s="19" t="s">
        <v>869</v>
      </c>
      <c r="D582" s="10">
        <v>2</v>
      </c>
      <c r="E582" s="10">
        <v>42</v>
      </c>
      <c r="G582" s="10">
        <f t="shared" si="9"/>
        <v>21</v>
      </c>
    </row>
    <row r="583" spans="1:7" ht="30" x14ac:dyDescent="0.25">
      <c r="A583" s="37">
        <v>46180</v>
      </c>
      <c r="C583" s="19" t="s">
        <v>870</v>
      </c>
      <c r="D583" s="10">
        <v>2</v>
      </c>
      <c r="E583" s="10">
        <v>56</v>
      </c>
      <c r="G583" s="10">
        <f t="shared" si="9"/>
        <v>28</v>
      </c>
    </row>
    <row r="584" spans="1:7" ht="30" x14ac:dyDescent="0.25">
      <c r="A584" s="37">
        <v>46180</v>
      </c>
      <c r="C584" s="19" t="s">
        <v>866</v>
      </c>
      <c r="D584" s="10">
        <v>1</v>
      </c>
      <c r="E584" s="10">
        <v>145</v>
      </c>
      <c r="G584" s="10">
        <f t="shared" si="9"/>
        <v>145</v>
      </c>
    </row>
    <row r="585" spans="1:7" x14ac:dyDescent="0.25">
      <c r="A585" s="37">
        <v>46180</v>
      </c>
      <c r="C585" s="19" t="s">
        <v>876</v>
      </c>
      <c r="D585" s="10">
        <v>9</v>
      </c>
      <c r="E585" s="10">
        <v>130</v>
      </c>
      <c r="G585" s="10">
        <f t="shared" si="9"/>
        <v>14.444444444444445</v>
      </c>
    </row>
    <row r="586" spans="1:7" ht="30" x14ac:dyDescent="0.25">
      <c r="A586" s="37">
        <v>46180</v>
      </c>
      <c r="C586" s="19" t="s">
        <v>867</v>
      </c>
      <c r="D586" s="10">
        <v>5</v>
      </c>
      <c r="E586" s="10">
        <v>329</v>
      </c>
      <c r="G586" s="10">
        <f t="shared" si="9"/>
        <v>65.8</v>
      </c>
    </row>
    <row r="587" spans="1:7" x14ac:dyDescent="0.25">
      <c r="A587" s="37">
        <v>46180</v>
      </c>
      <c r="C587" s="19" t="s">
        <v>865</v>
      </c>
      <c r="D587" s="10">
        <v>2</v>
      </c>
      <c r="E587" s="10">
        <v>98</v>
      </c>
      <c r="G587" s="10">
        <f t="shared" si="9"/>
        <v>49</v>
      </c>
    </row>
    <row r="588" spans="1:7" ht="30" x14ac:dyDescent="0.25">
      <c r="A588" s="37">
        <v>46180</v>
      </c>
      <c r="C588" s="19" t="s">
        <v>871</v>
      </c>
      <c r="D588" s="10">
        <v>2</v>
      </c>
      <c r="E588" s="10">
        <v>48</v>
      </c>
      <c r="G588" s="10">
        <f t="shared" si="9"/>
        <v>24</v>
      </c>
    </row>
    <row r="589" spans="1:7" ht="30" x14ac:dyDescent="0.25">
      <c r="A589" s="37">
        <v>46182</v>
      </c>
      <c r="C589" s="19" t="s">
        <v>945</v>
      </c>
      <c r="D589" s="10">
        <v>1</v>
      </c>
      <c r="E589" s="10">
        <v>700</v>
      </c>
      <c r="G589" s="10">
        <f t="shared" si="9"/>
        <v>700</v>
      </c>
    </row>
    <row r="590" spans="1:7" ht="30" x14ac:dyDescent="0.25">
      <c r="A590" s="37">
        <v>46182</v>
      </c>
      <c r="C590" s="19" t="s">
        <v>886</v>
      </c>
      <c r="D590" s="10">
        <v>30</v>
      </c>
      <c r="E590" s="10">
        <v>270</v>
      </c>
      <c r="G590" s="10">
        <f t="shared" si="9"/>
        <v>9</v>
      </c>
    </row>
    <row r="591" spans="1:7" x14ac:dyDescent="0.25">
      <c r="A591" s="37">
        <v>46182</v>
      </c>
      <c r="C591" s="19" t="s">
        <v>885</v>
      </c>
      <c r="D591" s="10">
        <v>6</v>
      </c>
      <c r="E591" s="10">
        <v>162</v>
      </c>
      <c r="G591" s="10">
        <f t="shared" si="9"/>
        <v>27</v>
      </c>
    </row>
    <row r="592" spans="1:7" ht="30" x14ac:dyDescent="0.25">
      <c r="A592" s="37">
        <v>46182</v>
      </c>
      <c r="C592" s="19" t="s">
        <v>893</v>
      </c>
      <c r="D592" s="10">
        <v>10</v>
      </c>
      <c r="E592" s="10">
        <v>380</v>
      </c>
      <c r="G592" s="10">
        <f t="shared" si="9"/>
        <v>38</v>
      </c>
    </row>
    <row r="593" spans="1:7" x14ac:dyDescent="0.25">
      <c r="A593" s="37">
        <v>46182</v>
      </c>
      <c r="C593" s="19" t="s">
        <v>896</v>
      </c>
      <c r="D593" s="10">
        <v>1</v>
      </c>
      <c r="E593" s="10">
        <v>90</v>
      </c>
      <c r="G593" s="10">
        <f t="shared" si="9"/>
        <v>90</v>
      </c>
    </row>
    <row r="594" spans="1:7" ht="30" x14ac:dyDescent="0.25">
      <c r="A594" s="37">
        <v>46182</v>
      </c>
      <c r="C594" s="19" t="s">
        <v>888</v>
      </c>
      <c r="D594" s="10">
        <v>10</v>
      </c>
      <c r="E594" s="10">
        <v>320</v>
      </c>
      <c r="G594" s="10">
        <f t="shared" si="9"/>
        <v>32</v>
      </c>
    </row>
    <row r="595" spans="1:7" ht="30" x14ac:dyDescent="0.25">
      <c r="A595" s="37">
        <v>46182</v>
      </c>
      <c r="C595" s="19" t="s">
        <v>884</v>
      </c>
      <c r="D595" s="10">
        <v>10</v>
      </c>
      <c r="E595" s="10">
        <v>90</v>
      </c>
      <c r="G595" s="10">
        <f t="shared" si="9"/>
        <v>9</v>
      </c>
    </row>
    <row r="596" spans="1:7" ht="30" x14ac:dyDescent="0.25">
      <c r="A596" s="37">
        <v>46182</v>
      </c>
      <c r="C596" s="19" t="s">
        <v>890</v>
      </c>
      <c r="D596" s="10">
        <v>350</v>
      </c>
      <c r="E596" s="10">
        <v>155</v>
      </c>
      <c r="G596" s="10">
        <f t="shared" si="9"/>
        <v>0.44285714285714284</v>
      </c>
    </row>
    <row r="597" spans="1:7" ht="30" x14ac:dyDescent="0.25">
      <c r="A597" s="37">
        <v>46182</v>
      </c>
      <c r="C597" s="19" t="s">
        <v>880</v>
      </c>
      <c r="D597" s="10">
        <v>10</v>
      </c>
      <c r="E597" s="10">
        <v>390</v>
      </c>
      <c r="G597" s="10">
        <f t="shared" si="9"/>
        <v>39</v>
      </c>
    </row>
    <row r="598" spans="1:7" ht="45" x14ac:dyDescent="0.25">
      <c r="A598" s="37">
        <v>46182</v>
      </c>
      <c r="C598" s="19" t="s">
        <v>882</v>
      </c>
      <c r="D598" s="10">
        <v>10</v>
      </c>
      <c r="E598" s="10">
        <v>135</v>
      </c>
      <c r="G598" s="10">
        <f t="shared" si="9"/>
        <v>13.5</v>
      </c>
    </row>
    <row r="599" spans="1:7" ht="30" x14ac:dyDescent="0.25">
      <c r="A599" s="37">
        <v>46182</v>
      </c>
      <c r="C599" s="19" t="s">
        <v>883</v>
      </c>
      <c r="D599" s="10">
        <v>10</v>
      </c>
      <c r="E599" s="10">
        <v>135</v>
      </c>
      <c r="G599" s="10">
        <f t="shared" si="9"/>
        <v>13.5</v>
      </c>
    </row>
    <row r="600" spans="1:7" ht="30" x14ac:dyDescent="0.25">
      <c r="A600" s="37">
        <v>46182</v>
      </c>
      <c r="C600" s="19" t="s">
        <v>878</v>
      </c>
      <c r="D600" s="10">
        <v>2</v>
      </c>
      <c r="E600" s="10">
        <v>150</v>
      </c>
      <c r="G600" s="10">
        <f t="shared" si="9"/>
        <v>75</v>
      </c>
    </row>
    <row r="601" spans="1:7" ht="30" x14ac:dyDescent="0.25">
      <c r="A601" s="37">
        <v>46182</v>
      </c>
      <c r="C601" s="19" t="s">
        <v>891</v>
      </c>
      <c r="D601" s="10">
        <v>130</v>
      </c>
      <c r="E601" s="10">
        <v>115</v>
      </c>
      <c r="G601" s="10">
        <f t="shared" si="9"/>
        <v>0.88461538461538458</v>
      </c>
    </row>
    <row r="602" spans="1:7" x14ac:dyDescent="0.25">
      <c r="A602" s="37">
        <v>46182</v>
      </c>
      <c r="C602" s="19" t="s">
        <v>877</v>
      </c>
      <c r="D602" s="10">
        <v>156</v>
      </c>
      <c r="E602" s="10">
        <v>1413</v>
      </c>
      <c r="G602" s="10">
        <f t="shared" si="9"/>
        <v>9.0576923076923084</v>
      </c>
    </row>
    <row r="603" spans="1:7" x14ac:dyDescent="0.25">
      <c r="A603" s="37">
        <v>46182</v>
      </c>
      <c r="C603" s="19" t="s">
        <v>887</v>
      </c>
      <c r="D603" s="10">
        <v>4</v>
      </c>
      <c r="E603" s="10">
        <v>208</v>
      </c>
      <c r="G603" s="10">
        <f t="shared" si="9"/>
        <v>52</v>
      </c>
    </row>
    <row r="604" spans="1:7" ht="30" x14ac:dyDescent="0.25">
      <c r="A604" s="37">
        <v>46182</v>
      </c>
      <c r="C604" s="19" t="s">
        <v>892</v>
      </c>
      <c r="D604" s="10">
        <v>22</v>
      </c>
      <c r="E604" s="10">
        <v>200</v>
      </c>
      <c r="G604" s="10">
        <f t="shared" si="9"/>
        <v>9.0909090909090917</v>
      </c>
    </row>
    <row r="605" spans="1:7" ht="45" x14ac:dyDescent="0.25">
      <c r="A605" s="37">
        <v>46182</v>
      </c>
      <c r="C605" s="19" t="s">
        <v>879</v>
      </c>
      <c r="D605" s="10">
        <v>12</v>
      </c>
      <c r="E605" s="10">
        <v>150</v>
      </c>
      <c r="G605" s="10">
        <f t="shared" si="9"/>
        <v>12.5</v>
      </c>
    </row>
    <row r="606" spans="1:7" ht="30" x14ac:dyDescent="0.25">
      <c r="A606" s="37">
        <v>46182</v>
      </c>
      <c r="C606" s="19" t="s">
        <v>889</v>
      </c>
      <c r="D606" s="10">
        <v>3</v>
      </c>
      <c r="E606" s="10">
        <v>84</v>
      </c>
      <c r="G606" s="10">
        <f t="shared" si="9"/>
        <v>28</v>
      </c>
    </row>
    <row r="607" spans="1:7" ht="30" x14ac:dyDescent="0.25">
      <c r="A607" s="37">
        <v>46182</v>
      </c>
      <c r="C607" s="19" t="s">
        <v>881</v>
      </c>
      <c r="D607" s="10">
        <v>12</v>
      </c>
      <c r="E607" s="10">
        <v>105</v>
      </c>
      <c r="G607" s="10">
        <f t="shared" si="9"/>
        <v>8.75</v>
      </c>
    </row>
    <row r="608" spans="1:7" x14ac:dyDescent="0.25">
      <c r="A608" s="37">
        <v>46182</v>
      </c>
      <c r="C608" s="19" t="s">
        <v>894</v>
      </c>
      <c r="D608" s="10">
        <v>0.2</v>
      </c>
      <c r="E608" s="10">
        <v>640</v>
      </c>
      <c r="G608" s="10">
        <f t="shared" si="9"/>
        <v>3200</v>
      </c>
    </row>
    <row r="609" spans="1:9" ht="30" x14ac:dyDescent="0.25">
      <c r="A609" s="37">
        <v>46182</v>
      </c>
      <c r="C609" s="19" t="s">
        <v>895</v>
      </c>
      <c r="D609" s="10">
        <v>0.5</v>
      </c>
      <c r="E609" s="10">
        <v>400</v>
      </c>
      <c r="G609" s="10">
        <f t="shared" si="9"/>
        <v>800</v>
      </c>
    </row>
    <row r="610" spans="1:9" ht="45" x14ac:dyDescent="0.25">
      <c r="A610" s="37">
        <v>46182</v>
      </c>
      <c r="C610" s="19" t="s">
        <v>897</v>
      </c>
      <c r="D610" s="10">
        <v>64</v>
      </c>
      <c r="E610" s="10">
        <v>55</v>
      </c>
      <c r="G610" s="10">
        <f t="shared" si="9"/>
        <v>0.859375</v>
      </c>
    </row>
    <row r="611" spans="1:9" x14ac:dyDescent="0.25">
      <c r="A611" s="37">
        <v>46182</v>
      </c>
      <c r="C611" s="19" t="s">
        <v>898</v>
      </c>
      <c r="D611" s="10">
        <v>192</v>
      </c>
      <c r="E611" s="10">
        <v>333</v>
      </c>
      <c r="G611" s="10">
        <f t="shared" si="9"/>
        <v>1.734375</v>
      </c>
    </row>
    <row r="612" spans="1:9" ht="30" x14ac:dyDescent="0.25">
      <c r="A612" s="37">
        <v>46182</v>
      </c>
      <c r="C612" s="19" t="s">
        <v>899</v>
      </c>
      <c r="D612" s="10">
        <v>36</v>
      </c>
      <c r="E612" s="10">
        <v>54</v>
      </c>
      <c r="G612" s="10">
        <f t="shared" si="9"/>
        <v>1.5</v>
      </c>
      <c r="I612">
        <f>SUM(E589:E612)</f>
        <v>6734</v>
      </c>
    </row>
    <row r="613" spans="1:9" x14ac:dyDescent="0.25">
      <c r="A613" s="37">
        <v>46183</v>
      </c>
      <c r="C613" s="19" t="s">
        <v>901</v>
      </c>
      <c r="D613" s="10">
        <v>4</v>
      </c>
      <c r="E613" s="10">
        <v>60</v>
      </c>
      <c r="G613" s="10">
        <f t="shared" si="9"/>
        <v>15</v>
      </c>
    </row>
    <row r="614" spans="1:9" x14ac:dyDescent="0.25">
      <c r="A614" s="37">
        <v>46183</v>
      </c>
      <c r="C614" s="19" t="s">
        <v>902</v>
      </c>
      <c r="D614" s="10">
        <v>10</v>
      </c>
      <c r="E614" s="10">
        <v>250</v>
      </c>
      <c r="G614" s="10">
        <f t="shared" si="9"/>
        <v>25</v>
      </c>
    </row>
    <row r="615" spans="1:9" x14ac:dyDescent="0.25">
      <c r="A615" s="37">
        <v>46183</v>
      </c>
      <c r="C615" s="19" t="s">
        <v>903</v>
      </c>
      <c r="D615" s="10">
        <v>1</v>
      </c>
      <c r="E615" s="10">
        <v>140</v>
      </c>
      <c r="G615" s="10">
        <f t="shared" si="9"/>
        <v>140</v>
      </c>
    </row>
    <row r="616" spans="1:9" x14ac:dyDescent="0.25">
      <c r="A616" s="37">
        <v>46183</v>
      </c>
      <c r="C616" s="19" t="s">
        <v>904</v>
      </c>
      <c r="D616" s="10">
        <v>1</v>
      </c>
      <c r="E616" s="10">
        <v>130</v>
      </c>
      <c r="G616" s="10">
        <f t="shared" si="9"/>
        <v>130</v>
      </c>
    </row>
    <row r="617" spans="1:9" x14ac:dyDescent="0.25">
      <c r="A617" s="37">
        <v>46183</v>
      </c>
      <c r="C617" s="19" t="s">
        <v>905</v>
      </c>
      <c r="D617" s="10">
        <v>60</v>
      </c>
      <c r="E617" s="10">
        <v>460</v>
      </c>
      <c r="G617" s="10">
        <f t="shared" si="9"/>
        <v>7.666666666666667</v>
      </c>
      <c r="I617">
        <f>SUM(E613:E617)</f>
        <v>1040</v>
      </c>
    </row>
    <row r="618" spans="1:9" ht="30" x14ac:dyDescent="0.25">
      <c r="A618" s="37">
        <v>46185</v>
      </c>
      <c r="C618" s="19" t="s">
        <v>908</v>
      </c>
      <c r="D618" s="10">
        <v>6</v>
      </c>
      <c r="E618" s="10">
        <v>240</v>
      </c>
      <c r="G618" s="10">
        <f t="shared" si="9"/>
        <v>40</v>
      </c>
    </row>
    <row r="619" spans="1:9" ht="30" x14ac:dyDescent="0.25">
      <c r="A619" s="37">
        <v>46185</v>
      </c>
      <c r="C619" s="19" t="s">
        <v>909</v>
      </c>
      <c r="D619" s="10">
        <v>6</v>
      </c>
      <c r="E619" s="10">
        <v>168</v>
      </c>
      <c r="G619" s="10">
        <f t="shared" si="9"/>
        <v>28</v>
      </c>
    </row>
    <row r="620" spans="1:9" ht="30" x14ac:dyDescent="0.25">
      <c r="A620" s="37">
        <v>46185</v>
      </c>
      <c r="C620" s="19" t="s">
        <v>910</v>
      </c>
      <c r="D620" s="10">
        <v>3</v>
      </c>
      <c r="E620" s="10">
        <v>330</v>
      </c>
      <c r="G620" s="10">
        <f t="shared" si="9"/>
        <v>110</v>
      </c>
    </row>
    <row r="621" spans="1:9" x14ac:dyDescent="0.25">
      <c r="A621" s="37">
        <v>46185</v>
      </c>
      <c r="C621" s="19" t="s">
        <v>911</v>
      </c>
      <c r="D621" s="10">
        <v>60</v>
      </c>
      <c r="E621" s="10">
        <v>460</v>
      </c>
      <c r="G621" s="10">
        <f t="shared" si="9"/>
        <v>7.666666666666667</v>
      </c>
    </row>
    <row r="622" spans="1:9" ht="30" x14ac:dyDescent="0.25">
      <c r="A622" s="37">
        <v>46185</v>
      </c>
      <c r="C622" s="19" t="s">
        <v>912</v>
      </c>
      <c r="D622" s="10">
        <v>24</v>
      </c>
      <c r="E622" s="10">
        <v>220</v>
      </c>
      <c r="G622" s="10">
        <f t="shared" ref="G622:G856" si="10">E622/D622</f>
        <v>9.1666666666666661</v>
      </c>
    </row>
    <row r="623" spans="1:9" ht="45" x14ac:dyDescent="0.25">
      <c r="A623" s="37">
        <v>46185</v>
      </c>
      <c r="C623" s="19" t="s">
        <v>913</v>
      </c>
      <c r="D623" s="10">
        <v>6</v>
      </c>
      <c r="E623" s="10">
        <v>195</v>
      </c>
      <c r="G623" s="10">
        <f t="shared" si="10"/>
        <v>32.5</v>
      </c>
    </row>
    <row r="624" spans="1:9" ht="30" x14ac:dyDescent="0.25">
      <c r="A624" s="37">
        <v>46185</v>
      </c>
      <c r="C624" s="19" t="s">
        <v>914</v>
      </c>
      <c r="D624" s="10">
        <v>6</v>
      </c>
      <c r="E624" s="10">
        <v>168</v>
      </c>
      <c r="G624" s="10">
        <f t="shared" si="10"/>
        <v>28</v>
      </c>
    </row>
    <row r="625" spans="1:8" ht="30" x14ac:dyDescent="0.25">
      <c r="A625" s="37">
        <v>46185</v>
      </c>
      <c r="C625" s="19" t="s">
        <v>915</v>
      </c>
      <c r="D625" s="10">
        <v>56</v>
      </c>
      <c r="E625" s="10">
        <v>520</v>
      </c>
      <c r="G625" s="10">
        <f t="shared" si="10"/>
        <v>9.2857142857142865</v>
      </c>
    </row>
    <row r="626" spans="1:8" ht="30" x14ac:dyDescent="0.25">
      <c r="A626" s="37">
        <v>46185</v>
      </c>
      <c r="C626" s="19" t="s">
        <v>916</v>
      </c>
      <c r="D626" s="10">
        <v>24</v>
      </c>
      <c r="E626" s="10">
        <v>216</v>
      </c>
      <c r="G626" s="10">
        <f t="shared" si="10"/>
        <v>9</v>
      </c>
    </row>
    <row r="627" spans="1:8" ht="30" x14ac:dyDescent="0.25">
      <c r="A627" s="37">
        <v>46185</v>
      </c>
      <c r="C627" s="19" t="s">
        <v>917</v>
      </c>
      <c r="D627" s="10">
        <v>6</v>
      </c>
      <c r="E627" s="10">
        <v>390</v>
      </c>
      <c r="G627" s="10">
        <f t="shared" si="10"/>
        <v>65</v>
      </c>
    </row>
    <row r="628" spans="1:8" x14ac:dyDescent="0.25">
      <c r="A628" s="37">
        <v>46185</v>
      </c>
      <c r="C628" s="19" t="s">
        <v>918</v>
      </c>
      <c r="D628" s="10">
        <v>6</v>
      </c>
      <c r="E628" s="10">
        <v>330</v>
      </c>
      <c r="G628" s="10">
        <f t="shared" si="10"/>
        <v>55</v>
      </c>
    </row>
    <row r="629" spans="1:8" ht="30" x14ac:dyDescent="0.25">
      <c r="A629" s="37">
        <v>46185</v>
      </c>
      <c r="C629" s="33" t="s">
        <v>919</v>
      </c>
      <c r="D629" s="10">
        <v>30</v>
      </c>
      <c r="E629" s="10">
        <v>375</v>
      </c>
      <c r="G629" s="10">
        <f t="shared" si="10"/>
        <v>12.5</v>
      </c>
    </row>
    <row r="630" spans="1:8" ht="30" x14ac:dyDescent="0.25">
      <c r="A630" s="37">
        <v>46185</v>
      </c>
      <c r="C630" s="19" t="s">
        <v>920</v>
      </c>
      <c r="D630" s="10">
        <v>4</v>
      </c>
      <c r="E630" s="10">
        <v>188</v>
      </c>
      <c r="G630" s="10">
        <f t="shared" si="10"/>
        <v>47</v>
      </c>
    </row>
    <row r="631" spans="1:8" ht="30" x14ac:dyDescent="0.25">
      <c r="A631" s="37">
        <v>46185</v>
      </c>
      <c r="C631" s="19" t="s">
        <v>921</v>
      </c>
      <c r="D631" s="10">
        <v>24</v>
      </c>
      <c r="E631" s="10">
        <v>210</v>
      </c>
      <c r="G631" s="10">
        <f t="shared" si="10"/>
        <v>8.75</v>
      </c>
    </row>
    <row r="632" spans="1:8" ht="30" x14ac:dyDescent="0.25">
      <c r="A632" s="37">
        <v>46185</v>
      </c>
      <c r="C632" s="19" t="s">
        <v>922</v>
      </c>
      <c r="D632" s="10">
        <v>5</v>
      </c>
      <c r="E632" s="10">
        <v>270</v>
      </c>
      <c r="G632" s="10">
        <f t="shared" si="10"/>
        <v>54</v>
      </c>
    </row>
    <row r="633" spans="1:8" x14ac:dyDescent="0.25">
      <c r="A633" s="37">
        <v>46185</v>
      </c>
      <c r="C633" s="19" t="s">
        <v>923</v>
      </c>
      <c r="D633" s="10">
        <v>5</v>
      </c>
      <c r="E633" s="10">
        <v>130</v>
      </c>
      <c r="G633" s="10">
        <f t="shared" si="10"/>
        <v>26</v>
      </c>
      <c r="H633">
        <f>SUM(E618:E633)</f>
        <v>4410</v>
      </c>
    </row>
    <row r="634" spans="1:8" ht="30" x14ac:dyDescent="0.25">
      <c r="A634" s="37">
        <v>46186</v>
      </c>
      <c r="C634" s="19" t="s">
        <v>924</v>
      </c>
      <c r="D634" s="10">
        <v>2</v>
      </c>
      <c r="E634" s="10">
        <v>80</v>
      </c>
      <c r="G634" s="10">
        <f t="shared" si="10"/>
        <v>40</v>
      </c>
    </row>
    <row r="635" spans="1:8" x14ac:dyDescent="0.25">
      <c r="A635" s="37">
        <v>46186</v>
      </c>
      <c r="C635" s="19" t="s">
        <v>925</v>
      </c>
      <c r="D635" s="10">
        <v>5</v>
      </c>
      <c r="E635" s="10">
        <v>70</v>
      </c>
      <c r="G635" s="10">
        <f t="shared" si="10"/>
        <v>14</v>
      </c>
    </row>
    <row r="636" spans="1:8" ht="30" x14ac:dyDescent="0.25">
      <c r="A636" s="37">
        <v>46186</v>
      </c>
      <c r="C636" s="19" t="s">
        <v>926</v>
      </c>
      <c r="D636" s="10">
        <v>3</v>
      </c>
      <c r="E636" s="10">
        <v>63</v>
      </c>
      <c r="G636" s="10">
        <f t="shared" si="10"/>
        <v>21</v>
      </c>
    </row>
    <row r="637" spans="1:8" ht="30" x14ac:dyDescent="0.25">
      <c r="A637" s="37">
        <v>46186</v>
      </c>
      <c r="C637" s="19" t="s">
        <v>927</v>
      </c>
      <c r="D637" s="10">
        <v>4</v>
      </c>
      <c r="E637" s="10">
        <v>72</v>
      </c>
      <c r="G637" s="10">
        <f t="shared" si="10"/>
        <v>18</v>
      </c>
    </row>
    <row r="638" spans="1:8" ht="45" x14ac:dyDescent="0.25">
      <c r="A638" s="37">
        <v>46186</v>
      </c>
      <c r="C638" s="19" t="s">
        <v>928</v>
      </c>
      <c r="D638" s="10">
        <v>3</v>
      </c>
      <c r="E638" s="10">
        <v>57</v>
      </c>
      <c r="G638" s="10">
        <f t="shared" si="10"/>
        <v>19</v>
      </c>
    </row>
    <row r="639" spans="1:8" ht="30" x14ac:dyDescent="0.25">
      <c r="A639" s="37">
        <v>46186</v>
      </c>
      <c r="C639" s="19" t="s">
        <v>929</v>
      </c>
      <c r="D639" s="10">
        <v>7</v>
      </c>
      <c r="E639" s="10">
        <v>126</v>
      </c>
      <c r="G639" s="10">
        <f t="shared" si="10"/>
        <v>18</v>
      </c>
    </row>
    <row r="640" spans="1:8" ht="30" x14ac:dyDescent="0.25">
      <c r="A640" s="37">
        <v>46186</v>
      </c>
      <c r="C640" s="19" t="s">
        <v>930</v>
      </c>
      <c r="D640" s="10">
        <v>2</v>
      </c>
      <c r="E640" s="10">
        <v>112</v>
      </c>
      <c r="G640" s="10">
        <f t="shared" si="10"/>
        <v>56</v>
      </c>
      <c r="H640">
        <f>SUM(E634:E640)</f>
        <v>580</v>
      </c>
    </row>
    <row r="641" spans="1:8" ht="30" x14ac:dyDescent="0.25">
      <c r="A641" s="37">
        <v>46187</v>
      </c>
      <c r="C641" s="19" t="s">
        <v>931</v>
      </c>
      <c r="D641" s="10">
        <v>4</v>
      </c>
      <c r="E641" s="10">
        <v>68</v>
      </c>
      <c r="G641" s="10">
        <f t="shared" si="10"/>
        <v>17</v>
      </c>
    </row>
    <row r="642" spans="1:8" ht="45" x14ac:dyDescent="0.25">
      <c r="A642" s="37">
        <v>46187</v>
      </c>
      <c r="C642" s="19" t="s">
        <v>935</v>
      </c>
      <c r="D642" s="10">
        <v>2</v>
      </c>
      <c r="E642" s="10">
        <v>56</v>
      </c>
      <c r="G642" s="10">
        <f t="shared" si="10"/>
        <v>28</v>
      </c>
    </row>
    <row r="643" spans="1:8" ht="30" x14ac:dyDescent="0.25">
      <c r="A643" s="37">
        <v>46187</v>
      </c>
      <c r="C643" s="19" t="s">
        <v>934</v>
      </c>
      <c r="D643" s="10">
        <v>2</v>
      </c>
      <c r="E643" s="10">
        <v>80</v>
      </c>
      <c r="G643" s="10">
        <f t="shared" si="10"/>
        <v>40</v>
      </c>
    </row>
    <row r="644" spans="1:8" ht="60" x14ac:dyDescent="0.25">
      <c r="A644" s="37">
        <v>46187</v>
      </c>
      <c r="C644" s="19" t="s">
        <v>933</v>
      </c>
      <c r="D644" s="10">
        <v>2</v>
      </c>
      <c r="E644" s="10">
        <v>40</v>
      </c>
      <c r="G644" s="10">
        <f t="shared" si="10"/>
        <v>20</v>
      </c>
    </row>
    <row r="645" spans="1:8" ht="45" x14ac:dyDescent="0.25">
      <c r="A645" s="37">
        <v>46187</v>
      </c>
      <c r="C645" s="19" t="s">
        <v>936</v>
      </c>
      <c r="D645" s="10">
        <v>1</v>
      </c>
      <c r="E645" s="10">
        <v>19</v>
      </c>
      <c r="G645" s="10">
        <f t="shared" si="10"/>
        <v>19</v>
      </c>
    </row>
    <row r="646" spans="1:8" ht="45" x14ac:dyDescent="0.25">
      <c r="A646" s="37">
        <v>46187</v>
      </c>
      <c r="C646" s="19" t="s">
        <v>932</v>
      </c>
      <c r="D646" s="10">
        <v>1</v>
      </c>
      <c r="E646" s="10">
        <v>19</v>
      </c>
      <c r="G646" s="10">
        <f t="shared" si="10"/>
        <v>19</v>
      </c>
    </row>
    <row r="647" spans="1:8" ht="60" x14ac:dyDescent="0.25">
      <c r="A647" s="37">
        <v>46187</v>
      </c>
      <c r="C647" s="19" t="s">
        <v>937</v>
      </c>
      <c r="D647" s="10">
        <v>1</v>
      </c>
      <c r="E647" s="10">
        <v>52</v>
      </c>
      <c r="G647" s="10">
        <f t="shared" si="10"/>
        <v>52</v>
      </c>
    </row>
    <row r="648" spans="1:8" ht="30" x14ac:dyDescent="0.25">
      <c r="A648" s="37">
        <v>46187</v>
      </c>
      <c r="C648" s="19" t="s">
        <v>938</v>
      </c>
      <c r="D648" s="10">
        <v>3</v>
      </c>
      <c r="E648" s="10">
        <v>54</v>
      </c>
      <c r="G648" s="10">
        <f t="shared" si="10"/>
        <v>18</v>
      </c>
    </row>
    <row r="649" spans="1:8" ht="30" x14ac:dyDescent="0.25">
      <c r="A649" s="37">
        <v>46187</v>
      </c>
      <c r="C649" s="19" t="s">
        <v>939</v>
      </c>
      <c r="D649" s="10">
        <v>3</v>
      </c>
      <c r="E649" s="10">
        <v>72</v>
      </c>
      <c r="G649" s="10">
        <f t="shared" si="10"/>
        <v>24</v>
      </c>
    </row>
    <row r="650" spans="1:8" ht="30" x14ac:dyDescent="0.25">
      <c r="A650" s="37">
        <v>46187</v>
      </c>
      <c r="C650" s="19" t="s">
        <v>940</v>
      </c>
      <c r="D650" s="10">
        <v>3</v>
      </c>
      <c r="E650" s="10">
        <v>114</v>
      </c>
      <c r="G650" s="10">
        <f t="shared" si="10"/>
        <v>38</v>
      </c>
    </row>
    <row r="651" spans="1:8" ht="45" x14ac:dyDescent="0.25">
      <c r="A651" s="37">
        <v>46187</v>
      </c>
      <c r="C651" s="19" t="s">
        <v>941</v>
      </c>
      <c r="D651" s="10">
        <v>3</v>
      </c>
      <c r="E651" s="10">
        <v>114</v>
      </c>
      <c r="G651" s="10">
        <f t="shared" si="10"/>
        <v>38</v>
      </c>
    </row>
    <row r="652" spans="1:8" ht="30" x14ac:dyDescent="0.25">
      <c r="A652" s="37">
        <v>46187</v>
      </c>
      <c r="C652" s="19" t="s">
        <v>942</v>
      </c>
      <c r="D652" s="10">
        <v>6</v>
      </c>
      <c r="E652" s="10">
        <v>156</v>
      </c>
      <c r="G652" s="10">
        <f t="shared" si="10"/>
        <v>26</v>
      </c>
    </row>
    <row r="653" spans="1:8" ht="45" x14ac:dyDescent="0.25">
      <c r="A653" s="37">
        <v>46187</v>
      </c>
      <c r="C653" s="19" t="s">
        <v>943</v>
      </c>
      <c r="D653" s="10">
        <v>2</v>
      </c>
      <c r="E653" s="10">
        <v>56</v>
      </c>
      <c r="G653" s="10">
        <f t="shared" si="10"/>
        <v>28</v>
      </c>
      <c r="H653">
        <f>SUM(E641:E653)</f>
        <v>900</v>
      </c>
    </row>
    <row r="654" spans="1:8" ht="30" x14ac:dyDescent="0.25">
      <c r="A654" s="37">
        <v>46190</v>
      </c>
      <c r="C654" s="19" t="s">
        <v>946</v>
      </c>
      <c r="D654" s="10">
        <v>24</v>
      </c>
      <c r="E654" s="10">
        <v>900</v>
      </c>
      <c r="G654" s="10">
        <f t="shared" si="10"/>
        <v>37.5</v>
      </c>
    </row>
    <row r="655" spans="1:8" ht="30" x14ac:dyDescent="0.25">
      <c r="A655" s="37">
        <v>46190</v>
      </c>
      <c r="C655" s="19" t="s">
        <v>947</v>
      </c>
      <c r="D655" s="10">
        <v>30</v>
      </c>
      <c r="E655" s="10">
        <v>530</v>
      </c>
      <c r="G655" s="10">
        <f t="shared" si="10"/>
        <v>17.666666666666668</v>
      </c>
    </row>
    <row r="656" spans="1:8" ht="30" x14ac:dyDescent="0.25">
      <c r="A656" s="37">
        <v>46190</v>
      </c>
      <c r="C656" s="19" t="s">
        <v>948</v>
      </c>
      <c r="D656" s="10">
        <v>20</v>
      </c>
      <c r="E656" s="10">
        <v>3980</v>
      </c>
      <c r="G656" s="10">
        <f t="shared" si="10"/>
        <v>199</v>
      </c>
    </row>
    <row r="657" spans="1:7" ht="30" x14ac:dyDescent="0.25">
      <c r="A657" s="37">
        <v>46190</v>
      </c>
      <c r="C657" s="19" t="s">
        <v>949</v>
      </c>
      <c r="D657" s="10">
        <v>170</v>
      </c>
      <c r="E657" s="10">
        <v>145</v>
      </c>
      <c r="G657" s="10">
        <f t="shared" si="10"/>
        <v>0.8529411764705882</v>
      </c>
    </row>
    <row r="658" spans="1:7" ht="30" x14ac:dyDescent="0.25">
      <c r="A658" s="37">
        <v>46190</v>
      </c>
      <c r="C658" s="19" t="s">
        <v>950</v>
      </c>
      <c r="D658" s="10">
        <v>170</v>
      </c>
      <c r="E658" s="10">
        <v>145</v>
      </c>
      <c r="G658" s="10">
        <f t="shared" si="10"/>
        <v>0.8529411764705882</v>
      </c>
    </row>
    <row r="659" spans="1:7" ht="30" x14ac:dyDescent="0.25">
      <c r="A659" s="37">
        <v>46190</v>
      </c>
      <c r="C659" s="19" t="s">
        <v>951</v>
      </c>
      <c r="D659" s="10">
        <v>170</v>
      </c>
      <c r="E659" s="10">
        <v>145</v>
      </c>
      <c r="G659" s="10">
        <f t="shared" si="10"/>
        <v>0.8529411764705882</v>
      </c>
    </row>
    <row r="660" spans="1:7" ht="30" x14ac:dyDescent="0.25">
      <c r="A660" s="37">
        <v>46190</v>
      </c>
      <c r="C660" s="19" t="s">
        <v>952</v>
      </c>
      <c r="D660" s="10">
        <v>350</v>
      </c>
      <c r="E660" s="10">
        <v>155</v>
      </c>
      <c r="G660" s="10">
        <f t="shared" si="10"/>
        <v>0.44285714285714284</v>
      </c>
    </row>
    <row r="661" spans="1:7" ht="30" x14ac:dyDescent="0.25">
      <c r="A661" s="37">
        <v>46190</v>
      </c>
      <c r="C661" s="19" t="s">
        <v>953</v>
      </c>
      <c r="D661" s="10">
        <v>12</v>
      </c>
      <c r="E661" s="10">
        <v>110</v>
      </c>
      <c r="G661" s="10">
        <f t="shared" si="10"/>
        <v>9.1666666666666661</v>
      </c>
    </row>
    <row r="662" spans="1:7" ht="30" x14ac:dyDescent="0.25">
      <c r="A662" s="37">
        <v>46190</v>
      </c>
      <c r="C662" s="19" t="s">
        <v>1201</v>
      </c>
      <c r="D662" s="10">
        <v>2</v>
      </c>
      <c r="E662" s="10">
        <v>160</v>
      </c>
      <c r="G662" s="10">
        <f t="shared" si="10"/>
        <v>80</v>
      </c>
    </row>
    <row r="663" spans="1:7" x14ac:dyDescent="0.25">
      <c r="A663" s="37">
        <v>46190</v>
      </c>
      <c r="C663" s="19" t="s">
        <v>651</v>
      </c>
      <c r="D663" s="10">
        <v>30</v>
      </c>
      <c r="E663" s="10">
        <v>230</v>
      </c>
      <c r="G663" s="10">
        <f t="shared" si="10"/>
        <v>7.666666666666667</v>
      </c>
    </row>
    <row r="664" spans="1:7" ht="45" x14ac:dyDescent="0.25">
      <c r="A664" s="37">
        <v>46190</v>
      </c>
      <c r="C664" s="19" t="s">
        <v>954</v>
      </c>
      <c r="D664" s="10">
        <v>6</v>
      </c>
      <c r="E664" s="10">
        <v>195</v>
      </c>
      <c r="G664" s="10">
        <f t="shared" si="10"/>
        <v>32.5</v>
      </c>
    </row>
    <row r="665" spans="1:7" ht="30" x14ac:dyDescent="0.25">
      <c r="A665" s="37">
        <v>46190</v>
      </c>
      <c r="C665" s="19" t="s">
        <v>955</v>
      </c>
      <c r="D665" s="10">
        <v>3</v>
      </c>
      <c r="E665" s="10">
        <v>162</v>
      </c>
      <c r="G665" s="10">
        <f t="shared" si="10"/>
        <v>54</v>
      </c>
    </row>
    <row r="666" spans="1:7" x14ac:dyDescent="0.25">
      <c r="A666" s="37">
        <v>46190</v>
      </c>
      <c r="C666" s="19" t="s">
        <v>956</v>
      </c>
      <c r="D666" s="10">
        <v>12</v>
      </c>
      <c r="E666" s="10">
        <v>110</v>
      </c>
      <c r="G666" s="10">
        <f t="shared" si="10"/>
        <v>9.1666666666666661</v>
      </c>
    </row>
    <row r="667" spans="1:7" x14ac:dyDescent="0.25">
      <c r="A667" s="37">
        <v>46190</v>
      </c>
      <c r="C667" s="19" t="s">
        <v>957</v>
      </c>
      <c r="D667" s="10">
        <v>6</v>
      </c>
      <c r="E667" s="10">
        <v>55</v>
      </c>
      <c r="G667" s="10">
        <f t="shared" si="10"/>
        <v>9.1666666666666661</v>
      </c>
    </row>
    <row r="668" spans="1:7" ht="30" x14ac:dyDescent="0.25">
      <c r="A668" s="37">
        <v>46190</v>
      </c>
      <c r="C668" s="19" t="s">
        <v>958</v>
      </c>
      <c r="D668" s="10">
        <v>6</v>
      </c>
      <c r="E668" s="10">
        <v>55</v>
      </c>
      <c r="G668" s="10">
        <f t="shared" si="10"/>
        <v>9.1666666666666661</v>
      </c>
    </row>
    <row r="669" spans="1:7" ht="45" x14ac:dyDescent="0.25">
      <c r="A669" s="37">
        <v>46190</v>
      </c>
      <c r="C669" s="19" t="s">
        <v>977</v>
      </c>
      <c r="D669" s="10">
        <v>12</v>
      </c>
      <c r="E669" s="10">
        <v>110</v>
      </c>
      <c r="G669" s="10">
        <f t="shared" si="10"/>
        <v>9.1666666666666661</v>
      </c>
    </row>
    <row r="670" spans="1:7" ht="30" x14ac:dyDescent="0.25">
      <c r="A670" s="37">
        <v>46190</v>
      </c>
      <c r="C670" s="19" t="s">
        <v>959</v>
      </c>
      <c r="D670" s="10">
        <v>3</v>
      </c>
      <c r="E670" s="10">
        <v>60</v>
      </c>
      <c r="G670" s="10">
        <f t="shared" si="10"/>
        <v>20</v>
      </c>
    </row>
    <row r="671" spans="1:7" ht="30" x14ac:dyDescent="0.25">
      <c r="A671" s="37">
        <v>46190</v>
      </c>
      <c r="C671" s="19" t="s">
        <v>960</v>
      </c>
      <c r="D671" s="10">
        <v>108</v>
      </c>
      <c r="E671" s="10">
        <v>486</v>
      </c>
      <c r="G671" s="10">
        <f t="shared" si="10"/>
        <v>4.5</v>
      </c>
    </row>
    <row r="672" spans="1:7" ht="45" x14ac:dyDescent="0.25">
      <c r="A672" s="37">
        <v>46190</v>
      </c>
      <c r="C672" s="19" t="s">
        <v>961</v>
      </c>
      <c r="D672" s="10">
        <v>10</v>
      </c>
      <c r="E672" s="10">
        <v>90</v>
      </c>
      <c r="G672" s="10">
        <f t="shared" si="10"/>
        <v>9</v>
      </c>
    </row>
    <row r="673" spans="1:9" ht="30" x14ac:dyDescent="0.25">
      <c r="A673" s="37">
        <v>46190</v>
      </c>
      <c r="C673" s="19" t="s">
        <v>962</v>
      </c>
      <c r="D673" s="10">
        <v>12</v>
      </c>
      <c r="E673" s="10">
        <v>54</v>
      </c>
      <c r="G673" s="10">
        <f t="shared" si="10"/>
        <v>4.5</v>
      </c>
    </row>
    <row r="674" spans="1:9" ht="30" x14ac:dyDescent="0.25">
      <c r="A674" s="37">
        <v>46190</v>
      </c>
      <c r="C674" s="19" t="s">
        <v>963</v>
      </c>
      <c r="D674" s="10">
        <v>10</v>
      </c>
      <c r="E674" s="10">
        <v>45</v>
      </c>
      <c r="G674" s="10">
        <f t="shared" si="10"/>
        <v>4.5</v>
      </c>
    </row>
    <row r="675" spans="1:9" ht="30" x14ac:dyDescent="0.25">
      <c r="A675" s="37">
        <v>46190</v>
      </c>
      <c r="C675" s="19" t="s">
        <v>964</v>
      </c>
      <c r="D675" s="10">
        <v>24</v>
      </c>
      <c r="E675" s="10">
        <v>210</v>
      </c>
      <c r="G675" s="10">
        <f t="shared" si="10"/>
        <v>8.75</v>
      </c>
    </row>
    <row r="676" spans="1:9" x14ac:dyDescent="0.25">
      <c r="A676" s="37">
        <v>46190</v>
      </c>
      <c r="C676" s="19" t="s">
        <v>965</v>
      </c>
      <c r="D676" s="10">
        <v>3</v>
      </c>
      <c r="E676" s="10">
        <v>135</v>
      </c>
      <c r="G676" s="10">
        <f t="shared" si="10"/>
        <v>45</v>
      </c>
    </row>
    <row r="677" spans="1:9" ht="30" x14ac:dyDescent="0.25">
      <c r="A677" s="37">
        <v>46190</v>
      </c>
      <c r="C677" s="19" t="s">
        <v>966</v>
      </c>
      <c r="D677" s="10">
        <v>100</v>
      </c>
      <c r="E677" s="10">
        <v>90</v>
      </c>
      <c r="G677" s="10">
        <f t="shared" si="10"/>
        <v>0.9</v>
      </c>
    </row>
    <row r="678" spans="1:9" ht="30" x14ac:dyDescent="0.25">
      <c r="A678" s="37">
        <v>46190</v>
      </c>
      <c r="C678" s="19" t="s">
        <v>967</v>
      </c>
      <c r="D678" s="10">
        <v>6</v>
      </c>
      <c r="E678" s="10">
        <v>630</v>
      </c>
      <c r="G678" s="10">
        <f t="shared" si="10"/>
        <v>105</v>
      </c>
    </row>
    <row r="679" spans="1:9" x14ac:dyDescent="0.25">
      <c r="A679" s="37">
        <v>46190</v>
      </c>
      <c r="C679" s="19" t="s">
        <v>968</v>
      </c>
      <c r="D679" s="10">
        <v>6</v>
      </c>
      <c r="E679" s="10">
        <v>300</v>
      </c>
      <c r="G679" s="10">
        <f t="shared" si="10"/>
        <v>50</v>
      </c>
    </row>
    <row r="680" spans="1:9" x14ac:dyDescent="0.25">
      <c r="A680" s="37">
        <v>46190</v>
      </c>
      <c r="C680" s="19" t="s">
        <v>969</v>
      </c>
      <c r="D680" s="10">
        <v>2</v>
      </c>
      <c r="E680" s="10">
        <v>280</v>
      </c>
      <c r="G680" s="10">
        <f t="shared" si="10"/>
        <v>140</v>
      </c>
    </row>
    <row r="681" spans="1:9" ht="30" x14ac:dyDescent="0.25">
      <c r="A681" s="37">
        <v>46190</v>
      </c>
      <c r="C681" s="19" t="s">
        <v>970</v>
      </c>
      <c r="D681" s="10">
        <v>12</v>
      </c>
      <c r="E681" s="10">
        <v>105</v>
      </c>
      <c r="G681" s="10">
        <f t="shared" si="10"/>
        <v>8.75</v>
      </c>
    </row>
    <row r="682" spans="1:9" ht="30" x14ac:dyDescent="0.25">
      <c r="A682" s="37">
        <v>46190</v>
      </c>
      <c r="C682" s="19" t="s">
        <v>971</v>
      </c>
      <c r="D682" s="10">
        <v>10</v>
      </c>
      <c r="E682" s="10">
        <v>85</v>
      </c>
      <c r="G682" s="10">
        <f t="shared" si="10"/>
        <v>8.5</v>
      </c>
    </row>
    <row r="683" spans="1:9" x14ac:dyDescent="0.25">
      <c r="A683" s="37">
        <v>46190</v>
      </c>
      <c r="C683" s="19" t="s">
        <v>972</v>
      </c>
      <c r="D683" s="10">
        <v>6</v>
      </c>
      <c r="E683" s="10">
        <v>210</v>
      </c>
      <c r="G683" s="10">
        <f t="shared" si="10"/>
        <v>35</v>
      </c>
    </row>
    <row r="684" spans="1:9" ht="45" x14ac:dyDescent="0.25">
      <c r="A684" s="37">
        <v>46190</v>
      </c>
      <c r="C684" s="33" t="s">
        <v>973</v>
      </c>
      <c r="D684" s="10">
        <v>25</v>
      </c>
      <c r="E684" s="10">
        <v>470</v>
      </c>
      <c r="G684" s="10">
        <f t="shared" si="10"/>
        <v>18.8</v>
      </c>
    </row>
    <row r="685" spans="1:9" ht="45" x14ac:dyDescent="0.25">
      <c r="A685" s="37">
        <v>46190</v>
      </c>
      <c r="C685" s="33" t="s">
        <v>974</v>
      </c>
      <c r="D685" s="10">
        <v>10</v>
      </c>
      <c r="E685" s="10">
        <v>520</v>
      </c>
      <c r="G685" s="10">
        <f t="shared" si="10"/>
        <v>52</v>
      </c>
    </row>
    <row r="686" spans="1:9" ht="45" x14ac:dyDescent="0.25">
      <c r="A686" s="37">
        <v>46190</v>
      </c>
      <c r="C686" s="33" t="s">
        <v>975</v>
      </c>
      <c r="D686" s="10">
        <v>4</v>
      </c>
      <c r="E686" s="10">
        <v>270</v>
      </c>
      <c r="G686" s="10">
        <f t="shared" si="10"/>
        <v>67.5</v>
      </c>
    </row>
    <row r="687" spans="1:9" ht="45" x14ac:dyDescent="0.25">
      <c r="A687" s="37">
        <v>46190</v>
      </c>
      <c r="C687" s="33" t="s">
        <v>976</v>
      </c>
      <c r="D687" s="10">
        <v>10</v>
      </c>
      <c r="E687" s="10">
        <v>270</v>
      </c>
      <c r="G687" s="10">
        <f t="shared" si="10"/>
        <v>27</v>
      </c>
      <c r="I687">
        <f>SUM(E654:E687)</f>
        <v>11497</v>
      </c>
    </row>
    <row r="688" spans="1:9" x14ac:dyDescent="0.25">
      <c r="A688" s="37">
        <v>46194</v>
      </c>
      <c r="C688" s="19" t="s">
        <v>989</v>
      </c>
      <c r="D688" s="10">
        <v>32</v>
      </c>
      <c r="E688" s="10">
        <v>190</v>
      </c>
      <c r="G688" s="10">
        <f t="shared" si="10"/>
        <v>5.9375</v>
      </c>
    </row>
    <row r="689" spans="1:7" ht="30" x14ac:dyDescent="0.25">
      <c r="A689" s="37">
        <v>46196</v>
      </c>
      <c r="C689" s="33" t="s">
        <v>990</v>
      </c>
      <c r="D689" s="10">
        <v>2</v>
      </c>
      <c r="E689" s="10">
        <v>280</v>
      </c>
      <c r="G689" s="10">
        <f t="shared" si="10"/>
        <v>140</v>
      </c>
    </row>
    <row r="690" spans="1:7" ht="30" x14ac:dyDescent="0.25">
      <c r="A690" s="37">
        <v>46196</v>
      </c>
      <c r="C690" s="19" t="s">
        <v>991</v>
      </c>
      <c r="D690" s="10">
        <v>10</v>
      </c>
      <c r="E690" s="10">
        <v>46</v>
      </c>
      <c r="G690" s="10">
        <f t="shared" si="10"/>
        <v>4.5999999999999996</v>
      </c>
    </row>
    <row r="691" spans="1:7" ht="30" x14ac:dyDescent="0.25">
      <c r="A691" s="37">
        <v>46196</v>
      </c>
      <c r="C691" s="19" t="s">
        <v>992</v>
      </c>
      <c r="D691" s="10">
        <v>1</v>
      </c>
      <c r="E691" s="10">
        <v>59</v>
      </c>
      <c r="G691" s="10">
        <f t="shared" si="10"/>
        <v>59</v>
      </c>
    </row>
    <row r="692" spans="1:7" x14ac:dyDescent="0.25">
      <c r="A692" s="37">
        <v>46197</v>
      </c>
      <c r="C692" s="19" t="s">
        <v>993</v>
      </c>
      <c r="D692" s="10">
        <v>30</v>
      </c>
      <c r="E692" s="10">
        <v>240</v>
      </c>
      <c r="G692" s="10">
        <f t="shared" si="10"/>
        <v>8</v>
      </c>
    </row>
    <row r="693" spans="1:7" x14ac:dyDescent="0.25">
      <c r="A693" s="37">
        <v>46204</v>
      </c>
      <c r="C693" s="19" t="s">
        <v>994</v>
      </c>
      <c r="D693" s="10">
        <v>60</v>
      </c>
      <c r="E693" s="10">
        <v>500</v>
      </c>
      <c r="G693" s="10">
        <f t="shared" si="10"/>
        <v>8.3333333333333339</v>
      </c>
    </row>
    <row r="694" spans="1:7" ht="30" x14ac:dyDescent="0.25">
      <c r="A694" s="37">
        <v>46204</v>
      </c>
      <c r="C694" s="19" t="s">
        <v>995</v>
      </c>
      <c r="D694" s="10">
        <v>26</v>
      </c>
      <c r="E694" s="10">
        <v>1400</v>
      </c>
      <c r="G694" s="10">
        <f t="shared" si="10"/>
        <v>53.846153846153847</v>
      </c>
    </row>
    <row r="695" spans="1:7" ht="30" x14ac:dyDescent="0.25">
      <c r="A695" s="37">
        <v>46204</v>
      </c>
      <c r="C695" s="19" t="s">
        <v>996</v>
      </c>
      <c r="D695" s="10">
        <v>2</v>
      </c>
      <c r="E695" s="10">
        <v>46</v>
      </c>
      <c r="G695" s="10">
        <f t="shared" si="10"/>
        <v>23</v>
      </c>
    </row>
    <row r="696" spans="1:7" ht="45" x14ac:dyDescent="0.25">
      <c r="A696" s="37">
        <v>46204</v>
      </c>
      <c r="C696" s="19" t="s">
        <v>997</v>
      </c>
      <c r="D696" s="10">
        <v>3</v>
      </c>
      <c r="E696" s="10">
        <v>57</v>
      </c>
      <c r="G696" s="10">
        <f t="shared" si="10"/>
        <v>19</v>
      </c>
    </row>
    <row r="697" spans="1:7" ht="30" x14ac:dyDescent="0.25">
      <c r="A697" s="37">
        <v>46204</v>
      </c>
      <c r="C697" s="19" t="s">
        <v>998</v>
      </c>
      <c r="D697" s="10">
        <v>7</v>
      </c>
      <c r="E697" s="10">
        <v>133</v>
      </c>
      <c r="G697" s="10">
        <f t="shared" si="10"/>
        <v>19</v>
      </c>
    </row>
    <row r="698" spans="1:7" ht="45" x14ac:dyDescent="0.25">
      <c r="A698" s="37">
        <v>46204</v>
      </c>
      <c r="C698" s="19" t="s">
        <v>999</v>
      </c>
      <c r="D698" s="10">
        <v>4</v>
      </c>
      <c r="E698" s="10">
        <v>76</v>
      </c>
      <c r="G698" s="10">
        <f t="shared" si="10"/>
        <v>19</v>
      </c>
    </row>
    <row r="699" spans="1:7" ht="30" x14ac:dyDescent="0.25">
      <c r="A699" s="37">
        <v>46204</v>
      </c>
      <c r="C699" s="19" t="s">
        <v>1000</v>
      </c>
      <c r="D699" s="10">
        <v>1</v>
      </c>
      <c r="E699" s="10">
        <v>419</v>
      </c>
      <c r="G699" s="10">
        <f t="shared" si="10"/>
        <v>419</v>
      </c>
    </row>
    <row r="700" spans="1:7" ht="45" x14ac:dyDescent="0.25">
      <c r="A700" s="37">
        <v>46204</v>
      </c>
      <c r="C700" s="19" t="s">
        <v>1001</v>
      </c>
      <c r="D700" s="10">
        <v>1</v>
      </c>
      <c r="E700" s="10">
        <v>414</v>
      </c>
      <c r="G700" s="10">
        <f t="shared" si="10"/>
        <v>414</v>
      </c>
    </row>
    <row r="701" spans="1:7" ht="30" x14ac:dyDescent="0.25">
      <c r="A701" s="37">
        <v>46204</v>
      </c>
      <c r="C701" s="19" t="s">
        <v>1002</v>
      </c>
      <c r="D701" s="10">
        <v>2</v>
      </c>
      <c r="E701" s="10">
        <v>30</v>
      </c>
      <c r="G701" s="10">
        <f t="shared" si="10"/>
        <v>15</v>
      </c>
    </row>
    <row r="702" spans="1:7" ht="45" x14ac:dyDescent="0.25">
      <c r="A702" s="37">
        <v>46204</v>
      </c>
      <c r="C702" s="19" t="s">
        <v>1003</v>
      </c>
      <c r="D702" s="10">
        <v>2</v>
      </c>
      <c r="E702" s="10">
        <v>56</v>
      </c>
      <c r="G702" s="10">
        <f t="shared" si="10"/>
        <v>28</v>
      </c>
    </row>
    <row r="703" spans="1:7" ht="30" x14ac:dyDescent="0.25">
      <c r="A703" s="37">
        <v>46204</v>
      </c>
      <c r="C703" s="19" t="s">
        <v>1004</v>
      </c>
      <c r="D703" s="10">
        <v>1</v>
      </c>
      <c r="E703" s="10">
        <v>25</v>
      </c>
      <c r="G703" s="10">
        <f t="shared" si="10"/>
        <v>25</v>
      </c>
    </row>
    <row r="704" spans="1:7" ht="30" x14ac:dyDescent="0.25">
      <c r="A704" s="37">
        <v>46204</v>
      </c>
      <c r="C704" s="19" t="s">
        <v>1005</v>
      </c>
      <c r="D704" s="10">
        <v>1</v>
      </c>
      <c r="E704" s="10">
        <v>28</v>
      </c>
      <c r="G704" s="10">
        <f t="shared" si="10"/>
        <v>28</v>
      </c>
    </row>
    <row r="705" spans="1:9" ht="45" x14ac:dyDescent="0.25">
      <c r="A705" s="37">
        <v>46204</v>
      </c>
      <c r="C705" s="19" t="s">
        <v>1006</v>
      </c>
      <c r="D705" s="10">
        <v>6</v>
      </c>
      <c r="E705" s="10">
        <v>140</v>
      </c>
      <c r="G705" s="10">
        <f t="shared" si="10"/>
        <v>23.333333333333332</v>
      </c>
    </row>
    <row r="706" spans="1:9" ht="30" x14ac:dyDescent="0.25">
      <c r="A706" s="37">
        <v>46204</v>
      </c>
      <c r="C706" s="19" t="s">
        <v>1007</v>
      </c>
      <c r="D706" s="10">
        <v>6</v>
      </c>
      <c r="E706" s="10">
        <v>198</v>
      </c>
      <c r="G706" s="10">
        <f t="shared" si="10"/>
        <v>33</v>
      </c>
    </row>
    <row r="707" spans="1:9" ht="30" x14ac:dyDescent="0.25">
      <c r="A707" s="37">
        <v>46204</v>
      </c>
      <c r="C707" s="19" t="s">
        <v>1008</v>
      </c>
      <c r="D707" s="10">
        <v>24</v>
      </c>
      <c r="E707" s="10">
        <v>905</v>
      </c>
      <c r="G707" s="10">
        <f t="shared" si="10"/>
        <v>37.708333333333336</v>
      </c>
      <c r="I707">
        <f>SUM(E693:E707)</f>
        <v>4427</v>
      </c>
    </row>
    <row r="708" spans="1:9" ht="30" x14ac:dyDescent="0.25">
      <c r="A708" s="37">
        <v>46204</v>
      </c>
      <c r="C708" s="70" t="s">
        <v>1013</v>
      </c>
      <c r="D708" s="10">
        <v>1</v>
      </c>
      <c r="E708" s="10">
        <v>584</v>
      </c>
      <c r="G708" s="10">
        <f t="shared" si="10"/>
        <v>584</v>
      </c>
    </row>
    <row r="709" spans="1:9" ht="30" x14ac:dyDescent="0.25">
      <c r="A709" s="37">
        <v>46204</v>
      </c>
      <c r="C709" s="19" t="s">
        <v>1017</v>
      </c>
      <c r="D709" s="10">
        <v>3</v>
      </c>
      <c r="E709" s="10">
        <v>57</v>
      </c>
      <c r="G709" s="10">
        <f t="shared" si="10"/>
        <v>19</v>
      </c>
    </row>
    <row r="710" spans="1:9" ht="30" x14ac:dyDescent="0.25">
      <c r="A710" s="37">
        <v>46204</v>
      </c>
      <c r="C710" s="19" t="s">
        <v>1016</v>
      </c>
      <c r="D710" s="10">
        <v>1</v>
      </c>
      <c r="E710" s="10">
        <v>143</v>
      </c>
      <c r="G710" s="10">
        <f t="shared" si="10"/>
        <v>143</v>
      </c>
    </row>
    <row r="711" spans="1:9" x14ac:dyDescent="0.25">
      <c r="A711" s="37">
        <v>46206</v>
      </c>
      <c r="C711" s="19" t="s">
        <v>1024</v>
      </c>
      <c r="D711" s="10">
        <v>10</v>
      </c>
      <c r="E711" s="10">
        <v>180</v>
      </c>
      <c r="G711" s="10">
        <f t="shared" si="10"/>
        <v>18</v>
      </c>
    </row>
    <row r="712" spans="1:9" x14ac:dyDescent="0.25">
      <c r="A712" s="37">
        <v>46206</v>
      </c>
      <c r="C712" s="19" t="s">
        <v>1025</v>
      </c>
      <c r="D712" s="10">
        <v>5</v>
      </c>
      <c r="E712" s="10">
        <v>170</v>
      </c>
      <c r="G712" s="10">
        <f t="shared" si="10"/>
        <v>34</v>
      </c>
    </row>
    <row r="713" spans="1:9" x14ac:dyDescent="0.25">
      <c r="A713" s="37">
        <v>46206</v>
      </c>
      <c r="C713" s="19" t="s">
        <v>1026</v>
      </c>
      <c r="D713" s="10">
        <v>1</v>
      </c>
      <c r="E713" s="10">
        <v>160</v>
      </c>
      <c r="G713" s="10">
        <f t="shared" si="10"/>
        <v>160</v>
      </c>
    </row>
    <row r="714" spans="1:9" x14ac:dyDescent="0.25">
      <c r="A714" s="37">
        <v>46206</v>
      </c>
      <c r="C714" s="19" t="s">
        <v>1027</v>
      </c>
      <c r="D714" s="10">
        <v>1</v>
      </c>
      <c r="E714" s="10">
        <v>140</v>
      </c>
      <c r="G714" s="10">
        <f t="shared" si="10"/>
        <v>140</v>
      </c>
      <c r="H714">
        <f>SUM(E711:E714)</f>
        <v>650</v>
      </c>
    </row>
    <row r="715" spans="1:9" ht="30" x14ac:dyDescent="0.25">
      <c r="A715" s="37">
        <v>46208</v>
      </c>
      <c r="C715" s="33" t="s">
        <v>1039</v>
      </c>
      <c r="D715" s="10">
        <v>3</v>
      </c>
      <c r="E715" s="10">
        <v>165</v>
      </c>
      <c r="G715" s="10">
        <f t="shared" si="10"/>
        <v>55</v>
      </c>
    </row>
    <row r="716" spans="1:9" ht="30" x14ac:dyDescent="0.25">
      <c r="A716" s="37">
        <v>46208</v>
      </c>
      <c r="C716" s="19" t="s">
        <v>1041</v>
      </c>
      <c r="D716" s="10">
        <v>2</v>
      </c>
      <c r="E716" s="10">
        <v>152</v>
      </c>
      <c r="G716" s="10">
        <f t="shared" si="10"/>
        <v>76</v>
      </c>
    </row>
    <row r="717" spans="1:9" x14ac:dyDescent="0.25">
      <c r="A717" s="37">
        <v>46208</v>
      </c>
      <c r="C717" s="19" t="s">
        <v>1042</v>
      </c>
      <c r="D717" s="10">
        <v>1</v>
      </c>
      <c r="E717" s="10">
        <v>50</v>
      </c>
      <c r="G717" s="10">
        <f t="shared" si="10"/>
        <v>50</v>
      </c>
    </row>
    <row r="718" spans="1:9" ht="30" x14ac:dyDescent="0.25">
      <c r="A718" s="37">
        <v>46208</v>
      </c>
      <c r="C718" s="19" t="s">
        <v>1043</v>
      </c>
      <c r="D718" s="10">
        <v>1</v>
      </c>
      <c r="E718" s="10">
        <v>89</v>
      </c>
      <c r="G718" s="10">
        <f t="shared" si="10"/>
        <v>89</v>
      </c>
      <c r="H718">
        <f>SUM(E715:E718)</f>
        <v>456</v>
      </c>
    </row>
    <row r="719" spans="1:9" ht="30" x14ac:dyDescent="0.25">
      <c r="A719" s="37">
        <v>46210</v>
      </c>
      <c r="C719" s="19" t="s">
        <v>1047</v>
      </c>
      <c r="D719" s="10">
        <v>4</v>
      </c>
      <c r="E719" s="10">
        <v>200</v>
      </c>
      <c r="G719" s="10">
        <f t="shared" si="10"/>
        <v>50</v>
      </c>
    </row>
    <row r="720" spans="1:9" ht="30" x14ac:dyDescent="0.25">
      <c r="A720" s="37">
        <v>46210</v>
      </c>
      <c r="C720" s="19" t="s">
        <v>1048</v>
      </c>
      <c r="D720" s="10">
        <v>6</v>
      </c>
      <c r="E720" s="10">
        <v>100</v>
      </c>
      <c r="G720" s="10">
        <f t="shared" si="10"/>
        <v>16.666666666666668</v>
      </c>
    </row>
    <row r="721" spans="1:7" ht="30" x14ac:dyDescent="0.25">
      <c r="A721" s="37">
        <v>46210</v>
      </c>
      <c r="C721" s="19" t="s">
        <v>1049</v>
      </c>
      <c r="D721" s="10">
        <v>4</v>
      </c>
      <c r="E721" s="10">
        <v>100</v>
      </c>
      <c r="G721" s="10">
        <f t="shared" si="10"/>
        <v>25</v>
      </c>
    </row>
    <row r="722" spans="1:7" x14ac:dyDescent="0.25">
      <c r="A722" s="37">
        <v>46210</v>
      </c>
      <c r="C722" s="19" t="s">
        <v>1050</v>
      </c>
      <c r="D722" s="10">
        <v>60</v>
      </c>
      <c r="E722" s="10">
        <v>520</v>
      </c>
      <c r="G722" s="10">
        <f t="shared" si="10"/>
        <v>8.6666666666666661</v>
      </c>
    </row>
    <row r="723" spans="1:7" ht="45" x14ac:dyDescent="0.25">
      <c r="A723" s="37">
        <v>46210</v>
      </c>
      <c r="C723" s="19" t="s">
        <v>1051</v>
      </c>
      <c r="D723" s="10">
        <v>3</v>
      </c>
      <c r="E723" s="10">
        <v>54</v>
      </c>
      <c r="G723" s="10">
        <f t="shared" si="10"/>
        <v>18</v>
      </c>
    </row>
    <row r="724" spans="1:7" ht="30" x14ac:dyDescent="0.25">
      <c r="A724" s="37">
        <v>46210</v>
      </c>
      <c r="C724" s="19" t="s">
        <v>1052</v>
      </c>
      <c r="D724" s="10">
        <v>12</v>
      </c>
      <c r="E724" s="10">
        <v>110</v>
      </c>
      <c r="G724" s="10">
        <f t="shared" si="10"/>
        <v>9.1666666666666661</v>
      </c>
    </row>
    <row r="725" spans="1:7" x14ac:dyDescent="0.25">
      <c r="A725" s="37">
        <v>46210</v>
      </c>
      <c r="C725" s="19" t="s">
        <v>1053</v>
      </c>
      <c r="D725" s="10">
        <v>12</v>
      </c>
      <c r="E725" s="10">
        <v>110</v>
      </c>
      <c r="G725" s="10">
        <f t="shared" si="10"/>
        <v>9.1666666666666661</v>
      </c>
    </row>
    <row r="726" spans="1:7" ht="45" x14ac:dyDescent="0.25">
      <c r="A726" s="37">
        <v>46210</v>
      </c>
      <c r="C726" s="19" t="s">
        <v>1054</v>
      </c>
      <c r="D726" s="10">
        <v>10</v>
      </c>
      <c r="E726" s="10">
        <v>90</v>
      </c>
      <c r="G726" s="10">
        <f t="shared" si="10"/>
        <v>9</v>
      </c>
    </row>
    <row r="727" spans="1:7" ht="30" x14ac:dyDescent="0.25">
      <c r="A727" s="37">
        <v>46210</v>
      </c>
      <c r="C727" s="19" t="s">
        <v>1055</v>
      </c>
      <c r="D727" s="10">
        <v>64</v>
      </c>
      <c r="E727" s="10">
        <v>110</v>
      </c>
      <c r="G727" s="10">
        <f t="shared" si="10"/>
        <v>1.71875</v>
      </c>
    </row>
    <row r="728" spans="1:7" ht="30" x14ac:dyDescent="0.25">
      <c r="A728" s="37">
        <v>46210</v>
      </c>
      <c r="C728" s="19" t="s">
        <v>1056</v>
      </c>
      <c r="D728" s="10">
        <v>6</v>
      </c>
      <c r="E728" s="10">
        <v>55</v>
      </c>
      <c r="G728" s="10">
        <f t="shared" si="10"/>
        <v>9.1666666666666661</v>
      </c>
    </row>
    <row r="729" spans="1:7" ht="30" x14ac:dyDescent="0.25">
      <c r="A729" s="37">
        <v>46210</v>
      </c>
      <c r="C729" s="19" t="s">
        <v>1057</v>
      </c>
      <c r="D729" s="10">
        <v>10</v>
      </c>
      <c r="E729" s="10">
        <v>45</v>
      </c>
      <c r="G729" s="10">
        <f t="shared" si="10"/>
        <v>4.5</v>
      </c>
    </row>
    <row r="730" spans="1:7" ht="30" x14ac:dyDescent="0.25">
      <c r="A730" s="37">
        <v>46210</v>
      </c>
      <c r="C730" s="19" t="s">
        <v>1058</v>
      </c>
      <c r="D730" s="10">
        <v>12</v>
      </c>
      <c r="E730" s="10">
        <v>54</v>
      </c>
      <c r="G730" s="10">
        <f t="shared" si="10"/>
        <v>4.5</v>
      </c>
    </row>
    <row r="731" spans="1:7" x14ac:dyDescent="0.25">
      <c r="A731" s="37">
        <v>46210</v>
      </c>
      <c r="C731" s="19" t="s">
        <v>1059</v>
      </c>
      <c r="D731" s="10">
        <v>6</v>
      </c>
      <c r="E731" s="10">
        <v>54</v>
      </c>
      <c r="G731" s="10">
        <f t="shared" si="10"/>
        <v>9</v>
      </c>
    </row>
    <row r="732" spans="1:7" ht="30" x14ac:dyDescent="0.25">
      <c r="A732" s="37">
        <v>46210</v>
      </c>
      <c r="C732" s="19" t="s">
        <v>1060</v>
      </c>
      <c r="D732" s="10">
        <v>3</v>
      </c>
      <c r="E732" s="10">
        <v>54</v>
      </c>
      <c r="G732" s="10">
        <f t="shared" si="10"/>
        <v>18</v>
      </c>
    </row>
    <row r="733" spans="1:7" ht="30" x14ac:dyDescent="0.25">
      <c r="A733" s="37">
        <v>46210</v>
      </c>
      <c r="C733" s="19" t="s">
        <v>1061</v>
      </c>
      <c r="D733" s="10">
        <v>3</v>
      </c>
      <c r="E733" s="10">
        <v>84</v>
      </c>
      <c r="G733" s="10">
        <f t="shared" si="10"/>
        <v>28</v>
      </c>
    </row>
    <row r="734" spans="1:7" ht="30" x14ac:dyDescent="0.25">
      <c r="A734" s="37">
        <v>46210</v>
      </c>
      <c r="C734" s="19" t="s">
        <v>1062</v>
      </c>
      <c r="D734" s="10">
        <v>12</v>
      </c>
      <c r="E734" s="10">
        <v>110</v>
      </c>
      <c r="G734" s="10">
        <f t="shared" si="10"/>
        <v>9.1666666666666661</v>
      </c>
    </row>
    <row r="735" spans="1:7" ht="30" x14ac:dyDescent="0.25">
      <c r="A735" s="37">
        <v>46210</v>
      </c>
      <c r="C735" s="19" t="s">
        <v>1063</v>
      </c>
      <c r="D735" s="10">
        <v>12</v>
      </c>
      <c r="E735" s="10">
        <v>110</v>
      </c>
      <c r="G735" s="10">
        <f t="shared" si="10"/>
        <v>9.1666666666666661</v>
      </c>
    </row>
    <row r="736" spans="1:7" ht="30" x14ac:dyDescent="0.25">
      <c r="A736" s="37">
        <v>46210</v>
      </c>
      <c r="C736" s="19" t="s">
        <v>1064</v>
      </c>
      <c r="D736" s="10">
        <v>1</v>
      </c>
      <c r="E736" s="10">
        <v>43</v>
      </c>
      <c r="G736" s="10">
        <f t="shared" si="10"/>
        <v>43</v>
      </c>
    </row>
    <row r="737" spans="1:8" ht="45" x14ac:dyDescent="0.25">
      <c r="A737" s="37">
        <v>46210</v>
      </c>
      <c r="C737" s="19" t="s">
        <v>1065</v>
      </c>
      <c r="D737" s="10">
        <v>2</v>
      </c>
      <c r="E737" s="10">
        <v>65</v>
      </c>
      <c r="G737" s="10">
        <f t="shared" si="10"/>
        <v>32.5</v>
      </c>
    </row>
    <row r="738" spans="1:8" ht="45" x14ac:dyDescent="0.25">
      <c r="A738" s="37">
        <v>46210</v>
      </c>
      <c r="C738" s="19" t="s">
        <v>1066</v>
      </c>
      <c r="D738" s="10">
        <v>3</v>
      </c>
      <c r="E738" s="10">
        <v>113</v>
      </c>
      <c r="G738" s="10">
        <f t="shared" si="10"/>
        <v>37.666666666666664</v>
      </c>
    </row>
    <row r="739" spans="1:8" ht="30" x14ac:dyDescent="0.25">
      <c r="A739" s="37">
        <v>46210</v>
      </c>
      <c r="C739" s="19" t="s">
        <v>1067</v>
      </c>
      <c r="D739" s="10">
        <v>12</v>
      </c>
      <c r="E739" s="10">
        <v>110</v>
      </c>
      <c r="G739" s="10">
        <f t="shared" si="10"/>
        <v>9.1666666666666661</v>
      </c>
      <c r="H739">
        <f>SUM(E719:E739)</f>
        <v>2291</v>
      </c>
    </row>
    <row r="740" spans="1:8" x14ac:dyDescent="0.25">
      <c r="A740" s="37">
        <v>46211</v>
      </c>
      <c r="C740" s="19" t="s">
        <v>1070</v>
      </c>
      <c r="D740" s="10">
        <v>10</v>
      </c>
      <c r="E740" s="10">
        <v>180</v>
      </c>
      <c r="G740" s="10">
        <f t="shared" si="10"/>
        <v>18</v>
      </c>
    </row>
    <row r="741" spans="1:8" x14ac:dyDescent="0.25">
      <c r="A741" s="37">
        <v>46211</v>
      </c>
      <c r="C741" s="19" t="s">
        <v>1071</v>
      </c>
      <c r="D741" s="10">
        <v>5</v>
      </c>
      <c r="E741" s="10">
        <v>200</v>
      </c>
      <c r="G741" s="10">
        <f t="shared" si="10"/>
        <v>40</v>
      </c>
    </row>
    <row r="742" spans="1:8" ht="45" x14ac:dyDescent="0.25">
      <c r="A742" s="37">
        <v>46211</v>
      </c>
      <c r="C742" s="19" t="s">
        <v>1072</v>
      </c>
      <c r="D742" s="10">
        <v>5</v>
      </c>
      <c r="E742" s="10">
        <v>125</v>
      </c>
      <c r="G742" s="10">
        <f t="shared" si="10"/>
        <v>25</v>
      </c>
    </row>
    <row r="743" spans="1:8" x14ac:dyDescent="0.25">
      <c r="A743" s="37">
        <v>46211</v>
      </c>
      <c r="C743" s="19" t="s">
        <v>1073</v>
      </c>
      <c r="D743" s="10">
        <v>12</v>
      </c>
      <c r="E743" s="10">
        <v>50</v>
      </c>
      <c r="G743" s="10">
        <f t="shared" si="10"/>
        <v>4.166666666666667</v>
      </c>
    </row>
    <row r="744" spans="1:8" ht="30" x14ac:dyDescent="0.25">
      <c r="A744" s="37">
        <v>46211</v>
      </c>
      <c r="C744" s="19" t="s">
        <v>1074</v>
      </c>
      <c r="D744" s="10">
        <v>6</v>
      </c>
      <c r="E744" s="10">
        <v>55</v>
      </c>
      <c r="G744" s="10">
        <f t="shared" si="10"/>
        <v>9.1666666666666661</v>
      </c>
      <c r="H744">
        <f>SUM(E740:E744)</f>
        <v>610</v>
      </c>
    </row>
    <row r="745" spans="1:8" ht="30" x14ac:dyDescent="0.25">
      <c r="A745" s="37">
        <v>46212</v>
      </c>
      <c r="C745" s="19" t="s">
        <v>1076</v>
      </c>
      <c r="D745" s="10">
        <v>52</v>
      </c>
      <c r="E745" s="10">
        <v>2800</v>
      </c>
      <c r="G745" s="10">
        <f t="shared" si="10"/>
        <v>53.846153846153847</v>
      </c>
    </row>
    <row r="746" spans="1:8" x14ac:dyDescent="0.25">
      <c r="A746" s="37">
        <v>46214</v>
      </c>
      <c r="C746" s="19" t="s">
        <v>1078</v>
      </c>
      <c r="D746" s="10">
        <v>18</v>
      </c>
      <c r="E746" s="10">
        <v>250</v>
      </c>
      <c r="G746" s="10">
        <f t="shared" si="10"/>
        <v>13.888888888888889</v>
      </c>
    </row>
    <row r="747" spans="1:8" x14ac:dyDescent="0.25">
      <c r="A747" s="37">
        <v>46215</v>
      </c>
      <c r="C747" s="19" t="s">
        <v>1088</v>
      </c>
      <c r="D747" s="10">
        <v>90</v>
      </c>
      <c r="E747" s="10">
        <v>750</v>
      </c>
      <c r="G747" s="10">
        <f t="shared" si="10"/>
        <v>8.3333333333333339</v>
      </c>
    </row>
    <row r="748" spans="1:8" x14ac:dyDescent="0.25">
      <c r="A748" s="37">
        <v>46215</v>
      </c>
      <c r="C748" s="19" t="s">
        <v>1089</v>
      </c>
      <c r="D748" s="10">
        <v>10</v>
      </c>
      <c r="E748" s="10">
        <v>580</v>
      </c>
      <c r="G748" s="10">
        <f t="shared" si="10"/>
        <v>58</v>
      </c>
    </row>
    <row r="749" spans="1:8" ht="30" x14ac:dyDescent="0.25">
      <c r="A749" s="37">
        <v>46215</v>
      </c>
      <c r="C749" s="19" t="s">
        <v>1090</v>
      </c>
      <c r="D749" s="10">
        <v>108</v>
      </c>
      <c r="E749" s="10">
        <v>980</v>
      </c>
      <c r="G749" s="10">
        <f t="shared" si="10"/>
        <v>9.0740740740740744</v>
      </c>
    </row>
    <row r="750" spans="1:8" ht="30" x14ac:dyDescent="0.25">
      <c r="A750" s="37">
        <v>46215</v>
      </c>
      <c r="C750" s="19" t="s">
        <v>1091</v>
      </c>
      <c r="D750" s="10">
        <v>48</v>
      </c>
      <c r="E750" s="10">
        <v>1800</v>
      </c>
      <c r="G750" s="10">
        <f t="shared" si="10"/>
        <v>37.5</v>
      </c>
    </row>
    <row r="751" spans="1:8" ht="45" x14ac:dyDescent="0.25">
      <c r="A751" s="37">
        <v>46215</v>
      </c>
      <c r="C751" s="19" t="s">
        <v>1101</v>
      </c>
      <c r="D751" s="10">
        <v>1</v>
      </c>
      <c r="E751" s="10">
        <v>135</v>
      </c>
      <c r="G751" s="10">
        <f t="shared" si="10"/>
        <v>135</v>
      </c>
    </row>
    <row r="752" spans="1:8" ht="45" x14ac:dyDescent="0.25">
      <c r="A752" s="37">
        <v>46215</v>
      </c>
      <c r="C752" s="19" t="s">
        <v>1102</v>
      </c>
      <c r="D752" s="10">
        <v>2</v>
      </c>
      <c r="E752" s="10">
        <v>360</v>
      </c>
      <c r="G752" s="10">
        <f t="shared" si="10"/>
        <v>180</v>
      </c>
    </row>
    <row r="753" spans="1:7" ht="30" x14ac:dyDescent="0.25">
      <c r="A753" s="37">
        <v>46215</v>
      </c>
      <c r="C753" s="19" t="s">
        <v>1103</v>
      </c>
      <c r="D753" s="10">
        <v>2</v>
      </c>
      <c r="E753" s="10">
        <v>270</v>
      </c>
      <c r="G753" s="10">
        <f t="shared" si="10"/>
        <v>135</v>
      </c>
    </row>
    <row r="754" spans="1:7" ht="30" x14ac:dyDescent="0.25">
      <c r="A754" s="37">
        <v>46215</v>
      </c>
      <c r="C754" s="19" t="s">
        <v>1104</v>
      </c>
      <c r="D754" s="10">
        <v>2</v>
      </c>
      <c r="E754" s="10">
        <v>60</v>
      </c>
      <c r="G754" s="10">
        <f t="shared" si="10"/>
        <v>30</v>
      </c>
    </row>
    <row r="755" spans="1:7" ht="30" x14ac:dyDescent="0.25">
      <c r="A755" s="37">
        <v>46215</v>
      </c>
      <c r="C755" s="19" t="s">
        <v>1105</v>
      </c>
      <c r="D755" s="10">
        <v>10</v>
      </c>
      <c r="E755" s="10">
        <v>170</v>
      </c>
      <c r="G755" s="10">
        <f t="shared" si="10"/>
        <v>17</v>
      </c>
    </row>
    <row r="756" spans="1:7" ht="30" x14ac:dyDescent="0.25">
      <c r="A756" s="37">
        <v>46215</v>
      </c>
      <c r="C756" s="19" t="s">
        <v>1106</v>
      </c>
      <c r="D756" s="10">
        <v>10</v>
      </c>
      <c r="E756" s="10">
        <v>180</v>
      </c>
      <c r="G756" s="10">
        <f t="shared" si="10"/>
        <v>18</v>
      </c>
    </row>
    <row r="757" spans="1:7" ht="30" x14ac:dyDescent="0.25">
      <c r="A757" s="37">
        <v>46215</v>
      </c>
      <c r="C757" s="19" t="s">
        <v>1107</v>
      </c>
      <c r="D757" s="10">
        <v>10</v>
      </c>
      <c r="E757" s="10">
        <v>80</v>
      </c>
      <c r="G757" s="10">
        <f t="shared" si="10"/>
        <v>8</v>
      </c>
    </row>
    <row r="758" spans="1:7" ht="30" x14ac:dyDescent="0.25">
      <c r="A758" s="37">
        <v>46215</v>
      </c>
      <c r="C758" s="19" t="s">
        <v>1108</v>
      </c>
      <c r="D758" s="10">
        <v>10</v>
      </c>
      <c r="E758" s="10">
        <v>170</v>
      </c>
      <c r="G758" s="10">
        <f t="shared" si="10"/>
        <v>17</v>
      </c>
    </row>
    <row r="759" spans="1:7" ht="30" x14ac:dyDescent="0.25">
      <c r="A759" s="37">
        <v>46215</v>
      </c>
      <c r="C759" s="19" t="s">
        <v>1109</v>
      </c>
      <c r="D759" s="10">
        <v>20</v>
      </c>
      <c r="E759" s="10">
        <v>350</v>
      </c>
      <c r="G759" s="10">
        <f t="shared" si="10"/>
        <v>17.5</v>
      </c>
    </row>
    <row r="760" spans="1:7" ht="30" x14ac:dyDescent="0.25">
      <c r="A760" s="37">
        <v>46215</v>
      </c>
      <c r="C760" s="19" t="s">
        <v>1110</v>
      </c>
      <c r="D760" s="10">
        <v>2</v>
      </c>
      <c r="E760" s="10">
        <v>480</v>
      </c>
      <c r="G760" s="10">
        <f t="shared" si="10"/>
        <v>240</v>
      </c>
    </row>
    <row r="761" spans="1:7" ht="45" x14ac:dyDescent="0.25">
      <c r="A761" s="37">
        <v>46215</v>
      </c>
      <c r="C761" s="19" t="s">
        <v>1111</v>
      </c>
      <c r="D761" s="10">
        <v>2</v>
      </c>
      <c r="E761" s="10">
        <v>598</v>
      </c>
      <c r="G761" s="10">
        <f t="shared" si="10"/>
        <v>299</v>
      </c>
    </row>
    <row r="762" spans="1:7" ht="30" x14ac:dyDescent="0.25">
      <c r="A762" s="37">
        <v>46215</v>
      </c>
      <c r="C762" s="19" t="s">
        <v>1112</v>
      </c>
      <c r="D762" s="10">
        <v>2</v>
      </c>
      <c r="E762" s="10">
        <v>500</v>
      </c>
      <c r="G762" s="10">
        <f t="shared" si="10"/>
        <v>250</v>
      </c>
    </row>
    <row r="763" spans="1:7" ht="30" x14ac:dyDescent="0.25">
      <c r="A763" s="37">
        <v>46215</v>
      </c>
      <c r="C763" s="19" t="s">
        <v>1092</v>
      </c>
      <c r="D763" s="10">
        <v>4</v>
      </c>
      <c r="E763" s="10">
        <v>76</v>
      </c>
      <c r="G763" s="10">
        <f t="shared" si="10"/>
        <v>19</v>
      </c>
    </row>
    <row r="764" spans="1:7" ht="30" x14ac:dyDescent="0.25">
      <c r="A764" s="37">
        <v>46215</v>
      </c>
      <c r="C764" s="19" t="s">
        <v>1093</v>
      </c>
      <c r="D764" s="10">
        <v>2</v>
      </c>
      <c r="E764" s="10">
        <v>98</v>
      </c>
      <c r="G764" s="10">
        <f t="shared" si="10"/>
        <v>49</v>
      </c>
    </row>
    <row r="765" spans="1:7" ht="30" x14ac:dyDescent="0.25">
      <c r="A765" s="37">
        <v>46215</v>
      </c>
      <c r="C765" s="19" t="s">
        <v>1094</v>
      </c>
      <c r="D765" s="10">
        <v>2</v>
      </c>
      <c r="E765" s="10">
        <v>132</v>
      </c>
      <c r="G765" s="10">
        <f t="shared" si="10"/>
        <v>66</v>
      </c>
    </row>
    <row r="766" spans="1:7" ht="30" x14ac:dyDescent="0.25">
      <c r="A766" s="37">
        <v>46215</v>
      </c>
      <c r="C766" s="19" t="s">
        <v>1095</v>
      </c>
      <c r="D766" s="10">
        <v>2</v>
      </c>
      <c r="E766" s="10">
        <v>98</v>
      </c>
      <c r="G766" s="10">
        <f t="shared" si="10"/>
        <v>49</v>
      </c>
    </row>
    <row r="767" spans="1:7" ht="30" x14ac:dyDescent="0.25">
      <c r="A767" s="37">
        <v>46215</v>
      </c>
      <c r="C767" s="19" t="s">
        <v>1096</v>
      </c>
      <c r="D767" s="10">
        <v>2</v>
      </c>
      <c r="E767" s="10">
        <v>132</v>
      </c>
      <c r="G767" s="10">
        <f t="shared" si="10"/>
        <v>66</v>
      </c>
    </row>
    <row r="768" spans="1:7" ht="45" x14ac:dyDescent="0.25">
      <c r="A768" s="37">
        <v>46215</v>
      </c>
      <c r="C768" s="19" t="s">
        <v>1113</v>
      </c>
      <c r="D768" s="10">
        <v>1</v>
      </c>
      <c r="E768" s="10">
        <v>419</v>
      </c>
      <c r="G768" s="10">
        <f t="shared" si="10"/>
        <v>419</v>
      </c>
    </row>
    <row r="769" spans="1:7" ht="45" x14ac:dyDescent="0.25">
      <c r="A769" s="37">
        <v>46215</v>
      </c>
      <c r="C769" s="19" t="s">
        <v>1114</v>
      </c>
      <c r="D769" s="10">
        <v>3</v>
      </c>
      <c r="E769" s="10">
        <v>150</v>
      </c>
      <c r="G769" s="10">
        <f t="shared" si="10"/>
        <v>50</v>
      </c>
    </row>
    <row r="770" spans="1:7" ht="45" x14ac:dyDescent="0.25">
      <c r="A770" s="37">
        <v>46215</v>
      </c>
      <c r="C770" s="19" t="s">
        <v>1115</v>
      </c>
      <c r="D770" s="10">
        <v>3</v>
      </c>
      <c r="E770" s="10">
        <v>315</v>
      </c>
      <c r="G770" s="10">
        <f t="shared" si="10"/>
        <v>105</v>
      </c>
    </row>
    <row r="771" spans="1:7" ht="30" x14ac:dyDescent="0.25">
      <c r="A771" s="37">
        <v>46215</v>
      </c>
      <c r="C771" s="19" t="s">
        <v>1100</v>
      </c>
      <c r="D771" s="10">
        <v>2</v>
      </c>
      <c r="E771" s="10">
        <v>330</v>
      </c>
      <c r="G771" s="10">
        <f t="shared" si="10"/>
        <v>165</v>
      </c>
    </row>
    <row r="772" spans="1:7" ht="30" x14ac:dyDescent="0.25">
      <c r="A772" s="37">
        <v>46215</v>
      </c>
      <c r="C772" s="19" t="s">
        <v>1099</v>
      </c>
      <c r="D772" s="10">
        <v>10</v>
      </c>
      <c r="E772" s="10">
        <v>350</v>
      </c>
      <c r="G772" s="10">
        <f t="shared" si="10"/>
        <v>35</v>
      </c>
    </row>
    <row r="773" spans="1:7" ht="30" x14ac:dyDescent="0.25">
      <c r="A773" s="37">
        <v>46215</v>
      </c>
      <c r="C773" s="19" t="s">
        <v>1098</v>
      </c>
      <c r="D773" s="10">
        <v>10</v>
      </c>
      <c r="E773" s="10">
        <v>150</v>
      </c>
      <c r="G773" s="10">
        <f t="shared" si="10"/>
        <v>15</v>
      </c>
    </row>
    <row r="774" spans="1:7" x14ac:dyDescent="0.25">
      <c r="A774" s="37">
        <v>46215</v>
      </c>
      <c r="C774" s="19" t="s">
        <v>1097</v>
      </c>
      <c r="D774" s="10">
        <v>250</v>
      </c>
      <c r="E774" s="10">
        <v>250</v>
      </c>
      <c r="G774" s="10">
        <f t="shared" si="10"/>
        <v>1</v>
      </c>
    </row>
    <row r="775" spans="1:7" ht="30" x14ac:dyDescent="0.25">
      <c r="A775" s="37">
        <v>46215</v>
      </c>
      <c r="C775" s="19" t="s">
        <v>1116</v>
      </c>
      <c r="D775" s="10">
        <v>12</v>
      </c>
      <c r="E775" s="10">
        <v>110</v>
      </c>
      <c r="G775" s="10">
        <f t="shared" si="10"/>
        <v>9.1666666666666661</v>
      </c>
    </row>
    <row r="776" spans="1:7" ht="30" x14ac:dyDescent="0.25">
      <c r="A776" s="37">
        <v>46215</v>
      </c>
      <c r="C776" s="19" t="s">
        <v>1117</v>
      </c>
      <c r="D776" s="10">
        <v>1</v>
      </c>
      <c r="E776" s="10">
        <v>260</v>
      </c>
      <c r="G776" s="10">
        <f t="shared" si="10"/>
        <v>260</v>
      </c>
    </row>
    <row r="777" spans="1:7" ht="30" x14ac:dyDescent="0.25">
      <c r="A777" s="37">
        <v>46215</v>
      </c>
      <c r="C777" s="19" t="s">
        <v>1118</v>
      </c>
      <c r="D777" s="10">
        <v>3</v>
      </c>
      <c r="E777" s="10">
        <v>225</v>
      </c>
      <c r="G777" s="10">
        <f t="shared" si="10"/>
        <v>75</v>
      </c>
    </row>
    <row r="778" spans="1:7" x14ac:dyDescent="0.25">
      <c r="A778" s="37">
        <v>46215</v>
      </c>
      <c r="C778" s="19" t="s">
        <v>1119</v>
      </c>
      <c r="D778" s="10">
        <v>1</v>
      </c>
      <c r="E778" s="10">
        <v>520</v>
      </c>
      <c r="G778" s="10">
        <f t="shared" si="10"/>
        <v>520</v>
      </c>
    </row>
    <row r="779" spans="1:7" ht="30" x14ac:dyDescent="0.25">
      <c r="A779" s="37">
        <v>46215</v>
      </c>
      <c r="C779" s="19" t="s">
        <v>1120</v>
      </c>
      <c r="D779" s="10">
        <v>6</v>
      </c>
      <c r="E779" s="10">
        <v>275</v>
      </c>
      <c r="G779" s="10">
        <f t="shared" si="10"/>
        <v>45.833333333333336</v>
      </c>
    </row>
    <row r="780" spans="1:7" ht="45" x14ac:dyDescent="0.25">
      <c r="A780" s="37">
        <v>46215</v>
      </c>
      <c r="C780" s="33" t="s">
        <v>1121</v>
      </c>
      <c r="D780" s="10">
        <v>3</v>
      </c>
      <c r="E780" s="10">
        <v>570</v>
      </c>
      <c r="G780" s="10">
        <f t="shared" si="10"/>
        <v>190</v>
      </c>
    </row>
    <row r="781" spans="1:7" ht="30" x14ac:dyDescent="0.25">
      <c r="A781" s="37">
        <v>46215</v>
      </c>
      <c r="C781" s="19" t="s">
        <v>1123</v>
      </c>
      <c r="D781" s="10">
        <v>2</v>
      </c>
      <c r="E781" s="10">
        <v>50</v>
      </c>
      <c r="G781" s="10">
        <f t="shared" si="10"/>
        <v>25</v>
      </c>
    </row>
    <row r="782" spans="1:7" ht="30" x14ac:dyDescent="0.25">
      <c r="A782" s="37">
        <v>46215</v>
      </c>
      <c r="C782" s="33" t="s">
        <v>1122</v>
      </c>
      <c r="D782" s="10">
        <v>3</v>
      </c>
      <c r="E782" s="10">
        <v>255</v>
      </c>
      <c r="G782" s="10">
        <f t="shared" si="10"/>
        <v>85</v>
      </c>
    </row>
    <row r="783" spans="1:7" ht="30" x14ac:dyDescent="0.25">
      <c r="A783" s="37">
        <v>46215</v>
      </c>
      <c r="C783" s="19" t="s">
        <v>1150</v>
      </c>
      <c r="D783" s="10">
        <v>1</v>
      </c>
      <c r="E783" s="10">
        <v>100</v>
      </c>
      <c r="G783" s="10">
        <f t="shared" si="10"/>
        <v>100</v>
      </c>
    </row>
    <row r="784" spans="1:7" ht="30" x14ac:dyDescent="0.25">
      <c r="A784" s="37">
        <v>46215</v>
      </c>
      <c r="C784" s="19" t="s">
        <v>1124</v>
      </c>
      <c r="D784" s="10">
        <v>11</v>
      </c>
      <c r="E784" s="10">
        <v>108</v>
      </c>
      <c r="G784" s="10">
        <f t="shared" si="10"/>
        <v>9.8181818181818183</v>
      </c>
    </row>
    <row r="785" spans="1:7" ht="30" x14ac:dyDescent="0.25">
      <c r="A785" s="37">
        <v>46215</v>
      </c>
      <c r="C785" s="19" t="s">
        <v>1125</v>
      </c>
      <c r="D785" s="10">
        <v>12</v>
      </c>
      <c r="E785" s="10">
        <v>480</v>
      </c>
      <c r="G785" s="10">
        <f t="shared" si="10"/>
        <v>40</v>
      </c>
    </row>
    <row r="786" spans="1:7" ht="30" x14ac:dyDescent="0.25">
      <c r="A786" s="37">
        <v>46215</v>
      </c>
      <c r="C786" s="19" t="s">
        <v>1126</v>
      </c>
      <c r="D786" s="10">
        <v>12</v>
      </c>
      <c r="E786" s="10">
        <v>100</v>
      </c>
      <c r="G786" s="10">
        <f t="shared" si="10"/>
        <v>8.3333333333333339</v>
      </c>
    </row>
    <row r="787" spans="1:7" ht="30" x14ac:dyDescent="0.25">
      <c r="A787" s="37">
        <v>46215</v>
      </c>
      <c r="C787" s="19" t="s">
        <v>1127</v>
      </c>
      <c r="D787" s="10">
        <v>45</v>
      </c>
      <c r="E787" s="10">
        <v>405</v>
      </c>
      <c r="G787" s="10">
        <f t="shared" si="10"/>
        <v>9</v>
      </c>
    </row>
    <row r="788" spans="1:7" ht="30" x14ac:dyDescent="0.25">
      <c r="A788" s="37">
        <v>46215</v>
      </c>
      <c r="C788" s="19" t="s">
        <v>1128</v>
      </c>
      <c r="D788" s="10">
        <v>10</v>
      </c>
      <c r="E788" s="10">
        <v>270</v>
      </c>
      <c r="G788" s="10">
        <f t="shared" si="10"/>
        <v>27</v>
      </c>
    </row>
    <row r="789" spans="1:7" ht="30" x14ac:dyDescent="0.25">
      <c r="A789" s="37">
        <v>46215</v>
      </c>
      <c r="C789" s="19" t="s">
        <v>1129</v>
      </c>
      <c r="D789" s="10">
        <v>6</v>
      </c>
      <c r="E789" s="10">
        <v>120</v>
      </c>
      <c r="G789" s="10">
        <f t="shared" si="10"/>
        <v>20</v>
      </c>
    </row>
    <row r="790" spans="1:7" ht="30" x14ac:dyDescent="0.25">
      <c r="A790" s="37">
        <v>46215</v>
      </c>
      <c r="C790" s="19" t="s">
        <v>1130</v>
      </c>
      <c r="D790" s="10">
        <v>6</v>
      </c>
      <c r="E790" s="10">
        <v>588</v>
      </c>
      <c r="G790" s="10">
        <f t="shared" si="10"/>
        <v>98</v>
      </c>
    </row>
    <row r="791" spans="1:7" x14ac:dyDescent="0.25">
      <c r="A791" s="37">
        <v>46215</v>
      </c>
      <c r="C791" s="19" t="s">
        <v>1131</v>
      </c>
      <c r="D791" s="10">
        <v>40</v>
      </c>
      <c r="E791" s="10">
        <v>180</v>
      </c>
      <c r="G791" s="10">
        <f t="shared" si="10"/>
        <v>4.5</v>
      </c>
    </row>
    <row r="792" spans="1:7" ht="30" x14ac:dyDescent="0.25">
      <c r="A792" s="37">
        <v>46215</v>
      </c>
      <c r="C792" s="19" t="s">
        <v>1132</v>
      </c>
      <c r="D792" s="10">
        <v>4</v>
      </c>
      <c r="E792" s="10">
        <v>220</v>
      </c>
      <c r="G792" s="10">
        <f t="shared" si="10"/>
        <v>55</v>
      </c>
    </row>
    <row r="793" spans="1:7" ht="30" x14ac:dyDescent="0.25">
      <c r="A793" s="37">
        <v>46215</v>
      </c>
      <c r="C793" s="19" t="s">
        <v>1133</v>
      </c>
      <c r="D793" s="10">
        <v>10</v>
      </c>
      <c r="E793" s="10">
        <v>185</v>
      </c>
      <c r="G793" s="10">
        <f t="shared" si="10"/>
        <v>18.5</v>
      </c>
    </row>
    <row r="794" spans="1:7" ht="30" x14ac:dyDescent="0.25">
      <c r="A794" s="37">
        <v>46215</v>
      </c>
      <c r="C794" s="19" t="s">
        <v>1148</v>
      </c>
      <c r="D794" s="10">
        <v>10</v>
      </c>
      <c r="E794" s="10">
        <v>90</v>
      </c>
      <c r="G794" s="10">
        <f t="shared" si="10"/>
        <v>9</v>
      </c>
    </row>
    <row r="795" spans="1:7" ht="30" x14ac:dyDescent="0.25">
      <c r="A795" s="37">
        <v>46215</v>
      </c>
      <c r="C795" s="19" t="s">
        <v>1134</v>
      </c>
      <c r="D795" s="10">
        <v>3</v>
      </c>
      <c r="E795" s="10">
        <v>113</v>
      </c>
      <c r="G795" s="10">
        <f t="shared" si="10"/>
        <v>37.666666666666664</v>
      </c>
    </row>
    <row r="796" spans="1:7" x14ac:dyDescent="0.25">
      <c r="A796" s="37">
        <v>46215</v>
      </c>
      <c r="C796" s="19" t="s">
        <v>1149</v>
      </c>
      <c r="D796" s="10">
        <v>3</v>
      </c>
      <c r="E796" s="10">
        <v>81</v>
      </c>
      <c r="G796" s="10">
        <f t="shared" si="10"/>
        <v>27</v>
      </c>
    </row>
    <row r="797" spans="1:7" ht="30" x14ac:dyDescent="0.25">
      <c r="A797" s="37">
        <v>46215</v>
      </c>
      <c r="C797" s="19" t="s">
        <v>1135</v>
      </c>
      <c r="D797" s="10">
        <v>6</v>
      </c>
      <c r="E797" s="10">
        <v>55</v>
      </c>
      <c r="G797" s="10">
        <f t="shared" si="10"/>
        <v>9.1666666666666661</v>
      </c>
    </row>
    <row r="798" spans="1:7" ht="30" x14ac:dyDescent="0.25">
      <c r="A798" s="37">
        <v>46215</v>
      </c>
      <c r="C798" s="19" t="s">
        <v>1136</v>
      </c>
      <c r="D798" s="10">
        <v>6</v>
      </c>
      <c r="E798" s="10">
        <v>55</v>
      </c>
      <c r="G798" s="10">
        <f t="shared" si="10"/>
        <v>9.1666666666666661</v>
      </c>
    </row>
    <row r="799" spans="1:7" x14ac:dyDescent="0.25">
      <c r="A799" s="37">
        <v>46215</v>
      </c>
      <c r="C799" s="19" t="s">
        <v>1137</v>
      </c>
      <c r="D799" s="10">
        <v>6</v>
      </c>
      <c r="E799" s="10">
        <v>222</v>
      </c>
      <c r="G799" s="10">
        <f t="shared" si="10"/>
        <v>37</v>
      </c>
    </row>
    <row r="800" spans="1:7" x14ac:dyDescent="0.25">
      <c r="A800" s="37">
        <v>46215</v>
      </c>
      <c r="C800" s="19" t="s">
        <v>1138</v>
      </c>
      <c r="D800" s="10">
        <v>32</v>
      </c>
      <c r="E800" s="10">
        <v>150</v>
      </c>
      <c r="G800" s="10">
        <f t="shared" si="10"/>
        <v>4.6875</v>
      </c>
    </row>
    <row r="801" spans="1:8" ht="30" x14ac:dyDescent="0.25">
      <c r="A801" s="37">
        <v>46215</v>
      </c>
      <c r="C801" s="19" t="s">
        <v>1139</v>
      </c>
      <c r="D801" s="10">
        <v>24</v>
      </c>
      <c r="E801" s="10">
        <v>110</v>
      </c>
      <c r="G801" s="10">
        <f t="shared" si="10"/>
        <v>4.583333333333333</v>
      </c>
    </row>
    <row r="802" spans="1:8" ht="30" x14ac:dyDescent="0.25">
      <c r="A802" s="37">
        <v>46215</v>
      </c>
      <c r="C802" s="19" t="s">
        <v>1140</v>
      </c>
      <c r="D802" s="10">
        <v>24</v>
      </c>
      <c r="E802" s="10">
        <v>112</v>
      </c>
      <c r="G802" s="10">
        <f t="shared" si="10"/>
        <v>4.666666666666667</v>
      </c>
    </row>
    <row r="803" spans="1:8" ht="30" x14ac:dyDescent="0.25">
      <c r="A803" s="37">
        <v>46215</v>
      </c>
      <c r="C803" s="19" t="s">
        <v>1141</v>
      </c>
      <c r="D803" s="10">
        <v>12</v>
      </c>
      <c r="E803" s="10">
        <v>110</v>
      </c>
      <c r="G803" s="10">
        <f t="shared" si="10"/>
        <v>9.1666666666666661</v>
      </c>
    </row>
    <row r="804" spans="1:8" x14ac:dyDescent="0.25">
      <c r="A804" s="37">
        <v>46215</v>
      </c>
      <c r="C804" s="19" t="s">
        <v>1142</v>
      </c>
      <c r="D804" s="10">
        <v>24</v>
      </c>
      <c r="E804" s="10">
        <v>110</v>
      </c>
      <c r="G804" s="10">
        <f t="shared" si="10"/>
        <v>4.583333333333333</v>
      </c>
    </row>
    <row r="805" spans="1:8" x14ac:dyDescent="0.25">
      <c r="A805" s="37">
        <v>46215</v>
      </c>
      <c r="C805" s="19" t="s">
        <v>1143</v>
      </c>
      <c r="D805" s="10">
        <v>12</v>
      </c>
      <c r="E805" s="10">
        <v>55</v>
      </c>
      <c r="G805" s="10">
        <f t="shared" si="10"/>
        <v>4.583333333333333</v>
      </c>
    </row>
    <row r="806" spans="1:8" ht="45" x14ac:dyDescent="0.25">
      <c r="A806" s="37">
        <v>46215</v>
      </c>
      <c r="C806" s="19" t="s">
        <v>1144</v>
      </c>
      <c r="D806" s="10">
        <v>12</v>
      </c>
      <c r="E806" s="10">
        <v>55</v>
      </c>
      <c r="G806" s="10">
        <f t="shared" si="10"/>
        <v>4.583333333333333</v>
      </c>
    </row>
    <row r="807" spans="1:8" ht="30" x14ac:dyDescent="0.25">
      <c r="A807" s="37">
        <v>46215</v>
      </c>
      <c r="C807" s="19" t="s">
        <v>1145</v>
      </c>
      <c r="D807" s="10">
        <v>10</v>
      </c>
      <c r="E807" s="10">
        <v>90</v>
      </c>
      <c r="G807" s="10">
        <f t="shared" si="10"/>
        <v>9</v>
      </c>
    </row>
    <row r="808" spans="1:8" ht="30" x14ac:dyDescent="0.25">
      <c r="A808" s="37">
        <v>46215</v>
      </c>
      <c r="C808" s="19" t="s">
        <v>1146</v>
      </c>
      <c r="D808" s="10">
        <v>12</v>
      </c>
      <c r="E808" s="10">
        <v>110</v>
      </c>
      <c r="G808" s="10">
        <f t="shared" si="10"/>
        <v>9.1666666666666661</v>
      </c>
    </row>
    <row r="809" spans="1:8" ht="30" x14ac:dyDescent="0.25">
      <c r="A809" s="37">
        <v>46215</v>
      </c>
      <c r="C809" s="19" t="s">
        <v>1147</v>
      </c>
      <c r="D809" s="10">
        <v>24</v>
      </c>
      <c r="E809" s="10">
        <v>220</v>
      </c>
      <c r="G809" s="10">
        <f t="shared" si="10"/>
        <v>9.1666666666666661</v>
      </c>
      <c r="H809">
        <f>SUM(E747:E809)</f>
        <v>16722</v>
      </c>
    </row>
    <row r="810" spans="1:8" x14ac:dyDescent="0.25">
      <c r="A810" s="37">
        <v>46222</v>
      </c>
      <c r="C810" s="19" t="s">
        <v>1151</v>
      </c>
      <c r="D810" s="10">
        <v>32</v>
      </c>
      <c r="E810" s="10">
        <v>180</v>
      </c>
      <c r="G810" s="10">
        <f t="shared" si="10"/>
        <v>5.625</v>
      </c>
    </row>
    <row r="811" spans="1:8" x14ac:dyDescent="0.25">
      <c r="A811" s="37">
        <v>46222</v>
      </c>
      <c r="C811" s="19" t="s">
        <v>1152</v>
      </c>
      <c r="D811" s="10">
        <v>24</v>
      </c>
      <c r="E811" s="10">
        <v>180</v>
      </c>
      <c r="G811" s="10">
        <f t="shared" si="10"/>
        <v>7.5</v>
      </c>
      <c r="H811">
        <f>SUM(E810:E811)</f>
        <v>360</v>
      </c>
    </row>
    <row r="812" spans="1:8" x14ac:dyDescent="0.25">
      <c r="A812" s="37">
        <v>46224</v>
      </c>
      <c r="C812" s="19" t="s">
        <v>1153</v>
      </c>
      <c r="D812" s="10">
        <v>60</v>
      </c>
      <c r="E812" s="10">
        <v>560</v>
      </c>
      <c r="G812" s="10">
        <f t="shared" si="10"/>
        <v>9.3333333333333339</v>
      </c>
    </row>
    <row r="813" spans="1:8" x14ac:dyDescent="0.25">
      <c r="A813" s="37">
        <v>46224</v>
      </c>
      <c r="C813" s="19" t="s">
        <v>1155</v>
      </c>
      <c r="D813" s="10">
        <v>8</v>
      </c>
      <c r="E813" s="10">
        <v>160</v>
      </c>
      <c r="G813" s="10">
        <f t="shared" si="10"/>
        <v>20</v>
      </c>
    </row>
    <row r="814" spans="1:8" x14ac:dyDescent="0.25">
      <c r="A814" s="37">
        <v>46224</v>
      </c>
      <c r="C814" s="19" t="s">
        <v>1154</v>
      </c>
      <c r="D814" s="10">
        <v>5</v>
      </c>
      <c r="E814" s="10">
        <v>180</v>
      </c>
      <c r="G814" s="10">
        <f t="shared" si="10"/>
        <v>36</v>
      </c>
    </row>
    <row r="815" spans="1:8" x14ac:dyDescent="0.25">
      <c r="A815" s="37">
        <v>46224</v>
      </c>
      <c r="C815" s="19" t="s">
        <v>1156</v>
      </c>
      <c r="D815" s="10">
        <v>1</v>
      </c>
      <c r="E815" s="10">
        <v>180</v>
      </c>
      <c r="G815" s="10">
        <f t="shared" si="10"/>
        <v>180</v>
      </c>
      <c r="H815">
        <f>SUM(E812:E815)</f>
        <v>1080</v>
      </c>
    </row>
    <row r="816" spans="1:8" x14ac:dyDescent="0.25">
      <c r="A816" s="37">
        <v>46228</v>
      </c>
      <c r="C816" s="19" t="s">
        <v>1157</v>
      </c>
      <c r="D816" s="10">
        <v>60</v>
      </c>
      <c r="E816" s="10">
        <v>550</v>
      </c>
      <c r="G816" s="10">
        <f t="shared" si="10"/>
        <v>9.1666666666666661</v>
      </c>
    </row>
    <row r="817" spans="1:8" x14ac:dyDescent="0.25">
      <c r="A817" s="37">
        <v>46228</v>
      </c>
      <c r="C817" s="19" t="s">
        <v>1158</v>
      </c>
      <c r="D817" s="10">
        <v>10</v>
      </c>
      <c r="E817" s="10">
        <v>270</v>
      </c>
      <c r="G817" s="10">
        <f t="shared" si="10"/>
        <v>27</v>
      </c>
    </row>
    <row r="818" spans="1:8" x14ac:dyDescent="0.25">
      <c r="A818" s="37">
        <v>46228</v>
      </c>
      <c r="C818" s="19" t="s">
        <v>1159</v>
      </c>
      <c r="D818" s="10">
        <v>5</v>
      </c>
      <c r="E818" s="10">
        <v>270</v>
      </c>
      <c r="G818" s="10">
        <f t="shared" si="10"/>
        <v>54</v>
      </c>
      <c r="H818">
        <f>SUM(E816:E818)</f>
        <v>1090</v>
      </c>
    </row>
    <row r="819" spans="1:8" x14ac:dyDescent="0.25">
      <c r="A819" s="37">
        <v>46230</v>
      </c>
      <c r="C819" s="19" t="s">
        <v>1160</v>
      </c>
      <c r="D819" s="10">
        <v>3</v>
      </c>
      <c r="E819" s="10">
        <v>84</v>
      </c>
      <c r="G819" s="10">
        <f t="shared" si="10"/>
        <v>28</v>
      </c>
    </row>
    <row r="820" spans="1:8" x14ac:dyDescent="0.25">
      <c r="A820" s="37">
        <v>46230</v>
      </c>
      <c r="C820" s="19" t="s">
        <v>1161</v>
      </c>
      <c r="D820" s="10">
        <v>3</v>
      </c>
      <c r="E820" s="10">
        <v>45</v>
      </c>
      <c r="G820" s="10">
        <f t="shared" si="10"/>
        <v>15</v>
      </c>
    </row>
    <row r="821" spans="1:8" x14ac:dyDescent="0.25">
      <c r="A821" s="37">
        <v>46230</v>
      </c>
      <c r="C821" s="19" t="s">
        <v>1162</v>
      </c>
      <c r="D821" s="10">
        <v>32</v>
      </c>
      <c r="E821" s="10">
        <v>140</v>
      </c>
      <c r="G821" s="10">
        <f t="shared" si="10"/>
        <v>4.375</v>
      </c>
    </row>
    <row r="822" spans="1:8" x14ac:dyDescent="0.25">
      <c r="A822" s="37">
        <v>46230</v>
      </c>
      <c r="C822" s="19" t="s">
        <v>1163</v>
      </c>
      <c r="D822" s="10">
        <v>26</v>
      </c>
      <c r="E822" s="10">
        <v>220</v>
      </c>
      <c r="G822" s="10">
        <f t="shared" si="10"/>
        <v>8.4615384615384617</v>
      </c>
    </row>
    <row r="823" spans="1:8" ht="30" x14ac:dyDescent="0.25">
      <c r="A823" s="37">
        <v>46230</v>
      </c>
      <c r="C823" s="19" t="s">
        <v>1164</v>
      </c>
      <c r="D823" s="10">
        <v>12</v>
      </c>
      <c r="E823" s="10">
        <v>280</v>
      </c>
      <c r="G823" s="10">
        <f t="shared" si="10"/>
        <v>23.333333333333332</v>
      </c>
    </row>
    <row r="824" spans="1:8" ht="30" x14ac:dyDescent="0.25">
      <c r="A824" s="37">
        <v>46230</v>
      </c>
      <c r="C824" s="19" t="s">
        <v>1165</v>
      </c>
      <c r="D824" s="10">
        <v>170</v>
      </c>
      <c r="E824" s="10">
        <v>145</v>
      </c>
      <c r="G824" s="10">
        <f t="shared" si="10"/>
        <v>0.8529411764705882</v>
      </c>
    </row>
    <row r="825" spans="1:8" ht="30" x14ac:dyDescent="0.25">
      <c r="A825" s="37">
        <v>46230</v>
      </c>
      <c r="C825" s="19" t="s">
        <v>1166</v>
      </c>
      <c r="D825" s="10">
        <v>210</v>
      </c>
      <c r="E825" s="10">
        <v>190</v>
      </c>
      <c r="G825" s="10">
        <f t="shared" si="10"/>
        <v>0.90476190476190477</v>
      </c>
    </row>
    <row r="826" spans="1:8" ht="30" x14ac:dyDescent="0.25">
      <c r="A826" s="37">
        <v>46230</v>
      </c>
      <c r="C826" s="19" t="s">
        <v>1167</v>
      </c>
      <c r="D826" s="10">
        <v>9</v>
      </c>
      <c r="E826" s="10">
        <v>81</v>
      </c>
      <c r="G826" s="10">
        <f t="shared" si="10"/>
        <v>9</v>
      </c>
    </row>
    <row r="827" spans="1:8" ht="30" x14ac:dyDescent="0.25">
      <c r="A827" s="37">
        <v>46230</v>
      </c>
      <c r="C827" s="19" t="s">
        <v>1168</v>
      </c>
      <c r="D827" s="10">
        <v>48</v>
      </c>
      <c r="E827" s="10">
        <v>440</v>
      </c>
      <c r="G827" s="10">
        <f t="shared" si="10"/>
        <v>9.1666666666666661</v>
      </c>
    </row>
    <row r="828" spans="1:8" ht="45" x14ac:dyDescent="0.25">
      <c r="A828" s="37">
        <v>46230</v>
      </c>
      <c r="C828" s="19" t="s">
        <v>1170</v>
      </c>
      <c r="D828" s="10">
        <v>3</v>
      </c>
      <c r="E828" s="10">
        <v>450</v>
      </c>
      <c r="G828" s="10">
        <f t="shared" si="10"/>
        <v>150</v>
      </c>
    </row>
    <row r="829" spans="1:8" ht="60" x14ac:dyDescent="0.25">
      <c r="A829" s="37">
        <v>46230</v>
      </c>
      <c r="C829" s="33" t="s">
        <v>1169</v>
      </c>
      <c r="D829" s="10">
        <v>10</v>
      </c>
      <c r="E829" s="10">
        <v>340</v>
      </c>
      <c r="G829" s="10">
        <f t="shared" si="10"/>
        <v>34</v>
      </c>
    </row>
    <row r="830" spans="1:8" ht="30" x14ac:dyDescent="0.25">
      <c r="A830" s="37">
        <v>46230</v>
      </c>
      <c r="C830" s="19" t="s">
        <v>1171</v>
      </c>
      <c r="D830" s="10">
        <v>6</v>
      </c>
      <c r="E830" s="10">
        <v>324</v>
      </c>
      <c r="G830" s="10">
        <f t="shared" si="10"/>
        <v>54</v>
      </c>
    </row>
    <row r="831" spans="1:8" ht="45" x14ac:dyDescent="0.25">
      <c r="A831" s="37">
        <v>46230</v>
      </c>
      <c r="C831" s="33" t="s">
        <v>1172</v>
      </c>
      <c r="D831" s="10">
        <v>3</v>
      </c>
      <c r="E831" s="10">
        <v>570</v>
      </c>
      <c r="G831" s="10">
        <f t="shared" si="10"/>
        <v>190</v>
      </c>
    </row>
    <row r="832" spans="1:8" ht="30" x14ac:dyDescent="0.25">
      <c r="A832" s="37">
        <v>46230</v>
      </c>
      <c r="C832" s="19" t="s">
        <v>1181</v>
      </c>
      <c r="D832" s="10">
        <v>1</v>
      </c>
      <c r="E832" s="10">
        <v>90</v>
      </c>
      <c r="G832" s="10">
        <f t="shared" si="10"/>
        <v>90</v>
      </c>
    </row>
    <row r="833" spans="1:8" ht="30" x14ac:dyDescent="0.25">
      <c r="A833" s="37">
        <v>46230</v>
      </c>
      <c r="C833" s="19" t="s">
        <v>1176</v>
      </c>
      <c r="D833" s="10">
        <v>5</v>
      </c>
      <c r="E833" s="10">
        <v>90</v>
      </c>
      <c r="G833" s="10">
        <f t="shared" si="10"/>
        <v>18</v>
      </c>
    </row>
    <row r="834" spans="1:8" ht="45" x14ac:dyDescent="0.25">
      <c r="A834" s="37">
        <v>46230</v>
      </c>
      <c r="C834" s="19" t="s">
        <v>1177</v>
      </c>
      <c r="D834" s="10">
        <v>3</v>
      </c>
      <c r="E834" s="10">
        <v>110</v>
      </c>
      <c r="G834" s="10">
        <f t="shared" si="10"/>
        <v>36.666666666666664</v>
      </c>
    </row>
    <row r="835" spans="1:8" ht="30" x14ac:dyDescent="0.25">
      <c r="A835" s="37">
        <v>46230</v>
      </c>
      <c r="C835" s="19" t="s">
        <v>1178</v>
      </c>
      <c r="D835" s="10">
        <v>1</v>
      </c>
      <c r="E835" s="10">
        <v>90</v>
      </c>
      <c r="G835" s="10">
        <f t="shared" si="10"/>
        <v>90</v>
      </c>
    </row>
    <row r="836" spans="1:8" ht="30" x14ac:dyDescent="0.25">
      <c r="A836" s="37">
        <v>46230</v>
      </c>
      <c r="C836" s="19" t="s">
        <v>1179</v>
      </c>
      <c r="D836" s="10">
        <v>1</v>
      </c>
      <c r="E836" s="10">
        <v>90</v>
      </c>
      <c r="G836" s="10">
        <f t="shared" si="10"/>
        <v>90</v>
      </c>
    </row>
    <row r="837" spans="1:8" ht="30" x14ac:dyDescent="0.25">
      <c r="A837" s="37">
        <v>46230</v>
      </c>
      <c r="C837" s="19" t="s">
        <v>1180</v>
      </c>
      <c r="D837" s="10">
        <v>1</v>
      </c>
      <c r="E837" s="10">
        <v>90</v>
      </c>
      <c r="G837" s="10">
        <f t="shared" si="10"/>
        <v>90</v>
      </c>
    </row>
    <row r="838" spans="1:8" ht="30" x14ac:dyDescent="0.25">
      <c r="A838" s="37">
        <v>46230</v>
      </c>
      <c r="C838" s="19" t="s">
        <v>1175</v>
      </c>
      <c r="D838" s="10">
        <v>3</v>
      </c>
      <c r="E838" s="10">
        <v>69</v>
      </c>
      <c r="G838" s="10">
        <f t="shared" si="10"/>
        <v>23</v>
      </c>
    </row>
    <row r="839" spans="1:8" ht="45" x14ac:dyDescent="0.25">
      <c r="A839" s="37">
        <v>46230</v>
      </c>
      <c r="C839" s="19" t="s">
        <v>1173</v>
      </c>
      <c r="D839" s="10">
        <v>3</v>
      </c>
      <c r="E839" s="10">
        <v>441</v>
      </c>
      <c r="G839" s="10">
        <f t="shared" si="10"/>
        <v>147</v>
      </c>
    </row>
    <row r="840" spans="1:8" ht="30" x14ac:dyDescent="0.25">
      <c r="A840" s="37">
        <v>46230</v>
      </c>
      <c r="C840" s="19" t="s">
        <v>1174</v>
      </c>
      <c r="D840" s="10">
        <v>3</v>
      </c>
      <c r="E840" s="10">
        <v>96</v>
      </c>
      <c r="G840" s="10">
        <f t="shared" si="10"/>
        <v>32</v>
      </c>
    </row>
    <row r="841" spans="1:8" ht="30" x14ac:dyDescent="0.25">
      <c r="A841" s="37">
        <v>46230</v>
      </c>
      <c r="C841" s="19" t="s">
        <v>1182</v>
      </c>
      <c r="D841" s="10">
        <v>12</v>
      </c>
      <c r="E841" s="10">
        <v>170</v>
      </c>
      <c r="G841" s="10">
        <f t="shared" si="10"/>
        <v>14.166666666666666</v>
      </c>
    </row>
    <row r="842" spans="1:8" ht="30" x14ac:dyDescent="0.25">
      <c r="A842" s="37">
        <v>46230</v>
      </c>
      <c r="C842" s="19" t="s">
        <v>1183</v>
      </c>
      <c r="D842" s="10">
        <v>12</v>
      </c>
      <c r="E842" s="10">
        <v>80</v>
      </c>
      <c r="G842" s="10">
        <f t="shared" si="10"/>
        <v>6.666666666666667</v>
      </c>
    </row>
    <row r="843" spans="1:8" ht="30" x14ac:dyDescent="0.25">
      <c r="A843" s="37">
        <v>46230</v>
      </c>
      <c r="C843" s="19" t="s">
        <v>1184</v>
      </c>
      <c r="D843" s="10">
        <v>12</v>
      </c>
      <c r="E843" s="10">
        <v>80</v>
      </c>
      <c r="G843" s="10">
        <f t="shared" si="10"/>
        <v>6.666666666666667</v>
      </c>
      <c r="H843">
        <f>SUM(E819:E843)</f>
        <v>4805</v>
      </c>
    </row>
    <row r="844" spans="1:8" ht="30" x14ac:dyDescent="0.25">
      <c r="A844" s="37">
        <v>46235</v>
      </c>
      <c r="C844" s="19" t="s">
        <v>1186</v>
      </c>
      <c r="D844" s="10">
        <v>3</v>
      </c>
      <c r="E844" s="10">
        <v>135</v>
      </c>
      <c r="G844" s="10">
        <f t="shared" si="10"/>
        <v>45</v>
      </c>
    </row>
    <row r="845" spans="1:8" x14ac:dyDescent="0.25">
      <c r="A845" s="37">
        <v>46235</v>
      </c>
      <c r="C845" s="19" t="s">
        <v>1187</v>
      </c>
      <c r="D845" s="10">
        <v>24</v>
      </c>
      <c r="E845" s="10">
        <v>180</v>
      </c>
      <c r="G845" s="10">
        <f t="shared" si="10"/>
        <v>7.5</v>
      </c>
    </row>
    <row r="846" spans="1:8" ht="60" x14ac:dyDescent="0.25">
      <c r="A846" s="37">
        <v>46235</v>
      </c>
      <c r="C846" s="19" t="s">
        <v>1188</v>
      </c>
      <c r="D846" s="10">
        <v>24</v>
      </c>
      <c r="E846" s="10">
        <v>260</v>
      </c>
      <c r="G846" s="10">
        <f t="shared" si="10"/>
        <v>10.833333333333334</v>
      </c>
    </row>
    <row r="847" spans="1:8" ht="30" x14ac:dyDescent="0.25">
      <c r="A847" s="37">
        <v>46235</v>
      </c>
      <c r="C847" s="19" t="s">
        <v>1189</v>
      </c>
      <c r="D847" s="10">
        <v>3</v>
      </c>
      <c r="E847" s="10">
        <v>156</v>
      </c>
      <c r="G847" s="10">
        <f t="shared" si="10"/>
        <v>52</v>
      </c>
    </row>
    <row r="848" spans="1:8" ht="30" x14ac:dyDescent="0.25">
      <c r="A848" s="37">
        <v>46235</v>
      </c>
      <c r="C848" s="19" t="s">
        <v>1190</v>
      </c>
      <c r="D848" s="10">
        <v>3</v>
      </c>
      <c r="E848" s="10">
        <v>165</v>
      </c>
      <c r="G848" s="10">
        <f t="shared" si="10"/>
        <v>55</v>
      </c>
    </row>
    <row r="849" spans="1:8" ht="45" x14ac:dyDescent="0.25">
      <c r="A849" s="37">
        <v>46235</v>
      </c>
      <c r="C849" s="19" t="s">
        <v>1192</v>
      </c>
      <c r="D849" s="10">
        <v>3</v>
      </c>
      <c r="E849" s="10">
        <v>105</v>
      </c>
      <c r="G849" s="10">
        <f t="shared" si="10"/>
        <v>35</v>
      </c>
    </row>
    <row r="850" spans="1:8" ht="45" x14ac:dyDescent="0.25">
      <c r="A850" s="37">
        <v>46235</v>
      </c>
      <c r="C850" s="19" t="s">
        <v>1191</v>
      </c>
      <c r="D850" s="10">
        <v>3</v>
      </c>
      <c r="E850" s="10">
        <v>165</v>
      </c>
      <c r="G850" s="10">
        <f t="shared" si="10"/>
        <v>55</v>
      </c>
    </row>
    <row r="851" spans="1:8" ht="30" x14ac:dyDescent="0.25">
      <c r="A851" s="37">
        <v>46235</v>
      </c>
      <c r="C851" s="19" t="s">
        <v>1193</v>
      </c>
      <c r="D851" s="10">
        <v>12</v>
      </c>
      <c r="E851" s="10">
        <v>160</v>
      </c>
      <c r="G851" s="10">
        <f t="shared" si="10"/>
        <v>13.333333333333334</v>
      </c>
    </row>
    <row r="852" spans="1:8" x14ac:dyDescent="0.25">
      <c r="A852" s="37">
        <v>46235</v>
      </c>
      <c r="C852" s="19" t="s">
        <v>1194</v>
      </c>
      <c r="D852" s="10">
        <v>12</v>
      </c>
      <c r="E852" s="10">
        <v>300</v>
      </c>
      <c r="G852" s="10">
        <f t="shared" si="10"/>
        <v>25</v>
      </c>
    </row>
    <row r="853" spans="1:8" ht="45" x14ac:dyDescent="0.25">
      <c r="A853" s="37">
        <v>46235</v>
      </c>
      <c r="C853" s="19" t="s">
        <v>1195</v>
      </c>
      <c r="D853" s="10">
        <v>10</v>
      </c>
      <c r="E853" s="10">
        <v>230</v>
      </c>
      <c r="G853" s="10">
        <f t="shared" si="10"/>
        <v>23</v>
      </c>
    </row>
    <row r="854" spans="1:8" x14ac:dyDescent="0.25">
      <c r="A854" s="37">
        <v>46235</v>
      </c>
      <c r="C854" s="19" t="s">
        <v>1196</v>
      </c>
      <c r="D854" s="10">
        <v>30</v>
      </c>
      <c r="E854" s="10">
        <v>270</v>
      </c>
      <c r="G854" s="10">
        <f t="shared" si="10"/>
        <v>9</v>
      </c>
    </row>
    <row r="855" spans="1:8" x14ac:dyDescent="0.25">
      <c r="A855" s="37">
        <v>46235</v>
      </c>
      <c r="C855" s="19" t="s">
        <v>1197</v>
      </c>
      <c r="D855" s="10">
        <v>1</v>
      </c>
      <c r="E855" s="10">
        <v>180</v>
      </c>
      <c r="G855" s="10">
        <f t="shared" si="10"/>
        <v>180</v>
      </c>
    </row>
    <row r="856" spans="1:8" ht="30" x14ac:dyDescent="0.25">
      <c r="A856" s="37">
        <v>46235</v>
      </c>
      <c r="C856" s="19" t="s">
        <v>1198</v>
      </c>
      <c r="D856" s="10">
        <v>24</v>
      </c>
      <c r="E856" s="10">
        <v>150</v>
      </c>
      <c r="G856" s="10">
        <f t="shared" si="10"/>
        <v>6.25</v>
      </c>
      <c r="H856">
        <f>SUM(E844:E856)</f>
        <v>2456</v>
      </c>
    </row>
    <row r="857" spans="1:8" ht="30" x14ac:dyDescent="0.25">
      <c r="A857" s="37">
        <v>46242</v>
      </c>
      <c r="C857" s="19" t="s">
        <v>1227</v>
      </c>
      <c r="D857" s="10">
        <v>12</v>
      </c>
      <c r="E857" s="10">
        <v>110</v>
      </c>
      <c r="G857" s="10">
        <f t="shared" ref="G857:G1035" si="11">E857/D857</f>
        <v>9.1666666666666661</v>
      </c>
    </row>
    <row r="858" spans="1:8" ht="30" x14ac:dyDescent="0.25">
      <c r="A858" s="37">
        <v>46242</v>
      </c>
      <c r="C858" s="19" t="s">
        <v>1228</v>
      </c>
      <c r="D858" s="10">
        <v>12</v>
      </c>
      <c r="E858" s="10">
        <v>160</v>
      </c>
      <c r="G858" s="10">
        <f t="shared" si="11"/>
        <v>13.333333333333334</v>
      </c>
    </row>
    <row r="859" spans="1:8" ht="30" x14ac:dyDescent="0.25">
      <c r="A859" s="37">
        <v>46242</v>
      </c>
      <c r="C859" s="19" t="s">
        <v>1229</v>
      </c>
      <c r="D859" s="10">
        <v>24</v>
      </c>
      <c r="E859" s="10">
        <v>900</v>
      </c>
      <c r="G859" s="10">
        <f t="shared" si="11"/>
        <v>37.5</v>
      </c>
    </row>
    <row r="860" spans="1:8" x14ac:dyDescent="0.25">
      <c r="A860" s="37">
        <v>46242</v>
      </c>
      <c r="C860" s="19" t="s">
        <v>1230</v>
      </c>
      <c r="D860" s="10">
        <v>30</v>
      </c>
      <c r="E860" s="10">
        <v>260</v>
      </c>
      <c r="G860" s="10">
        <f t="shared" si="11"/>
        <v>8.6666666666666661</v>
      </c>
    </row>
    <row r="861" spans="1:8" ht="30" x14ac:dyDescent="0.25">
      <c r="A861" s="37">
        <v>46242</v>
      </c>
      <c r="C861" s="19" t="s">
        <v>1234</v>
      </c>
      <c r="D861" s="10">
        <v>5</v>
      </c>
      <c r="E861" s="10">
        <v>275</v>
      </c>
      <c r="G861" s="10">
        <f t="shared" si="11"/>
        <v>55</v>
      </c>
    </row>
    <row r="862" spans="1:8" ht="30" x14ac:dyDescent="0.25">
      <c r="A862" s="37">
        <v>46242</v>
      </c>
      <c r="C862" s="19" t="s">
        <v>1231</v>
      </c>
      <c r="D862" s="10">
        <v>10</v>
      </c>
      <c r="E862" s="10">
        <v>180</v>
      </c>
      <c r="G862" s="10">
        <f t="shared" si="11"/>
        <v>18</v>
      </c>
    </row>
    <row r="863" spans="1:8" ht="45" x14ac:dyDescent="0.25">
      <c r="A863" s="37">
        <v>46242</v>
      </c>
      <c r="C863" s="19" t="s">
        <v>1232</v>
      </c>
      <c r="D863" s="10">
        <v>3</v>
      </c>
      <c r="E863" s="10">
        <v>100</v>
      </c>
      <c r="G863" s="10">
        <f t="shared" si="11"/>
        <v>33.333333333333336</v>
      </c>
    </row>
    <row r="864" spans="1:8" ht="30" x14ac:dyDescent="0.25">
      <c r="A864" s="37">
        <v>46242</v>
      </c>
      <c r="C864" s="19" t="s">
        <v>1233</v>
      </c>
      <c r="D864" s="10">
        <v>5</v>
      </c>
      <c r="E864" s="10">
        <v>190</v>
      </c>
      <c r="G864" s="10">
        <f t="shared" si="11"/>
        <v>38</v>
      </c>
    </row>
    <row r="865" spans="1:7" ht="30" x14ac:dyDescent="0.25">
      <c r="A865" s="37">
        <v>46242</v>
      </c>
      <c r="C865" s="19" t="s">
        <v>1235</v>
      </c>
      <c r="D865" s="10">
        <v>10</v>
      </c>
      <c r="E865" s="10">
        <v>57</v>
      </c>
      <c r="G865" s="10">
        <f t="shared" si="11"/>
        <v>5.7</v>
      </c>
    </row>
    <row r="866" spans="1:7" ht="30" x14ac:dyDescent="0.25">
      <c r="A866" s="37">
        <v>46242</v>
      </c>
      <c r="C866" s="19" t="s">
        <v>1236</v>
      </c>
      <c r="D866" s="10">
        <v>10</v>
      </c>
      <c r="E866" s="10">
        <v>85.55</v>
      </c>
      <c r="G866" s="10">
        <f t="shared" si="11"/>
        <v>8.5549999999999997</v>
      </c>
    </row>
    <row r="867" spans="1:7" ht="30" x14ac:dyDescent="0.25">
      <c r="A867" s="37">
        <v>46242</v>
      </c>
      <c r="C867" s="19" t="s">
        <v>1237</v>
      </c>
      <c r="D867" s="10">
        <v>30</v>
      </c>
      <c r="E867" s="10">
        <v>171</v>
      </c>
      <c r="G867" s="10">
        <f t="shared" si="11"/>
        <v>5.7</v>
      </c>
    </row>
    <row r="868" spans="1:7" ht="30" x14ac:dyDescent="0.25">
      <c r="A868" s="37">
        <v>46242</v>
      </c>
      <c r="C868" s="19" t="s">
        <v>1238</v>
      </c>
      <c r="D868" s="10">
        <v>30</v>
      </c>
      <c r="E868" s="10">
        <v>171</v>
      </c>
      <c r="G868" s="10">
        <f t="shared" si="11"/>
        <v>5.7</v>
      </c>
    </row>
    <row r="869" spans="1:7" ht="30" x14ac:dyDescent="0.25">
      <c r="A869" s="37">
        <v>46242</v>
      </c>
      <c r="C869" s="19" t="s">
        <v>1239</v>
      </c>
      <c r="D869" s="10">
        <v>30</v>
      </c>
      <c r="E869" s="10">
        <v>191</v>
      </c>
      <c r="G869" s="10">
        <f t="shared" si="11"/>
        <v>6.3666666666666663</v>
      </c>
    </row>
    <row r="870" spans="1:7" ht="30" x14ac:dyDescent="0.25">
      <c r="A870" s="37">
        <v>46242</v>
      </c>
      <c r="C870" s="19" t="s">
        <v>1240</v>
      </c>
      <c r="D870" s="10">
        <v>30</v>
      </c>
      <c r="E870" s="10">
        <v>191</v>
      </c>
      <c r="G870" s="10">
        <f t="shared" si="11"/>
        <v>6.3666666666666663</v>
      </c>
    </row>
    <row r="871" spans="1:7" ht="30" x14ac:dyDescent="0.25">
      <c r="A871" s="37">
        <v>46242</v>
      </c>
      <c r="C871" s="19" t="s">
        <v>1241</v>
      </c>
      <c r="D871" s="10">
        <v>30</v>
      </c>
      <c r="E871" s="10">
        <v>191</v>
      </c>
      <c r="G871" s="10">
        <f t="shared" si="11"/>
        <v>6.3666666666666663</v>
      </c>
    </row>
    <row r="872" spans="1:7" ht="30" x14ac:dyDescent="0.25">
      <c r="A872" s="37">
        <v>46242</v>
      </c>
      <c r="C872" s="19" t="s">
        <v>1242</v>
      </c>
      <c r="D872" s="10">
        <v>30</v>
      </c>
      <c r="E872" s="10">
        <v>191</v>
      </c>
      <c r="G872" s="10">
        <f t="shared" si="11"/>
        <v>6.3666666666666663</v>
      </c>
    </row>
    <row r="873" spans="1:7" ht="30" x14ac:dyDescent="0.25">
      <c r="A873" s="37">
        <v>46242</v>
      </c>
      <c r="C873" s="19" t="s">
        <v>1243</v>
      </c>
      <c r="D873" s="10">
        <v>20</v>
      </c>
      <c r="E873" s="10">
        <v>140</v>
      </c>
      <c r="G873" s="10">
        <f t="shared" si="11"/>
        <v>7</v>
      </c>
    </row>
    <row r="874" spans="1:7" ht="30" x14ac:dyDescent="0.25">
      <c r="A874" s="37">
        <v>46242</v>
      </c>
      <c r="C874" s="19" t="s">
        <v>1244</v>
      </c>
      <c r="D874" s="10">
        <v>6</v>
      </c>
      <c r="E874" s="10">
        <v>150</v>
      </c>
      <c r="G874" s="10">
        <f t="shared" si="11"/>
        <v>25</v>
      </c>
    </row>
    <row r="875" spans="1:7" ht="30" x14ac:dyDescent="0.25">
      <c r="A875" s="37">
        <v>46242</v>
      </c>
      <c r="C875" s="19" t="s">
        <v>1253</v>
      </c>
      <c r="D875" s="10">
        <v>108</v>
      </c>
      <c r="E875" s="10">
        <v>474</v>
      </c>
      <c r="G875" s="10">
        <f t="shared" si="11"/>
        <v>4.3888888888888893</v>
      </c>
    </row>
    <row r="876" spans="1:7" x14ac:dyDescent="0.25">
      <c r="A876" s="37">
        <v>46242</v>
      </c>
      <c r="C876" s="19" t="s">
        <v>1252</v>
      </c>
      <c r="D876" s="10">
        <v>36</v>
      </c>
      <c r="E876" s="10">
        <v>150</v>
      </c>
      <c r="G876" s="10">
        <f t="shared" si="11"/>
        <v>4.166666666666667</v>
      </c>
    </row>
    <row r="877" spans="1:7" ht="30" x14ac:dyDescent="0.25">
      <c r="A877" s="37">
        <v>46242</v>
      </c>
      <c r="C877" s="19" t="s">
        <v>1254</v>
      </c>
      <c r="D877" s="10">
        <v>40</v>
      </c>
      <c r="E877" s="10">
        <v>340</v>
      </c>
      <c r="G877" s="10">
        <f t="shared" si="11"/>
        <v>8.5</v>
      </c>
    </row>
    <row r="878" spans="1:7" ht="30" x14ac:dyDescent="0.25">
      <c r="A878" s="37">
        <v>46242</v>
      </c>
      <c r="C878" s="19" t="s">
        <v>1255</v>
      </c>
      <c r="D878" s="10">
        <v>24</v>
      </c>
      <c r="E878" s="10">
        <v>210</v>
      </c>
      <c r="G878" s="10">
        <f t="shared" si="11"/>
        <v>8.75</v>
      </c>
    </row>
    <row r="879" spans="1:7" ht="45" x14ac:dyDescent="0.25">
      <c r="A879" s="37">
        <v>46242</v>
      </c>
      <c r="C879" s="19" t="s">
        <v>1256</v>
      </c>
      <c r="D879" s="10">
        <v>24</v>
      </c>
      <c r="E879" s="10">
        <v>210</v>
      </c>
      <c r="G879" s="10">
        <f t="shared" si="11"/>
        <v>8.75</v>
      </c>
    </row>
    <row r="880" spans="1:7" ht="30" x14ac:dyDescent="0.25">
      <c r="A880" s="37">
        <v>46242</v>
      </c>
      <c r="C880" s="19" t="s">
        <v>1257</v>
      </c>
      <c r="D880" s="10">
        <v>4</v>
      </c>
      <c r="E880" s="10">
        <v>180</v>
      </c>
      <c r="G880" s="10">
        <f t="shared" si="11"/>
        <v>45</v>
      </c>
    </row>
    <row r="881" spans="1:8" ht="30" x14ac:dyDescent="0.25">
      <c r="A881" s="37">
        <v>46242</v>
      </c>
      <c r="C881" s="19" t="s">
        <v>1258</v>
      </c>
      <c r="D881" s="10">
        <v>12</v>
      </c>
      <c r="E881" s="10">
        <v>105</v>
      </c>
      <c r="G881" s="10">
        <f t="shared" si="11"/>
        <v>8.75</v>
      </c>
    </row>
    <row r="882" spans="1:8" ht="30" x14ac:dyDescent="0.25">
      <c r="A882" s="37">
        <v>46242</v>
      </c>
      <c r="C882" s="19" t="s">
        <v>1259</v>
      </c>
      <c r="D882" s="10">
        <v>20</v>
      </c>
      <c r="E882" s="10">
        <v>180</v>
      </c>
      <c r="G882" s="10">
        <f t="shared" si="11"/>
        <v>9</v>
      </c>
    </row>
    <row r="883" spans="1:8" ht="30" x14ac:dyDescent="0.25">
      <c r="A883" s="37">
        <v>46242</v>
      </c>
      <c r="C883" s="19" t="s">
        <v>1260</v>
      </c>
      <c r="D883" s="10">
        <v>60</v>
      </c>
      <c r="E883" s="10">
        <v>260</v>
      </c>
      <c r="G883" s="10">
        <f t="shared" si="11"/>
        <v>4.333333333333333</v>
      </c>
    </row>
    <row r="884" spans="1:8" ht="30" x14ac:dyDescent="0.25">
      <c r="A884" s="37">
        <v>46242</v>
      </c>
      <c r="C884" s="19" t="s">
        <v>1261</v>
      </c>
      <c r="D884" s="10">
        <v>20</v>
      </c>
      <c r="E884" s="10">
        <v>180</v>
      </c>
      <c r="G884" s="10">
        <f t="shared" si="11"/>
        <v>9</v>
      </c>
    </row>
    <row r="885" spans="1:8" x14ac:dyDescent="0.25">
      <c r="A885" s="37">
        <v>46242</v>
      </c>
      <c r="C885" s="19" t="s">
        <v>1262</v>
      </c>
      <c r="D885" s="10">
        <v>36</v>
      </c>
      <c r="E885" s="10">
        <v>135</v>
      </c>
      <c r="G885" s="10">
        <f t="shared" si="11"/>
        <v>3.75</v>
      </c>
    </row>
    <row r="886" spans="1:8" ht="30" x14ac:dyDescent="0.25">
      <c r="A886" s="37">
        <v>46242</v>
      </c>
      <c r="C886" s="19" t="s">
        <v>1263</v>
      </c>
      <c r="D886" s="10">
        <v>100</v>
      </c>
      <c r="E886" s="10">
        <v>170</v>
      </c>
      <c r="G886" s="10">
        <f t="shared" si="11"/>
        <v>1.7</v>
      </c>
    </row>
    <row r="887" spans="1:8" ht="30" x14ac:dyDescent="0.25">
      <c r="A887" s="37">
        <v>46242</v>
      </c>
      <c r="C887" s="19" t="s">
        <v>1268</v>
      </c>
      <c r="D887" s="10">
        <v>20</v>
      </c>
      <c r="E887" s="10">
        <v>350</v>
      </c>
      <c r="G887" s="10">
        <f t="shared" si="11"/>
        <v>17.5</v>
      </c>
    </row>
    <row r="888" spans="1:8" ht="30" x14ac:dyDescent="0.25">
      <c r="A888" s="37">
        <v>46242</v>
      </c>
      <c r="C888" s="19" t="s">
        <v>1269</v>
      </c>
      <c r="D888" s="10">
        <v>6</v>
      </c>
      <c r="E888" s="10">
        <v>160</v>
      </c>
      <c r="G888" s="10">
        <f t="shared" si="11"/>
        <v>26.666666666666668</v>
      </c>
    </row>
    <row r="889" spans="1:8" ht="30" x14ac:dyDescent="0.25">
      <c r="A889" s="37">
        <v>46242</v>
      </c>
      <c r="C889" s="19" t="s">
        <v>1271</v>
      </c>
      <c r="D889" s="10">
        <v>26</v>
      </c>
      <c r="E889" s="10">
        <v>1620</v>
      </c>
      <c r="G889" s="10">
        <f t="shared" si="11"/>
        <v>62.307692307692307</v>
      </c>
      <c r="H889">
        <f>SUM(E857:E889)</f>
        <v>8437.5499999999993</v>
      </c>
    </row>
    <row r="890" spans="1:8" ht="30" x14ac:dyDescent="0.25">
      <c r="A890" s="37">
        <v>46242</v>
      </c>
      <c r="C890" s="19" t="s">
        <v>1272</v>
      </c>
      <c r="D890" s="10">
        <v>48</v>
      </c>
      <c r="E890" s="10">
        <v>360</v>
      </c>
      <c r="G890" s="10">
        <f t="shared" si="11"/>
        <v>7.5</v>
      </c>
    </row>
    <row r="891" spans="1:8" ht="30" x14ac:dyDescent="0.25">
      <c r="A891" s="37">
        <v>46242</v>
      </c>
      <c r="C891" s="19" t="s">
        <v>1273</v>
      </c>
      <c r="D891" s="10">
        <v>36</v>
      </c>
      <c r="E891" s="10">
        <v>160</v>
      </c>
      <c r="G891" s="10">
        <f t="shared" si="11"/>
        <v>4.4444444444444446</v>
      </c>
    </row>
    <row r="892" spans="1:8" x14ac:dyDescent="0.25">
      <c r="A892" s="37">
        <v>46244</v>
      </c>
      <c r="C892" s="19" t="s">
        <v>1279</v>
      </c>
      <c r="D892" s="10">
        <v>30</v>
      </c>
      <c r="E892" s="10">
        <v>531</v>
      </c>
      <c r="G892" s="10">
        <f t="shared" si="11"/>
        <v>17.7</v>
      </c>
    </row>
    <row r="893" spans="1:8" ht="30" x14ac:dyDescent="0.25">
      <c r="A893" s="37">
        <v>46244</v>
      </c>
      <c r="C893" s="19" t="s">
        <v>1280</v>
      </c>
      <c r="D893" s="10">
        <v>30</v>
      </c>
      <c r="E893" s="10">
        <v>270</v>
      </c>
      <c r="G893" s="10">
        <f t="shared" si="11"/>
        <v>9</v>
      </c>
    </row>
    <row r="894" spans="1:8" ht="45" x14ac:dyDescent="0.25">
      <c r="A894" s="37">
        <v>46244</v>
      </c>
      <c r="C894" s="19" t="s">
        <v>1281</v>
      </c>
      <c r="D894" s="10">
        <v>3</v>
      </c>
      <c r="E894" s="10">
        <v>162</v>
      </c>
      <c r="G894" s="10">
        <f t="shared" si="11"/>
        <v>54</v>
      </c>
    </row>
    <row r="895" spans="1:8" ht="30" x14ac:dyDescent="0.25">
      <c r="A895" s="37">
        <v>46244</v>
      </c>
      <c r="C895" s="19" t="s">
        <v>1282</v>
      </c>
      <c r="D895" s="10">
        <v>24</v>
      </c>
      <c r="E895" s="10">
        <v>340</v>
      </c>
      <c r="G895" s="10">
        <f t="shared" si="11"/>
        <v>14.166666666666666</v>
      </c>
    </row>
    <row r="896" spans="1:8" x14ac:dyDescent="0.25">
      <c r="A896" s="37">
        <v>46244</v>
      </c>
      <c r="C896" s="19" t="s">
        <v>1283</v>
      </c>
      <c r="D896" s="10">
        <v>6</v>
      </c>
      <c r="E896" s="10">
        <v>204</v>
      </c>
      <c r="G896" s="10">
        <f t="shared" si="11"/>
        <v>34</v>
      </c>
    </row>
    <row r="897" spans="1:8" ht="30" x14ac:dyDescent="0.25">
      <c r="A897" s="37">
        <v>46244</v>
      </c>
      <c r="C897" s="19" t="s">
        <v>1284</v>
      </c>
      <c r="D897" s="10">
        <v>3</v>
      </c>
      <c r="E897" s="10">
        <v>180</v>
      </c>
      <c r="G897" s="10">
        <f t="shared" si="11"/>
        <v>60</v>
      </c>
    </row>
    <row r="898" spans="1:8" ht="30" x14ac:dyDescent="0.25">
      <c r="A898" s="37">
        <v>46244</v>
      </c>
      <c r="C898" s="19" t="s">
        <v>1285</v>
      </c>
      <c r="D898" s="10">
        <v>3</v>
      </c>
      <c r="E898" s="10">
        <v>165</v>
      </c>
      <c r="G898" s="10">
        <f t="shared" si="11"/>
        <v>55</v>
      </c>
    </row>
    <row r="899" spans="1:8" ht="45" x14ac:dyDescent="0.25">
      <c r="A899" s="37">
        <v>46244</v>
      </c>
      <c r="C899" s="19" t="s">
        <v>1286</v>
      </c>
      <c r="D899" s="10">
        <v>20</v>
      </c>
      <c r="E899" s="10">
        <v>180</v>
      </c>
      <c r="G899" s="10">
        <f t="shared" si="11"/>
        <v>9</v>
      </c>
    </row>
    <row r="900" spans="1:8" ht="30" x14ac:dyDescent="0.25">
      <c r="A900" s="37">
        <v>46244</v>
      </c>
      <c r="C900" s="19" t="s">
        <v>1287</v>
      </c>
      <c r="D900" s="10">
        <v>40</v>
      </c>
      <c r="E900" s="10">
        <v>300</v>
      </c>
      <c r="G900" s="10">
        <f t="shared" si="11"/>
        <v>7.5</v>
      </c>
    </row>
    <row r="901" spans="1:8" ht="30" x14ac:dyDescent="0.25">
      <c r="A901" s="37">
        <v>46244</v>
      </c>
      <c r="C901" s="19" t="s">
        <v>1288</v>
      </c>
      <c r="D901" s="10">
        <v>40</v>
      </c>
      <c r="E901" s="10">
        <v>180</v>
      </c>
      <c r="G901" s="10">
        <f t="shared" si="11"/>
        <v>4.5</v>
      </c>
    </row>
    <row r="902" spans="1:8" ht="30" x14ac:dyDescent="0.25">
      <c r="A902" s="37">
        <v>46244</v>
      </c>
      <c r="C902" s="19" t="s">
        <v>1289</v>
      </c>
      <c r="D902" s="10">
        <v>40</v>
      </c>
      <c r="E902" s="10">
        <v>180</v>
      </c>
      <c r="G902" s="10">
        <f t="shared" si="11"/>
        <v>4.5</v>
      </c>
    </row>
    <row r="903" spans="1:8" ht="30" x14ac:dyDescent="0.25">
      <c r="A903" s="37">
        <v>46244</v>
      </c>
      <c r="C903" s="19" t="s">
        <v>1290</v>
      </c>
      <c r="D903" s="10">
        <v>320</v>
      </c>
      <c r="E903" s="10">
        <v>275</v>
      </c>
      <c r="G903" s="10">
        <f t="shared" si="11"/>
        <v>0.859375</v>
      </c>
    </row>
    <row r="904" spans="1:8" ht="30" x14ac:dyDescent="0.25">
      <c r="A904" s="37">
        <v>46244</v>
      </c>
      <c r="C904" s="19" t="s">
        <v>1291</v>
      </c>
      <c r="D904" s="10">
        <v>26</v>
      </c>
      <c r="E904" s="10">
        <v>1600</v>
      </c>
      <c r="G904" s="10">
        <f t="shared" si="11"/>
        <v>61.53846153846154</v>
      </c>
    </row>
    <row r="905" spans="1:8" x14ac:dyDescent="0.25">
      <c r="A905" s="37">
        <v>46244</v>
      </c>
      <c r="C905" s="19" t="s">
        <v>1293</v>
      </c>
      <c r="D905" s="10">
        <v>60</v>
      </c>
      <c r="E905" s="10">
        <v>520</v>
      </c>
      <c r="G905" s="10">
        <f t="shared" si="11"/>
        <v>8.6666666666666661</v>
      </c>
      <c r="H905">
        <f>SUM(E892:E905)</f>
        <v>5087</v>
      </c>
    </row>
    <row r="906" spans="1:8" x14ac:dyDescent="0.25">
      <c r="A906" s="37">
        <v>46247</v>
      </c>
      <c r="C906" s="19" t="s">
        <v>1299</v>
      </c>
      <c r="D906" s="10">
        <v>210</v>
      </c>
      <c r="E906" s="10">
        <v>1680</v>
      </c>
      <c r="G906" s="10">
        <f t="shared" si="11"/>
        <v>8</v>
      </c>
    </row>
    <row r="907" spans="1:8" ht="30" x14ac:dyDescent="0.25">
      <c r="A907" s="37">
        <v>46247</v>
      </c>
      <c r="C907" s="19" t="s">
        <v>1304</v>
      </c>
      <c r="D907" s="10">
        <v>1</v>
      </c>
      <c r="E907" s="10">
        <v>90</v>
      </c>
      <c r="G907" s="10">
        <f t="shared" si="11"/>
        <v>90</v>
      </c>
    </row>
    <row r="908" spans="1:8" ht="30" x14ac:dyDescent="0.25">
      <c r="A908" s="37">
        <v>46247</v>
      </c>
      <c r="C908" s="19" t="s">
        <v>1305</v>
      </c>
      <c r="D908" s="10">
        <v>11</v>
      </c>
      <c r="E908" s="10">
        <v>209</v>
      </c>
      <c r="G908" s="10">
        <f t="shared" si="11"/>
        <v>19</v>
      </c>
      <c r="H908">
        <f>SUM(E906:E908)</f>
        <v>1979</v>
      </c>
    </row>
    <row r="909" spans="1:8" x14ac:dyDescent="0.25">
      <c r="A909" s="37">
        <v>46255</v>
      </c>
      <c r="C909" s="19" t="s">
        <v>1326</v>
      </c>
      <c r="D909" s="10">
        <v>210</v>
      </c>
      <c r="E909" s="10">
        <v>1620</v>
      </c>
      <c r="G909" s="10">
        <f t="shared" si="11"/>
        <v>7.7142857142857144</v>
      </c>
    </row>
    <row r="910" spans="1:8" x14ac:dyDescent="0.25">
      <c r="A910" s="37">
        <v>46255</v>
      </c>
      <c r="C910" s="19" t="s">
        <v>1327</v>
      </c>
      <c r="D910" s="10">
        <v>10</v>
      </c>
      <c r="E910" s="10">
        <v>600</v>
      </c>
      <c r="G910" s="10">
        <f t="shared" si="11"/>
        <v>60</v>
      </c>
    </row>
    <row r="911" spans="1:8" ht="30" x14ac:dyDescent="0.25">
      <c r="A911" s="37">
        <v>46255</v>
      </c>
      <c r="C911" s="19" t="s">
        <v>1328</v>
      </c>
      <c r="D911" s="10">
        <v>4</v>
      </c>
      <c r="E911" s="10">
        <v>200</v>
      </c>
      <c r="G911" s="10">
        <f t="shared" si="11"/>
        <v>50</v>
      </c>
    </row>
    <row r="912" spans="1:8" ht="30" x14ac:dyDescent="0.25">
      <c r="A912" s="37">
        <v>46255</v>
      </c>
      <c r="C912" s="19" t="s">
        <v>1329</v>
      </c>
      <c r="D912" s="10">
        <v>5</v>
      </c>
      <c r="E912" s="10">
        <v>75</v>
      </c>
      <c r="G912" s="10">
        <f t="shared" si="11"/>
        <v>15</v>
      </c>
    </row>
    <row r="913" spans="1:8" ht="30" x14ac:dyDescent="0.25">
      <c r="A913" s="37">
        <v>46255</v>
      </c>
      <c r="C913" s="19" t="s">
        <v>1330</v>
      </c>
      <c r="D913" s="10">
        <v>5</v>
      </c>
      <c r="E913" s="10">
        <v>125</v>
      </c>
      <c r="G913" s="10">
        <f t="shared" si="11"/>
        <v>25</v>
      </c>
    </row>
    <row r="914" spans="1:8" ht="30" x14ac:dyDescent="0.25">
      <c r="A914" s="37">
        <v>46255</v>
      </c>
      <c r="C914" s="19" t="s">
        <v>1331</v>
      </c>
      <c r="D914" s="10">
        <v>26</v>
      </c>
      <c r="E914" s="10">
        <v>1250</v>
      </c>
      <c r="G914" s="10">
        <f t="shared" si="11"/>
        <v>48.07692307692308</v>
      </c>
    </row>
    <row r="915" spans="1:8" ht="45" x14ac:dyDescent="0.25">
      <c r="A915" s="37">
        <v>46255</v>
      </c>
      <c r="C915" s="19" t="s">
        <v>1338</v>
      </c>
      <c r="D915" s="10">
        <v>12</v>
      </c>
      <c r="E915" s="10">
        <v>55</v>
      </c>
      <c r="G915" s="10">
        <f t="shared" si="11"/>
        <v>4.583333333333333</v>
      </c>
    </row>
    <row r="916" spans="1:8" ht="30" x14ac:dyDescent="0.25">
      <c r="A916" s="37">
        <v>46255</v>
      </c>
      <c r="C916" s="19" t="s">
        <v>1339</v>
      </c>
      <c r="D916" s="10">
        <v>6</v>
      </c>
      <c r="E916" s="10">
        <v>55</v>
      </c>
      <c r="G916" s="10">
        <f t="shared" si="11"/>
        <v>9.1666666666666661</v>
      </c>
    </row>
    <row r="917" spans="1:8" ht="30" x14ac:dyDescent="0.25">
      <c r="A917" s="37">
        <v>46255</v>
      </c>
      <c r="C917" s="19" t="s">
        <v>1340</v>
      </c>
      <c r="D917" s="10">
        <v>12</v>
      </c>
      <c r="E917" s="10">
        <v>108</v>
      </c>
      <c r="G917" s="10">
        <f t="shared" si="11"/>
        <v>9</v>
      </c>
    </row>
    <row r="918" spans="1:8" ht="30" x14ac:dyDescent="0.25">
      <c r="A918" s="37">
        <v>46255</v>
      </c>
      <c r="C918" s="19" t="s">
        <v>1342</v>
      </c>
      <c r="D918" s="10">
        <v>12</v>
      </c>
      <c r="E918" s="10">
        <v>108</v>
      </c>
      <c r="G918" s="10">
        <f t="shared" si="11"/>
        <v>9</v>
      </c>
    </row>
    <row r="919" spans="1:8" ht="30" x14ac:dyDescent="0.25">
      <c r="A919" s="37">
        <v>46255</v>
      </c>
      <c r="C919" s="19" t="s">
        <v>1343</v>
      </c>
      <c r="D919" s="10">
        <v>10</v>
      </c>
      <c r="E919" s="10">
        <v>88</v>
      </c>
      <c r="G919" s="10">
        <f t="shared" si="11"/>
        <v>8.8000000000000007</v>
      </c>
    </row>
    <row r="920" spans="1:8" ht="30" x14ac:dyDescent="0.25">
      <c r="A920" s="37">
        <v>46255</v>
      </c>
      <c r="C920" s="19" t="s">
        <v>1344</v>
      </c>
      <c r="D920" s="10">
        <v>10</v>
      </c>
      <c r="E920" s="10">
        <v>180</v>
      </c>
      <c r="G920" s="10">
        <f t="shared" si="11"/>
        <v>18</v>
      </c>
    </row>
    <row r="921" spans="1:8" ht="30" x14ac:dyDescent="0.25">
      <c r="A921" s="37">
        <v>46255</v>
      </c>
      <c r="C921" s="19" t="s">
        <v>1345</v>
      </c>
      <c r="D921" s="10">
        <v>3</v>
      </c>
      <c r="E921" s="10">
        <v>81</v>
      </c>
      <c r="G921" s="10">
        <f t="shared" si="11"/>
        <v>27</v>
      </c>
    </row>
    <row r="922" spans="1:8" ht="30" x14ac:dyDescent="0.25">
      <c r="A922" s="37">
        <v>46255</v>
      </c>
      <c r="C922" s="19" t="s">
        <v>1346</v>
      </c>
      <c r="D922" s="10">
        <v>6</v>
      </c>
      <c r="E922" s="10">
        <v>54</v>
      </c>
      <c r="G922" s="10">
        <f t="shared" si="11"/>
        <v>9</v>
      </c>
    </row>
    <row r="923" spans="1:8" x14ac:dyDescent="0.25">
      <c r="A923" s="37">
        <v>46255</v>
      </c>
      <c r="C923" s="19" t="s">
        <v>1347</v>
      </c>
      <c r="D923" s="10">
        <v>6</v>
      </c>
      <c r="E923" s="10">
        <v>288</v>
      </c>
      <c r="G923" s="10">
        <f t="shared" si="11"/>
        <v>48</v>
      </c>
    </row>
    <row r="924" spans="1:8" ht="30" x14ac:dyDescent="0.25">
      <c r="A924" s="37">
        <v>46255</v>
      </c>
      <c r="C924" s="19" t="s">
        <v>1348</v>
      </c>
      <c r="D924" s="10">
        <v>2</v>
      </c>
      <c r="E924" s="10">
        <v>92</v>
      </c>
      <c r="G924" s="10">
        <f t="shared" si="11"/>
        <v>46</v>
      </c>
    </row>
    <row r="925" spans="1:8" ht="30" x14ac:dyDescent="0.25">
      <c r="A925" s="37">
        <v>46255</v>
      </c>
      <c r="C925" s="19" t="s">
        <v>1349</v>
      </c>
      <c r="D925" s="10">
        <v>10</v>
      </c>
      <c r="E925" s="10">
        <v>160</v>
      </c>
      <c r="G925" s="10">
        <f t="shared" si="11"/>
        <v>16</v>
      </c>
      <c r="H925">
        <f>SUM(E909:E925)</f>
        <v>5139</v>
      </c>
    </row>
    <row r="926" spans="1:8" ht="30" x14ac:dyDescent="0.25">
      <c r="A926" s="37">
        <v>46263</v>
      </c>
      <c r="C926" s="19" t="s">
        <v>1376</v>
      </c>
      <c r="D926" s="10">
        <v>5</v>
      </c>
      <c r="E926" s="10">
        <v>260</v>
      </c>
      <c r="G926" s="10">
        <f t="shared" si="11"/>
        <v>52</v>
      </c>
    </row>
    <row r="927" spans="1:8" ht="30" x14ac:dyDescent="0.25">
      <c r="A927" s="37">
        <v>46263</v>
      </c>
      <c r="C927" s="19" t="s">
        <v>1377</v>
      </c>
      <c r="D927" s="10">
        <v>54</v>
      </c>
      <c r="E927" s="10">
        <v>480</v>
      </c>
      <c r="G927" s="10">
        <f t="shared" si="11"/>
        <v>8.8888888888888893</v>
      </c>
    </row>
    <row r="928" spans="1:8" x14ac:dyDescent="0.25">
      <c r="A928" s="37">
        <v>46263</v>
      </c>
      <c r="C928" s="19" t="s">
        <v>1374</v>
      </c>
      <c r="D928" s="10">
        <v>30</v>
      </c>
      <c r="E928" s="10">
        <v>530</v>
      </c>
      <c r="G928" s="10">
        <f t="shared" si="11"/>
        <v>17.666666666666668</v>
      </c>
    </row>
    <row r="929" spans="1:7" ht="30" x14ac:dyDescent="0.25">
      <c r="A929" s="37">
        <v>46263</v>
      </c>
      <c r="C929" s="19" t="s">
        <v>1378</v>
      </c>
      <c r="D929" s="10">
        <v>30</v>
      </c>
      <c r="E929" s="10">
        <v>250</v>
      </c>
      <c r="G929" s="10">
        <f t="shared" si="11"/>
        <v>8.3333333333333339</v>
      </c>
    </row>
    <row r="930" spans="1:7" ht="30" x14ac:dyDescent="0.25">
      <c r="A930" s="37">
        <v>46263</v>
      </c>
      <c r="C930" s="19" t="s">
        <v>1379</v>
      </c>
      <c r="D930" s="10">
        <v>24</v>
      </c>
      <c r="E930" s="10">
        <v>900</v>
      </c>
      <c r="G930" s="10">
        <f t="shared" si="11"/>
        <v>37.5</v>
      </c>
    </row>
    <row r="931" spans="1:7" ht="30" x14ac:dyDescent="0.25">
      <c r="A931" s="37">
        <v>46263</v>
      </c>
      <c r="C931" s="19" t="s">
        <v>1380</v>
      </c>
      <c r="D931" s="10">
        <v>108</v>
      </c>
      <c r="E931" s="10">
        <v>970</v>
      </c>
      <c r="G931" s="10">
        <f t="shared" si="11"/>
        <v>8.981481481481481</v>
      </c>
    </row>
    <row r="932" spans="1:7" x14ac:dyDescent="0.25">
      <c r="A932" s="37">
        <v>46263</v>
      </c>
      <c r="C932" s="204" t="s">
        <v>1396</v>
      </c>
      <c r="D932" s="10">
        <v>108</v>
      </c>
      <c r="E932" s="10">
        <v>981</v>
      </c>
      <c r="G932" s="10">
        <f t="shared" si="11"/>
        <v>9.0833333333333339</v>
      </c>
    </row>
    <row r="933" spans="1:7" x14ac:dyDescent="0.25">
      <c r="A933" s="37">
        <v>46263</v>
      </c>
      <c r="C933" s="19" t="s">
        <v>1381</v>
      </c>
      <c r="D933" s="10">
        <v>18</v>
      </c>
      <c r="E933" s="10">
        <v>329</v>
      </c>
      <c r="G933" s="10">
        <f t="shared" si="11"/>
        <v>18.277777777777779</v>
      </c>
    </row>
    <row r="934" spans="1:7" ht="30" x14ac:dyDescent="0.25">
      <c r="A934" s="37">
        <v>46263</v>
      </c>
      <c r="C934" s="19" t="s">
        <v>1382</v>
      </c>
      <c r="D934" s="10">
        <v>24</v>
      </c>
      <c r="E934" s="10">
        <v>130</v>
      </c>
      <c r="G934" s="10">
        <f t="shared" si="11"/>
        <v>5.416666666666667</v>
      </c>
    </row>
    <row r="935" spans="1:7" ht="30" x14ac:dyDescent="0.25">
      <c r="A935" s="37">
        <v>46263</v>
      </c>
      <c r="C935" s="19" t="s">
        <v>1383</v>
      </c>
      <c r="D935" s="10">
        <v>50</v>
      </c>
      <c r="E935" s="10">
        <v>650</v>
      </c>
      <c r="G935" s="10">
        <f t="shared" si="11"/>
        <v>13</v>
      </c>
    </row>
    <row r="936" spans="1:7" ht="30" x14ac:dyDescent="0.25">
      <c r="A936" s="37">
        <v>46263</v>
      </c>
      <c r="C936" s="19" t="s">
        <v>1384</v>
      </c>
      <c r="D936" s="10">
        <v>12</v>
      </c>
      <c r="E936" s="10">
        <v>108</v>
      </c>
      <c r="G936" s="10">
        <f t="shared" si="11"/>
        <v>9</v>
      </c>
    </row>
    <row r="937" spans="1:7" x14ac:dyDescent="0.25">
      <c r="A937" s="37">
        <v>46263</v>
      </c>
      <c r="C937" s="19" t="s">
        <v>1385</v>
      </c>
      <c r="D937" s="10">
        <v>13</v>
      </c>
      <c r="E937" s="10">
        <v>54</v>
      </c>
      <c r="G937" s="10">
        <f t="shared" si="11"/>
        <v>4.1538461538461542</v>
      </c>
    </row>
    <row r="938" spans="1:7" ht="30" x14ac:dyDescent="0.25">
      <c r="A938" s="37">
        <v>46263</v>
      </c>
      <c r="C938" s="19" t="s">
        <v>1386</v>
      </c>
      <c r="D938" s="10">
        <v>6</v>
      </c>
      <c r="E938" s="10">
        <v>216</v>
      </c>
      <c r="G938" s="10">
        <f t="shared" si="11"/>
        <v>36</v>
      </c>
    </row>
    <row r="939" spans="1:7" x14ac:dyDescent="0.25">
      <c r="A939" s="37">
        <v>46263</v>
      </c>
      <c r="C939" s="19" t="s">
        <v>1387</v>
      </c>
      <c r="D939" s="10">
        <v>26</v>
      </c>
      <c r="E939" s="10">
        <v>220</v>
      </c>
      <c r="G939" s="10">
        <f t="shared" si="11"/>
        <v>8.4615384615384617</v>
      </c>
    </row>
    <row r="940" spans="1:7" ht="45" x14ac:dyDescent="0.25">
      <c r="A940" s="37">
        <v>46263</v>
      </c>
      <c r="C940" s="19" t="s">
        <v>1388</v>
      </c>
      <c r="D940" s="10">
        <v>6</v>
      </c>
      <c r="E940" s="10">
        <v>672</v>
      </c>
      <c r="G940" s="10">
        <f t="shared" si="11"/>
        <v>112</v>
      </c>
    </row>
    <row r="941" spans="1:7" ht="45" x14ac:dyDescent="0.25">
      <c r="A941" s="37">
        <v>46263</v>
      </c>
      <c r="C941" s="19" t="s">
        <v>1389</v>
      </c>
      <c r="D941" s="10">
        <v>6</v>
      </c>
      <c r="E941" s="10">
        <v>330</v>
      </c>
      <c r="G941" s="10">
        <f t="shared" si="11"/>
        <v>55</v>
      </c>
    </row>
    <row r="942" spans="1:7" ht="30" x14ac:dyDescent="0.25">
      <c r="A942" s="37">
        <v>46263</v>
      </c>
      <c r="C942" s="19" t="s">
        <v>1391</v>
      </c>
      <c r="D942" s="10">
        <v>3</v>
      </c>
      <c r="E942" s="10">
        <v>141</v>
      </c>
      <c r="G942" s="10">
        <f t="shared" si="11"/>
        <v>47</v>
      </c>
    </row>
    <row r="943" spans="1:7" ht="45" x14ac:dyDescent="0.25">
      <c r="A943" s="37">
        <v>46263</v>
      </c>
      <c r="C943" s="19" t="s">
        <v>1390</v>
      </c>
      <c r="D943" s="10">
        <v>3</v>
      </c>
      <c r="E943" s="10">
        <v>111</v>
      </c>
      <c r="G943" s="10">
        <f t="shared" si="11"/>
        <v>37</v>
      </c>
    </row>
    <row r="944" spans="1:7" x14ac:dyDescent="0.25">
      <c r="A944" s="37">
        <v>46263</v>
      </c>
      <c r="C944" s="19" t="s">
        <v>1392</v>
      </c>
      <c r="D944" s="10">
        <v>6</v>
      </c>
      <c r="E944" s="10">
        <v>54</v>
      </c>
      <c r="G944" s="10">
        <f t="shared" si="11"/>
        <v>9</v>
      </c>
    </row>
    <row r="945" spans="1:8" x14ac:dyDescent="0.25">
      <c r="A945" s="37">
        <v>46263</v>
      </c>
      <c r="C945" s="19" t="s">
        <v>1393</v>
      </c>
      <c r="D945" s="10">
        <v>6</v>
      </c>
      <c r="E945" s="10">
        <v>222</v>
      </c>
      <c r="G945" s="10">
        <f t="shared" si="11"/>
        <v>37</v>
      </c>
    </row>
    <row r="946" spans="1:8" ht="45" x14ac:dyDescent="0.25">
      <c r="A946" s="37">
        <v>46263</v>
      </c>
      <c r="C946" s="19" t="s">
        <v>1394</v>
      </c>
      <c r="D946" s="10">
        <v>20</v>
      </c>
      <c r="E946" s="10">
        <v>160</v>
      </c>
      <c r="G946" s="10">
        <f t="shared" si="11"/>
        <v>8</v>
      </c>
    </row>
    <row r="947" spans="1:8" ht="30" x14ac:dyDescent="0.25">
      <c r="A947" s="37">
        <v>46263</v>
      </c>
      <c r="C947" s="19" t="s">
        <v>1395</v>
      </c>
      <c r="D947" s="10">
        <v>6</v>
      </c>
      <c r="E947" s="10">
        <v>162</v>
      </c>
      <c r="G947" s="10">
        <f t="shared" si="11"/>
        <v>27</v>
      </c>
      <c r="H947">
        <f>SUM(E926:E947)</f>
        <v>7930</v>
      </c>
    </row>
    <row r="948" spans="1:8" ht="45" x14ac:dyDescent="0.25">
      <c r="A948" s="37">
        <v>46264</v>
      </c>
      <c r="C948" s="19" t="s">
        <v>1401</v>
      </c>
      <c r="D948" s="10">
        <v>4</v>
      </c>
      <c r="E948" s="10">
        <v>66.599999999999994</v>
      </c>
      <c r="G948" s="10">
        <f t="shared" si="11"/>
        <v>16.649999999999999</v>
      </c>
    </row>
    <row r="949" spans="1:8" ht="45" x14ac:dyDescent="0.25">
      <c r="A949" s="37">
        <v>46264</v>
      </c>
      <c r="C949" s="19" t="s">
        <v>1400</v>
      </c>
      <c r="D949" s="10">
        <v>2</v>
      </c>
      <c r="E949" s="10">
        <v>66.599999999999994</v>
      </c>
      <c r="G949" s="10">
        <f t="shared" si="11"/>
        <v>33.299999999999997</v>
      </c>
    </row>
    <row r="950" spans="1:8" ht="30" x14ac:dyDescent="0.25">
      <c r="A950" s="37">
        <v>46264</v>
      </c>
      <c r="C950" s="19" t="s">
        <v>1399</v>
      </c>
      <c r="D950" s="10">
        <v>2</v>
      </c>
      <c r="E950" s="10">
        <v>74.44</v>
      </c>
      <c r="G950" s="10">
        <f t="shared" si="11"/>
        <v>37.22</v>
      </c>
    </row>
    <row r="951" spans="1:8" ht="45" x14ac:dyDescent="0.25">
      <c r="A951" s="37">
        <v>46264</v>
      </c>
      <c r="C951" s="19" t="s">
        <v>1398</v>
      </c>
      <c r="D951" s="10">
        <v>2</v>
      </c>
      <c r="E951" s="10">
        <v>37.22</v>
      </c>
      <c r="G951" s="10">
        <f t="shared" si="11"/>
        <v>18.61</v>
      </c>
    </row>
    <row r="952" spans="1:8" ht="60" x14ac:dyDescent="0.25">
      <c r="A952" s="37">
        <v>46264</v>
      </c>
      <c r="C952" s="19" t="s">
        <v>1402</v>
      </c>
      <c r="D952" s="10">
        <v>2</v>
      </c>
      <c r="E952" s="10">
        <v>101.86</v>
      </c>
      <c r="G952" s="10">
        <f t="shared" si="11"/>
        <v>50.93</v>
      </c>
    </row>
    <row r="953" spans="1:8" ht="60" x14ac:dyDescent="0.25">
      <c r="A953" s="37">
        <v>46264</v>
      </c>
      <c r="C953" s="19" t="s">
        <v>1403</v>
      </c>
      <c r="D953" s="10">
        <v>2</v>
      </c>
      <c r="E953" s="10">
        <v>92.06</v>
      </c>
      <c r="G953" s="10">
        <f t="shared" si="11"/>
        <v>46.03</v>
      </c>
    </row>
    <row r="954" spans="1:8" ht="45" x14ac:dyDescent="0.25">
      <c r="A954" s="37">
        <v>46264</v>
      </c>
      <c r="C954" s="19" t="s">
        <v>1404</v>
      </c>
      <c r="D954" s="10">
        <v>1</v>
      </c>
      <c r="E954" s="10">
        <v>318.29000000000002</v>
      </c>
      <c r="G954" s="10">
        <f t="shared" si="11"/>
        <v>318.29000000000002</v>
      </c>
    </row>
    <row r="955" spans="1:8" ht="30" x14ac:dyDescent="0.25">
      <c r="A955" s="37">
        <v>46264</v>
      </c>
      <c r="C955" s="19" t="s">
        <v>1405</v>
      </c>
      <c r="D955" s="10">
        <v>1</v>
      </c>
      <c r="E955" s="10">
        <v>93.04</v>
      </c>
      <c r="G955" s="10">
        <f t="shared" si="11"/>
        <v>93.04</v>
      </c>
    </row>
    <row r="956" spans="1:8" ht="45" x14ac:dyDescent="0.25">
      <c r="A956" s="37">
        <v>46264</v>
      </c>
      <c r="C956" s="19" t="s">
        <v>1406</v>
      </c>
      <c r="D956" s="10">
        <v>1</v>
      </c>
      <c r="E956" s="10">
        <v>35.26</v>
      </c>
      <c r="G956" s="10">
        <f t="shared" si="11"/>
        <v>35.26</v>
      </c>
    </row>
    <row r="957" spans="1:8" ht="45" x14ac:dyDescent="0.25">
      <c r="A957" s="37">
        <v>46264</v>
      </c>
      <c r="C957" s="19" t="s">
        <v>1407</v>
      </c>
      <c r="D957" s="10">
        <v>3</v>
      </c>
      <c r="E957" s="10">
        <v>85.23</v>
      </c>
      <c r="G957" s="10">
        <f t="shared" si="11"/>
        <v>28.41</v>
      </c>
    </row>
    <row r="958" spans="1:8" ht="45" x14ac:dyDescent="0.25">
      <c r="A958" s="37">
        <v>46264</v>
      </c>
      <c r="C958" s="19" t="s">
        <v>1408</v>
      </c>
      <c r="D958" s="10">
        <v>3</v>
      </c>
      <c r="E958" s="10">
        <v>55.83</v>
      </c>
      <c r="G958" s="10">
        <f t="shared" si="11"/>
        <v>18.61</v>
      </c>
    </row>
    <row r="959" spans="1:8" ht="30" x14ac:dyDescent="0.25">
      <c r="A959" s="37">
        <v>46264</v>
      </c>
      <c r="C959" s="19" t="s">
        <v>1409</v>
      </c>
      <c r="D959" s="10">
        <v>2</v>
      </c>
      <c r="E959" s="10">
        <v>52.9</v>
      </c>
      <c r="G959" s="10">
        <f t="shared" si="11"/>
        <v>26.45</v>
      </c>
    </row>
    <row r="960" spans="1:8" ht="30" x14ac:dyDescent="0.25">
      <c r="A960" s="37">
        <v>46264</v>
      </c>
      <c r="C960" s="19" t="s">
        <v>1410</v>
      </c>
      <c r="D960" s="10">
        <v>2</v>
      </c>
      <c r="E960" s="10">
        <v>72.48</v>
      </c>
      <c r="G960" s="10">
        <f t="shared" si="11"/>
        <v>36.24</v>
      </c>
    </row>
    <row r="961" spans="1:8" ht="45" x14ac:dyDescent="0.25">
      <c r="A961" s="37">
        <v>46264</v>
      </c>
      <c r="C961" s="19" t="s">
        <v>1411</v>
      </c>
      <c r="D961" s="10">
        <v>2</v>
      </c>
      <c r="E961" s="10">
        <v>95.98</v>
      </c>
      <c r="G961" s="10">
        <f t="shared" si="11"/>
        <v>47.99</v>
      </c>
    </row>
    <row r="962" spans="1:8" ht="45" x14ac:dyDescent="0.25">
      <c r="A962" s="37">
        <v>46264</v>
      </c>
      <c r="C962" s="19" t="s">
        <v>1412</v>
      </c>
      <c r="D962" s="10">
        <v>2</v>
      </c>
      <c r="E962" s="10">
        <v>58.78</v>
      </c>
      <c r="G962" s="10">
        <f t="shared" si="11"/>
        <v>29.39</v>
      </c>
    </row>
    <row r="963" spans="1:8" ht="30" x14ac:dyDescent="0.25">
      <c r="A963" s="37">
        <v>46264</v>
      </c>
      <c r="C963" s="19" t="s">
        <v>1413</v>
      </c>
      <c r="D963" s="10">
        <v>2</v>
      </c>
      <c r="E963" s="10">
        <v>48.98</v>
      </c>
      <c r="G963" s="10">
        <f t="shared" si="11"/>
        <v>24.49</v>
      </c>
    </row>
    <row r="964" spans="1:8" ht="30" x14ac:dyDescent="0.25">
      <c r="A964" s="37">
        <v>46264</v>
      </c>
      <c r="C964" s="19" t="s">
        <v>1414</v>
      </c>
      <c r="D964" s="10">
        <v>2</v>
      </c>
      <c r="E964" s="10">
        <v>66.599999999999994</v>
      </c>
      <c r="G964" s="10">
        <f t="shared" si="11"/>
        <v>33.299999999999997</v>
      </c>
    </row>
    <row r="965" spans="1:8" ht="30" x14ac:dyDescent="0.25">
      <c r="A965" s="37">
        <v>46264</v>
      </c>
      <c r="C965" s="19" t="s">
        <v>1415</v>
      </c>
      <c r="D965" s="10">
        <v>1</v>
      </c>
      <c r="E965" s="10">
        <v>95</v>
      </c>
      <c r="G965" s="10">
        <f t="shared" si="11"/>
        <v>95</v>
      </c>
    </row>
    <row r="966" spans="1:8" ht="45" x14ac:dyDescent="0.25">
      <c r="A966" s="37">
        <v>46264</v>
      </c>
      <c r="C966" s="19" t="s">
        <v>1416</v>
      </c>
      <c r="D966" s="10">
        <v>1</v>
      </c>
      <c r="E966" s="10">
        <v>326</v>
      </c>
      <c r="G966" s="10">
        <f t="shared" si="11"/>
        <v>326</v>
      </c>
      <c r="H966">
        <f>SUM(E948:E966)</f>
        <v>1843.1499999999999</v>
      </c>
    </row>
    <row r="967" spans="1:8" ht="30" x14ac:dyDescent="0.25">
      <c r="A967" s="37">
        <v>46265</v>
      </c>
      <c r="C967" s="19" t="s">
        <v>1419</v>
      </c>
      <c r="D967" s="10">
        <v>24</v>
      </c>
      <c r="E967" s="10">
        <v>205</v>
      </c>
      <c r="G967" s="10">
        <f t="shared" si="11"/>
        <v>8.5416666666666661</v>
      </c>
    </row>
    <row r="968" spans="1:8" ht="30" x14ac:dyDescent="0.25">
      <c r="A968" s="37">
        <v>46265</v>
      </c>
      <c r="C968" s="19" t="s">
        <v>1422</v>
      </c>
      <c r="D968" s="10">
        <v>5</v>
      </c>
      <c r="E968" s="10">
        <v>700</v>
      </c>
      <c r="G968" s="10">
        <f t="shared" si="11"/>
        <v>140</v>
      </c>
    </row>
    <row r="969" spans="1:8" ht="45" x14ac:dyDescent="0.25">
      <c r="A969" s="37">
        <v>46265</v>
      </c>
      <c r="C969" s="19" t="s">
        <v>1420</v>
      </c>
      <c r="D969" s="10">
        <v>6</v>
      </c>
      <c r="E969" s="10">
        <v>900</v>
      </c>
      <c r="G969" s="10">
        <f t="shared" si="11"/>
        <v>150</v>
      </c>
    </row>
    <row r="970" spans="1:8" ht="45" x14ac:dyDescent="0.25">
      <c r="A970" s="37">
        <v>46265</v>
      </c>
      <c r="C970" s="19" t="s">
        <v>1421</v>
      </c>
      <c r="D970" s="10">
        <v>3</v>
      </c>
      <c r="E970" s="10">
        <v>570</v>
      </c>
      <c r="G970" s="10">
        <f t="shared" si="11"/>
        <v>190</v>
      </c>
    </row>
    <row r="971" spans="1:8" ht="45" x14ac:dyDescent="0.25">
      <c r="A971" s="37">
        <v>46265</v>
      </c>
      <c r="C971" s="19" t="s">
        <v>1425</v>
      </c>
      <c r="D971" s="10">
        <v>6</v>
      </c>
      <c r="E971" s="10">
        <v>660</v>
      </c>
      <c r="G971" s="10">
        <f t="shared" si="11"/>
        <v>110</v>
      </c>
    </row>
    <row r="972" spans="1:8" ht="30" x14ac:dyDescent="0.25">
      <c r="A972" s="37">
        <v>46265</v>
      </c>
      <c r="C972" s="19" t="s">
        <v>1424</v>
      </c>
      <c r="D972" s="10">
        <v>3</v>
      </c>
      <c r="E972" s="10">
        <v>144</v>
      </c>
      <c r="G972" s="10">
        <f t="shared" si="11"/>
        <v>48</v>
      </c>
    </row>
    <row r="973" spans="1:8" ht="30" x14ac:dyDescent="0.25">
      <c r="A973" s="37">
        <v>46265</v>
      </c>
      <c r="C973" s="19" t="s">
        <v>1427</v>
      </c>
      <c r="D973" s="10">
        <v>6</v>
      </c>
      <c r="E973" s="10">
        <v>168</v>
      </c>
      <c r="G973" s="10">
        <f t="shared" si="11"/>
        <v>28</v>
      </c>
    </row>
    <row r="974" spans="1:8" ht="45" x14ac:dyDescent="0.25">
      <c r="A974" s="37">
        <v>46265</v>
      </c>
      <c r="C974" s="19" t="s">
        <v>1423</v>
      </c>
      <c r="D974" s="10">
        <v>3</v>
      </c>
      <c r="E974" s="10">
        <v>300</v>
      </c>
      <c r="G974" s="10">
        <f t="shared" si="11"/>
        <v>100</v>
      </c>
    </row>
    <row r="975" spans="1:8" ht="30" x14ac:dyDescent="0.25">
      <c r="A975" s="37">
        <v>46265</v>
      </c>
      <c r="C975" s="19" t="s">
        <v>1426</v>
      </c>
      <c r="D975" s="10">
        <v>5</v>
      </c>
      <c r="E975" s="10">
        <v>330</v>
      </c>
      <c r="G975" s="10">
        <f t="shared" si="11"/>
        <v>66</v>
      </c>
      <c r="H975">
        <f>SUM(E967:E976)</f>
        <v>4077</v>
      </c>
    </row>
    <row r="976" spans="1:8" ht="30" x14ac:dyDescent="0.25">
      <c r="A976" s="37">
        <v>46265</v>
      </c>
      <c r="C976" s="19" t="s">
        <v>1428</v>
      </c>
      <c r="D976" s="10">
        <v>2</v>
      </c>
      <c r="E976" s="10">
        <v>100</v>
      </c>
      <c r="G976" s="10">
        <f t="shared" si="11"/>
        <v>50</v>
      </c>
    </row>
    <row r="977" spans="1:7" ht="30" x14ac:dyDescent="0.25">
      <c r="A977" s="37">
        <v>46269</v>
      </c>
      <c r="C977" s="19" t="s">
        <v>1437</v>
      </c>
      <c r="D977" s="10">
        <v>5</v>
      </c>
      <c r="E977" s="10">
        <v>330</v>
      </c>
      <c r="G977" s="10">
        <f t="shared" si="11"/>
        <v>66</v>
      </c>
    </row>
    <row r="978" spans="1:7" ht="30" x14ac:dyDescent="0.25">
      <c r="A978" s="37">
        <v>46269</v>
      </c>
      <c r="C978" s="19" t="s">
        <v>1438</v>
      </c>
      <c r="D978" s="10">
        <v>1</v>
      </c>
      <c r="E978" s="10">
        <v>280</v>
      </c>
      <c r="G978" s="10">
        <f t="shared" si="11"/>
        <v>280</v>
      </c>
    </row>
    <row r="979" spans="1:7" ht="30" x14ac:dyDescent="0.25">
      <c r="A979" s="37">
        <v>46269</v>
      </c>
      <c r="C979" s="70" t="s">
        <v>1439</v>
      </c>
      <c r="D979" s="10">
        <v>3</v>
      </c>
      <c r="E979" s="10">
        <v>1380</v>
      </c>
      <c r="G979" s="10">
        <f t="shared" si="11"/>
        <v>460</v>
      </c>
    </row>
    <row r="980" spans="1:7" x14ac:dyDescent="0.25">
      <c r="A980" s="37">
        <v>46269</v>
      </c>
      <c r="C980" s="19" t="s">
        <v>1440</v>
      </c>
      <c r="D980" s="10">
        <v>5</v>
      </c>
      <c r="E980" s="10">
        <v>160</v>
      </c>
      <c r="G980" s="10">
        <f t="shared" si="11"/>
        <v>32</v>
      </c>
    </row>
    <row r="981" spans="1:7" ht="45" x14ac:dyDescent="0.25">
      <c r="A981" s="37">
        <v>46269</v>
      </c>
      <c r="C981" s="19" t="s">
        <v>1172</v>
      </c>
      <c r="D981" s="10">
        <v>6</v>
      </c>
      <c r="E981" s="10">
        <v>1170</v>
      </c>
      <c r="G981" s="10">
        <f t="shared" si="11"/>
        <v>195</v>
      </c>
    </row>
    <row r="982" spans="1:7" ht="30" x14ac:dyDescent="0.25">
      <c r="A982" s="37">
        <v>46269</v>
      </c>
      <c r="C982" s="19" t="s">
        <v>1441</v>
      </c>
      <c r="D982" s="10">
        <v>6</v>
      </c>
      <c r="E982" s="10">
        <v>420</v>
      </c>
      <c r="G982" s="10">
        <f t="shared" si="11"/>
        <v>70</v>
      </c>
    </row>
    <row r="983" spans="1:7" ht="30" x14ac:dyDescent="0.25">
      <c r="A983" s="37">
        <v>46269</v>
      </c>
      <c r="C983" s="19" t="s">
        <v>1442</v>
      </c>
      <c r="D983" s="10">
        <v>10</v>
      </c>
      <c r="E983" s="10">
        <v>90</v>
      </c>
      <c r="G983" s="10">
        <f t="shared" si="11"/>
        <v>9</v>
      </c>
    </row>
    <row r="984" spans="1:7" ht="30" x14ac:dyDescent="0.25">
      <c r="A984" s="37">
        <v>46269</v>
      </c>
      <c r="C984" s="19" t="s">
        <v>1443</v>
      </c>
      <c r="D984" s="10">
        <v>56</v>
      </c>
      <c r="E984" s="10">
        <v>505</v>
      </c>
      <c r="G984" s="10">
        <f t="shared" si="11"/>
        <v>9.0178571428571423</v>
      </c>
    </row>
    <row r="985" spans="1:7" ht="30" x14ac:dyDescent="0.25">
      <c r="A985" s="37">
        <v>46269</v>
      </c>
      <c r="C985" s="19" t="s">
        <v>1444</v>
      </c>
      <c r="D985" s="10">
        <v>24</v>
      </c>
      <c r="E985" s="10">
        <v>205</v>
      </c>
      <c r="G985" s="10">
        <f t="shared" si="11"/>
        <v>8.5416666666666661</v>
      </c>
    </row>
    <row r="986" spans="1:7" ht="30" x14ac:dyDescent="0.25">
      <c r="A986" s="37">
        <v>46269</v>
      </c>
      <c r="C986" s="19" t="s">
        <v>1445</v>
      </c>
      <c r="D986" s="10">
        <v>12</v>
      </c>
      <c r="E986" s="10">
        <v>108</v>
      </c>
      <c r="G986" s="10">
        <f t="shared" si="11"/>
        <v>9</v>
      </c>
    </row>
    <row r="987" spans="1:7" ht="30" x14ac:dyDescent="0.25">
      <c r="A987" s="37">
        <v>46269</v>
      </c>
      <c r="C987" s="19" t="s">
        <v>1446</v>
      </c>
      <c r="D987" s="10">
        <v>12</v>
      </c>
      <c r="E987" s="10">
        <v>108</v>
      </c>
      <c r="G987" s="10">
        <f t="shared" si="11"/>
        <v>9</v>
      </c>
    </row>
    <row r="988" spans="1:7" ht="30" x14ac:dyDescent="0.25">
      <c r="A988" s="37">
        <v>46269</v>
      </c>
      <c r="C988" s="19" t="s">
        <v>1447</v>
      </c>
      <c r="D988" s="10">
        <v>8</v>
      </c>
      <c r="E988" s="10">
        <v>145</v>
      </c>
      <c r="G988" s="10">
        <f t="shared" si="11"/>
        <v>18.125</v>
      </c>
    </row>
    <row r="989" spans="1:7" ht="30" x14ac:dyDescent="0.25">
      <c r="A989" s="37">
        <v>46269</v>
      </c>
      <c r="C989" s="19" t="s">
        <v>1448</v>
      </c>
      <c r="D989" s="10">
        <v>24</v>
      </c>
      <c r="E989" s="10">
        <v>210</v>
      </c>
      <c r="G989" s="10">
        <f t="shared" si="11"/>
        <v>8.75</v>
      </c>
    </row>
    <row r="990" spans="1:7" ht="30" x14ac:dyDescent="0.25">
      <c r="A990" s="37">
        <v>46269</v>
      </c>
      <c r="C990" s="19" t="s">
        <v>1449</v>
      </c>
      <c r="D990" s="10">
        <v>24</v>
      </c>
      <c r="E990" s="10">
        <v>190</v>
      </c>
      <c r="G990" s="10">
        <f t="shared" si="11"/>
        <v>7.916666666666667</v>
      </c>
    </row>
    <row r="991" spans="1:7" ht="30" x14ac:dyDescent="0.25">
      <c r="A991" s="37">
        <v>46269</v>
      </c>
      <c r="C991" s="19" t="s">
        <v>1450</v>
      </c>
      <c r="D991" s="10">
        <v>12</v>
      </c>
      <c r="E991" s="10">
        <v>108</v>
      </c>
      <c r="G991" s="10">
        <f t="shared" si="11"/>
        <v>9</v>
      </c>
    </row>
    <row r="992" spans="1:7" ht="30" x14ac:dyDescent="0.25">
      <c r="A992" s="37">
        <v>46269</v>
      </c>
      <c r="C992" s="19" t="s">
        <v>1451</v>
      </c>
      <c r="D992" s="10">
        <v>12</v>
      </c>
      <c r="E992" s="10">
        <v>108</v>
      </c>
      <c r="G992" s="10">
        <f t="shared" si="11"/>
        <v>9</v>
      </c>
    </row>
    <row r="993" spans="1:7" ht="30" x14ac:dyDescent="0.25">
      <c r="A993" s="37">
        <v>46269</v>
      </c>
      <c r="C993" s="19" t="s">
        <v>1452</v>
      </c>
      <c r="D993" s="10">
        <v>12</v>
      </c>
      <c r="E993" s="10">
        <v>108</v>
      </c>
      <c r="G993" s="10">
        <f t="shared" si="11"/>
        <v>9</v>
      </c>
    </row>
    <row r="994" spans="1:7" ht="30" x14ac:dyDescent="0.25">
      <c r="A994" s="37">
        <v>46269</v>
      </c>
      <c r="C994" s="19" t="s">
        <v>1453</v>
      </c>
      <c r="D994" s="10">
        <v>12</v>
      </c>
      <c r="E994" s="10">
        <v>110</v>
      </c>
      <c r="G994" s="10">
        <f t="shared" si="11"/>
        <v>9.1666666666666661</v>
      </c>
    </row>
    <row r="995" spans="1:7" ht="30" x14ac:dyDescent="0.25">
      <c r="A995" s="37">
        <v>46269</v>
      </c>
      <c r="C995" s="19" t="s">
        <v>1454</v>
      </c>
      <c r="D995" s="10">
        <v>12</v>
      </c>
      <c r="E995" s="10">
        <v>108</v>
      </c>
      <c r="G995" s="10">
        <f t="shared" si="11"/>
        <v>9</v>
      </c>
    </row>
    <row r="996" spans="1:7" ht="30" x14ac:dyDescent="0.25">
      <c r="A996" s="37">
        <v>46269</v>
      </c>
      <c r="C996" s="19" t="s">
        <v>1455</v>
      </c>
      <c r="D996" s="10">
        <v>12</v>
      </c>
      <c r="E996" s="10">
        <v>110</v>
      </c>
      <c r="G996" s="10">
        <f t="shared" si="11"/>
        <v>9.1666666666666661</v>
      </c>
    </row>
    <row r="997" spans="1:7" x14ac:dyDescent="0.25">
      <c r="A997" s="37">
        <v>46269</v>
      </c>
      <c r="C997" s="19" t="s">
        <v>1456</v>
      </c>
      <c r="D997" s="10">
        <v>12</v>
      </c>
      <c r="E997" s="10">
        <v>108</v>
      </c>
      <c r="G997" s="10">
        <f t="shared" si="11"/>
        <v>9</v>
      </c>
    </row>
    <row r="998" spans="1:7" ht="30" x14ac:dyDescent="0.25">
      <c r="A998" s="37">
        <v>46269</v>
      </c>
      <c r="C998" s="19" t="s">
        <v>1457</v>
      </c>
      <c r="D998" s="10">
        <v>2</v>
      </c>
      <c r="E998" s="10">
        <v>456</v>
      </c>
      <c r="G998" s="10">
        <f t="shared" si="11"/>
        <v>228</v>
      </c>
    </row>
    <row r="999" spans="1:7" ht="30" x14ac:dyDescent="0.25">
      <c r="A999" s="37">
        <v>46269</v>
      </c>
      <c r="C999" s="19" t="s">
        <v>1458</v>
      </c>
      <c r="D999" s="10">
        <v>2</v>
      </c>
      <c r="E999" s="10">
        <v>240</v>
      </c>
      <c r="G999" s="10">
        <f t="shared" si="11"/>
        <v>120</v>
      </c>
    </row>
    <row r="1000" spans="1:7" ht="45" x14ac:dyDescent="0.25">
      <c r="A1000" s="37">
        <v>46269</v>
      </c>
      <c r="C1000" s="19" t="s">
        <v>1459</v>
      </c>
      <c r="D1000" s="10">
        <v>10</v>
      </c>
      <c r="E1000" s="10">
        <v>80</v>
      </c>
      <c r="G1000" s="10">
        <f t="shared" si="11"/>
        <v>8</v>
      </c>
    </row>
    <row r="1001" spans="1:7" ht="30" x14ac:dyDescent="0.25">
      <c r="A1001" s="37">
        <v>46269</v>
      </c>
      <c r="C1001" s="19" t="s">
        <v>1460</v>
      </c>
      <c r="D1001" s="10">
        <v>3</v>
      </c>
      <c r="E1001" s="10">
        <v>156</v>
      </c>
      <c r="G1001" s="10">
        <f t="shared" si="11"/>
        <v>52</v>
      </c>
    </row>
    <row r="1002" spans="1:7" x14ac:dyDescent="0.25">
      <c r="A1002" s="37">
        <v>46269</v>
      </c>
      <c r="C1002" s="19" t="s">
        <v>1461</v>
      </c>
      <c r="D1002" s="10">
        <v>4</v>
      </c>
      <c r="E1002" s="10">
        <v>148</v>
      </c>
      <c r="G1002" s="10">
        <f t="shared" si="11"/>
        <v>37</v>
      </c>
    </row>
    <row r="1003" spans="1:7" ht="30" x14ac:dyDescent="0.25">
      <c r="A1003" s="37">
        <v>46269</v>
      </c>
      <c r="C1003" s="19" t="s">
        <v>1462</v>
      </c>
      <c r="D1003" s="10">
        <v>3</v>
      </c>
      <c r="E1003" s="10">
        <v>147</v>
      </c>
      <c r="G1003" s="10">
        <f t="shared" si="11"/>
        <v>49</v>
      </c>
    </row>
    <row r="1004" spans="1:7" ht="30" x14ac:dyDescent="0.25">
      <c r="A1004" s="37">
        <v>46269</v>
      </c>
      <c r="C1004" s="19" t="s">
        <v>1463</v>
      </c>
      <c r="D1004" s="10">
        <v>3</v>
      </c>
      <c r="E1004" s="10">
        <v>120</v>
      </c>
      <c r="G1004" s="10">
        <f t="shared" si="11"/>
        <v>40</v>
      </c>
    </row>
    <row r="1005" spans="1:7" x14ac:dyDescent="0.25">
      <c r="A1005" s="37">
        <v>46269</v>
      </c>
      <c r="C1005" s="19" t="s">
        <v>1464</v>
      </c>
      <c r="D1005" s="10">
        <v>4</v>
      </c>
      <c r="E1005" s="10">
        <v>92</v>
      </c>
      <c r="G1005" s="10">
        <f t="shared" si="11"/>
        <v>23</v>
      </c>
    </row>
    <row r="1006" spans="1:7" ht="30" x14ac:dyDescent="0.25">
      <c r="A1006" s="37">
        <v>46269</v>
      </c>
      <c r="C1006" s="19" t="s">
        <v>1465</v>
      </c>
      <c r="D1006" s="10">
        <v>12</v>
      </c>
      <c r="E1006" s="10">
        <v>108</v>
      </c>
      <c r="G1006" s="10">
        <f t="shared" si="11"/>
        <v>9</v>
      </c>
    </row>
    <row r="1007" spans="1:7" ht="30" x14ac:dyDescent="0.25">
      <c r="A1007" s="37">
        <v>46269</v>
      </c>
      <c r="C1007" s="19" t="s">
        <v>1466</v>
      </c>
      <c r="D1007" s="10">
        <v>2</v>
      </c>
      <c r="E1007" s="10">
        <v>144</v>
      </c>
      <c r="G1007" s="10">
        <f t="shared" si="11"/>
        <v>72</v>
      </c>
    </row>
    <row r="1008" spans="1:7" ht="30" x14ac:dyDescent="0.25">
      <c r="A1008" s="37">
        <v>46269</v>
      </c>
      <c r="C1008" s="19" t="s">
        <v>1467</v>
      </c>
      <c r="D1008" s="10">
        <v>12</v>
      </c>
      <c r="E1008" s="10">
        <v>204</v>
      </c>
      <c r="G1008" s="10">
        <f t="shared" si="11"/>
        <v>17</v>
      </c>
    </row>
    <row r="1009" spans="1:8" ht="30" x14ac:dyDescent="0.25">
      <c r="A1009" s="37">
        <v>46269</v>
      </c>
      <c r="C1009" s="19" t="s">
        <v>1468</v>
      </c>
      <c r="D1009" s="10">
        <v>24</v>
      </c>
      <c r="E1009" s="10">
        <v>200</v>
      </c>
      <c r="G1009" s="10">
        <f t="shared" si="11"/>
        <v>8.3333333333333339</v>
      </c>
      <c r="H1009">
        <f>SUM(E977:E1009)</f>
        <v>8156</v>
      </c>
    </row>
    <row r="1010" spans="1:8" ht="30" x14ac:dyDescent="0.25">
      <c r="A1010" s="37">
        <v>46270</v>
      </c>
      <c r="C1010" s="19" t="s">
        <v>1469</v>
      </c>
      <c r="D1010" s="10">
        <v>12</v>
      </c>
      <c r="E1010" s="10">
        <v>100</v>
      </c>
      <c r="G1010" s="10">
        <f t="shared" si="11"/>
        <v>8.3333333333333339</v>
      </c>
    </row>
    <row r="1011" spans="1:8" ht="30" x14ac:dyDescent="0.25">
      <c r="A1011" s="37">
        <v>46270</v>
      </c>
      <c r="C1011" s="19" t="s">
        <v>1470</v>
      </c>
      <c r="D1011" s="10">
        <v>3</v>
      </c>
      <c r="E1011" s="10">
        <v>330</v>
      </c>
      <c r="G1011" s="10">
        <f t="shared" si="11"/>
        <v>110</v>
      </c>
    </row>
    <row r="1012" spans="1:8" ht="30" x14ac:dyDescent="0.25">
      <c r="A1012" s="37">
        <v>46270</v>
      </c>
      <c r="C1012" s="19" t="s">
        <v>1471</v>
      </c>
      <c r="D1012" s="10">
        <v>2</v>
      </c>
      <c r="E1012" s="10">
        <v>450</v>
      </c>
      <c r="G1012" s="10">
        <f t="shared" si="11"/>
        <v>225</v>
      </c>
      <c r="H1012">
        <f>SUM(E1010:E1012)</f>
        <v>880</v>
      </c>
    </row>
    <row r="1013" spans="1:8" ht="30" x14ac:dyDescent="0.25">
      <c r="A1013" s="37">
        <v>46274</v>
      </c>
      <c r="C1013" s="19" t="s">
        <v>1478</v>
      </c>
      <c r="D1013" s="10">
        <v>2</v>
      </c>
      <c r="E1013" s="10">
        <v>76</v>
      </c>
      <c r="G1013" s="10">
        <f t="shared" si="11"/>
        <v>38</v>
      </c>
    </row>
    <row r="1014" spans="1:8" ht="30" x14ac:dyDescent="0.25">
      <c r="A1014" s="37">
        <v>46274</v>
      </c>
      <c r="C1014" s="19" t="s">
        <v>1479</v>
      </c>
      <c r="D1014" s="10">
        <v>2</v>
      </c>
      <c r="E1014" s="10">
        <v>170</v>
      </c>
      <c r="G1014" s="10">
        <f t="shared" si="11"/>
        <v>85</v>
      </c>
    </row>
    <row r="1015" spans="1:8" x14ac:dyDescent="0.25">
      <c r="A1015" s="37">
        <v>46274</v>
      </c>
      <c r="C1015" s="19" t="s">
        <v>1480</v>
      </c>
      <c r="D1015" s="10">
        <v>3</v>
      </c>
      <c r="E1015" s="10">
        <v>120</v>
      </c>
      <c r="G1015" s="10">
        <f t="shared" si="11"/>
        <v>40</v>
      </c>
    </row>
    <row r="1016" spans="1:8" ht="30" x14ac:dyDescent="0.25">
      <c r="A1016" s="37">
        <v>46274</v>
      </c>
      <c r="C1016" s="19" t="s">
        <v>1481</v>
      </c>
      <c r="D1016" s="10">
        <v>3</v>
      </c>
      <c r="E1016" s="10">
        <v>255</v>
      </c>
      <c r="G1016" s="10">
        <f t="shared" si="11"/>
        <v>85</v>
      </c>
    </row>
    <row r="1017" spans="1:8" ht="45" x14ac:dyDescent="0.25">
      <c r="A1017" s="37">
        <v>46274</v>
      </c>
      <c r="C1017" s="33" t="s">
        <v>1485</v>
      </c>
      <c r="D1017" s="10">
        <v>4</v>
      </c>
      <c r="E1017" s="10">
        <v>350</v>
      </c>
      <c r="G1017" s="10">
        <f t="shared" si="11"/>
        <v>87.5</v>
      </c>
    </row>
    <row r="1018" spans="1:8" ht="30" x14ac:dyDescent="0.25">
      <c r="A1018" s="37">
        <v>46274</v>
      </c>
      <c r="C1018" s="19" t="s">
        <v>1482</v>
      </c>
      <c r="D1018" s="10">
        <v>1</v>
      </c>
      <c r="E1018" s="10">
        <v>45</v>
      </c>
      <c r="G1018" s="10">
        <f t="shared" si="11"/>
        <v>45</v>
      </c>
    </row>
    <row r="1019" spans="1:8" ht="30" x14ac:dyDescent="0.25">
      <c r="A1019" s="37">
        <v>46274</v>
      </c>
      <c r="C1019" s="19" t="s">
        <v>1483</v>
      </c>
      <c r="D1019" s="10">
        <v>12</v>
      </c>
      <c r="E1019" s="10">
        <v>552</v>
      </c>
      <c r="G1019" s="10">
        <f t="shared" si="11"/>
        <v>46</v>
      </c>
    </row>
    <row r="1020" spans="1:8" ht="30" x14ac:dyDescent="0.25">
      <c r="A1020" s="37">
        <v>46274</v>
      </c>
      <c r="C1020" s="19" t="s">
        <v>1484</v>
      </c>
      <c r="D1020" s="10">
        <v>96</v>
      </c>
      <c r="E1020" s="10">
        <v>864</v>
      </c>
      <c r="G1020" s="10">
        <f t="shared" si="11"/>
        <v>9</v>
      </c>
    </row>
    <row r="1021" spans="1:8" ht="30" x14ac:dyDescent="0.25">
      <c r="A1021" s="37">
        <v>46274</v>
      </c>
      <c r="C1021" s="19" t="s">
        <v>1486</v>
      </c>
      <c r="D1021" s="10">
        <v>3</v>
      </c>
      <c r="E1021" s="10">
        <v>162</v>
      </c>
      <c r="G1021" s="10">
        <f t="shared" si="11"/>
        <v>54</v>
      </c>
    </row>
    <row r="1022" spans="1:8" x14ac:dyDescent="0.25">
      <c r="A1022" s="37">
        <v>46274</v>
      </c>
      <c r="C1022" s="19" t="s">
        <v>1487</v>
      </c>
      <c r="D1022" s="10">
        <v>26</v>
      </c>
      <c r="E1022" s="10">
        <v>220</v>
      </c>
      <c r="G1022" s="10">
        <f t="shared" si="11"/>
        <v>8.4615384615384617</v>
      </c>
    </row>
    <row r="1023" spans="1:8" x14ac:dyDescent="0.25">
      <c r="A1023" s="37">
        <v>46274</v>
      </c>
      <c r="C1023" s="19" t="s">
        <v>1488</v>
      </c>
      <c r="D1023" s="10">
        <v>12</v>
      </c>
      <c r="E1023" s="10">
        <v>50.4</v>
      </c>
      <c r="G1023" s="10">
        <f t="shared" si="11"/>
        <v>4.2</v>
      </c>
    </row>
    <row r="1024" spans="1:8" ht="30" x14ac:dyDescent="0.25">
      <c r="A1024" s="37">
        <v>46274</v>
      </c>
      <c r="C1024" s="19" t="s">
        <v>1491</v>
      </c>
      <c r="D1024" s="10">
        <v>30</v>
      </c>
      <c r="E1024" s="10">
        <v>108</v>
      </c>
      <c r="G1024" s="10">
        <f t="shared" si="11"/>
        <v>3.6</v>
      </c>
    </row>
    <row r="1025" spans="1:8" ht="45" x14ac:dyDescent="0.25">
      <c r="A1025" s="37">
        <v>46274</v>
      </c>
      <c r="C1025" s="19" t="s">
        <v>1489</v>
      </c>
      <c r="D1025" s="10">
        <v>64</v>
      </c>
      <c r="E1025" s="10">
        <v>52</v>
      </c>
      <c r="G1025" s="10">
        <f t="shared" si="11"/>
        <v>0.8125</v>
      </c>
    </row>
    <row r="1026" spans="1:8" ht="30" x14ac:dyDescent="0.25">
      <c r="A1026" s="37">
        <v>46274</v>
      </c>
      <c r="C1026" s="19" t="s">
        <v>1490</v>
      </c>
      <c r="D1026" s="10">
        <v>1</v>
      </c>
      <c r="E1026" s="10">
        <v>90</v>
      </c>
      <c r="G1026" s="10">
        <f t="shared" si="11"/>
        <v>90</v>
      </c>
    </row>
    <row r="1027" spans="1:8" ht="30" x14ac:dyDescent="0.25">
      <c r="A1027" s="37">
        <v>46274</v>
      </c>
      <c r="C1027" s="19" t="s">
        <v>1493</v>
      </c>
      <c r="D1027" s="10">
        <v>24</v>
      </c>
      <c r="E1027" s="10">
        <v>180.24</v>
      </c>
      <c r="G1027" s="10">
        <f t="shared" si="11"/>
        <v>7.5100000000000007</v>
      </c>
    </row>
    <row r="1028" spans="1:8" ht="30" x14ac:dyDescent="0.25">
      <c r="A1028" s="37">
        <v>46274</v>
      </c>
      <c r="C1028" s="19" t="s">
        <v>1494</v>
      </c>
      <c r="D1028" s="10">
        <v>24</v>
      </c>
      <c r="E1028" s="10">
        <v>180.24</v>
      </c>
      <c r="G1028" s="10">
        <f t="shared" si="11"/>
        <v>7.5100000000000007</v>
      </c>
    </row>
    <row r="1029" spans="1:8" ht="30" x14ac:dyDescent="0.25">
      <c r="A1029" s="37">
        <v>46274</v>
      </c>
      <c r="C1029" s="19" t="s">
        <v>1495</v>
      </c>
      <c r="D1029" s="10">
        <v>12</v>
      </c>
      <c r="E1029" s="10">
        <v>198</v>
      </c>
      <c r="G1029" s="10">
        <f t="shared" si="11"/>
        <v>16.5</v>
      </c>
    </row>
    <row r="1030" spans="1:8" ht="30" x14ac:dyDescent="0.25">
      <c r="A1030" s="37">
        <v>46274</v>
      </c>
      <c r="C1030" s="19" t="s">
        <v>1496</v>
      </c>
      <c r="D1030" s="10">
        <v>6</v>
      </c>
      <c r="E1030" s="10">
        <v>270</v>
      </c>
      <c r="G1030" s="10">
        <f t="shared" si="11"/>
        <v>45</v>
      </c>
    </row>
    <row r="1031" spans="1:8" ht="45" x14ac:dyDescent="0.25">
      <c r="A1031" s="37">
        <v>46274</v>
      </c>
      <c r="C1031" s="19" t="s">
        <v>1497</v>
      </c>
      <c r="D1031" s="10">
        <v>20</v>
      </c>
      <c r="E1031" s="10">
        <v>180</v>
      </c>
      <c r="G1031" s="10">
        <f t="shared" si="11"/>
        <v>9</v>
      </c>
    </row>
    <row r="1032" spans="1:8" x14ac:dyDescent="0.25">
      <c r="A1032" s="37">
        <v>46274</v>
      </c>
      <c r="C1032" s="19" t="s">
        <v>1498</v>
      </c>
      <c r="D1032" s="10">
        <v>36</v>
      </c>
      <c r="E1032" s="10">
        <v>160</v>
      </c>
      <c r="G1032" s="10">
        <f t="shared" si="11"/>
        <v>4.4444444444444446</v>
      </c>
    </row>
    <row r="1033" spans="1:8" ht="30" x14ac:dyDescent="0.25">
      <c r="A1033" s="37">
        <v>46274</v>
      </c>
      <c r="C1033" s="19" t="s">
        <v>1499</v>
      </c>
      <c r="D1033" s="10">
        <v>48</v>
      </c>
      <c r="E1033" s="10">
        <v>360</v>
      </c>
      <c r="G1033" s="10">
        <f t="shared" si="11"/>
        <v>7.5</v>
      </c>
    </row>
    <row r="1034" spans="1:8" ht="30" x14ac:dyDescent="0.25">
      <c r="A1034" s="37">
        <v>46274</v>
      </c>
      <c r="C1034" s="19" t="s">
        <v>1500</v>
      </c>
      <c r="D1034" s="10">
        <v>48</v>
      </c>
      <c r="E1034" s="10">
        <v>320</v>
      </c>
      <c r="G1034" s="10">
        <f t="shared" si="11"/>
        <v>6.666666666666667</v>
      </c>
    </row>
    <row r="1035" spans="1:8" x14ac:dyDescent="0.25">
      <c r="A1035" s="37">
        <v>46274</v>
      </c>
      <c r="C1035" s="19" t="s">
        <v>1501</v>
      </c>
      <c r="D1035" s="10">
        <v>36</v>
      </c>
      <c r="E1035" s="10">
        <v>160</v>
      </c>
      <c r="G1035" s="10">
        <f t="shared" si="11"/>
        <v>4.4444444444444446</v>
      </c>
    </row>
    <row r="1036" spans="1:8" ht="30" x14ac:dyDescent="0.25">
      <c r="A1036" s="37">
        <v>46274</v>
      </c>
      <c r="C1036" s="19" t="s">
        <v>1502</v>
      </c>
      <c r="D1036" s="10">
        <v>72</v>
      </c>
      <c r="E1036" s="10">
        <v>620</v>
      </c>
      <c r="G1036" s="10">
        <f t="shared" ref="G1036:G1044" si="12">E1036/D1036</f>
        <v>8.6111111111111107</v>
      </c>
    </row>
    <row r="1037" spans="1:8" ht="30" x14ac:dyDescent="0.25">
      <c r="A1037" s="37">
        <v>46274</v>
      </c>
      <c r="C1037" s="19" t="s">
        <v>1503</v>
      </c>
      <c r="D1037" s="10">
        <v>100</v>
      </c>
      <c r="E1037" s="10">
        <v>170</v>
      </c>
      <c r="G1037" s="10">
        <f t="shared" si="12"/>
        <v>1.7</v>
      </c>
    </row>
    <row r="1038" spans="1:8" ht="30" x14ac:dyDescent="0.25">
      <c r="A1038" s="37">
        <v>46274</v>
      </c>
      <c r="C1038" s="19" t="s">
        <v>1504</v>
      </c>
      <c r="D1038" s="10">
        <v>70</v>
      </c>
      <c r="E1038" s="10">
        <v>320</v>
      </c>
      <c r="G1038" s="10">
        <f t="shared" si="12"/>
        <v>4.5714285714285712</v>
      </c>
      <c r="H1038">
        <f>SUM(E1013:E1038)</f>
        <v>6232.88</v>
      </c>
    </row>
    <row r="1039" spans="1:8" ht="30" x14ac:dyDescent="0.25">
      <c r="A1039" s="37">
        <v>46276</v>
      </c>
      <c r="C1039" s="19" t="s">
        <v>1510</v>
      </c>
      <c r="D1039" s="10">
        <v>10</v>
      </c>
      <c r="E1039" s="10">
        <v>120</v>
      </c>
      <c r="G1039" s="10">
        <f t="shared" si="12"/>
        <v>12</v>
      </c>
    </row>
    <row r="1040" spans="1:8" ht="30" x14ac:dyDescent="0.25">
      <c r="A1040" s="37">
        <v>46276</v>
      </c>
      <c r="C1040" s="19" t="s">
        <v>1511</v>
      </c>
      <c r="D1040" s="10">
        <v>30</v>
      </c>
      <c r="E1040" s="10">
        <v>180</v>
      </c>
      <c r="G1040" s="10">
        <f t="shared" si="12"/>
        <v>6</v>
      </c>
    </row>
    <row r="1041" spans="1:7" ht="30" x14ac:dyDescent="0.25">
      <c r="A1041" s="37">
        <v>46276</v>
      </c>
      <c r="C1041" s="19" t="s">
        <v>1508</v>
      </c>
      <c r="D1041" s="10">
        <v>40</v>
      </c>
      <c r="E1041" s="10">
        <v>280</v>
      </c>
      <c r="G1041" s="10">
        <f t="shared" si="12"/>
        <v>7</v>
      </c>
    </row>
    <row r="1042" spans="1:7" ht="30" x14ac:dyDescent="0.25">
      <c r="A1042" s="37">
        <v>46276</v>
      </c>
      <c r="C1042" s="19" t="s">
        <v>1509</v>
      </c>
      <c r="D1042" s="10">
        <v>30</v>
      </c>
      <c r="E1042" s="10">
        <v>180</v>
      </c>
      <c r="G1042" s="10">
        <f t="shared" si="12"/>
        <v>6</v>
      </c>
    </row>
    <row r="1043" spans="1:7" ht="30" x14ac:dyDescent="0.25">
      <c r="A1043" s="37">
        <v>46276</v>
      </c>
      <c r="C1043" s="19" t="s">
        <v>1512</v>
      </c>
      <c r="D1043" s="10">
        <v>30</v>
      </c>
      <c r="E1043" s="10">
        <v>180</v>
      </c>
      <c r="G1043" s="10">
        <f t="shared" si="12"/>
        <v>6</v>
      </c>
    </row>
    <row r="1044" spans="1:7" x14ac:dyDescent="0.25">
      <c r="A1044" s="37">
        <v>46276</v>
      </c>
      <c r="C1044" s="19" t="s">
        <v>1513</v>
      </c>
      <c r="D1044" s="10">
        <v>210</v>
      </c>
      <c r="E1044" s="10">
        <v>1650</v>
      </c>
      <c r="G1044" s="10">
        <f t="shared" si="12"/>
        <v>7.8571428571428568</v>
      </c>
    </row>
  </sheetData>
  <autoFilter ref="A1:K1041" xr:uid="{00000000-0001-0000-0200-000000000000}">
    <sortState xmlns:xlrd2="http://schemas.microsoft.com/office/spreadsheetml/2017/richdata2" ref="A2:K612">
      <sortCondition ref="A1"/>
    </sortState>
  </autoFilter>
  <phoneticPr fontId="18" type="noConversion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FC000"/>
  </sheetPr>
  <dimension ref="A1:L21"/>
  <sheetViews>
    <sheetView workbookViewId="0">
      <selection activeCell="B22" sqref="B22"/>
    </sheetView>
  </sheetViews>
  <sheetFormatPr defaultRowHeight="15" x14ac:dyDescent="0.25"/>
  <cols>
    <col min="1" max="1" width="20" customWidth="1"/>
    <col min="2" max="2" width="20" style="9" customWidth="1"/>
    <col min="3" max="4" width="20" customWidth="1"/>
    <col min="5" max="5" width="17.28515625" customWidth="1"/>
    <col min="8" max="8" width="14.7109375" bestFit="1" customWidth="1"/>
    <col min="9" max="9" width="16.5703125" bestFit="1" customWidth="1"/>
    <col min="10" max="10" width="13.7109375" customWidth="1"/>
    <col min="11" max="11" width="12.7109375" customWidth="1"/>
  </cols>
  <sheetData>
    <row r="1" spans="1:12" s="5" customFormat="1" ht="15.6" customHeight="1" x14ac:dyDescent="0.25">
      <c r="A1" s="4" t="s">
        <v>0</v>
      </c>
      <c r="B1" s="17" t="s">
        <v>242</v>
      </c>
      <c r="C1" s="4" t="s">
        <v>4</v>
      </c>
      <c r="D1" s="4" t="s">
        <v>243</v>
      </c>
      <c r="E1" s="4" t="s">
        <v>244</v>
      </c>
      <c r="H1" s="20"/>
      <c r="I1" s="20"/>
      <c r="J1" s="20"/>
      <c r="K1" s="20"/>
    </row>
    <row r="2" spans="1:12" ht="43.15" customHeight="1" x14ac:dyDescent="0.25">
      <c r="B2" s="15" t="s">
        <v>245</v>
      </c>
      <c r="C2">
        <v>41000</v>
      </c>
      <c r="H2" s="21" t="s">
        <v>246</v>
      </c>
      <c r="I2" s="21" t="s">
        <v>247</v>
      </c>
      <c r="J2" s="21" t="s">
        <v>248</v>
      </c>
      <c r="K2" s="21" t="s">
        <v>249</v>
      </c>
      <c r="L2" s="19"/>
    </row>
    <row r="3" spans="1:12" x14ac:dyDescent="0.25">
      <c r="B3" s="15" t="s">
        <v>250</v>
      </c>
      <c r="C3">
        <v>4000</v>
      </c>
      <c r="H3" s="22">
        <v>4880</v>
      </c>
      <c r="I3" s="22">
        <v>163</v>
      </c>
      <c r="J3" s="23" t="s">
        <v>251</v>
      </c>
      <c r="K3" s="23" t="s">
        <v>252</v>
      </c>
    </row>
    <row r="4" spans="1:12" x14ac:dyDescent="0.25">
      <c r="B4" s="15" t="s">
        <v>253</v>
      </c>
      <c r="C4">
        <v>8000</v>
      </c>
    </row>
    <row r="5" spans="1:12" x14ac:dyDescent="0.25">
      <c r="B5" s="16" t="s">
        <v>254</v>
      </c>
    </row>
    <row r="6" spans="1:12" ht="28.9" customHeight="1" x14ac:dyDescent="0.25">
      <c r="B6" s="16" t="s">
        <v>255</v>
      </c>
      <c r="H6" s="24" t="s">
        <v>256</v>
      </c>
      <c r="I6" s="24" t="s">
        <v>257</v>
      </c>
      <c r="J6" s="24" t="s">
        <v>258</v>
      </c>
    </row>
    <row r="7" spans="1:12" x14ac:dyDescent="0.25">
      <c r="B7" s="15" t="s">
        <v>259</v>
      </c>
      <c r="C7">
        <v>28000</v>
      </c>
      <c r="H7" s="25" t="s">
        <v>260</v>
      </c>
      <c r="I7" s="25">
        <v>12</v>
      </c>
      <c r="J7" s="25">
        <v>3000</v>
      </c>
    </row>
    <row r="8" spans="1:12" ht="28.9" customHeight="1" x14ac:dyDescent="0.25">
      <c r="B8" s="16" t="s">
        <v>261</v>
      </c>
      <c r="H8" s="25" t="s">
        <v>262</v>
      </c>
      <c r="I8" s="25">
        <v>15</v>
      </c>
      <c r="J8" s="25">
        <v>3000</v>
      </c>
    </row>
    <row r="9" spans="1:12" x14ac:dyDescent="0.25">
      <c r="B9" s="15" t="s">
        <v>263</v>
      </c>
      <c r="C9">
        <v>4350</v>
      </c>
      <c r="E9" t="s">
        <v>264</v>
      </c>
      <c r="H9" s="25" t="s">
        <v>265</v>
      </c>
      <c r="I9" s="25">
        <v>20</v>
      </c>
      <c r="J9" s="25">
        <v>3000</v>
      </c>
    </row>
    <row r="10" spans="1:12" x14ac:dyDescent="0.25">
      <c r="B10" s="16" t="s">
        <v>266</v>
      </c>
      <c r="H10" s="25" t="s">
        <v>267</v>
      </c>
      <c r="I10" s="25">
        <v>30</v>
      </c>
      <c r="J10" s="25">
        <v>3000</v>
      </c>
    </row>
    <row r="11" spans="1:12" x14ac:dyDescent="0.25">
      <c r="B11" s="16" t="s">
        <v>268</v>
      </c>
    </row>
    <row r="12" spans="1:12" x14ac:dyDescent="0.25">
      <c r="B12" s="15" t="s">
        <v>269</v>
      </c>
      <c r="C12">
        <v>31500</v>
      </c>
    </row>
    <row r="13" spans="1:12" x14ac:dyDescent="0.25">
      <c r="B13" s="15" t="s">
        <v>270</v>
      </c>
      <c r="C13">
        <v>20000</v>
      </c>
    </row>
    <row r="14" spans="1:12" x14ac:dyDescent="0.25">
      <c r="B14" s="15" t="s">
        <v>271</v>
      </c>
      <c r="C14">
        <v>5800</v>
      </c>
    </row>
    <row r="15" spans="1:12" ht="30" x14ac:dyDescent="0.25">
      <c r="B15" s="15" t="s">
        <v>272</v>
      </c>
      <c r="C15">
        <v>12750</v>
      </c>
      <c r="E15" s="9" t="s">
        <v>273</v>
      </c>
    </row>
    <row r="16" spans="1:12" ht="28.9" customHeight="1" x14ac:dyDescent="0.25">
      <c r="B16" s="15" t="s">
        <v>274</v>
      </c>
      <c r="C16">
        <v>1100</v>
      </c>
    </row>
    <row r="17" spans="2:3" ht="30" x14ac:dyDescent="0.25">
      <c r="B17" s="16" t="s">
        <v>275</v>
      </c>
      <c r="C17">
        <v>910</v>
      </c>
    </row>
    <row r="18" spans="2:3" x14ac:dyDescent="0.25">
      <c r="B18" s="9" t="s">
        <v>276</v>
      </c>
      <c r="C18">
        <v>600</v>
      </c>
    </row>
    <row r="19" spans="2:3" x14ac:dyDescent="0.25">
      <c r="B19" s="9" t="s">
        <v>477</v>
      </c>
      <c r="C19">
        <v>520</v>
      </c>
    </row>
    <row r="20" spans="2:3" x14ac:dyDescent="0.25">
      <c r="B20" s="9" t="s">
        <v>906</v>
      </c>
      <c r="C20">
        <v>80</v>
      </c>
    </row>
    <row r="21" spans="2:3" x14ac:dyDescent="0.25">
      <c r="B21" s="9" t="s">
        <v>1083</v>
      </c>
      <c r="C21">
        <v>1200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0000"/>
  </sheetPr>
  <dimension ref="A1:O245"/>
  <sheetViews>
    <sheetView zoomScale="85" zoomScaleNormal="85" workbookViewId="0">
      <pane ySplit="1" topLeftCell="A2" activePane="bottomLeft" state="frozen"/>
      <selection pane="bottomLeft" activeCell="L9" sqref="L9"/>
    </sheetView>
  </sheetViews>
  <sheetFormatPr defaultRowHeight="18.75" x14ac:dyDescent="0.3"/>
  <cols>
    <col min="1" max="6" width="20" customWidth="1"/>
    <col min="7" max="7" width="20" style="102" customWidth="1"/>
    <col min="8" max="8" width="25.5703125" style="153" bestFit="1" customWidth="1"/>
    <col min="9" max="9" width="8.42578125" style="129" customWidth="1"/>
    <col min="10" max="10" width="6.28515625" customWidth="1"/>
    <col min="11" max="11" width="23.42578125" customWidth="1"/>
    <col min="13" max="13" width="11.140625" customWidth="1"/>
  </cols>
  <sheetData>
    <row r="1" spans="1:15" s="128" customFormat="1" ht="61.5" customHeight="1" x14ac:dyDescent="0.25">
      <c r="A1" s="18" t="s">
        <v>0</v>
      </c>
      <c r="B1" s="18" t="s">
        <v>45</v>
      </c>
      <c r="C1" s="18" t="s">
        <v>384</v>
      </c>
      <c r="D1" s="18" t="s">
        <v>383</v>
      </c>
      <c r="E1" s="18" t="s">
        <v>287</v>
      </c>
      <c r="F1" s="130" t="s">
        <v>46</v>
      </c>
      <c r="G1" s="131" t="s">
        <v>47</v>
      </c>
      <c r="H1" s="152" t="s">
        <v>552</v>
      </c>
      <c r="I1" s="132" t="s">
        <v>983</v>
      </c>
      <c r="J1" s="111" t="s">
        <v>982</v>
      </c>
      <c r="K1" s="14" t="s">
        <v>1296</v>
      </c>
      <c r="L1" s="278" t="s">
        <v>1297</v>
      </c>
      <c r="M1" s="279"/>
      <c r="N1" s="278"/>
      <c r="O1" s="279"/>
    </row>
    <row r="2" spans="1:15" x14ac:dyDescent="0.3">
      <c r="A2" s="1">
        <v>46052</v>
      </c>
      <c r="B2">
        <v>0</v>
      </c>
      <c r="C2">
        <v>40</v>
      </c>
      <c r="F2">
        <v>0</v>
      </c>
      <c r="G2" s="102">
        <v>40</v>
      </c>
      <c r="H2" s="153">
        <f>C2+D2+E2</f>
        <v>40</v>
      </c>
      <c r="I2" s="129">
        <v>0</v>
      </c>
    </row>
    <row r="3" spans="1:15" x14ac:dyDescent="0.3">
      <c r="A3" s="1">
        <v>46053</v>
      </c>
      <c r="B3">
        <v>40</v>
      </c>
      <c r="C3">
        <v>0</v>
      </c>
      <c r="F3">
        <v>0</v>
      </c>
      <c r="G3" s="102">
        <v>40</v>
      </c>
      <c r="H3" s="153">
        <f t="shared" ref="H3:H66" si="0">C3+D3+E3</f>
        <v>0</v>
      </c>
      <c r="I3" s="129">
        <v>0</v>
      </c>
    </row>
    <row r="4" spans="1:15" x14ac:dyDescent="0.3">
      <c r="A4" s="1">
        <v>46054</v>
      </c>
      <c r="B4">
        <v>40</v>
      </c>
      <c r="C4">
        <v>0</v>
      </c>
      <c r="F4">
        <v>0</v>
      </c>
      <c r="G4" s="102">
        <v>40</v>
      </c>
      <c r="H4" s="153">
        <f t="shared" si="0"/>
        <v>0</v>
      </c>
      <c r="I4" s="129">
        <v>0</v>
      </c>
    </row>
    <row r="5" spans="1:15" x14ac:dyDescent="0.3">
      <c r="A5" s="1">
        <v>46055</v>
      </c>
      <c r="B5">
        <v>40</v>
      </c>
      <c r="C5">
        <v>0</v>
      </c>
      <c r="F5">
        <v>0</v>
      </c>
      <c r="G5" s="102">
        <v>40</v>
      </c>
      <c r="H5" s="153">
        <f t="shared" si="0"/>
        <v>0</v>
      </c>
      <c r="I5" s="129">
        <v>0</v>
      </c>
    </row>
    <row r="6" spans="1:15" x14ac:dyDescent="0.3">
      <c r="A6" s="1">
        <v>46056</v>
      </c>
      <c r="B6">
        <v>40</v>
      </c>
      <c r="C6">
        <v>0</v>
      </c>
      <c r="F6">
        <v>0</v>
      </c>
      <c r="G6" s="102">
        <v>40</v>
      </c>
      <c r="H6" s="153">
        <f t="shared" si="0"/>
        <v>0</v>
      </c>
      <c r="I6" s="129">
        <v>0</v>
      </c>
    </row>
    <row r="7" spans="1:15" x14ac:dyDescent="0.3">
      <c r="A7" s="1">
        <v>46057</v>
      </c>
      <c r="B7">
        <v>40</v>
      </c>
      <c r="C7">
        <v>0</v>
      </c>
      <c r="F7">
        <v>0</v>
      </c>
      <c r="G7" s="102">
        <v>40</v>
      </c>
      <c r="H7" s="153">
        <f t="shared" si="0"/>
        <v>0</v>
      </c>
      <c r="I7" s="129">
        <v>0</v>
      </c>
    </row>
    <row r="8" spans="1:15" x14ac:dyDescent="0.3">
      <c r="A8" s="1">
        <v>46058</v>
      </c>
      <c r="B8">
        <v>40</v>
      </c>
      <c r="C8">
        <v>0</v>
      </c>
      <c r="F8">
        <v>0</v>
      </c>
      <c r="G8" s="102">
        <v>40</v>
      </c>
      <c r="H8" s="153">
        <f t="shared" si="0"/>
        <v>0</v>
      </c>
      <c r="I8" s="129">
        <v>0</v>
      </c>
    </row>
    <row r="9" spans="1:15" x14ac:dyDescent="0.3">
      <c r="A9" s="1">
        <v>46059</v>
      </c>
      <c r="B9">
        <v>40</v>
      </c>
      <c r="C9">
        <v>140</v>
      </c>
      <c r="F9">
        <v>0</v>
      </c>
      <c r="G9" s="102">
        <v>180</v>
      </c>
      <c r="H9" s="153">
        <f t="shared" si="0"/>
        <v>140</v>
      </c>
      <c r="I9" s="129">
        <v>0</v>
      </c>
    </row>
    <row r="10" spans="1:15" x14ac:dyDescent="0.3">
      <c r="A10" s="1">
        <v>46060</v>
      </c>
      <c r="B10">
        <v>180</v>
      </c>
      <c r="C10">
        <v>0</v>
      </c>
      <c r="F10">
        <v>0</v>
      </c>
      <c r="G10" s="102">
        <v>180</v>
      </c>
      <c r="H10" s="153">
        <f t="shared" si="0"/>
        <v>0</v>
      </c>
      <c r="I10" s="129">
        <v>0</v>
      </c>
    </row>
    <row r="11" spans="1:15" x14ac:dyDescent="0.3">
      <c r="A11" s="1">
        <v>46061</v>
      </c>
      <c r="B11">
        <v>180</v>
      </c>
      <c r="C11">
        <v>0</v>
      </c>
      <c r="F11">
        <v>0</v>
      </c>
      <c r="G11" s="102">
        <v>180</v>
      </c>
      <c r="H11" s="153">
        <f t="shared" si="0"/>
        <v>0</v>
      </c>
      <c r="I11" s="129">
        <v>0</v>
      </c>
    </row>
    <row r="12" spans="1:15" x14ac:dyDescent="0.3">
      <c r="A12" s="1">
        <v>46062</v>
      </c>
      <c r="B12">
        <v>180</v>
      </c>
      <c r="C12">
        <v>0</v>
      </c>
      <c r="F12">
        <v>0</v>
      </c>
      <c r="G12" s="102">
        <v>180</v>
      </c>
      <c r="H12" s="153">
        <f t="shared" si="0"/>
        <v>0</v>
      </c>
      <c r="I12" s="129">
        <v>0</v>
      </c>
    </row>
    <row r="13" spans="1:15" x14ac:dyDescent="0.3">
      <c r="A13" s="1">
        <v>46063</v>
      </c>
      <c r="B13">
        <v>180</v>
      </c>
      <c r="C13">
        <v>100</v>
      </c>
      <c r="F13">
        <v>210</v>
      </c>
      <c r="G13" s="102">
        <f>(B13+C13)-F13</f>
        <v>70</v>
      </c>
      <c r="H13" s="153">
        <f t="shared" si="0"/>
        <v>100</v>
      </c>
      <c r="I13" s="129">
        <v>10</v>
      </c>
    </row>
    <row r="14" spans="1:15" x14ac:dyDescent="0.3">
      <c r="A14" s="1">
        <v>46064</v>
      </c>
      <c r="B14">
        <f t="shared" ref="B14:B22" si="1">G13+I13</f>
        <v>80</v>
      </c>
      <c r="C14">
        <v>0</v>
      </c>
      <c r="F14">
        <v>0</v>
      </c>
      <c r="G14" s="102">
        <f>(B14+C14)-F14</f>
        <v>80</v>
      </c>
      <c r="H14" s="153">
        <f t="shared" si="0"/>
        <v>0</v>
      </c>
      <c r="I14" s="129">
        <v>0</v>
      </c>
    </row>
    <row r="15" spans="1:15" x14ac:dyDescent="0.3">
      <c r="A15" s="1">
        <v>46065</v>
      </c>
      <c r="B15">
        <f t="shared" si="1"/>
        <v>80</v>
      </c>
      <c r="C15">
        <v>0</v>
      </c>
      <c r="F15">
        <v>0</v>
      </c>
      <c r="G15" s="102">
        <v>80</v>
      </c>
      <c r="H15" s="153">
        <f t="shared" si="0"/>
        <v>0</v>
      </c>
      <c r="I15" s="129">
        <v>0</v>
      </c>
    </row>
    <row r="16" spans="1:15" x14ac:dyDescent="0.3">
      <c r="A16" s="1">
        <v>46066</v>
      </c>
      <c r="B16">
        <f t="shared" si="1"/>
        <v>80</v>
      </c>
      <c r="C16">
        <v>0</v>
      </c>
      <c r="F16">
        <v>0</v>
      </c>
      <c r="G16" s="102">
        <v>80</v>
      </c>
      <c r="H16" s="153">
        <f t="shared" si="0"/>
        <v>0</v>
      </c>
      <c r="I16" s="129">
        <v>0</v>
      </c>
    </row>
    <row r="17" spans="1:9" x14ac:dyDescent="0.3">
      <c r="A17" s="1">
        <v>46067</v>
      </c>
      <c r="B17">
        <f t="shared" si="1"/>
        <v>80</v>
      </c>
      <c r="C17">
        <v>0</v>
      </c>
      <c r="F17">
        <v>0</v>
      </c>
      <c r="G17" s="102">
        <v>80</v>
      </c>
      <c r="H17" s="153">
        <f t="shared" si="0"/>
        <v>0</v>
      </c>
      <c r="I17" s="129">
        <v>0</v>
      </c>
    </row>
    <row r="18" spans="1:9" x14ac:dyDescent="0.3">
      <c r="A18" s="1">
        <v>46068</v>
      </c>
      <c r="B18">
        <f t="shared" si="1"/>
        <v>80</v>
      </c>
      <c r="C18">
        <v>0</v>
      </c>
      <c r="F18">
        <v>0</v>
      </c>
      <c r="G18" s="102">
        <v>80</v>
      </c>
      <c r="H18" s="153">
        <f t="shared" si="0"/>
        <v>0</v>
      </c>
      <c r="I18" s="129">
        <v>0</v>
      </c>
    </row>
    <row r="19" spans="1:9" x14ac:dyDescent="0.3">
      <c r="A19" s="1">
        <v>46069</v>
      </c>
      <c r="B19">
        <f t="shared" si="1"/>
        <v>80</v>
      </c>
      <c r="C19">
        <v>0</v>
      </c>
      <c r="F19">
        <v>0</v>
      </c>
      <c r="G19" s="102">
        <v>80</v>
      </c>
      <c r="H19" s="153">
        <f t="shared" si="0"/>
        <v>0</v>
      </c>
      <c r="I19" s="129">
        <v>0</v>
      </c>
    </row>
    <row r="20" spans="1:9" x14ac:dyDescent="0.3">
      <c r="A20" s="1">
        <v>46070</v>
      </c>
      <c r="B20">
        <f t="shared" si="1"/>
        <v>80</v>
      </c>
      <c r="C20">
        <v>0</v>
      </c>
      <c r="F20">
        <v>0</v>
      </c>
      <c r="G20" s="102">
        <v>80</v>
      </c>
      <c r="H20" s="153">
        <f t="shared" si="0"/>
        <v>0</v>
      </c>
      <c r="I20" s="129">
        <v>0</v>
      </c>
    </row>
    <row r="21" spans="1:9" x14ac:dyDescent="0.3">
      <c r="A21" s="1">
        <v>46071</v>
      </c>
      <c r="B21">
        <f t="shared" si="1"/>
        <v>80</v>
      </c>
      <c r="C21">
        <v>0</v>
      </c>
      <c r="F21">
        <v>0</v>
      </c>
      <c r="G21" s="102">
        <v>80</v>
      </c>
      <c r="H21" s="153">
        <f t="shared" si="0"/>
        <v>0</v>
      </c>
      <c r="I21" s="129">
        <v>0</v>
      </c>
    </row>
    <row r="22" spans="1:9" x14ac:dyDescent="0.3">
      <c r="A22" s="1">
        <v>46072</v>
      </c>
      <c r="B22">
        <f t="shared" si="1"/>
        <v>80</v>
      </c>
      <c r="C22">
        <v>0</v>
      </c>
      <c r="F22">
        <v>0</v>
      </c>
      <c r="G22" s="102">
        <v>80</v>
      </c>
      <c r="H22" s="153">
        <f t="shared" si="0"/>
        <v>0</v>
      </c>
      <c r="I22" s="129">
        <v>0</v>
      </c>
    </row>
    <row r="23" spans="1:9" x14ac:dyDescent="0.3">
      <c r="A23" s="1">
        <v>46073</v>
      </c>
      <c r="B23">
        <v>80</v>
      </c>
      <c r="C23">
        <v>0</v>
      </c>
      <c r="F23">
        <v>0</v>
      </c>
      <c r="G23" s="102">
        <v>80</v>
      </c>
      <c r="H23" s="153">
        <f t="shared" si="0"/>
        <v>0</v>
      </c>
      <c r="I23" s="129">
        <v>0</v>
      </c>
    </row>
    <row r="24" spans="1:9" x14ac:dyDescent="0.3">
      <c r="A24" s="1">
        <v>46074</v>
      </c>
      <c r="B24">
        <v>80</v>
      </c>
      <c r="C24">
        <v>0</v>
      </c>
      <c r="F24">
        <v>0</v>
      </c>
      <c r="G24" s="102">
        <v>80</v>
      </c>
      <c r="H24" s="153">
        <f t="shared" si="0"/>
        <v>0</v>
      </c>
      <c r="I24" s="129">
        <v>0</v>
      </c>
    </row>
    <row r="25" spans="1:9" x14ac:dyDescent="0.3">
      <c r="A25" s="1">
        <v>46075</v>
      </c>
      <c r="B25">
        <v>80</v>
      </c>
      <c r="C25">
        <v>0</v>
      </c>
      <c r="F25">
        <v>0</v>
      </c>
      <c r="G25" s="102">
        <v>80</v>
      </c>
      <c r="H25" s="153">
        <f t="shared" si="0"/>
        <v>0</v>
      </c>
      <c r="I25" s="129">
        <v>0</v>
      </c>
    </row>
    <row r="26" spans="1:9" x14ac:dyDescent="0.3">
      <c r="A26" s="1">
        <v>46076</v>
      </c>
      <c r="B26">
        <v>80</v>
      </c>
      <c r="C26">
        <v>0</v>
      </c>
      <c r="F26">
        <v>0</v>
      </c>
      <c r="G26" s="102">
        <v>80</v>
      </c>
      <c r="H26" s="153">
        <f>C26+D26+E26</f>
        <v>0</v>
      </c>
      <c r="I26" s="129">
        <v>0</v>
      </c>
    </row>
    <row r="27" spans="1:9" x14ac:dyDescent="0.3">
      <c r="A27" s="1">
        <v>46077</v>
      </c>
      <c r="B27">
        <v>80</v>
      </c>
      <c r="C27">
        <v>0</v>
      </c>
      <c r="F27">
        <v>0</v>
      </c>
      <c r="G27" s="102">
        <v>80</v>
      </c>
      <c r="H27" s="153">
        <f t="shared" si="0"/>
        <v>0</v>
      </c>
      <c r="I27" s="129">
        <v>0</v>
      </c>
    </row>
    <row r="28" spans="1:9" x14ac:dyDescent="0.3">
      <c r="A28" s="1">
        <v>46078</v>
      </c>
      <c r="B28">
        <v>80</v>
      </c>
      <c r="C28">
        <v>0</v>
      </c>
      <c r="F28">
        <v>0</v>
      </c>
      <c r="G28" s="102">
        <v>80</v>
      </c>
      <c r="H28" s="153">
        <f t="shared" si="0"/>
        <v>0</v>
      </c>
      <c r="I28" s="129">
        <v>0</v>
      </c>
    </row>
    <row r="29" spans="1:9" x14ac:dyDescent="0.3">
      <c r="A29" s="1">
        <v>46079</v>
      </c>
      <c r="B29">
        <v>80</v>
      </c>
      <c r="C29">
        <v>0</v>
      </c>
      <c r="F29">
        <v>0</v>
      </c>
      <c r="G29" s="102">
        <v>80</v>
      </c>
      <c r="H29" s="153">
        <f t="shared" si="0"/>
        <v>0</v>
      </c>
      <c r="I29" s="129">
        <v>0</v>
      </c>
    </row>
    <row r="30" spans="1:9" x14ac:dyDescent="0.3">
      <c r="A30" s="1">
        <v>46080</v>
      </c>
      <c r="B30">
        <v>80</v>
      </c>
      <c r="C30">
        <v>0</v>
      </c>
      <c r="F30">
        <v>0</v>
      </c>
      <c r="G30" s="102">
        <v>80</v>
      </c>
      <c r="H30" s="153">
        <f t="shared" si="0"/>
        <v>0</v>
      </c>
      <c r="I30" s="129">
        <v>0</v>
      </c>
    </row>
    <row r="31" spans="1:9" x14ac:dyDescent="0.3">
      <c r="A31" s="1">
        <v>46081</v>
      </c>
      <c r="B31">
        <v>80</v>
      </c>
      <c r="C31">
        <v>0</v>
      </c>
      <c r="F31">
        <v>0</v>
      </c>
      <c r="G31" s="102">
        <v>80</v>
      </c>
      <c r="H31" s="153">
        <f t="shared" si="0"/>
        <v>0</v>
      </c>
      <c r="I31" s="129">
        <v>0</v>
      </c>
    </row>
    <row r="32" spans="1:9" x14ac:dyDescent="0.3">
      <c r="A32" s="1">
        <v>46082</v>
      </c>
      <c r="B32">
        <v>80</v>
      </c>
      <c r="C32">
        <v>0</v>
      </c>
      <c r="F32">
        <v>0</v>
      </c>
      <c r="G32" s="102">
        <v>80</v>
      </c>
      <c r="H32" s="153">
        <f t="shared" si="0"/>
        <v>0</v>
      </c>
      <c r="I32" s="129">
        <v>0</v>
      </c>
    </row>
    <row r="33" spans="1:9" x14ac:dyDescent="0.3">
      <c r="A33" s="1">
        <v>46083</v>
      </c>
      <c r="B33">
        <v>80</v>
      </c>
      <c r="C33">
        <v>140</v>
      </c>
      <c r="F33">
        <v>0</v>
      </c>
      <c r="G33" s="102">
        <f t="shared" ref="G33:G66" si="2">B33+C33-F33</f>
        <v>220</v>
      </c>
      <c r="H33" s="153">
        <f t="shared" si="0"/>
        <v>140</v>
      </c>
      <c r="I33" s="129">
        <v>0</v>
      </c>
    </row>
    <row r="34" spans="1:9" x14ac:dyDescent="0.3">
      <c r="A34" s="1">
        <v>46084</v>
      </c>
      <c r="B34">
        <v>220</v>
      </c>
      <c r="C34">
        <v>0</v>
      </c>
      <c r="F34">
        <v>0</v>
      </c>
      <c r="G34" s="102">
        <f t="shared" si="2"/>
        <v>220</v>
      </c>
      <c r="H34" s="153">
        <f t="shared" si="0"/>
        <v>0</v>
      </c>
      <c r="I34" s="129">
        <v>0</v>
      </c>
    </row>
    <row r="35" spans="1:9" x14ac:dyDescent="0.3">
      <c r="A35" s="1">
        <v>46085</v>
      </c>
      <c r="B35">
        <v>220</v>
      </c>
      <c r="C35">
        <v>0</v>
      </c>
      <c r="F35">
        <v>0</v>
      </c>
      <c r="G35" s="102">
        <f t="shared" si="2"/>
        <v>220</v>
      </c>
      <c r="H35" s="153">
        <f t="shared" si="0"/>
        <v>0</v>
      </c>
      <c r="I35" s="129">
        <v>0</v>
      </c>
    </row>
    <row r="36" spans="1:9" x14ac:dyDescent="0.3">
      <c r="A36" s="1">
        <v>46086</v>
      </c>
      <c r="B36">
        <v>220</v>
      </c>
      <c r="C36">
        <v>0</v>
      </c>
      <c r="F36">
        <v>0</v>
      </c>
      <c r="G36" s="102">
        <f t="shared" si="2"/>
        <v>220</v>
      </c>
      <c r="H36" s="153">
        <f t="shared" si="0"/>
        <v>0</v>
      </c>
      <c r="I36" s="129">
        <v>0</v>
      </c>
    </row>
    <row r="37" spans="1:9" x14ac:dyDescent="0.3">
      <c r="A37" s="1">
        <v>46087</v>
      </c>
      <c r="B37">
        <v>220</v>
      </c>
      <c r="C37">
        <v>0</v>
      </c>
      <c r="F37">
        <v>0</v>
      </c>
      <c r="G37" s="102">
        <f t="shared" si="2"/>
        <v>220</v>
      </c>
      <c r="H37" s="153">
        <f t="shared" si="0"/>
        <v>0</v>
      </c>
      <c r="I37" s="129">
        <v>0</v>
      </c>
    </row>
    <row r="38" spans="1:9" x14ac:dyDescent="0.3">
      <c r="A38" s="1">
        <v>46088</v>
      </c>
      <c r="B38">
        <v>220</v>
      </c>
      <c r="C38">
        <v>10</v>
      </c>
      <c r="F38">
        <v>0</v>
      </c>
      <c r="G38" s="102">
        <f t="shared" si="2"/>
        <v>230</v>
      </c>
      <c r="H38" s="153">
        <f>C38+D38+E38</f>
        <v>10</v>
      </c>
      <c r="I38" s="129">
        <v>0</v>
      </c>
    </row>
    <row r="39" spans="1:9" x14ac:dyDescent="0.3">
      <c r="A39" s="1">
        <v>46089</v>
      </c>
      <c r="B39">
        <v>230</v>
      </c>
      <c r="C39">
        <v>20</v>
      </c>
      <c r="F39">
        <v>0</v>
      </c>
      <c r="G39" s="102">
        <f t="shared" si="2"/>
        <v>250</v>
      </c>
      <c r="H39" s="153">
        <f t="shared" si="0"/>
        <v>20</v>
      </c>
      <c r="I39" s="129">
        <v>0</v>
      </c>
    </row>
    <row r="40" spans="1:9" x14ac:dyDescent="0.3">
      <c r="A40" s="1">
        <v>46090</v>
      </c>
      <c r="B40">
        <v>250</v>
      </c>
      <c r="C40">
        <v>60</v>
      </c>
      <c r="F40">
        <v>0</v>
      </c>
      <c r="G40" s="102">
        <f t="shared" si="2"/>
        <v>310</v>
      </c>
      <c r="H40" s="153">
        <f t="shared" si="0"/>
        <v>60</v>
      </c>
      <c r="I40" s="129">
        <v>0</v>
      </c>
    </row>
    <row r="41" spans="1:9" x14ac:dyDescent="0.3">
      <c r="A41" s="1">
        <v>46091</v>
      </c>
      <c r="B41">
        <v>310</v>
      </c>
      <c r="C41">
        <v>0</v>
      </c>
      <c r="F41">
        <v>0</v>
      </c>
      <c r="G41" s="102">
        <f t="shared" si="2"/>
        <v>310</v>
      </c>
      <c r="H41" s="153">
        <f t="shared" si="0"/>
        <v>0</v>
      </c>
      <c r="I41" s="129">
        <v>0</v>
      </c>
    </row>
    <row r="42" spans="1:9" x14ac:dyDescent="0.3">
      <c r="A42" s="1">
        <v>46092</v>
      </c>
      <c r="B42">
        <v>310</v>
      </c>
      <c r="C42">
        <v>0</v>
      </c>
      <c r="F42">
        <v>0</v>
      </c>
      <c r="G42" s="102">
        <f t="shared" si="2"/>
        <v>310</v>
      </c>
      <c r="H42" s="153">
        <f t="shared" si="0"/>
        <v>0</v>
      </c>
      <c r="I42" s="129">
        <v>0</v>
      </c>
    </row>
    <row r="43" spans="1:9" x14ac:dyDescent="0.3">
      <c r="A43" s="1">
        <v>46093</v>
      </c>
      <c r="B43">
        <v>310</v>
      </c>
      <c r="C43">
        <v>0</v>
      </c>
      <c r="F43">
        <v>0</v>
      </c>
      <c r="G43" s="102">
        <f t="shared" si="2"/>
        <v>310</v>
      </c>
      <c r="H43" s="153">
        <f t="shared" si="0"/>
        <v>0</v>
      </c>
      <c r="I43" s="129">
        <v>0</v>
      </c>
    </row>
    <row r="44" spans="1:9" x14ac:dyDescent="0.3">
      <c r="A44" s="1">
        <v>46094</v>
      </c>
      <c r="B44">
        <v>310</v>
      </c>
      <c r="C44">
        <v>0</v>
      </c>
      <c r="F44">
        <v>0</v>
      </c>
      <c r="G44" s="102">
        <f t="shared" si="2"/>
        <v>310</v>
      </c>
      <c r="H44" s="153">
        <f t="shared" si="0"/>
        <v>0</v>
      </c>
      <c r="I44" s="129">
        <v>0</v>
      </c>
    </row>
    <row r="45" spans="1:9" x14ac:dyDescent="0.3">
      <c r="A45" s="1">
        <v>46095</v>
      </c>
      <c r="B45">
        <v>310</v>
      </c>
      <c r="C45">
        <v>70</v>
      </c>
      <c r="F45">
        <v>0</v>
      </c>
      <c r="G45" s="102">
        <f t="shared" si="2"/>
        <v>380</v>
      </c>
      <c r="H45" s="153">
        <f t="shared" si="0"/>
        <v>70</v>
      </c>
      <c r="I45" s="129">
        <v>0</v>
      </c>
    </row>
    <row r="46" spans="1:9" x14ac:dyDescent="0.3">
      <c r="A46" s="1">
        <v>46096</v>
      </c>
      <c r="B46">
        <v>380</v>
      </c>
      <c r="C46">
        <v>0</v>
      </c>
      <c r="F46">
        <v>0</v>
      </c>
      <c r="G46" s="102">
        <f t="shared" si="2"/>
        <v>380</v>
      </c>
      <c r="H46" s="153">
        <f t="shared" si="0"/>
        <v>0</v>
      </c>
      <c r="I46" s="129">
        <v>0</v>
      </c>
    </row>
    <row r="47" spans="1:9" x14ac:dyDescent="0.3">
      <c r="A47" s="1">
        <v>46097</v>
      </c>
      <c r="B47">
        <v>380</v>
      </c>
      <c r="C47">
        <v>0</v>
      </c>
      <c r="F47">
        <v>0</v>
      </c>
      <c r="G47" s="102">
        <f t="shared" si="2"/>
        <v>380</v>
      </c>
      <c r="H47" s="153">
        <f t="shared" si="0"/>
        <v>0</v>
      </c>
      <c r="I47" s="129">
        <v>0</v>
      </c>
    </row>
    <row r="48" spans="1:9" x14ac:dyDescent="0.3">
      <c r="A48" s="1">
        <v>46098</v>
      </c>
      <c r="B48">
        <v>380</v>
      </c>
      <c r="C48">
        <v>0</v>
      </c>
      <c r="F48">
        <v>0</v>
      </c>
      <c r="G48" s="102">
        <f t="shared" si="2"/>
        <v>380</v>
      </c>
      <c r="H48" s="153">
        <f t="shared" si="0"/>
        <v>0</v>
      </c>
      <c r="I48" s="129">
        <v>0</v>
      </c>
    </row>
    <row r="49" spans="1:9" x14ac:dyDescent="0.3">
      <c r="A49" s="1">
        <v>46099</v>
      </c>
      <c r="B49">
        <v>380</v>
      </c>
      <c r="C49">
        <v>0</v>
      </c>
      <c r="F49">
        <v>0</v>
      </c>
      <c r="G49" s="102">
        <f t="shared" si="2"/>
        <v>380</v>
      </c>
      <c r="H49" s="153">
        <f t="shared" si="0"/>
        <v>0</v>
      </c>
      <c r="I49" s="129">
        <v>0</v>
      </c>
    </row>
    <row r="50" spans="1:9" x14ac:dyDescent="0.3">
      <c r="A50" s="1">
        <v>46100</v>
      </c>
      <c r="B50">
        <v>380</v>
      </c>
      <c r="C50">
        <v>0</v>
      </c>
      <c r="F50">
        <v>0</v>
      </c>
      <c r="G50" s="102">
        <f t="shared" si="2"/>
        <v>380</v>
      </c>
      <c r="H50" s="153">
        <f t="shared" si="0"/>
        <v>0</v>
      </c>
      <c r="I50" s="129">
        <v>0</v>
      </c>
    </row>
    <row r="51" spans="1:9" x14ac:dyDescent="0.3">
      <c r="A51" s="1">
        <v>46101</v>
      </c>
      <c r="B51">
        <v>380</v>
      </c>
      <c r="C51">
        <v>0</v>
      </c>
      <c r="F51">
        <v>0</v>
      </c>
      <c r="G51" s="102">
        <f t="shared" si="2"/>
        <v>380</v>
      </c>
      <c r="H51" s="153">
        <f t="shared" si="0"/>
        <v>0</v>
      </c>
      <c r="I51" s="129">
        <v>0</v>
      </c>
    </row>
    <row r="52" spans="1:9" x14ac:dyDescent="0.3">
      <c r="A52" s="1">
        <v>46102</v>
      </c>
      <c r="B52">
        <v>380</v>
      </c>
      <c r="C52">
        <v>0</v>
      </c>
      <c r="F52">
        <v>0</v>
      </c>
      <c r="G52" s="102">
        <f t="shared" si="2"/>
        <v>380</v>
      </c>
      <c r="H52" s="153">
        <f t="shared" si="0"/>
        <v>0</v>
      </c>
      <c r="I52" s="129">
        <v>0</v>
      </c>
    </row>
    <row r="53" spans="1:9" x14ac:dyDescent="0.3">
      <c r="A53" s="1">
        <v>46103</v>
      </c>
      <c r="B53">
        <v>380</v>
      </c>
      <c r="C53">
        <v>0</v>
      </c>
      <c r="F53">
        <v>0</v>
      </c>
      <c r="G53" s="102">
        <f t="shared" si="2"/>
        <v>380</v>
      </c>
      <c r="H53" s="153">
        <f t="shared" si="0"/>
        <v>0</v>
      </c>
      <c r="I53" s="129">
        <v>0</v>
      </c>
    </row>
    <row r="54" spans="1:9" x14ac:dyDescent="0.3">
      <c r="A54" s="1">
        <v>46104</v>
      </c>
      <c r="B54">
        <v>380</v>
      </c>
      <c r="C54">
        <v>0</v>
      </c>
      <c r="F54">
        <v>0</v>
      </c>
      <c r="G54" s="102">
        <f t="shared" si="2"/>
        <v>380</v>
      </c>
      <c r="H54" s="153">
        <f t="shared" si="0"/>
        <v>0</v>
      </c>
      <c r="I54" s="129">
        <v>0</v>
      </c>
    </row>
    <row r="55" spans="1:9" x14ac:dyDescent="0.3">
      <c r="A55" s="1">
        <v>46105</v>
      </c>
      <c r="B55">
        <v>380</v>
      </c>
      <c r="C55">
        <v>59</v>
      </c>
      <c r="F55">
        <v>0</v>
      </c>
      <c r="G55" s="102">
        <f t="shared" si="2"/>
        <v>439</v>
      </c>
      <c r="H55" s="153">
        <f t="shared" si="0"/>
        <v>59</v>
      </c>
      <c r="I55" s="129">
        <v>0</v>
      </c>
    </row>
    <row r="56" spans="1:9" x14ac:dyDescent="0.3">
      <c r="A56" s="1">
        <v>46106</v>
      </c>
      <c r="B56">
        <v>439</v>
      </c>
      <c r="C56">
        <v>0</v>
      </c>
      <c r="F56">
        <v>0</v>
      </c>
      <c r="G56" s="102">
        <f t="shared" si="2"/>
        <v>439</v>
      </c>
      <c r="H56" s="153">
        <f>C56+D56+E56</f>
        <v>0</v>
      </c>
      <c r="I56" s="129">
        <v>0</v>
      </c>
    </row>
    <row r="57" spans="1:9" x14ac:dyDescent="0.3">
      <c r="A57" s="1">
        <v>46107</v>
      </c>
      <c r="B57">
        <v>439</v>
      </c>
      <c r="C57">
        <v>150</v>
      </c>
      <c r="F57">
        <v>0</v>
      </c>
      <c r="G57" s="102">
        <f t="shared" si="2"/>
        <v>589</v>
      </c>
      <c r="H57" s="153">
        <f t="shared" si="0"/>
        <v>150</v>
      </c>
      <c r="I57" s="129">
        <v>0</v>
      </c>
    </row>
    <row r="58" spans="1:9" x14ac:dyDescent="0.3">
      <c r="A58" s="1">
        <v>46108</v>
      </c>
      <c r="B58">
        <v>589</v>
      </c>
      <c r="C58">
        <v>0</v>
      </c>
      <c r="F58">
        <v>0</v>
      </c>
      <c r="G58" s="102">
        <f t="shared" si="2"/>
        <v>589</v>
      </c>
      <c r="H58" s="153">
        <f t="shared" si="0"/>
        <v>0</v>
      </c>
      <c r="I58" s="129">
        <v>0</v>
      </c>
    </row>
    <row r="59" spans="1:9" x14ac:dyDescent="0.3">
      <c r="A59" s="1">
        <v>46109</v>
      </c>
      <c r="B59">
        <v>589</v>
      </c>
      <c r="C59">
        <v>0</v>
      </c>
      <c r="F59">
        <v>0</v>
      </c>
      <c r="G59" s="102">
        <f t="shared" si="2"/>
        <v>589</v>
      </c>
      <c r="H59" s="153">
        <f t="shared" si="0"/>
        <v>0</v>
      </c>
      <c r="I59" s="129">
        <v>0</v>
      </c>
    </row>
    <row r="60" spans="1:9" x14ac:dyDescent="0.3">
      <c r="A60" s="1">
        <v>46110</v>
      </c>
      <c r="B60">
        <v>589</v>
      </c>
      <c r="C60">
        <v>0</v>
      </c>
      <c r="F60">
        <v>0</v>
      </c>
      <c r="G60" s="102">
        <f t="shared" si="2"/>
        <v>589</v>
      </c>
      <c r="H60" s="153">
        <f t="shared" si="0"/>
        <v>0</v>
      </c>
      <c r="I60" s="129">
        <v>0</v>
      </c>
    </row>
    <row r="61" spans="1:9" x14ac:dyDescent="0.3">
      <c r="A61" s="1">
        <v>46111</v>
      </c>
      <c r="B61">
        <v>589</v>
      </c>
      <c r="C61">
        <v>0</v>
      </c>
      <c r="F61">
        <v>0</v>
      </c>
      <c r="G61" s="102">
        <f t="shared" si="2"/>
        <v>589</v>
      </c>
      <c r="H61" s="153">
        <f t="shared" si="0"/>
        <v>0</v>
      </c>
      <c r="I61" s="129">
        <v>0</v>
      </c>
    </row>
    <row r="62" spans="1:9" x14ac:dyDescent="0.3">
      <c r="A62" s="1">
        <v>46112</v>
      </c>
      <c r="B62">
        <v>589</v>
      </c>
      <c r="C62">
        <v>161</v>
      </c>
      <c r="F62">
        <v>0</v>
      </c>
      <c r="G62" s="102">
        <f t="shared" si="2"/>
        <v>750</v>
      </c>
      <c r="H62" s="153">
        <f t="shared" si="0"/>
        <v>161</v>
      </c>
      <c r="I62" s="129">
        <v>0</v>
      </c>
    </row>
    <row r="63" spans="1:9" x14ac:dyDescent="0.3">
      <c r="A63" s="1">
        <v>46113</v>
      </c>
      <c r="B63">
        <v>750</v>
      </c>
      <c r="C63">
        <v>0</v>
      </c>
      <c r="F63">
        <v>0</v>
      </c>
      <c r="G63" s="102">
        <f t="shared" si="2"/>
        <v>750</v>
      </c>
      <c r="H63" s="153">
        <f t="shared" si="0"/>
        <v>0</v>
      </c>
      <c r="I63" s="129">
        <v>0</v>
      </c>
    </row>
    <row r="64" spans="1:9" x14ac:dyDescent="0.3">
      <c r="A64" s="1">
        <v>46114</v>
      </c>
      <c r="B64">
        <v>750</v>
      </c>
      <c r="C64">
        <v>0</v>
      </c>
      <c r="F64">
        <v>0</v>
      </c>
      <c r="G64" s="102">
        <f t="shared" si="2"/>
        <v>750</v>
      </c>
      <c r="H64" s="153">
        <f t="shared" si="0"/>
        <v>0</v>
      </c>
      <c r="I64" s="129">
        <v>0</v>
      </c>
    </row>
    <row r="65" spans="1:9" x14ac:dyDescent="0.3">
      <c r="A65" s="1">
        <v>46115</v>
      </c>
      <c r="B65">
        <v>750</v>
      </c>
      <c r="C65">
        <v>0</v>
      </c>
      <c r="F65">
        <v>0</v>
      </c>
      <c r="G65" s="102">
        <f t="shared" si="2"/>
        <v>750</v>
      </c>
      <c r="H65" s="153">
        <f t="shared" si="0"/>
        <v>0</v>
      </c>
      <c r="I65" s="129">
        <v>0</v>
      </c>
    </row>
    <row r="66" spans="1:9" x14ac:dyDescent="0.3">
      <c r="A66" s="1">
        <v>46116</v>
      </c>
      <c r="B66">
        <v>750</v>
      </c>
      <c r="C66">
        <v>0</v>
      </c>
      <c r="F66">
        <v>0</v>
      </c>
      <c r="G66" s="102">
        <f t="shared" si="2"/>
        <v>750</v>
      </c>
      <c r="H66" s="153">
        <f t="shared" si="0"/>
        <v>0</v>
      </c>
      <c r="I66" s="129">
        <v>0</v>
      </c>
    </row>
    <row r="67" spans="1:9" x14ac:dyDescent="0.3">
      <c r="A67" s="1">
        <v>46117</v>
      </c>
      <c r="B67">
        <v>750</v>
      </c>
      <c r="C67">
        <v>702</v>
      </c>
      <c r="F67">
        <v>0</v>
      </c>
      <c r="G67" s="102">
        <f t="shared" ref="G67:G73" si="3">B67+C67+E67-F67</f>
        <v>1452</v>
      </c>
      <c r="H67" s="153">
        <f t="shared" ref="H67:H72" si="4">C67+D67+E67</f>
        <v>702</v>
      </c>
      <c r="I67" s="129">
        <v>0</v>
      </c>
    </row>
    <row r="68" spans="1:9" x14ac:dyDescent="0.3">
      <c r="A68" s="1">
        <v>46118</v>
      </c>
      <c r="B68">
        <v>1452</v>
      </c>
      <c r="C68">
        <v>500</v>
      </c>
      <c r="E68">
        <v>58</v>
      </c>
      <c r="F68">
        <v>105</v>
      </c>
      <c r="G68" s="102">
        <f t="shared" si="3"/>
        <v>1905</v>
      </c>
      <c r="H68" s="153">
        <f t="shared" si="4"/>
        <v>558</v>
      </c>
      <c r="I68" s="129">
        <v>0</v>
      </c>
    </row>
    <row r="69" spans="1:9" x14ac:dyDescent="0.3">
      <c r="A69" s="1">
        <v>46119</v>
      </c>
      <c r="B69">
        <v>1905</v>
      </c>
      <c r="C69">
        <v>30</v>
      </c>
      <c r="E69">
        <v>90</v>
      </c>
      <c r="F69">
        <v>0</v>
      </c>
      <c r="G69" s="102">
        <f t="shared" si="3"/>
        <v>2025</v>
      </c>
      <c r="H69" s="153">
        <f t="shared" si="4"/>
        <v>120</v>
      </c>
      <c r="I69" s="129">
        <v>0</v>
      </c>
    </row>
    <row r="70" spans="1:9" x14ac:dyDescent="0.3">
      <c r="A70" s="1">
        <v>46120</v>
      </c>
      <c r="B70">
        <v>2025</v>
      </c>
      <c r="C70">
        <v>160</v>
      </c>
      <c r="E70">
        <v>0</v>
      </c>
      <c r="F70">
        <v>0</v>
      </c>
      <c r="G70" s="102">
        <f t="shared" si="3"/>
        <v>2185</v>
      </c>
      <c r="H70" s="153">
        <f t="shared" si="4"/>
        <v>160</v>
      </c>
      <c r="I70" s="129">
        <v>0</v>
      </c>
    </row>
    <row r="71" spans="1:9" x14ac:dyDescent="0.3">
      <c r="A71" s="1">
        <v>46121</v>
      </c>
      <c r="B71">
        <v>2185</v>
      </c>
      <c r="C71">
        <v>237</v>
      </c>
      <c r="E71">
        <v>365</v>
      </c>
      <c r="F71">
        <v>0</v>
      </c>
      <c r="G71" s="102">
        <f t="shared" si="3"/>
        <v>2787</v>
      </c>
      <c r="H71" s="153">
        <f t="shared" si="4"/>
        <v>602</v>
      </c>
      <c r="I71" s="129">
        <v>0</v>
      </c>
    </row>
    <row r="72" spans="1:9" x14ac:dyDescent="0.3">
      <c r="A72" s="1">
        <v>46122</v>
      </c>
      <c r="B72">
        <v>2787</v>
      </c>
      <c r="C72">
        <v>440</v>
      </c>
      <c r="D72">
        <v>375</v>
      </c>
      <c r="E72">
        <v>210</v>
      </c>
      <c r="F72">
        <v>600</v>
      </c>
      <c r="G72" s="102">
        <f t="shared" si="3"/>
        <v>2837</v>
      </c>
      <c r="H72" s="153">
        <f t="shared" si="4"/>
        <v>1025</v>
      </c>
      <c r="I72" s="129">
        <v>0</v>
      </c>
    </row>
    <row r="73" spans="1:9" x14ac:dyDescent="0.3">
      <c r="A73" s="1">
        <v>46123</v>
      </c>
      <c r="B73">
        <v>2837</v>
      </c>
      <c r="C73">
        <v>214</v>
      </c>
      <c r="D73">
        <v>315</v>
      </c>
      <c r="E73">
        <v>99</v>
      </c>
      <c r="F73">
        <v>0</v>
      </c>
      <c r="G73" s="102">
        <f t="shared" si="3"/>
        <v>3150</v>
      </c>
      <c r="H73" s="153">
        <f t="shared" ref="H73:H81" si="5">C73+D73+E73</f>
        <v>628</v>
      </c>
      <c r="I73" s="129">
        <v>0</v>
      </c>
    </row>
    <row r="74" spans="1:9" x14ac:dyDescent="0.3">
      <c r="A74" s="1">
        <v>46124</v>
      </c>
      <c r="B74">
        <v>3150</v>
      </c>
      <c r="C74">
        <v>119</v>
      </c>
      <c r="D74">
        <v>265</v>
      </c>
      <c r="E74">
        <v>505</v>
      </c>
      <c r="F74">
        <v>0</v>
      </c>
      <c r="G74" s="102">
        <f>B74+C74+D74+E74-F74</f>
        <v>4039</v>
      </c>
      <c r="H74" s="153">
        <f t="shared" si="5"/>
        <v>889</v>
      </c>
      <c r="I74" s="129">
        <v>0</v>
      </c>
    </row>
    <row r="75" spans="1:9" x14ac:dyDescent="0.3">
      <c r="A75" s="1">
        <v>46125</v>
      </c>
      <c r="B75">
        <v>4039</v>
      </c>
      <c r="C75">
        <v>94</v>
      </c>
      <c r="D75">
        <v>725</v>
      </c>
      <c r="E75">
        <v>0</v>
      </c>
      <c r="F75">
        <v>600</v>
      </c>
      <c r="G75" s="102">
        <f>B75+C75+D75+E75-F75</f>
        <v>4258</v>
      </c>
      <c r="H75" s="153">
        <f t="shared" si="5"/>
        <v>819</v>
      </c>
      <c r="I75" s="129">
        <v>0</v>
      </c>
    </row>
    <row r="76" spans="1:9" x14ac:dyDescent="0.3">
      <c r="A76" s="1">
        <v>46126</v>
      </c>
      <c r="B76">
        <v>4258</v>
      </c>
      <c r="C76">
        <v>20</v>
      </c>
      <c r="D76">
        <v>250</v>
      </c>
      <c r="E76">
        <v>0</v>
      </c>
      <c r="F76">
        <v>150</v>
      </c>
      <c r="G76" s="102">
        <f t="shared" ref="G76:G139" si="6">B76+C76+D76+E76-F76</f>
        <v>4378</v>
      </c>
      <c r="H76" s="153">
        <f t="shared" si="5"/>
        <v>270</v>
      </c>
      <c r="I76" s="129">
        <v>0</v>
      </c>
    </row>
    <row r="77" spans="1:9" x14ac:dyDescent="0.3">
      <c r="A77" s="1">
        <v>46127</v>
      </c>
      <c r="B77">
        <v>4378</v>
      </c>
      <c r="C77">
        <v>330</v>
      </c>
      <c r="D77">
        <v>255</v>
      </c>
      <c r="E77">
        <v>0</v>
      </c>
      <c r="F77">
        <v>220</v>
      </c>
      <c r="G77" s="102">
        <f t="shared" si="6"/>
        <v>4743</v>
      </c>
      <c r="H77" s="153">
        <f t="shared" si="5"/>
        <v>585</v>
      </c>
      <c r="I77" s="129">
        <v>0</v>
      </c>
    </row>
    <row r="78" spans="1:9" x14ac:dyDescent="0.3">
      <c r="A78" s="1">
        <v>46128</v>
      </c>
      <c r="B78">
        <v>4743</v>
      </c>
      <c r="C78">
        <v>150</v>
      </c>
      <c r="D78">
        <v>500</v>
      </c>
      <c r="E78">
        <v>140</v>
      </c>
      <c r="F78">
        <v>0</v>
      </c>
      <c r="G78" s="102">
        <f t="shared" si="6"/>
        <v>5533</v>
      </c>
      <c r="H78" s="153">
        <f t="shared" si="5"/>
        <v>790</v>
      </c>
      <c r="I78" s="129">
        <v>0</v>
      </c>
    </row>
    <row r="79" spans="1:9" x14ac:dyDescent="0.3">
      <c r="A79" s="1">
        <v>46129</v>
      </c>
      <c r="B79">
        <v>5533</v>
      </c>
      <c r="C79">
        <v>152</v>
      </c>
      <c r="D79">
        <v>146</v>
      </c>
      <c r="E79">
        <v>0</v>
      </c>
      <c r="F79">
        <v>0</v>
      </c>
      <c r="G79" s="102">
        <f t="shared" si="6"/>
        <v>5831</v>
      </c>
      <c r="H79" s="153">
        <f t="shared" si="5"/>
        <v>298</v>
      </c>
      <c r="I79" s="129">
        <v>0</v>
      </c>
    </row>
    <row r="80" spans="1:9" x14ac:dyDescent="0.3">
      <c r="A80" s="1">
        <v>46130</v>
      </c>
      <c r="B80">
        <v>5831</v>
      </c>
      <c r="C80">
        <v>286</v>
      </c>
      <c r="D80">
        <v>795</v>
      </c>
      <c r="E80">
        <v>0</v>
      </c>
      <c r="F80">
        <v>1500</v>
      </c>
      <c r="G80" s="102">
        <f t="shared" si="6"/>
        <v>5412</v>
      </c>
      <c r="H80" s="153">
        <f t="shared" si="5"/>
        <v>1081</v>
      </c>
      <c r="I80" s="129">
        <v>0</v>
      </c>
    </row>
    <row r="81" spans="1:11" x14ac:dyDescent="0.3">
      <c r="A81" s="1">
        <v>46131</v>
      </c>
      <c r="B81">
        <v>5412</v>
      </c>
      <c r="C81">
        <v>1709</v>
      </c>
      <c r="D81">
        <v>259</v>
      </c>
      <c r="E81">
        <v>0</v>
      </c>
      <c r="F81">
        <v>3000</v>
      </c>
      <c r="G81" s="102">
        <f t="shared" si="6"/>
        <v>4380</v>
      </c>
      <c r="H81" s="153">
        <f t="shared" si="5"/>
        <v>1968</v>
      </c>
    </row>
    <row r="82" spans="1:11" x14ac:dyDescent="0.3">
      <c r="A82" s="1">
        <v>46132</v>
      </c>
      <c r="B82">
        <v>4380</v>
      </c>
      <c r="C82">
        <v>256</v>
      </c>
      <c r="D82">
        <v>101</v>
      </c>
      <c r="E82">
        <v>0</v>
      </c>
      <c r="F82">
        <v>500</v>
      </c>
      <c r="G82" s="102">
        <f t="shared" si="6"/>
        <v>4237</v>
      </c>
      <c r="H82" s="153">
        <f>C82+D82+E82</f>
        <v>357</v>
      </c>
    </row>
    <row r="83" spans="1:11" x14ac:dyDescent="0.3">
      <c r="A83" s="1">
        <v>46133</v>
      </c>
      <c r="B83">
        <v>4237</v>
      </c>
      <c r="C83">
        <v>0</v>
      </c>
      <c r="D83">
        <v>486</v>
      </c>
      <c r="E83">
        <v>4007</v>
      </c>
      <c r="F83">
        <v>1585</v>
      </c>
      <c r="G83" s="102">
        <f t="shared" si="6"/>
        <v>7145</v>
      </c>
      <c r="H83" s="153">
        <f t="shared" ref="H83:H146" si="7">C83+D83+E83</f>
        <v>4493</v>
      </c>
    </row>
    <row r="84" spans="1:11" x14ac:dyDescent="0.3">
      <c r="A84" s="1">
        <v>46134</v>
      </c>
      <c r="B84">
        <v>7145</v>
      </c>
      <c r="C84">
        <v>80</v>
      </c>
      <c r="D84">
        <v>25</v>
      </c>
      <c r="E84">
        <v>0</v>
      </c>
      <c r="F84">
        <v>0</v>
      </c>
      <c r="G84" s="102">
        <f t="shared" si="6"/>
        <v>7250</v>
      </c>
      <c r="H84" s="153">
        <f t="shared" si="7"/>
        <v>105</v>
      </c>
    </row>
    <row r="85" spans="1:11" x14ac:dyDescent="0.3">
      <c r="A85" s="1">
        <v>46135</v>
      </c>
      <c r="B85">
        <v>7250</v>
      </c>
      <c r="C85">
        <v>390</v>
      </c>
      <c r="D85">
        <v>430</v>
      </c>
      <c r="E85">
        <v>20</v>
      </c>
      <c r="F85">
        <v>0</v>
      </c>
      <c r="G85" s="102">
        <f t="shared" si="6"/>
        <v>8090</v>
      </c>
      <c r="H85" s="153">
        <f t="shared" si="7"/>
        <v>840</v>
      </c>
    </row>
    <row r="86" spans="1:11" x14ac:dyDescent="0.3">
      <c r="A86" s="1">
        <v>46136</v>
      </c>
      <c r="B86">
        <v>8090</v>
      </c>
      <c r="C86">
        <v>615</v>
      </c>
      <c r="D86">
        <v>623</v>
      </c>
      <c r="E86">
        <v>0</v>
      </c>
      <c r="F86">
        <v>0</v>
      </c>
      <c r="G86" s="102">
        <f t="shared" si="6"/>
        <v>9328</v>
      </c>
      <c r="H86" s="153">
        <f t="shared" si="7"/>
        <v>1238</v>
      </c>
    </row>
    <row r="87" spans="1:11" x14ac:dyDescent="0.3">
      <c r="A87" s="1">
        <v>46137</v>
      </c>
      <c r="B87">
        <v>9328</v>
      </c>
      <c r="C87">
        <v>505</v>
      </c>
      <c r="D87">
        <v>1903</v>
      </c>
      <c r="E87">
        <v>0</v>
      </c>
      <c r="F87">
        <v>3500</v>
      </c>
      <c r="G87" s="102">
        <f t="shared" si="6"/>
        <v>8236</v>
      </c>
      <c r="H87" s="153">
        <f t="shared" si="7"/>
        <v>2408</v>
      </c>
    </row>
    <row r="88" spans="1:11" x14ac:dyDescent="0.3">
      <c r="A88" s="1">
        <v>46138</v>
      </c>
      <c r="B88">
        <v>8236</v>
      </c>
      <c r="C88">
        <v>800</v>
      </c>
      <c r="D88">
        <v>678</v>
      </c>
      <c r="E88">
        <v>0</v>
      </c>
      <c r="F88">
        <v>0</v>
      </c>
      <c r="G88" s="102">
        <f t="shared" si="6"/>
        <v>9714</v>
      </c>
      <c r="H88" s="153">
        <f t="shared" si="7"/>
        <v>1478</v>
      </c>
    </row>
    <row r="89" spans="1:11" x14ac:dyDescent="0.3">
      <c r="A89" s="1">
        <v>46139</v>
      </c>
      <c r="B89">
        <v>9714</v>
      </c>
      <c r="C89">
        <v>185</v>
      </c>
      <c r="D89">
        <v>280</v>
      </c>
      <c r="E89">
        <v>0</v>
      </c>
      <c r="F89">
        <v>0</v>
      </c>
      <c r="G89" s="102">
        <f t="shared" si="6"/>
        <v>10179</v>
      </c>
      <c r="H89" s="153">
        <f t="shared" si="7"/>
        <v>465</v>
      </c>
    </row>
    <row r="90" spans="1:11" x14ac:dyDescent="0.3">
      <c r="A90" s="1">
        <v>46140</v>
      </c>
      <c r="B90">
        <v>10179</v>
      </c>
      <c r="C90">
        <v>304</v>
      </c>
      <c r="D90">
        <v>553</v>
      </c>
      <c r="E90">
        <v>0</v>
      </c>
      <c r="F90">
        <v>4700</v>
      </c>
      <c r="G90" s="102">
        <f t="shared" si="6"/>
        <v>6336</v>
      </c>
      <c r="H90" s="153">
        <f t="shared" si="7"/>
        <v>857</v>
      </c>
    </row>
    <row r="91" spans="1:11" x14ac:dyDescent="0.3">
      <c r="A91" s="1">
        <v>46141</v>
      </c>
      <c r="B91">
        <v>6336</v>
      </c>
      <c r="C91">
        <v>610</v>
      </c>
      <c r="D91">
        <v>330</v>
      </c>
      <c r="E91">
        <v>0</v>
      </c>
      <c r="F91">
        <v>1300</v>
      </c>
      <c r="G91" s="102">
        <f t="shared" si="6"/>
        <v>5976</v>
      </c>
      <c r="H91" s="153">
        <f t="shared" si="7"/>
        <v>940</v>
      </c>
    </row>
    <row r="92" spans="1:11" x14ac:dyDescent="0.3">
      <c r="A92" s="1">
        <v>46142</v>
      </c>
      <c r="B92">
        <v>5976</v>
      </c>
      <c r="C92">
        <v>170</v>
      </c>
      <c r="D92">
        <v>462</v>
      </c>
      <c r="E92">
        <v>0</v>
      </c>
      <c r="F92">
        <v>0</v>
      </c>
      <c r="G92" s="102">
        <f t="shared" si="6"/>
        <v>6608</v>
      </c>
      <c r="H92" s="153">
        <f t="shared" si="7"/>
        <v>632</v>
      </c>
    </row>
    <row r="93" spans="1:11" x14ac:dyDescent="0.3">
      <c r="A93" s="1">
        <v>46143</v>
      </c>
      <c r="B93">
        <v>6608</v>
      </c>
      <c r="C93">
        <v>2690</v>
      </c>
      <c r="D93">
        <f>'Sales Register'!I830</f>
        <v>2301</v>
      </c>
      <c r="E93">
        <v>0</v>
      </c>
      <c r="F93">
        <v>8000</v>
      </c>
      <c r="G93" s="102">
        <f t="shared" si="6"/>
        <v>3599</v>
      </c>
      <c r="H93" s="153">
        <f t="shared" si="7"/>
        <v>4991</v>
      </c>
      <c r="K93" s="281">
        <f>COUNTIFS(H93:H123, "&lt;=2000", H94:H124, "&gt;2000")</f>
        <v>5</v>
      </c>
    </row>
    <row r="94" spans="1:11" x14ac:dyDescent="0.3">
      <c r="A94" s="1">
        <v>46144</v>
      </c>
      <c r="B94">
        <v>3599</v>
      </c>
      <c r="C94">
        <v>1036</v>
      </c>
      <c r="D94">
        <v>1445</v>
      </c>
      <c r="E94">
        <v>0</v>
      </c>
      <c r="F94">
        <v>0</v>
      </c>
      <c r="G94" s="102">
        <f t="shared" si="6"/>
        <v>6080</v>
      </c>
      <c r="H94" s="153">
        <f t="shared" si="7"/>
        <v>2481</v>
      </c>
      <c r="K94" s="281"/>
    </row>
    <row r="95" spans="1:11" x14ac:dyDescent="0.3">
      <c r="A95" s="1">
        <v>46145</v>
      </c>
      <c r="B95">
        <v>6080</v>
      </c>
      <c r="C95">
        <v>153</v>
      </c>
      <c r="D95">
        <v>1301</v>
      </c>
      <c r="E95">
        <v>0</v>
      </c>
      <c r="F95">
        <v>2019</v>
      </c>
      <c r="G95" s="102">
        <f t="shared" si="6"/>
        <v>5515</v>
      </c>
      <c r="H95" s="153">
        <f t="shared" si="7"/>
        <v>1454</v>
      </c>
      <c r="K95" s="281"/>
    </row>
    <row r="96" spans="1:11" x14ac:dyDescent="0.3">
      <c r="A96" s="1">
        <v>46146</v>
      </c>
      <c r="B96">
        <v>5515</v>
      </c>
      <c r="C96">
        <v>0</v>
      </c>
      <c r="D96">
        <v>1156</v>
      </c>
      <c r="E96">
        <v>0</v>
      </c>
      <c r="F96">
        <v>0</v>
      </c>
      <c r="G96" s="102">
        <f t="shared" si="6"/>
        <v>6671</v>
      </c>
      <c r="H96" s="153">
        <f t="shared" si="7"/>
        <v>1156</v>
      </c>
      <c r="K96" s="281"/>
    </row>
    <row r="97" spans="1:11" x14ac:dyDescent="0.3">
      <c r="A97" s="1">
        <v>46147</v>
      </c>
      <c r="B97">
        <v>6671</v>
      </c>
      <c r="C97">
        <v>60</v>
      </c>
      <c r="D97">
        <v>1290</v>
      </c>
      <c r="E97">
        <v>0</v>
      </c>
      <c r="F97">
        <v>3000</v>
      </c>
      <c r="G97" s="102">
        <f t="shared" si="6"/>
        <v>5021</v>
      </c>
      <c r="H97" s="153">
        <f t="shared" si="7"/>
        <v>1350</v>
      </c>
      <c r="K97" s="281"/>
    </row>
    <row r="98" spans="1:11" x14ac:dyDescent="0.3">
      <c r="A98" s="1">
        <v>46148</v>
      </c>
      <c r="B98">
        <v>5021</v>
      </c>
      <c r="C98">
        <v>394</v>
      </c>
      <c r="D98">
        <v>626</v>
      </c>
      <c r="E98">
        <v>0</v>
      </c>
      <c r="F98">
        <v>0</v>
      </c>
      <c r="G98" s="102">
        <f t="shared" si="6"/>
        <v>6041</v>
      </c>
      <c r="H98" s="153">
        <f t="shared" si="7"/>
        <v>1020</v>
      </c>
      <c r="K98" s="281"/>
    </row>
    <row r="99" spans="1:11" x14ac:dyDescent="0.3">
      <c r="A99" s="1">
        <v>46149</v>
      </c>
      <c r="B99">
        <v>6041</v>
      </c>
      <c r="C99">
        <v>777</v>
      </c>
      <c r="D99">
        <v>931</v>
      </c>
      <c r="E99">
        <v>0</v>
      </c>
      <c r="F99">
        <v>2670</v>
      </c>
      <c r="G99" s="102">
        <f t="shared" si="6"/>
        <v>5079</v>
      </c>
      <c r="H99" s="153">
        <f t="shared" si="7"/>
        <v>1708</v>
      </c>
      <c r="K99" s="281"/>
    </row>
    <row r="100" spans="1:11" x14ac:dyDescent="0.3">
      <c r="A100" s="1">
        <v>46150</v>
      </c>
      <c r="B100">
        <v>5079</v>
      </c>
      <c r="C100">
        <v>228</v>
      </c>
      <c r="D100">
        <v>643</v>
      </c>
      <c r="E100">
        <v>0</v>
      </c>
      <c r="F100">
        <v>130</v>
      </c>
      <c r="G100" s="102">
        <f t="shared" si="6"/>
        <v>5820</v>
      </c>
      <c r="H100" s="153">
        <f t="shared" si="7"/>
        <v>871</v>
      </c>
      <c r="K100" s="281"/>
    </row>
    <row r="101" spans="1:11" x14ac:dyDescent="0.3">
      <c r="A101" s="1">
        <v>46151</v>
      </c>
      <c r="B101">
        <v>5820</v>
      </c>
      <c r="C101">
        <v>518</v>
      </c>
      <c r="D101">
        <v>2604</v>
      </c>
      <c r="E101">
        <v>0</v>
      </c>
      <c r="F101">
        <v>2675</v>
      </c>
      <c r="G101" s="102">
        <f t="shared" si="6"/>
        <v>6267</v>
      </c>
      <c r="H101" s="153">
        <f t="shared" si="7"/>
        <v>3122</v>
      </c>
      <c r="K101" s="281"/>
    </row>
    <row r="102" spans="1:11" x14ac:dyDescent="0.3">
      <c r="A102" s="1">
        <v>46152</v>
      </c>
      <c r="B102">
        <v>6267</v>
      </c>
      <c r="C102">
        <v>516</v>
      </c>
      <c r="D102">
        <f>'Sales Register'!I1260</f>
        <v>902.38</v>
      </c>
      <c r="E102">
        <v>0</v>
      </c>
      <c r="F102">
        <v>700</v>
      </c>
      <c r="G102" s="102">
        <f t="shared" si="6"/>
        <v>6985.38</v>
      </c>
      <c r="H102" s="153">
        <f t="shared" si="7"/>
        <v>1418.38</v>
      </c>
      <c r="K102" s="281"/>
    </row>
    <row r="103" spans="1:11" x14ac:dyDescent="0.3">
      <c r="A103" s="1">
        <v>46153</v>
      </c>
      <c r="B103">
        <v>6985</v>
      </c>
      <c r="C103">
        <f>'Sales Register'!I1269</f>
        <v>256.97199999999998</v>
      </c>
      <c r="D103">
        <f>'Sales Register'!I1289</f>
        <v>641.36</v>
      </c>
      <c r="F103">
        <v>240</v>
      </c>
      <c r="G103" s="102">
        <f t="shared" si="6"/>
        <v>7643.3319999999994</v>
      </c>
      <c r="H103" s="153">
        <f t="shared" si="7"/>
        <v>898.33199999999999</v>
      </c>
      <c r="K103" s="281"/>
    </row>
    <row r="104" spans="1:11" x14ac:dyDescent="0.3">
      <c r="A104" s="1">
        <v>46154</v>
      </c>
      <c r="B104">
        <v>7654</v>
      </c>
      <c r="C104">
        <v>0</v>
      </c>
      <c r="D104">
        <v>869</v>
      </c>
      <c r="E104">
        <v>0</v>
      </c>
      <c r="F104">
        <v>0</v>
      </c>
      <c r="G104" s="102">
        <f t="shared" si="6"/>
        <v>8523</v>
      </c>
      <c r="H104" s="153">
        <f t="shared" si="7"/>
        <v>869</v>
      </c>
      <c r="K104" s="281"/>
    </row>
    <row r="105" spans="1:11" x14ac:dyDescent="0.3">
      <c r="A105" s="1">
        <v>46155</v>
      </c>
      <c r="B105">
        <v>8523</v>
      </c>
      <c r="C105">
        <v>642</v>
      </c>
      <c r="D105">
        <f>'Sales Register'!I1366</f>
        <v>1763.1179999999999</v>
      </c>
      <c r="E105">
        <v>0</v>
      </c>
      <c r="F105">
        <v>3749</v>
      </c>
      <c r="G105" s="102">
        <f t="shared" si="6"/>
        <v>7179.1180000000004</v>
      </c>
      <c r="H105" s="153">
        <f t="shared" si="7"/>
        <v>2405.1179999999999</v>
      </c>
      <c r="K105" s="281"/>
    </row>
    <row r="106" spans="1:11" x14ac:dyDescent="0.3">
      <c r="A106" s="1">
        <v>46156</v>
      </c>
      <c r="B106">
        <v>7334</v>
      </c>
      <c r="C106">
        <v>2884</v>
      </c>
      <c r="D106">
        <v>1451</v>
      </c>
      <c r="E106">
        <v>0</v>
      </c>
      <c r="F106">
        <v>2560</v>
      </c>
      <c r="G106" s="102">
        <f t="shared" si="6"/>
        <v>9109</v>
      </c>
      <c r="H106" s="153">
        <f t="shared" si="7"/>
        <v>4335</v>
      </c>
      <c r="K106" s="281"/>
    </row>
    <row r="107" spans="1:11" x14ac:dyDescent="0.3">
      <c r="A107" s="1">
        <v>46157</v>
      </c>
      <c r="B107">
        <v>9109</v>
      </c>
      <c r="C107">
        <v>4287</v>
      </c>
      <c r="D107">
        <v>720</v>
      </c>
      <c r="E107">
        <v>0</v>
      </c>
      <c r="F107">
        <v>9054</v>
      </c>
      <c r="G107" s="102">
        <f t="shared" si="6"/>
        <v>5062</v>
      </c>
      <c r="H107" s="153">
        <f t="shared" si="7"/>
        <v>5007</v>
      </c>
      <c r="K107" s="281"/>
    </row>
    <row r="108" spans="1:11" x14ac:dyDescent="0.3">
      <c r="A108" s="1">
        <v>46158</v>
      </c>
      <c r="B108">
        <v>5062</v>
      </c>
      <c r="C108">
        <v>457</v>
      </c>
      <c r="D108">
        <v>792</v>
      </c>
      <c r="E108">
        <v>0</v>
      </c>
      <c r="F108">
        <v>7980</v>
      </c>
      <c r="G108" s="102">
        <f t="shared" si="6"/>
        <v>-1669</v>
      </c>
      <c r="H108" s="153">
        <f t="shared" si="7"/>
        <v>1249</v>
      </c>
      <c r="K108" s="281"/>
    </row>
    <row r="109" spans="1:11" x14ac:dyDescent="0.3">
      <c r="A109" s="1">
        <v>46159</v>
      </c>
      <c r="B109">
        <v>-1669</v>
      </c>
      <c r="C109">
        <v>384</v>
      </c>
      <c r="D109">
        <v>1586</v>
      </c>
      <c r="E109">
        <v>0</v>
      </c>
      <c r="F109">
        <v>1374</v>
      </c>
      <c r="G109" s="102">
        <f t="shared" si="6"/>
        <v>-1073</v>
      </c>
      <c r="H109" s="153">
        <f t="shared" si="7"/>
        <v>1970</v>
      </c>
      <c r="K109" s="281"/>
    </row>
    <row r="110" spans="1:11" x14ac:dyDescent="0.3">
      <c r="A110" s="1">
        <v>46160</v>
      </c>
      <c r="B110">
        <v>-1073</v>
      </c>
      <c r="C110">
        <v>4.5</v>
      </c>
      <c r="D110">
        <f>'Sales Register'!I1625</f>
        <v>701.18000000000006</v>
      </c>
      <c r="E110">
        <v>0</v>
      </c>
      <c r="F110">
        <v>0</v>
      </c>
      <c r="G110" s="102">
        <f t="shared" si="6"/>
        <v>-367.31999999999994</v>
      </c>
      <c r="H110" s="153">
        <f t="shared" si="7"/>
        <v>705.68000000000006</v>
      </c>
      <c r="K110" s="281"/>
    </row>
    <row r="111" spans="1:11" x14ac:dyDescent="0.3">
      <c r="A111" s="1">
        <v>46161</v>
      </c>
      <c r="B111">
        <f>G110</f>
        <v>-367.31999999999994</v>
      </c>
      <c r="C111">
        <v>144</v>
      </c>
      <c r="D111">
        <f>'Sales Register'!I1670</f>
        <v>908.02</v>
      </c>
      <c r="E111">
        <v>0</v>
      </c>
      <c r="F111">
        <v>0</v>
      </c>
      <c r="G111" s="102">
        <f t="shared" si="6"/>
        <v>684.7</v>
      </c>
      <c r="H111" s="153">
        <f t="shared" si="7"/>
        <v>1052.02</v>
      </c>
      <c r="K111" s="281"/>
    </row>
    <row r="112" spans="1:11" x14ac:dyDescent="0.3">
      <c r="A112" s="1">
        <v>46162</v>
      </c>
      <c r="B112">
        <v>684</v>
      </c>
      <c r="C112">
        <v>973</v>
      </c>
      <c r="D112">
        <v>1423</v>
      </c>
      <c r="E112">
        <v>0</v>
      </c>
      <c r="F112">
        <v>6204</v>
      </c>
      <c r="G112" s="102">
        <f t="shared" si="6"/>
        <v>-3124</v>
      </c>
      <c r="H112" s="153">
        <f t="shared" si="7"/>
        <v>2396</v>
      </c>
      <c r="K112" s="281"/>
    </row>
    <row r="113" spans="1:11" x14ac:dyDescent="0.3">
      <c r="A113" s="1">
        <v>46163</v>
      </c>
      <c r="B113">
        <f>G112</f>
        <v>-3124</v>
      </c>
      <c r="C113">
        <v>59</v>
      </c>
      <c r="D113">
        <v>993</v>
      </c>
      <c r="E113">
        <v>0</v>
      </c>
      <c r="F113">
        <v>3886</v>
      </c>
      <c r="G113" s="102">
        <f t="shared" si="6"/>
        <v>-5958</v>
      </c>
      <c r="H113" s="153">
        <f t="shared" si="7"/>
        <v>1052</v>
      </c>
      <c r="K113" s="281"/>
    </row>
    <row r="114" spans="1:11" x14ac:dyDescent="0.3">
      <c r="A114" s="1">
        <v>46164</v>
      </c>
      <c r="B114">
        <f>G113</f>
        <v>-5958</v>
      </c>
      <c r="C114">
        <v>0</v>
      </c>
      <c r="D114">
        <v>945</v>
      </c>
      <c r="E114">
        <v>0</v>
      </c>
      <c r="F114">
        <v>0</v>
      </c>
      <c r="G114" s="102">
        <f t="shared" si="6"/>
        <v>-5013</v>
      </c>
      <c r="H114" s="153">
        <f t="shared" si="7"/>
        <v>945</v>
      </c>
      <c r="K114" s="281"/>
    </row>
    <row r="115" spans="1:11" x14ac:dyDescent="0.3">
      <c r="A115" s="1">
        <v>46165</v>
      </c>
      <c r="B115">
        <f>G114</f>
        <v>-5013</v>
      </c>
      <c r="C115">
        <f>'Sales Register'!I1789</f>
        <v>1469.15</v>
      </c>
      <c r="D115">
        <v>801</v>
      </c>
      <c r="E115">
        <v>0</v>
      </c>
      <c r="F115">
        <v>1130</v>
      </c>
      <c r="G115" s="102">
        <f t="shared" si="6"/>
        <v>-3872.85</v>
      </c>
      <c r="H115" s="153">
        <f t="shared" si="7"/>
        <v>2270.15</v>
      </c>
      <c r="K115" s="281"/>
    </row>
    <row r="116" spans="1:11" x14ac:dyDescent="0.3">
      <c r="A116" s="1">
        <v>46166</v>
      </c>
      <c r="B116">
        <f>G115</f>
        <v>-3872.85</v>
      </c>
      <c r="C116">
        <v>314</v>
      </c>
      <c r="D116">
        <v>495</v>
      </c>
      <c r="E116">
        <v>0</v>
      </c>
      <c r="F116">
        <v>4202</v>
      </c>
      <c r="G116" s="102">
        <f t="shared" si="6"/>
        <v>-7265.85</v>
      </c>
      <c r="H116" s="153">
        <f t="shared" si="7"/>
        <v>809</v>
      </c>
      <c r="K116" s="281"/>
    </row>
    <row r="117" spans="1:11" x14ac:dyDescent="0.3">
      <c r="A117" s="1">
        <v>46167</v>
      </c>
      <c r="B117">
        <f>G116</f>
        <v>-7265.85</v>
      </c>
      <c r="C117">
        <v>49</v>
      </c>
      <c r="D117">
        <v>1459</v>
      </c>
      <c r="E117">
        <v>0</v>
      </c>
      <c r="F117">
        <v>747</v>
      </c>
      <c r="G117" s="102">
        <f t="shared" si="6"/>
        <v>-6504.85</v>
      </c>
      <c r="H117" s="153">
        <f t="shared" si="7"/>
        <v>1508</v>
      </c>
      <c r="K117" s="281"/>
    </row>
    <row r="118" spans="1:11" x14ac:dyDescent="0.3">
      <c r="A118" s="1">
        <v>46168</v>
      </c>
      <c r="B118">
        <f t="shared" ref="B118:B123" si="8">G117</f>
        <v>-6504.85</v>
      </c>
      <c r="C118">
        <v>0</v>
      </c>
      <c r="D118">
        <f>'Sales Register'!I1912</f>
        <v>873.49899999999991</v>
      </c>
      <c r="E118">
        <v>0</v>
      </c>
      <c r="F118">
        <v>0</v>
      </c>
      <c r="G118" s="102">
        <f t="shared" si="6"/>
        <v>-5631.3510000000006</v>
      </c>
      <c r="H118" s="153">
        <f t="shared" si="7"/>
        <v>873.49899999999991</v>
      </c>
      <c r="K118" s="281"/>
    </row>
    <row r="119" spans="1:11" x14ac:dyDescent="0.3">
      <c r="A119" s="1">
        <v>46169</v>
      </c>
      <c r="B119">
        <f t="shared" si="8"/>
        <v>-5631.3510000000006</v>
      </c>
      <c r="C119">
        <v>30</v>
      </c>
      <c r="D119">
        <f>'Sales Register'!I1939</f>
        <v>1845.096</v>
      </c>
      <c r="E119">
        <v>0</v>
      </c>
      <c r="F119">
        <v>0</v>
      </c>
      <c r="G119" s="102">
        <f t="shared" si="6"/>
        <v>-3756.2550000000006</v>
      </c>
      <c r="H119" s="153">
        <f t="shared" si="7"/>
        <v>1875.096</v>
      </c>
      <c r="K119" s="281"/>
    </row>
    <row r="120" spans="1:11" x14ac:dyDescent="0.3">
      <c r="A120" s="1">
        <v>46170</v>
      </c>
      <c r="B120">
        <f t="shared" si="8"/>
        <v>-3756.2550000000006</v>
      </c>
      <c r="C120">
        <f>'Sales Register'!I1967</f>
        <v>4683.0200000000004</v>
      </c>
      <c r="D120">
        <f>'Sales Register'!I1977</f>
        <v>977</v>
      </c>
      <c r="E120">
        <v>0</v>
      </c>
      <c r="F120">
        <v>13148</v>
      </c>
      <c r="G120" s="102">
        <f t="shared" si="6"/>
        <v>-11244.235000000001</v>
      </c>
      <c r="H120" s="153">
        <f t="shared" si="7"/>
        <v>5660.02</v>
      </c>
      <c r="K120" s="281"/>
    </row>
    <row r="121" spans="1:11" x14ac:dyDescent="0.3">
      <c r="A121" s="1">
        <v>46171</v>
      </c>
      <c r="B121">
        <f t="shared" si="8"/>
        <v>-11244.235000000001</v>
      </c>
      <c r="C121">
        <v>117</v>
      </c>
      <c r="D121">
        <v>3711</v>
      </c>
      <c r="E121">
        <v>0</v>
      </c>
      <c r="F121">
        <v>564</v>
      </c>
      <c r="G121" s="102">
        <f t="shared" si="6"/>
        <v>-7980.2350000000006</v>
      </c>
      <c r="H121" s="153">
        <f t="shared" si="7"/>
        <v>3828</v>
      </c>
      <c r="K121" s="281"/>
    </row>
    <row r="122" spans="1:11" x14ac:dyDescent="0.3">
      <c r="A122" s="1">
        <v>46172</v>
      </c>
      <c r="B122">
        <f t="shared" si="8"/>
        <v>-7980.2350000000006</v>
      </c>
      <c r="C122">
        <v>0</v>
      </c>
      <c r="D122">
        <v>1097</v>
      </c>
      <c r="E122">
        <v>0</v>
      </c>
      <c r="F122">
        <v>1950</v>
      </c>
      <c r="G122" s="102">
        <f t="shared" si="6"/>
        <v>-8833.2350000000006</v>
      </c>
      <c r="H122" s="153">
        <f t="shared" si="7"/>
        <v>1097</v>
      </c>
      <c r="K122" s="281"/>
    </row>
    <row r="123" spans="1:11" x14ac:dyDescent="0.3">
      <c r="A123" s="1">
        <v>46173</v>
      </c>
      <c r="B123">
        <f t="shared" si="8"/>
        <v>-8833.2350000000006</v>
      </c>
      <c r="C123">
        <v>0</v>
      </c>
      <c r="D123">
        <f>'Sales Register'!I2099</f>
        <v>1753.0759999999998</v>
      </c>
      <c r="E123">
        <v>0</v>
      </c>
      <c r="F123">
        <v>408</v>
      </c>
      <c r="G123" s="102">
        <f t="shared" si="6"/>
        <v>-7488.1590000000006</v>
      </c>
      <c r="H123" s="153">
        <f t="shared" si="7"/>
        <v>1753.0759999999998</v>
      </c>
      <c r="K123" s="281"/>
    </row>
    <row r="124" spans="1:11" x14ac:dyDescent="0.3">
      <c r="A124" s="1">
        <v>46174</v>
      </c>
      <c r="B124">
        <f>G123</f>
        <v>-7488.1590000000006</v>
      </c>
      <c r="C124" s="135">
        <f>'Sales Register'!I2112</f>
        <v>755</v>
      </c>
      <c r="D124" s="135">
        <f>'Sales Register'!I2132</f>
        <v>352.5</v>
      </c>
      <c r="E124">
        <v>0</v>
      </c>
      <c r="F124">
        <v>0</v>
      </c>
      <c r="G124" s="136">
        <f t="shared" si="6"/>
        <v>-6380.6590000000006</v>
      </c>
      <c r="H124" s="153">
        <f t="shared" si="7"/>
        <v>1107.5</v>
      </c>
      <c r="I124" s="129">
        <f>'Sales Register'!L2132</f>
        <v>0.14717633641910491</v>
      </c>
      <c r="J124">
        <f>I124</f>
        <v>0.14717633641910491</v>
      </c>
      <c r="K124" s="280">
        <f>COUNTIFS(H124:H152, "&lt;=2000", H125:H153, "&gt;2000")</f>
        <v>8</v>
      </c>
    </row>
    <row r="125" spans="1:11" x14ac:dyDescent="0.3">
      <c r="A125" s="1">
        <v>46175</v>
      </c>
      <c r="B125">
        <f t="shared" ref="B125:B153" si="9">G124</f>
        <v>-6380.6590000000006</v>
      </c>
      <c r="C125" s="135">
        <f>'Sales Register'!I2141</f>
        <v>492.95600000000002</v>
      </c>
      <c r="D125" s="135">
        <f>'Sales Register'!I2180</f>
        <v>5925.1</v>
      </c>
      <c r="E125">
        <v>0</v>
      </c>
      <c r="F125">
        <v>0</v>
      </c>
      <c r="G125" s="136">
        <f t="shared" si="6"/>
        <v>37.396999999999935</v>
      </c>
      <c r="H125" s="153">
        <f t="shared" si="7"/>
        <v>6418.0560000000005</v>
      </c>
      <c r="I125" s="129">
        <f>'Sales Register'!L2180</f>
        <v>0.15462658206674021</v>
      </c>
      <c r="J125">
        <f t="shared" ref="J125:J153" si="10">I125</f>
        <v>0.15462658206674021</v>
      </c>
      <c r="K125" s="280"/>
    </row>
    <row r="126" spans="1:11" x14ac:dyDescent="0.3">
      <c r="A126" s="1">
        <v>46176</v>
      </c>
      <c r="B126">
        <f t="shared" si="9"/>
        <v>37.396999999999935</v>
      </c>
      <c r="C126" s="135">
        <v>101</v>
      </c>
      <c r="D126" s="135">
        <f>'Sales Register'!I2217</f>
        <v>1131.21</v>
      </c>
      <c r="E126">
        <v>0</v>
      </c>
      <c r="F126">
        <v>1890</v>
      </c>
      <c r="G126" s="136">
        <f t="shared" si="6"/>
        <v>-620.39300000000003</v>
      </c>
      <c r="H126" s="153">
        <f t="shared" si="7"/>
        <v>1232.21</v>
      </c>
      <c r="I126" s="129">
        <f>'Sales Register'!L2217</f>
        <v>0.19033218264679996</v>
      </c>
      <c r="J126">
        <f t="shared" si="10"/>
        <v>0.19033218264679996</v>
      </c>
      <c r="K126" s="280"/>
    </row>
    <row r="127" spans="1:11" x14ac:dyDescent="0.3">
      <c r="A127" s="1">
        <v>46177</v>
      </c>
      <c r="B127">
        <f t="shared" si="9"/>
        <v>-620.39300000000003</v>
      </c>
      <c r="C127" s="135">
        <f>'Sales Register'!I2220</f>
        <v>23.5</v>
      </c>
      <c r="D127" s="135">
        <v>82</v>
      </c>
      <c r="E127">
        <v>0</v>
      </c>
      <c r="F127">
        <v>3788</v>
      </c>
      <c r="G127" s="136">
        <f t="shared" si="6"/>
        <v>-4302.893</v>
      </c>
      <c r="H127" s="153">
        <f t="shared" si="7"/>
        <v>105.5</v>
      </c>
      <c r="I127" s="129">
        <f>'Sales Register'!L2225</f>
        <v>0.12231138753867594</v>
      </c>
      <c r="J127">
        <f t="shared" si="10"/>
        <v>0.12231138753867594</v>
      </c>
      <c r="K127" s="280"/>
    </row>
    <row r="128" spans="1:11" x14ac:dyDescent="0.3">
      <c r="A128" s="1">
        <v>46178</v>
      </c>
      <c r="B128">
        <f t="shared" si="9"/>
        <v>-4302.893</v>
      </c>
      <c r="C128" s="135">
        <f>'Sales Register'!I2236</f>
        <v>773.96199999999999</v>
      </c>
      <c r="D128" s="135">
        <f>'Sales Register'!I2274</f>
        <v>1494</v>
      </c>
      <c r="E128">
        <v>0</v>
      </c>
      <c r="F128">
        <v>0</v>
      </c>
      <c r="G128" s="136">
        <f t="shared" si="6"/>
        <v>-2034.931</v>
      </c>
      <c r="H128" s="153">
        <f t="shared" si="7"/>
        <v>2267.962</v>
      </c>
      <c r="I128" s="129">
        <f>'Sales Register'!L2274</f>
        <v>0.13667874947067807</v>
      </c>
      <c r="J128">
        <f t="shared" si="10"/>
        <v>0.13667874947067807</v>
      </c>
      <c r="K128" s="280"/>
    </row>
    <row r="129" spans="1:14" x14ac:dyDescent="0.3">
      <c r="A129" s="1">
        <v>46179</v>
      </c>
      <c r="B129">
        <f t="shared" si="9"/>
        <v>-2034.931</v>
      </c>
      <c r="C129" s="135">
        <f>'Sales Register'!I2298</f>
        <v>697.55</v>
      </c>
      <c r="D129" s="135">
        <v>558</v>
      </c>
      <c r="E129">
        <v>0</v>
      </c>
      <c r="F129">
        <v>367</v>
      </c>
      <c r="G129" s="136">
        <f t="shared" si="6"/>
        <v>-1146.3810000000001</v>
      </c>
      <c r="H129" s="153">
        <f t="shared" si="7"/>
        <v>1255.55</v>
      </c>
      <c r="I129" s="129" t="e">
        <f>'Sales Register'!L2329</f>
        <v>#N/A</v>
      </c>
      <c r="J129" t="e">
        <f t="shared" si="10"/>
        <v>#N/A</v>
      </c>
      <c r="K129" s="280"/>
    </row>
    <row r="130" spans="1:14" x14ac:dyDescent="0.3">
      <c r="A130" s="1">
        <v>46180</v>
      </c>
      <c r="B130">
        <f t="shared" si="9"/>
        <v>-1146.3810000000001</v>
      </c>
      <c r="C130" s="135">
        <f>'Sales Register'!I2363</f>
        <v>716.572</v>
      </c>
      <c r="D130" s="135">
        <v>1464</v>
      </c>
      <c r="E130">
        <v>0</v>
      </c>
      <c r="F130">
        <v>1133</v>
      </c>
      <c r="G130" s="136">
        <f t="shared" si="6"/>
        <v>-98.809000000000196</v>
      </c>
      <c r="H130" s="153">
        <f t="shared" si="7"/>
        <v>2180.5720000000001</v>
      </c>
      <c r="I130" s="129" t="e">
        <f>'Sales Register'!L2411</f>
        <v>#N/A</v>
      </c>
      <c r="J130" t="e">
        <f t="shared" si="10"/>
        <v>#N/A</v>
      </c>
      <c r="K130" s="280"/>
    </row>
    <row r="131" spans="1:14" x14ac:dyDescent="0.3">
      <c r="A131" s="1">
        <v>46181</v>
      </c>
      <c r="B131">
        <f t="shared" si="9"/>
        <v>-98.809000000000196</v>
      </c>
      <c r="C131" s="135">
        <v>0</v>
      </c>
      <c r="D131" s="135">
        <f>'Sales Register'!I2447</f>
        <v>1350.02</v>
      </c>
      <c r="E131">
        <v>0</v>
      </c>
      <c r="F131">
        <v>0</v>
      </c>
      <c r="G131" s="136">
        <f t="shared" si="6"/>
        <v>1251.2109999999998</v>
      </c>
      <c r="H131" s="153">
        <f t="shared" si="7"/>
        <v>1350.02</v>
      </c>
      <c r="I131" s="129">
        <f>'Sales Register'!L2447</f>
        <v>0.88626494568426739</v>
      </c>
      <c r="J131">
        <f t="shared" si="10"/>
        <v>0.88626494568426739</v>
      </c>
      <c r="K131" s="280"/>
    </row>
    <row r="132" spans="1:14" x14ac:dyDescent="0.3">
      <c r="A132" s="1">
        <v>46182</v>
      </c>
      <c r="B132">
        <f t="shared" si="9"/>
        <v>1251.2109999999998</v>
      </c>
      <c r="C132" s="135">
        <v>109</v>
      </c>
      <c r="D132" s="135">
        <v>831</v>
      </c>
      <c r="E132">
        <v>0</v>
      </c>
      <c r="F132">
        <v>6734</v>
      </c>
      <c r="G132" s="136">
        <f t="shared" si="6"/>
        <v>-4542.7890000000007</v>
      </c>
      <c r="H132" s="153">
        <f t="shared" si="7"/>
        <v>940</v>
      </c>
      <c r="I132" s="129">
        <f>'Sales Register'!L2482</f>
        <v>0.16698380623984152</v>
      </c>
      <c r="J132">
        <f t="shared" si="10"/>
        <v>0.16698380623984152</v>
      </c>
      <c r="K132" s="280"/>
    </row>
    <row r="133" spans="1:14" x14ac:dyDescent="0.3">
      <c r="A133" s="1">
        <v>46183</v>
      </c>
      <c r="B133">
        <f t="shared" si="9"/>
        <v>-4542.7890000000007</v>
      </c>
      <c r="C133" s="135">
        <f>'Sales Register'!I2497</f>
        <v>1432</v>
      </c>
      <c r="D133" s="135">
        <f>'Sales Register'!I2532</f>
        <v>939.74</v>
      </c>
      <c r="E133">
        <v>0</v>
      </c>
      <c r="F133">
        <v>1040</v>
      </c>
      <c r="G133" s="136">
        <f t="shared" si="6"/>
        <v>-3211.0490000000009</v>
      </c>
      <c r="H133" s="153">
        <f t="shared" si="7"/>
        <v>2371.7399999999998</v>
      </c>
      <c r="I133" s="129" t="e">
        <f>'Sales Register'!L2532</f>
        <v>#N/A</v>
      </c>
      <c r="J133" t="e">
        <f t="shared" si="10"/>
        <v>#N/A</v>
      </c>
      <c r="K133" s="280"/>
    </row>
    <row r="134" spans="1:14" x14ac:dyDescent="0.3">
      <c r="A134" s="1">
        <v>46184</v>
      </c>
      <c r="B134">
        <f t="shared" si="9"/>
        <v>-3211.0490000000009</v>
      </c>
      <c r="C134" s="135">
        <v>698</v>
      </c>
      <c r="D134" s="135">
        <v>901</v>
      </c>
      <c r="E134">
        <v>0</v>
      </c>
      <c r="F134">
        <v>0</v>
      </c>
      <c r="G134" s="136">
        <f t="shared" si="6"/>
        <v>-1612.0490000000009</v>
      </c>
      <c r="H134" s="153">
        <f t="shared" si="7"/>
        <v>1599</v>
      </c>
      <c r="I134" s="129">
        <f>'Sales Register'!L2584</f>
        <v>0.51983703411264159</v>
      </c>
      <c r="J134">
        <f t="shared" si="10"/>
        <v>0.51983703411264159</v>
      </c>
      <c r="K134" s="280"/>
    </row>
    <row r="135" spans="1:14" x14ac:dyDescent="0.3">
      <c r="A135" s="1">
        <v>46185</v>
      </c>
      <c r="B135">
        <f t="shared" si="9"/>
        <v>-1612.0490000000009</v>
      </c>
      <c r="C135" s="135">
        <v>0</v>
      </c>
      <c r="D135" s="135">
        <v>1109</v>
      </c>
      <c r="E135">
        <v>0</v>
      </c>
      <c r="F135">
        <v>4410</v>
      </c>
      <c r="G135" s="136">
        <f t="shared" si="6"/>
        <v>-4913.0490000000009</v>
      </c>
      <c r="H135" s="153">
        <f t="shared" si="7"/>
        <v>1109</v>
      </c>
      <c r="I135" s="129">
        <f>'Sales Register'!L2632</f>
        <v>0.20856124297230744</v>
      </c>
      <c r="J135">
        <f t="shared" si="10"/>
        <v>0.20856124297230744</v>
      </c>
      <c r="K135" s="280"/>
    </row>
    <row r="136" spans="1:14" x14ac:dyDescent="0.3">
      <c r="A136" s="1">
        <v>46186</v>
      </c>
      <c r="B136">
        <f t="shared" si="9"/>
        <v>-4913.0490000000009</v>
      </c>
      <c r="C136" s="135">
        <v>0</v>
      </c>
      <c r="D136" s="135">
        <v>1697</v>
      </c>
      <c r="E136">
        <v>0</v>
      </c>
      <c r="F136">
        <v>580</v>
      </c>
      <c r="G136" s="136">
        <f t="shared" si="6"/>
        <v>-3796.0490000000009</v>
      </c>
      <c r="H136" s="153">
        <f t="shared" si="7"/>
        <v>1697</v>
      </c>
      <c r="I136" s="129">
        <f>'Sales Register'!L2692</f>
        <v>0.17876143454988133</v>
      </c>
      <c r="J136">
        <f t="shared" si="10"/>
        <v>0.17876143454988133</v>
      </c>
      <c r="K136" s="280"/>
    </row>
    <row r="137" spans="1:14" x14ac:dyDescent="0.3">
      <c r="A137" s="1">
        <v>46187</v>
      </c>
      <c r="B137">
        <f t="shared" si="9"/>
        <v>-3796.0490000000009</v>
      </c>
      <c r="C137" s="135">
        <v>0</v>
      </c>
      <c r="D137" s="135">
        <f>'Sales Register'!I2737</f>
        <v>1012.0319999999999</v>
      </c>
      <c r="E137">
        <v>0</v>
      </c>
      <c r="F137">
        <v>900</v>
      </c>
      <c r="G137" s="136">
        <f t="shared" si="6"/>
        <v>-3684.0170000000007</v>
      </c>
      <c r="H137" s="153">
        <f t="shared" si="7"/>
        <v>1012.0319999999999</v>
      </c>
      <c r="I137" s="129">
        <f>'Sales Register'!L2737</f>
        <v>0.15969786479239037</v>
      </c>
      <c r="J137">
        <f t="shared" si="10"/>
        <v>0.15969786479239037</v>
      </c>
      <c r="K137" s="280"/>
    </row>
    <row r="138" spans="1:14" x14ac:dyDescent="0.3">
      <c r="A138" s="1">
        <v>46188</v>
      </c>
      <c r="B138">
        <f t="shared" si="9"/>
        <v>-3684.0170000000007</v>
      </c>
      <c r="C138" s="135">
        <v>0</v>
      </c>
      <c r="D138" s="135">
        <v>1766</v>
      </c>
      <c r="E138">
        <v>0</v>
      </c>
      <c r="F138">
        <v>0</v>
      </c>
      <c r="G138" s="136">
        <f t="shared" si="6"/>
        <v>-1918.0170000000007</v>
      </c>
      <c r="H138" s="153">
        <f t="shared" si="7"/>
        <v>1766</v>
      </c>
      <c r="I138" s="129" t="e">
        <f>'Sales Register'!L2793</f>
        <v>#N/A</v>
      </c>
      <c r="J138" t="e">
        <f t="shared" si="10"/>
        <v>#N/A</v>
      </c>
      <c r="K138" s="280"/>
    </row>
    <row r="139" spans="1:14" x14ac:dyDescent="0.3">
      <c r="A139" s="1">
        <v>46189</v>
      </c>
      <c r="B139">
        <f t="shared" si="9"/>
        <v>-1918.0170000000007</v>
      </c>
      <c r="C139" s="135">
        <v>705</v>
      </c>
      <c r="D139" s="135">
        <v>1477</v>
      </c>
      <c r="E139">
        <v>0</v>
      </c>
      <c r="F139">
        <v>0</v>
      </c>
      <c r="G139" s="136">
        <f t="shared" si="6"/>
        <v>263.98299999999927</v>
      </c>
      <c r="H139" s="153">
        <f t="shared" si="7"/>
        <v>2182</v>
      </c>
      <c r="I139" s="129" t="e">
        <f>'Sales Register'!L2864</f>
        <v>#N/A</v>
      </c>
      <c r="J139" t="e">
        <f t="shared" si="10"/>
        <v>#N/A</v>
      </c>
      <c r="K139" s="280"/>
      <c r="N139" s="171"/>
    </row>
    <row r="140" spans="1:14" x14ac:dyDescent="0.3">
      <c r="A140" s="1">
        <v>46190</v>
      </c>
      <c r="B140">
        <f t="shared" si="9"/>
        <v>263.98299999999927</v>
      </c>
      <c r="C140" s="135">
        <v>0</v>
      </c>
      <c r="D140" s="135">
        <v>1164</v>
      </c>
      <c r="E140">
        <v>0</v>
      </c>
      <c r="F140">
        <v>11497</v>
      </c>
      <c r="G140" s="136">
        <f t="shared" ref="G140:G203" si="11">B140+C140+D140+E140-F140</f>
        <v>-10069.017</v>
      </c>
      <c r="H140" s="153">
        <f t="shared" si="7"/>
        <v>1164</v>
      </c>
      <c r="I140" s="129" t="e">
        <f>'Sales Register'!L2905</f>
        <v>#N/A</v>
      </c>
      <c r="J140" t="e">
        <f t="shared" si="10"/>
        <v>#N/A</v>
      </c>
      <c r="K140" s="280"/>
      <c r="N140" s="171"/>
    </row>
    <row r="141" spans="1:14" x14ac:dyDescent="0.3">
      <c r="A141" s="1">
        <v>46191</v>
      </c>
      <c r="B141">
        <f t="shared" si="9"/>
        <v>-10069.017</v>
      </c>
      <c r="C141" s="135">
        <v>0</v>
      </c>
      <c r="D141" s="135">
        <f>'Sales Register'!I2934</f>
        <v>2091.0460000000003</v>
      </c>
      <c r="E141">
        <v>0</v>
      </c>
      <c r="F141">
        <v>0</v>
      </c>
      <c r="G141" s="136">
        <f t="shared" si="11"/>
        <v>-7977.9709999999995</v>
      </c>
      <c r="H141" s="153">
        <f t="shared" si="7"/>
        <v>2091.0460000000003</v>
      </c>
      <c r="I141" s="129">
        <f>'Sales Register'!L2934</f>
        <v>0.17267497047254254</v>
      </c>
      <c r="J141">
        <f t="shared" si="10"/>
        <v>0.17267497047254254</v>
      </c>
      <c r="K141" s="280"/>
    </row>
    <row r="142" spans="1:14" x14ac:dyDescent="0.3">
      <c r="A142" s="1">
        <v>46192</v>
      </c>
      <c r="B142">
        <f t="shared" si="9"/>
        <v>-7977.9709999999995</v>
      </c>
      <c r="C142" s="135">
        <v>0</v>
      </c>
      <c r="D142" s="135">
        <f>'Sales Register'!I2961</f>
        <v>639.69000000000005</v>
      </c>
      <c r="E142">
        <v>0</v>
      </c>
      <c r="F142">
        <v>0</v>
      </c>
      <c r="G142" s="136">
        <f t="shared" si="11"/>
        <v>-7338.280999999999</v>
      </c>
      <c r="H142" s="153">
        <f t="shared" si="7"/>
        <v>639.69000000000005</v>
      </c>
      <c r="I142" s="129" t="e">
        <f>'Sales Register'!L2961</f>
        <v>#N/A</v>
      </c>
      <c r="J142" t="e">
        <f t="shared" si="10"/>
        <v>#N/A</v>
      </c>
      <c r="K142" s="280"/>
    </row>
    <row r="143" spans="1:14" x14ac:dyDescent="0.3">
      <c r="A143" s="1">
        <v>46193</v>
      </c>
      <c r="B143">
        <f t="shared" si="9"/>
        <v>-7338.280999999999</v>
      </c>
      <c r="C143" s="135">
        <f>'Sales Register'!I2984</f>
        <v>866.3</v>
      </c>
      <c r="D143" s="135">
        <f>'Sales Register'!I3019</f>
        <v>1042.67</v>
      </c>
      <c r="E143">
        <f>SUMIF('Sales Register'!G2963:G3019,"UPI",'Sales Register'!F2963:F3019)</f>
        <v>190</v>
      </c>
      <c r="F143">
        <v>0</v>
      </c>
      <c r="G143" s="136">
        <f t="shared" si="11"/>
        <v>-5239.3109999999988</v>
      </c>
      <c r="H143" s="153">
        <f t="shared" si="7"/>
        <v>2098.9700000000003</v>
      </c>
      <c r="I143" s="129">
        <f>AVERAGE('Sales Register'!K2963:K3018)</f>
        <v>0.16157818135350147</v>
      </c>
      <c r="J143">
        <f t="shared" si="10"/>
        <v>0.16157818135350147</v>
      </c>
      <c r="K143" s="280"/>
    </row>
    <row r="144" spans="1:14" x14ac:dyDescent="0.3">
      <c r="A144" s="1">
        <v>46194</v>
      </c>
      <c r="B144">
        <f t="shared" si="9"/>
        <v>-5239.3109999999988</v>
      </c>
      <c r="C144" s="135">
        <f>'Sales Register'!I3032</f>
        <v>124.5</v>
      </c>
      <c r="D144" s="135">
        <f>'Sales Register'!I3081</f>
        <v>767.02</v>
      </c>
      <c r="E144">
        <f>'Sales Register'!E3082</f>
        <v>418</v>
      </c>
      <c r="F144">
        <v>0</v>
      </c>
      <c r="G144" s="136">
        <f t="shared" si="11"/>
        <v>-3929.7909999999993</v>
      </c>
      <c r="H144" s="153">
        <f t="shared" si="7"/>
        <v>1309.52</v>
      </c>
      <c r="I144" s="129">
        <f>IFERROR(AVERAGE('Sales Register'!L3081,'Sales Register'!L3032),0)</f>
        <v>0.11252240670052036</v>
      </c>
      <c r="J144">
        <f t="shared" si="10"/>
        <v>0.11252240670052036</v>
      </c>
      <c r="K144" s="280"/>
    </row>
    <row r="145" spans="1:11" x14ac:dyDescent="0.3">
      <c r="A145" s="1">
        <v>46195</v>
      </c>
      <c r="B145">
        <f t="shared" si="9"/>
        <v>-3929.7909999999993</v>
      </c>
      <c r="C145" s="135">
        <f>'Sales Register'!I3100</f>
        <v>433</v>
      </c>
      <c r="D145" s="135">
        <f>'Sales Register'!I3102</f>
        <v>0</v>
      </c>
      <c r="E145">
        <f>'Sales Register'!E3103</f>
        <v>214</v>
      </c>
      <c r="F145">
        <v>0</v>
      </c>
      <c r="G145" s="136">
        <f t="shared" si="11"/>
        <v>-3282.7909999999993</v>
      </c>
      <c r="H145" s="153">
        <f t="shared" si="7"/>
        <v>647</v>
      </c>
      <c r="I145" s="129">
        <f>AVERAGE('Sales Register'!L3083:L3093,'Sales Register'!L3101:L3101)</f>
        <v>0.11079081426112665</v>
      </c>
      <c r="J145">
        <f t="shared" si="10"/>
        <v>0.11079081426112665</v>
      </c>
      <c r="K145" s="280"/>
    </row>
    <row r="146" spans="1:11" x14ac:dyDescent="0.3">
      <c r="A146" s="1">
        <v>46196</v>
      </c>
      <c r="B146">
        <f t="shared" si="9"/>
        <v>-3282.7909999999993</v>
      </c>
      <c r="C146" s="135">
        <v>0</v>
      </c>
      <c r="D146" s="135">
        <f>'Sales Register'!I3145</f>
        <v>670.64400000000001</v>
      </c>
      <c r="E146">
        <f>'Sales Register'!E3146</f>
        <v>466.75</v>
      </c>
      <c r="F146">
        <v>0</v>
      </c>
      <c r="G146" s="136">
        <f t="shared" si="11"/>
        <v>-2145.396999999999</v>
      </c>
      <c r="H146" s="153">
        <f t="shared" si="7"/>
        <v>1137.394</v>
      </c>
      <c r="I146" s="129">
        <v>0.12</v>
      </c>
      <c r="J146">
        <f t="shared" si="10"/>
        <v>0.12</v>
      </c>
      <c r="K146" s="280"/>
    </row>
    <row r="147" spans="1:11" x14ac:dyDescent="0.3">
      <c r="A147" s="1">
        <v>46197</v>
      </c>
      <c r="B147">
        <f t="shared" si="9"/>
        <v>-2145.396999999999</v>
      </c>
      <c r="C147" s="135">
        <v>199</v>
      </c>
      <c r="D147" s="135">
        <v>3327</v>
      </c>
      <c r="E147">
        <v>140</v>
      </c>
      <c r="F147">
        <v>240</v>
      </c>
      <c r="G147" s="136">
        <f t="shared" si="11"/>
        <v>1280.603000000001</v>
      </c>
      <c r="H147" s="153">
        <f t="shared" ref="H147:H210" si="12">C147+D147+E147</f>
        <v>3666</v>
      </c>
      <c r="I147" s="129">
        <f>'Sales Register'!L3229</f>
        <v>0.12052973185461643</v>
      </c>
      <c r="J147">
        <f t="shared" si="10"/>
        <v>0.12052973185461643</v>
      </c>
      <c r="K147" s="280"/>
    </row>
    <row r="148" spans="1:11" x14ac:dyDescent="0.3">
      <c r="A148" s="1">
        <v>46198</v>
      </c>
      <c r="B148">
        <f t="shared" si="9"/>
        <v>1280.603000000001</v>
      </c>
      <c r="C148" s="135">
        <v>0</v>
      </c>
      <c r="D148" s="135">
        <v>0</v>
      </c>
      <c r="E148">
        <v>0</v>
      </c>
      <c r="F148">
        <v>0</v>
      </c>
      <c r="G148" s="136">
        <f t="shared" si="11"/>
        <v>1280.603000000001</v>
      </c>
      <c r="H148" s="153">
        <f t="shared" si="12"/>
        <v>0</v>
      </c>
      <c r="I148" s="129">
        <v>0</v>
      </c>
      <c r="J148">
        <f t="shared" si="10"/>
        <v>0</v>
      </c>
      <c r="K148" s="280"/>
    </row>
    <row r="149" spans="1:11" x14ac:dyDescent="0.3">
      <c r="A149" s="1">
        <v>46199</v>
      </c>
      <c r="B149">
        <f t="shared" si="9"/>
        <v>1280.603000000001</v>
      </c>
      <c r="C149" s="135">
        <v>0</v>
      </c>
      <c r="D149" s="135">
        <v>0</v>
      </c>
      <c r="E149">
        <v>0</v>
      </c>
      <c r="F149">
        <v>0</v>
      </c>
      <c r="G149" s="136">
        <f t="shared" si="11"/>
        <v>1280.603000000001</v>
      </c>
      <c r="H149" s="153">
        <f t="shared" si="12"/>
        <v>0</v>
      </c>
      <c r="I149" s="129">
        <v>0</v>
      </c>
      <c r="J149">
        <f t="shared" si="10"/>
        <v>0</v>
      </c>
      <c r="K149" s="280"/>
    </row>
    <row r="150" spans="1:11" x14ac:dyDescent="0.3">
      <c r="A150" s="1">
        <v>46200</v>
      </c>
      <c r="B150">
        <f t="shared" si="9"/>
        <v>1280.603000000001</v>
      </c>
      <c r="C150" s="135">
        <v>0</v>
      </c>
      <c r="D150" s="135">
        <v>0</v>
      </c>
      <c r="E150">
        <v>0</v>
      </c>
      <c r="F150">
        <v>0</v>
      </c>
      <c r="G150" s="136">
        <f t="shared" si="11"/>
        <v>1280.603000000001</v>
      </c>
      <c r="H150" s="153">
        <f t="shared" si="12"/>
        <v>0</v>
      </c>
      <c r="I150" s="129">
        <v>0</v>
      </c>
      <c r="J150">
        <f t="shared" si="10"/>
        <v>0</v>
      </c>
      <c r="K150" s="280"/>
    </row>
    <row r="151" spans="1:11" x14ac:dyDescent="0.3">
      <c r="A151" s="1">
        <v>46201</v>
      </c>
      <c r="B151">
        <f>G150</f>
        <v>1280.603000000001</v>
      </c>
      <c r="C151" s="135">
        <v>0</v>
      </c>
      <c r="D151" s="135">
        <v>0</v>
      </c>
      <c r="E151">
        <v>0</v>
      </c>
      <c r="F151">
        <v>0</v>
      </c>
      <c r="G151" s="136">
        <f t="shared" si="11"/>
        <v>1280.603000000001</v>
      </c>
      <c r="H151" s="153">
        <f t="shared" si="12"/>
        <v>0</v>
      </c>
      <c r="I151" s="129">
        <v>0</v>
      </c>
      <c r="J151">
        <f t="shared" si="10"/>
        <v>0</v>
      </c>
      <c r="K151" s="280"/>
    </row>
    <row r="152" spans="1:11" x14ac:dyDescent="0.3">
      <c r="A152" s="1">
        <v>46202</v>
      </c>
      <c r="B152">
        <f t="shared" si="9"/>
        <v>1280.603000000001</v>
      </c>
      <c r="C152" s="135">
        <v>0</v>
      </c>
      <c r="D152" s="135">
        <v>0</v>
      </c>
      <c r="E152">
        <v>0</v>
      </c>
      <c r="F152">
        <v>0</v>
      </c>
      <c r="G152" s="136">
        <f t="shared" si="11"/>
        <v>1280.603000000001</v>
      </c>
      <c r="H152" s="153">
        <f t="shared" si="12"/>
        <v>0</v>
      </c>
      <c r="I152" s="129">
        <v>0</v>
      </c>
      <c r="J152">
        <f t="shared" si="10"/>
        <v>0</v>
      </c>
      <c r="K152" s="280"/>
    </row>
    <row r="153" spans="1:11" x14ac:dyDescent="0.3">
      <c r="A153" s="1">
        <v>46203</v>
      </c>
      <c r="B153">
        <f t="shared" si="9"/>
        <v>1280.603000000001</v>
      </c>
      <c r="C153" s="135">
        <v>0</v>
      </c>
      <c r="D153" s="135">
        <v>1258</v>
      </c>
      <c r="E153">
        <v>0</v>
      </c>
      <c r="F153">
        <v>0</v>
      </c>
      <c r="G153" s="136">
        <f t="shared" si="11"/>
        <v>2538.603000000001</v>
      </c>
      <c r="H153" s="153">
        <f t="shared" si="12"/>
        <v>1258</v>
      </c>
      <c r="I153" s="129">
        <f>'Sales Register'!L3279</f>
        <v>0.14116180765024258</v>
      </c>
      <c r="J153">
        <f t="shared" si="10"/>
        <v>0.14116180765024258</v>
      </c>
      <c r="K153" s="280"/>
    </row>
    <row r="154" spans="1:11" x14ac:dyDescent="0.3">
      <c r="A154" s="1">
        <v>46204</v>
      </c>
      <c r="B154" s="135">
        <f>G153</f>
        <v>2538.603000000001</v>
      </c>
      <c r="C154">
        <f>'Sales Register'!I3290</f>
        <v>351.6</v>
      </c>
      <c r="D154">
        <f>'Sales Register'!I3310</f>
        <v>0</v>
      </c>
      <c r="E154">
        <f>'Sales Register'!E3311</f>
        <v>5441</v>
      </c>
      <c r="F154">
        <v>4427</v>
      </c>
      <c r="G154" s="136">
        <f t="shared" si="11"/>
        <v>3904.2030000000013</v>
      </c>
      <c r="H154" s="153">
        <f t="shared" si="12"/>
        <v>5792.6</v>
      </c>
      <c r="J154" s="90">
        <f>'Sales Register'!L3310</f>
        <v>0.11640897244407515</v>
      </c>
      <c r="K154" s="282">
        <f>COUNTIFS(H153:H183, "&lt;=2000", H154:H184, "&gt;2000")</f>
        <v>3</v>
      </c>
    </row>
    <row r="155" spans="1:11" x14ac:dyDescent="0.3">
      <c r="A155" s="1">
        <v>46205</v>
      </c>
      <c r="B155">
        <f>G154</f>
        <v>3904.2030000000013</v>
      </c>
      <c r="C155" s="135">
        <v>0</v>
      </c>
      <c r="D155">
        <f>'Sales Register'!I3336</f>
        <v>277.39999999999998</v>
      </c>
      <c r="E155">
        <f>'Sales Register'!E3337</f>
        <v>385</v>
      </c>
      <c r="F155">
        <v>0</v>
      </c>
      <c r="G155" s="136">
        <f t="shared" si="11"/>
        <v>4566.603000000001</v>
      </c>
      <c r="H155" s="153">
        <f t="shared" si="12"/>
        <v>662.4</v>
      </c>
      <c r="J155" s="90">
        <f>'Sales Register'!L3336</f>
        <v>0.10679202741702742</v>
      </c>
      <c r="K155" s="282"/>
    </row>
    <row r="156" spans="1:11" x14ac:dyDescent="0.3">
      <c r="A156" s="1">
        <v>46206</v>
      </c>
      <c r="B156">
        <f t="shared" ref="B156:B184" si="13">G155</f>
        <v>4566.603000000001</v>
      </c>
      <c r="C156" s="135">
        <v>0</v>
      </c>
      <c r="D156">
        <f>'Sales Register'!I3347</f>
        <v>56</v>
      </c>
      <c r="E156">
        <f>'Sales Register'!E3348</f>
        <v>333</v>
      </c>
      <c r="F156">
        <v>650</v>
      </c>
      <c r="G156" s="136">
        <f t="shared" si="11"/>
        <v>4305.603000000001</v>
      </c>
      <c r="H156" s="153">
        <f t="shared" si="12"/>
        <v>389</v>
      </c>
      <c r="J156" s="129">
        <f>'Sales Register'!L3347</f>
        <v>0.14831449414782749</v>
      </c>
      <c r="K156" s="282"/>
    </row>
    <row r="157" spans="1:11" x14ac:dyDescent="0.3">
      <c r="A157" s="1">
        <v>46207</v>
      </c>
      <c r="B157">
        <f t="shared" si="13"/>
        <v>4305.603000000001</v>
      </c>
      <c r="C157" s="135">
        <v>0</v>
      </c>
      <c r="D157">
        <v>10</v>
      </c>
      <c r="E157">
        <v>95</v>
      </c>
      <c r="F157">
        <v>0</v>
      </c>
      <c r="G157" s="136">
        <f t="shared" si="11"/>
        <v>4410.603000000001</v>
      </c>
      <c r="H157" s="153">
        <f t="shared" si="12"/>
        <v>105</v>
      </c>
      <c r="J157" s="129">
        <f>'Sales Register'!L3354</f>
        <v>0.15134920634920634</v>
      </c>
      <c r="K157" s="282"/>
    </row>
    <row r="158" spans="1:11" x14ac:dyDescent="0.3">
      <c r="A158" s="1">
        <v>46208</v>
      </c>
      <c r="B158">
        <f t="shared" si="13"/>
        <v>4410.603000000001</v>
      </c>
      <c r="C158">
        <f>'Sales Register'!I3386</f>
        <v>771.02499999999998</v>
      </c>
      <c r="D158">
        <v>0</v>
      </c>
      <c r="E158">
        <f>'Sales Register'!E3387</f>
        <v>206.82</v>
      </c>
      <c r="F158">
        <v>456</v>
      </c>
      <c r="G158" s="136">
        <f t="shared" si="11"/>
        <v>4932.4480000000003</v>
      </c>
      <c r="H158" s="153">
        <f t="shared" si="12"/>
        <v>977.84500000000003</v>
      </c>
      <c r="K158" s="282"/>
    </row>
    <row r="159" spans="1:11" x14ac:dyDescent="0.3">
      <c r="A159" s="1">
        <v>46209</v>
      </c>
      <c r="B159">
        <f t="shared" si="13"/>
        <v>4932.4480000000003</v>
      </c>
      <c r="C159" s="135">
        <v>735</v>
      </c>
      <c r="D159">
        <f>'Sales Register'!I3444</f>
        <v>1109.5999999999999</v>
      </c>
      <c r="E159">
        <v>0</v>
      </c>
      <c r="F159">
        <v>0</v>
      </c>
      <c r="G159" s="136">
        <f t="shared" si="11"/>
        <v>6777.0480000000007</v>
      </c>
      <c r="H159" s="153">
        <f t="shared" si="12"/>
        <v>1844.6</v>
      </c>
      <c r="K159" s="282"/>
    </row>
    <row r="160" spans="1:11" x14ac:dyDescent="0.3">
      <c r="A160" s="1">
        <v>46210</v>
      </c>
      <c r="B160">
        <f t="shared" si="13"/>
        <v>6777.0480000000007</v>
      </c>
      <c r="C160" s="135">
        <v>0</v>
      </c>
      <c r="D160">
        <f>'Sales Register'!I3480</f>
        <v>989.96</v>
      </c>
      <c r="E160">
        <f>'Sales Register'!E3481</f>
        <v>185</v>
      </c>
      <c r="F160">
        <f>'Purchase Register'!H739</f>
        <v>2291</v>
      </c>
      <c r="G160" s="136">
        <f t="shared" si="11"/>
        <v>5661.0080000000007</v>
      </c>
      <c r="H160" s="153">
        <f t="shared" si="12"/>
        <v>1174.96</v>
      </c>
      <c r="K160" s="282"/>
    </row>
    <row r="161" spans="1:11" x14ac:dyDescent="0.3">
      <c r="A161" s="1">
        <v>46211</v>
      </c>
      <c r="B161">
        <f t="shared" si="13"/>
        <v>5661.0080000000007</v>
      </c>
      <c r="C161" s="135">
        <v>0</v>
      </c>
      <c r="D161">
        <f>'Sales Register'!I3531</f>
        <v>649.99599999999998</v>
      </c>
      <c r="E161">
        <f>'Sales Register'!E3532</f>
        <v>577</v>
      </c>
      <c r="F161">
        <v>610</v>
      </c>
      <c r="G161" s="136">
        <f t="shared" si="11"/>
        <v>6278.0040000000008</v>
      </c>
      <c r="H161" s="153">
        <f t="shared" si="12"/>
        <v>1226.9960000000001</v>
      </c>
      <c r="K161" s="282"/>
    </row>
    <row r="162" spans="1:11" x14ac:dyDescent="0.3">
      <c r="A162" s="1">
        <v>46212</v>
      </c>
      <c r="B162">
        <f t="shared" si="13"/>
        <v>6278.0040000000008</v>
      </c>
      <c r="C162" s="135">
        <v>0</v>
      </c>
      <c r="D162">
        <f>'Sales Register'!I3549</f>
        <v>295.15199999999999</v>
      </c>
      <c r="E162">
        <f>'Sales Register'!E3550</f>
        <v>1424.8</v>
      </c>
      <c r="F162">
        <v>2800</v>
      </c>
      <c r="G162" s="136">
        <f t="shared" si="11"/>
        <v>5197.956000000001</v>
      </c>
      <c r="H162" s="153">
        <f t="shared" si="12"/>
        <v>1719.952</v>
      </c>
      <c r="K162" s="282"/>
    </row>
    <row r="163" spans="1:11" x14ac:dyDescent="0.3">
      <c r="A163" s="1">
        <v>46213</v>
      </c>
      <c r="B163">
        <f t="shared" si="13"/>
        <v>5197.956000000001</v>
      </c>
      <c r="C163" s="135">
        <v>0</v>
      </c>
      <c r="D163">
        <f>'Sales Register'!I3584</f>
        <v>603.99599999999998</v>
      </c>
      <c r="E163">
        <f>'Sales Register'!E3585</f>
        <v>1913.92</v>
      </c>
      <c r="F163">
        <v>0</v>
      </c>
      <c r="G163" s="136">
        <f t="shared" si="11"/>
        <v>7715.8720000000012</v>
      </c>
      <c r="H163" s="153">
        <f t="shared" si="12"/>
        <v>2517.9160000000002</v>
      </c>
      <c r="K163" s="282"/>
    </row>
    <row r="164" spans="1:11" x14ac:dyDescent="0.3">
      <c r="A164" s="1">
        <v>46214</v>
      </c>
      <c r="B164">
        <f t="shared" si="13"/>
        <v>7715.8720000000012</v>
      </c>
      <c r="C164" s="135">
        <v>0</v>
      </c>
      <c r="D164">
        <f>'Sales Register'!I3619</f>
        <v>849.5</v>
      </c>
      <c r="E164">
        <f>'Sales Register'!E3620</f>
        <v>150</v>
      </c>
      <c r="F164">
        <v>250</v>
      </c>
      <c r="G164" s="136">
        <f t="shared" si="11"/>
        <v>8465.3720000000012</v>
      </c>
      <c r="H164" s="153">
        <f t="shared" si="12"/>
        <v>999.5</v>
      </c>
      <c r="K164" s="282"/>
    </row>
    <row r="165" spans="1:11" x14ac:dyDescent="0.3">
      <c r="A165" s="1">
        <v>46215</v>
      </c>
      <c r="B165">
        <f t="shared" si="13"/>
        <v>8465.3720000000012</v>
      </c>
      <c r="C165" s="135">
        <v>0</v>
      </c>
      <c r="D165">
        <f>'Sales Register'!I3631</f>
        <v>826.5</v>
      </c>
      <c r="E165">
        <f>'Sales Register'!E3632</f>
        <v>0</v>
      </c>
      <c r="F165">
        <v>16722</v>
      </c>
      <c r="G165" s="136">
        <f t="shared" si="11"/>
        <v>-7430.1279999999988</v>
      </c>
      <c r="H165" s="153">
        <f t="shared" si="12"/>
        <v>826.5</v>
      </c>
      <c r="K165" s="282"/>
    </row>
    <row r="166" spans="1:11" x14ac:dyDescent="0.3">
      <c r="A166" s="1">
        <v>46216</v>
      </c>
      <c r="B166">
        <f t="shared" si="13"/>
        <v>-7430.1279999999988</v>
      </c>
      <c r="C166" s="135">
        <v>0</v>
      </c>
      <c r="D166">
        <v>0</v>
      </c>
      <c r="E166">
        <v>0</v>
      </c>
      <c r="F166">
        <v>0</v>
      </c>
      <c r="G166" s="136">
        <f t="shared" si="11"/>
        <v>-7430.1279999999988</v>
      </c>
      <c r="H166" s="153">
        <f t="shared" si="12"/>
        <v>0</v>
      </c>
      <c r="K166" s="282"/>
    </row>
    <row r="167" spans="1:11" x14ac:dyDescent="0.3">
      <c r="A167" s="1">
        <v>46217</v>
      </c>
      <c r="B167">
        <f t="shared" si="13"/>
        <v>-7430.1279999999988</v>
      </c>
      <c r="C167" s="135">
        <v>0</v>
      </c>
      <c r="D167">
        <f>'Sales Register'!I3661</f>
        <v>843.5</v>
      </c>
      <c r="E167">
        <f>'Sales Register'!E3662</f>
        <v>3257.5</v>
      </c>
      <c r="F167">
        <v>0</v>
      </c>
      <c r="G167" s="136">
        <f t="shared" si="11"/>
        <v>-3329.1279999999988</v>
      </c>
      <c r="H167" s="153">
        <f t="shared" si="12"/>
        <v>4101</v>
      </c>
      <c r="K167" s="282"/>
    </row>
    <row r="168" spans="1:11" x14ac:dyDescent="0.3">
      <c r="A168" s="1">
        <v>46218</v>
      </c>
      <c r="B168">
        <f t="shared" si="13"/>
        <v>-3329.1279999999988</v>
      </c>
      <c r="C168" s="135">
        <v>0</v>
      </c>
      <c r="D168">
        <f>'Sales Register'!I3678</f>
        <v>222.02</v>
      </c>
      <c r="E168">
        <f>'Sales Register'!E3679</f>
        <v>105</v>
      </c>
      <c r="F168">
        <v>0</v>
      </c>
      <c r="G168" s="136">
        <f t="shared" si="11"/>
        <v>-3002.1079999999988</v>
      </c>
      <c r="H168" s="153">
        <f t="shared" si="12"/>
        <v>327.02</v>
      </c>
      <c r="K168" s="282"/>
    </row>
    <row r="169" spans="1:11" x14ac:dyDescent="0.3">
      <c r="A169" s="1">
        <v>46219</v>
      </c>
      <c r="B169">
        <f t="shared" si="13"/>
        <v>-3002.1079999999988</v>
      </c>
      <c r="C169" s="135">
        <v>0</v>
      </c>
      <c r="D169">
        <v>0</v>
      </c>
      <c r="E169">
        <v>0</v>
      </c>
      <c r="F169">
        <v>0</v>
      </c>
      <c r="G169" s="136">
        <f t="shared" si="11"/>
        <v>-3002.1079999999988</v>
      </c>
      <c r="H169" s="153">
        <f t="shared" si="12"/>
        <v>0</v>
      </c>
      <c r="K169" s="282"/>
    </row>
    <row r="170" spans="1:11" x14ac:dyDescent="0.3">
      <c r="A170" s="1">
        <v>46220</v>
      </c>
      <c r="B170">
        <f t="shared" si="13"/>
        <v>-3002.1079999999988</v>
      </c>
      <c r="C170" s="135">
        <v>0</v>
      </c>
      <c r="D170">
        <v>750</v>
      </c>
      <c r="G170" s="136">
        <f t="shared" si="11"/>
        <v>-2252.1079999999988</v>
      </c>
      <c r="H170" s="153">
        <f t="shared" si="12"/>
        <v>750</v>
      </c>
      <c r="K170" s="282"/>
    </row>
    <row r="171" spans="1:11" x14ac:dyDescent="0.3">
      <c r="A171" s="1">
        <v>46221</v>
      </c>
      <c r="B171">
        <f t="shared" si="13"/>
        <v>-2252.1079999999988</v>
      </c>
      <c r="C171" s="135">
        <v>0</v>
      </c>
      <c r="D171">
        <f>'Sales Register'!I3744</f>
        <v>676.7</v>
      </c>
      <c r="E171">
        <f>'Sales Register'!E3745</f>
        <v>183.2</v>
      </c>
      <c r="G171" s="136">
        <f t="shared" si="11"/>
        <v>-1392.2079999999987</v>
      </c>
      <c r="H171" s="153">
        <f t="shared" si="12"/>
        <v>859.90000000000009</v>
      </c>
      <c r="K171" s="282"/>
    </row>
    <row r="172" spans="1:11" x14ac:dyDescent="0.3">
      <c r="A172" s="1">
        <v>46222</v>
      </c>
      <c r="B172">
        <f t="shared" si="13"/>
        <v>-1392.2079999999987</v>
      </c>
      <c r="C172" s="135">
        <v>0</v>
      </c>
      <c r="D172">
        <f>'Sales Register'!I3782</f>
        <v>1279.5</v>
      </c>
      <c r="E172">
        <f>'Sales Register'!E3783</f>
        <v>105.2</v>
      </c>
      <c r="F172">
        <v>360</v>
      </c>
      <c r="G172" s="136">
        <f t="shared" si="11"/>
        <v>-367.50799999999873</v>
      </c>
      <c r="H172" s="153">
        <f t="shared" si="12"/>
        <v>1384.7</v>
      </c>
      <c r="K172" s="282"/>
    </row>
    <row r="173" spans="1:11" x14ac:dyDescent="0.3">
      <c r="A173" s="1">
        <v>46223</v>
      </c>
      <c r="B173">
        <f t="shared" si="13"/>
        <v>-367.50799999999873</v>
      </c>
      <c r="C173" s="135">
        <v>0</v>
      </c>
      <c r="D173">
        <f>'Sales Register'!I3824</f>
        <v>519.75</v>
      </c>
      <c r="E173">
        <f>'Sales Register'!E3825</f>
        <v>196.55</v>
      </c>
      <c r="G173" s="136">
        <f t="shared" si="11"/>
        <v>348.79200000000128</v>
      </c>
      <c r="H173" s="153">
        <f t="shared" si="12"/>
        <v>716.3</v>
      </c>
      <c r="K173" s="282"/>
    </row>
    <row r="174" spans="1:11" x14ac:dyDescent="0.3">
      <c r="A174" s="1">
        <v>46224</v>
      </c>
      <c r="B174">
        <f t="shared" si="13"/>
        <v>348.79200000000128</v>
      </c>
      <c r="C174" s="135">
        <v>0</v>
      </c>
      <c r="F174">
        <v>1080</v>
      </c>
      <c r="G174" s="136">
        <f t="shared" si="11"/>
        <v>-731.20799999999872</v>
      </c>
      <c r="H174" s="153">
        <f t="shared" si="12"/>
        <v>0</v>
      </c>
      <c r="K174" s="282"/>
    </row>
    <row r="175" spans="1:11" x14ac:dyDescent="0.3">
      <c r="A175" s="1">
        <v>46225</v>
      </c>
      <c r="B175">
        <f t="shared" si="13"/>
        <v>-731.20799999999872</v>
      </c>
      <c r="C175" s="135">
        <v>0</v>
      </c>
      <c r="D175">
        <f>'Sales Register'!I3867</f>
        <v>1286.4499999999998</v>
      </c>
      <c r="G175" s="136">
        <f t="shared" si="11"/>
        <v>555.2420000000011</v>
      </c>
      <c r="H175" s="153">
        <f t="shared" si="12"/>
        <v>1286.4499999999998</v>
      </c>
      <c r="K175" s="282"/>
    </row>
    <row r="176" spans="1:11" x14ac:dyDescent="0.3">
      <c r="A176" s="1">
        <v>46226</v>
      </c>
      <c r="B176">
        <f t="shared" si="13"/>
        <v>555.2420000000011</v>
      </c>
      <c r="C176" s="135">
        <v>0</v>
      </c>
      <c r="G176" s="136">
        <f t="shared" si="11"/>
        <v>555.2420000000011</v>
      </c>
      <c r="H176" s="153">
        <f t="shared" si="12"/>
        <v>0</v>
      </c>
      <c r="K176" s="282"/>
    </row>
    <row r="177" spans="1:15" x14ac:dyDescent="0.3">
      <c r="A177" s="1">
        <v>46227</v>
      </c>
      <c r="B177">
        <f t="shared" si="13"/>
        <v>555.2420000000011</v>
      </c>
      <c r="C177" s="135">
        <v>0</v>
      </c>
      <c r="G177" s="136">
        <f t="shared" si="11"/>
        <v>555.2420000000011</v>
      </c>
      <c r="H177" s="153">
        <f t="shared" si="12"/>
        <v>0</v>
      </c>
      <c r="K177" s="282"/>
    </row>
    <row r="178" spans="1:15" x14ac:dyDescent="0.3">
      <c r="A178" s="1">
        <v>46228</v>
      </c>
      <c r="B178">
        <f t="shared" si="13"/>
        <v>555.2420000000011</v>
      </c>
      <c r="C178" s="135">
        <v>0</v>
      </c>
      <c r="D178">
        <f>'Sales Register'!I3907</f>
        <v>1082.425</v>
      </c>
      <c r="E178">
        <f>'Sales Register'!E3908</f>
        <v>120</v>
      </c>
      <c r="F178">
        <v>1090</v>
      </c>
      <c r="G178" s="136">
        <f t="shared" si="11"/>
        <v>667.66700000000105</v>
      </c>
      <c r="H178" s="153">
        <f t="shared" si="12"/>
        <v>1202.425</v>
      </c>
      <c r="K178" s="282"/>
    </row>
    <row r="179" spans="1:15" x14ac:dyDescent="0.3">
      <c r="A179" s="1">
        <v>46229</v>
      </c>
      <c r="B179">
        <f t="shared" si="13"/>
        <v>667.66700000000105</v>
      </c>
      <c r="C179" s="135">
        <v>0</v>
      </c>
      <c r="D179">
        <f>'Sales Register'!I3953</f>
        <v>1220.9250000000002</v>
      </c>
      <c r="E179">
        <f>'Sales Register'!E3954</f>
        <v>110</v>
      </c>
      <c r="G179" s="136">
        <f t="shared" si="11"/>
        <v>1998.5920000000012</v>
      </c>
      <c r="H179" s="153">
        <f t="shared" si="12"/>
        <v>1330.9250000000002</v>
      </c>
      <c r="K179" s="282"/>
    </row>
    <row r="180" spans="1:15" x14ac:dyDescent="0.3">
      <c r="A180" s="1">
        <v>46230</v>
      </c>
      <c r="B180">
        <f t="shared" si="13"/>
        <v>1998.5920000000012</v>
      </c>
      <c r="C180" s="135">
        <v>0</v>
      </c>
      <c r="F180">
        <v>4805</v>
      </c>
      <c r="G180" s="136">
        <f t="shared" si="11"/>
        <v>-2806.4079999999985</v>
      </c>
      <c r="H180" s="153">
        <f t="shared" si="12"/>
        <v>0</v>
      </c>
      <c r="K180" s="282"/>
    </row>
    <row r="181" spans="1:15" x14ac:dyDescent="0.3">
      <c r="A181" s="1">
        <v>46231</v>
      </c>
      <c r="B181">
        <f t="shared" si="13"/>
        <v>-2806.4079999999985</v>
      </c>
      <c r="C181" s="135">
        <v>0</v>
      </c>
      <c r="D181">
        <f>'Sales Register'!I3987</f>
        <v>1810.15</v>
      </c>
      <c r="G181" s="136">
        <f t="shared" si="11"/>
        <v>-996.25799999999845</v>
      </c>
      <c r="H181" s="153">
        <f t="shared" si="12"/>
        <v>1810.15</v>
      </c>
      <c r="K181" s="282"/>
    </row>
    <row r="182" spans="1:15" x14ac:dyDescent="0.3">
      <c r="A182" s="1">
        <v>46232</v>
      </c>
      <c r="B182">
        <f t="shared" si="13"/>
        <v>-996.25799999999845</v>
      </c>
      <c r="C182" s="135">
        <v>0</v>
      </c>
      <c r="G182" s="136">
        <f t="shared" si="11"/>
        <v>-996.25799999999845</v>
      </c>
      <c r="H182" s="153">
        <f t="shared" si="12"/>
        <v>0</v>
      </c>
      <c r="K182" s="282"/>
    </row>
    <row r="183" spans="1:15" x14ac:dyDescent="0.3">
      <c r="A183" s="1">
        <v>46233</v>
      </c>
      <c r="B183">
        <f t="shared" si="13"/>
        <v>-996.25799999999845</v>
      </c>
      <c r="C183" s="135">
        <v>0</v>
      </c>
      <c r="G183" s="136">
        <f t="shared" si="11"/>
        <v>-996.25799999999845</v>
      </c>
      <c r="H183" s="153">
        <f t="shared" si="12"/>
        <v>0</v>
      </c>
      <c r="K183" s="282"/>
    </row>
    <row r="184" spans="1:15" x14ac:dyDescent="0.3">
      <c r="A184" s="1">
        <v>46234</v>
      </c>
      <c r="B184">
        <f t="shared" si="13"/>
        <v>-996.25799999999845</v>
      </c>
      <c r="C184" s="135">
        <v>0</v>
      </c>
      <c r="D184">
        <f>'Sales Register'!I4009</f>
        <v>677.8</v>
      </c>
      <c r="G184" s="136">
        <f t="shared" si="11"/>
        <v>-318.45799999999849</v>
      </c>
      <c r="H184" s="153">
        <f t="shared" si="12"/>
        <v>677.8</v>
      </c>
      <c r="K184" s="282"/>
    </row>
    <row r="185" spans="1:15" ht="18.75" customHeight="1" x14ac:dyDescent="0.3">
      <c r="A185" s="1">
        <v>46235</v>
      </c>
      <c r="B185" s="135">
        <f>G184</f>
        <v>-318.45799999999849</v>
      </c>
      <c r="C185" s="135">
        <v>0</v>
      </c>
      <c r="D185">
        <v>1338</v>
      </c>
      <c r="E185">
        <v>204</v>
      </c>
      <c r="F185">
        <v>2456</v>
      </c>
      <c r="G185" s="136">
        <f t="shared" si="11"/>
        <v>-1232.4579999999985</v>
      </c>
      <c r="H185" s="153">
        <f t="shared" si="12"/>
        <v>1542</v>
      </c>
      <c r="K185" s="283">
        <f>COUNTIFS(H185:H215, "&lt;=4000", H184:H214, "&gt;2500")</f>
        <v>6</v>
      </c>
      <c r="L185" s="284">
        <f>COUNTIFS(H185:H215, "&lt;=2500", H184:H214, "&gt;1500")</f>
        <v>14</v>
      </c>
      <c r="M185" s="284"/>
      <c r="N185" s="208"/>
      <c r="O185" s="208"/>
    </row>
    <row r="186" spans="1:15" ht="18.75" customHeight="1" x14ac:dyDescent="0.3">
      <c r="A186" s="1">
        <v>46236</v>
      </c>
      <c r="B186" s="135">
        <f t="shared" ref="B186:B245" si="14">G185</f>
        <v>-1232.4579999999985</v>
      </c>
      <c r="C186" s="135">
        <v>0</v>
      </c>
      <c r="D186">
        <v>751</v>
      </c>
      <c r="E186">
        <v>428</v>
      </c>
      <c r="G186" s="136">
        <f t="shared" si="11"/>
        <v>-53.457999999998492</v>
      </c>
      <c r="H186" s="153">
        <f t="shared" si="12"/>
        <v>1179</v>
      </c>
      <c r="K186" s="283"/>
      <c r="L186" s="284"/>
      <c r="M186" s="284"/>
      <c r="N186" s="208"/>
      <c r="O186" s="208"/>
    </row>
    <row r="187" spans="1:15" ht="18.75" customHeight="1" x14ac:dyDescent="0.3">
      <c r="A187" s="1">
        <v>46237</v>
      </c>
      <c r="B187" s="135">
        <f t="shared" si="14"/>
        <v>-53.457999999998492</v>
      </c>
      <c r="C187" s="135">
        <v>0</v>
      </c>
      <c r="D187">
        <v>927</v>
      </c>
      <c r="E187">
        <v>1059</v>
      </c>
      <c r="G187" s="136">
        <f t="shared" si="11"/>
        <v>1932.5420000000015</v>
      </c>
      <c r="H187" s="153">
        <f t="shared" si="12"/>
        <v>1986</v>
      </c>
      <c r="K187" s="283"/>
      <c r="L187" s="284"/>
      <c r="M187" s="284"/>
      <c r="N187" s="208"/>
      <c r="O187" s="208"/>
    </row>
    <row r="188" spans="1:15" ht="18.75" customHeight="1" x14ac:dyDescent="0.3">
      <c r="A188" s="1">
        <v>46238</v>
      </c>
      <c r="B188" s="135">
        <f t="shared" si="14"/>
        <v>1932.5420000000015</v>
      </c>
      <c r="C188" s="135">
        <v>0</v>
      </c>
      <c r="D188">
        <v>874</v>
      </c>
      <c r="E188">
        <v>30</v>
      </c>
      <c r="G188" s="136">
        <f t="shared" si="11"/>
        <v>2836.5420000000013</v>
      </c>
      <c r="H188" s="153">
        <f t="shared" si="12"/>
        <v>904</v>
      </c>
      <c r="K188" s="283"/>
      <c r="L188" s="284"/>
      <c r="M188" s="284"/>
      <c r="N188" s="208"/>
      <c r="O188" s="208"/>
    </row>
    <row r="189" spans="1:15" ht="18.75" customHeight="1" x14ac:dyDescent="0.3">
      <c r="A189" s="1">
        <v>46239</v>
      </c>
      <c r="B189" s="135">
        <f t="shared" si="14"/>
        <v>2836.5420000000013</v>
      </c>
      <c r="C189" s="135">
        <v>0</v>
      </c>
      <c r="D189">
        <v>610</v>
      </c>
      <c r="E189">
        <v>353</v>
      </c>
      <c r="G189" s="136">
        <f t="shared" si="11"/>
        <v>3799.5420000000013</v>
      </c>
      <c r="H189" s="153">
        <f t="shared" si="12"/>
        <v>963</v>
      </c>
      <c r="K189" s="283"/>
      <c r="L189" s="284"/>
      <c r="M189" s="284"/>
      <c r="N189" s="208"/>
      <c r="O189" s="208"/>
    </row>
    <row r="190" spans="1:15" ht="18.75" customHeight="1" x14ac:dyDescent="0.3">
      <c r="A190" s="1">
        <v>46240</v>
      </c>
      <c r="B190" s="135">
        <f t="shared" si="14"/>
        <v>3799.5420000000013</v>
      </c>
      <c r="C190" s="135">
        <v>0</v>
      </c>
      <c r="D190">
        <v>1174</v>
      </c>
      <c r="E190">
        <v>445</v>
      </c>
      <c r="G190" s="136">
        <f t="shared" si="11"/>
        <v>5418.5420000000013</v>
      </c>
      <c r="H190" s="153">
        <f t="shared" si="12"/>
        <v>1619</v>
      </c>
      <c r="K190" s="283"/>
      <c r="L190" s="284"/>
      <c r="M190" s="284"/>
      <c r="N190" s="208"/>
      <c r="O190" s="208"/>
    </row>
    <row r="191" spans="1:15" ht="18.75" customHeight="1" x14ac:dyDescent="0.3">
      <c r="A191" s="1">
        <v>46241</v>
      </c>
      <c r="B191" s="135">
        <f t="shared" si="14"/>
        <v>5418.5420000000013</v>
      </c>
      <c r="C191" s="135">
        <v>0</v>
      </c>
      <c r="D191">
        <v>870</v>
      </c>
      <c r="E191">
        <v>175</v>
      </c>
      <c r="G191" s="136">
        <f t="shared" si="11"/>
        <v>6463.5420000000013</v>
      </c>
      <c r="H191" s="153">
        <f t="shared" si="12"/>
        <v>1045</v>
      </c>
      <c r="K191" s="283"/>
      <c r="L191" s="284"/>
      <c r="M191" s="284"/>
      <c r="N191" s="208"/>
      <c r="O191" s="208"/>
    </row>
    <row r="192" spans="1:15" ht="18.75" customHeight="1" x14ac:dyDescent="0.3">
      <c r="A192" s="1">
        <v>46242</v>
      </c>
      <c r="B192" s="135">
        <f t="shared" si="14"/>
        <v>6463.5420000000013</v>
      </c>
      <c r="C192" s="135">
        <v>787</v>
      </c>
      <c r="D192">
        <v>2235</v>
      </c>
      <c r="E192">
        <v>675</v>
      </c>
      <c r="F192">
        <v>8437</v>
      </c>
      <c r="G192" s="136">
        <f t="shared" si="11"/>
        <v>1723.5420000000013</v>
      </c>
      <c r="H192" s="153">
        <f t="shared" si="12"/>
        <v>3697</v>
      </c>
      <c r="K192" s="283"/>
      <c r="L192" s="284"/>
      <c r="M192" s="284"/>
      <c r="N192" s="208"/>
      <c r="O192" s="208"/>
    </row>
    <row r="193" spans="1:15" ht="18.75" customHeight="1" x14ac:dyDescent="0.3">
      <c r="A193" s="1">
        <v>46243</v>
      </c>
      <c r="B193" s="135">
        <f t="shared" si="14"/>
        <v>1723.5420000000013</v>
      </c>
      <c r="C193" s="135">
        <v>608</v>
      </c>
      <c r="D193">
        <f>'Sales Register'!I4573</f>
        <v>1364.54</v>
      </c>
      <c r="E193">
        <f>'Sales Register'!E4575</f>
        <v>402</v>
      </c>
      <c r="G193" s="136">
        <f t="shared" si="11"/>
        <v>4098.0820000000012</v>
      </c>
      <c r="H193" s="153">
        <f t="shared" si="12"/>
        <v>2374.54</v>
      </c>
      <c r="K193" s="283"/>
      <c r="L193" s="284"/>
      <c r="M193" s="284"/>
      <c r="N193" s="208"/>
      <c r="O193" s="208"/>
    </row>
    <row r="194" spans="1:15" ht="18.75" customHeight="1" x14ac:dyDescent="0.3">
      <c r="A194" s="1">
        <v>46244</v>
      </c>
      <c r="B194" s="135">
        <f t="shared" si="14"/>
        <v>4098.0820000000012</v>
      </c>
      <c r="C194" s="135">
        <v>1074</v>
      </c>
      <c r="D194">
        <f>'Sales Register'!I4679</f>
        <v>760.4</v>
      </c>
      <c r="E194">
        <f>'Sales Register'!E4681</f>
        <v>557.04</v>
      </c>
      <c r="F194">
        <v>5087</v>
      </c>
      <c r="G194" s="136">
        <f t="shared" si="11"/>
        <v>1402.5220000000008</v>
      </c>
      <c r="H194" s="153">
        <f t="shared" si="12"/>
        <v>2391.44</v>
      </c>
      <c r="K194" s="283"/>
      <c r="L194" s="284"/>
      <c r="M194" s="284"/>
      <c r="N194" s="208"/>
      <c r="O194" s="208"/>
    </row>
    <row r="195" spans="1:15" ht="18.75" customHeight="1" x14ac:dyDescent="0.3">
      <c r="A195" s="1">
        <v>46245</v>
      </c>
      <c r="B195" s="135">
        <f t="shared" si="14"/>
        <v>1402.5220000000008</v>
      </c>
      <c r="C195">
        <f>'Sales Register'!I4710</f>
        <v>825.75</v>
      </c>
      <c r="D195">
        <f>'Sales Register'!I4755</f>
        <v>2234.62</v>
      </c>
      <c r="E195">
        <f>'Sales Register'!E4757</f>
        <v>179.4</v>
      </c>
      <c r="G195" s="136">
        <f t="shared" si="11"/>
        <v>4642.2920000000004</v>
      </c>
      <c r="H195" s="153">
        <f t="shared" si="12"/>
        <v>3239.77</v>
      </c>
      <c r="K195" s="283"/>
      <c r="L195" s="284"/>
      <c r="M195" s="284"/>
      <c r="N195" s="208"/>
      <c r="O195" s="208"/>
    </row>
    <row r="196" spans="1:15" ht="18.75" customHeight="1" x14ac:dyDescent="0.3">
      <c r="A196" s="1">
        <v>46246</v>
      </c>
      <c r="B196" s="135">
        <f t="shared" si="14"/>
        <v>4642.2920000000004</v>
      </c>
      <c r="C196" s="135">
        <v>969</v>
      </c>
      <c r="D196">
        <v>50</v>
      </c>
      <c r="E196">
        <v>85</v>
      </c>
      <c r="G196" s="136">
        <f t="shared" si="11"/>
        <v>5746.2920000000004</v>
      </c>
      <c r="H196" s="153">
        <f t="shared" si="12"/>
        <v>1104</v>
      </c>
      <c r="K196" s="283"/>
      <c r="L196" s="284"/>
      <c r="M196" s="284"/>
      <c r="N196" s="208"/>
      <c r="O196" s="208"/>
    </row>
    <row r="197" spans="1:15" ht="18.75" customHeight="1" x14ac:dyDescent="0.3">
      <c r="A197" s="1">
        <v>46247</v>
      </c>
      <c r="B197" s="135">
        <f t="shared" si="14"/>
        <v>5746.2920000000004</v>
      </c>
      <c r="C197" s="135">
        <v>422</v>
      </c>
      <c r="D197">
        <v>495</v>
      </c>
      <c r="E197">
        <v>25</v>
      </c>
      <c r="F197">
        <v>1979</v>
      </c>
      <c r="G197" s="136">
        <f t="shared" si="11"/>
        <v>4709.2920000000004</v>
      </c>
      <c r="H197" s="153">
        <f t="shared" si="12"/>
        <v>942</v>
      </c>
      <c r="K197" s="283"/>
      <c r="L197" s="284"/>
      <c r="M197" s="284"/>
      <c r="N197" s="208"/>
      <c r="O197" s="208"/>
    </row>
    <row r="198" spans="1:15" ht="18.75" customHeight="1" x14ac:dyDescent="0.3">
      <c r="A198" s="1">
        <v>46248</v>
      </c>
      <c r="B198" s="135">
        <f t="shared" si="14"/>
        <v>4709.2920000000004</v>
      </c>
      <c r="C198">
        <f>'Sales Register'!I4897</f>
        <v>507.7</v>
      </c>
      <c r="D198">
        <f>'Sales Register'!I4946</f>
        <v>819</v>
      </c>
      <c r="E198">
        <f>'Sales Register'!E4948</f>
        <v>575</v>
      </c>
      <c r="G198" s="136">
        <f t="shared" si="11"/>
        <v>6610.9920000000002</v>
      </c>
      <c r="H198" s="153">
        <f t="shared" si="12"/>
        <v>1901.7</v>
      </c>
      <c r="K198" s="283"/>
      <c r="L198" s="284"/>
      <c r="M198" s="284"/>
      <c r="N198" s="208"/>
      <c r="O198" s="208"/>
    </row>
    <row r="199" spans="1:15" ht="18.75" customHeight="1" x14ac:dyDescent="0.3">
      <c r="A199" s="1">
        <v>46249</v>
      </c>
      <c r="B199" s="135">
        <f t="shared" si="14"/>
        <v>6610.9920000000002</v>
      </c>
      <c r="C199">
        <f>'Sales Register'!I4998</f>
        <v>1370</v>
      </c>
      <c r="D199">
        <f>'Sales Register'!I5024</f>
        <v>822.5</v>
      </c>
      <c r="E199">
        <f>'Sales Register'!E5026</f>
        <v>846.5</v>
      </c>
      <c r="G199" s="136">
        <f t="shared" si="11"/>
        <v>9649.9920000000002</v>
      </c>
      <c r="H199" s="153">
        <f t="shared" si="12"/>
        <v>3039</v>
      </c>
      <c r="K199" s="283"/>
      <c r="L199" s="284"/>
      <c r="M199" s="284"/>
      <c r="N199" s="208"/>
      <c r="O199" s="208"/>
    </row>
    <row r="200" spans="1:15" ht="18.75" customHeight="1" x14ac:dyDescent="0.3">
      <c r="A200" s="1">
        <v>46250</v>
      </c>
      <c r="B200" s="135">
        <f t="shared" si="14"/>
        <v>9649.9920000000002</v>
      </c>
      <c r="C200">
        <v>0</v>
      </c>
      <c r="D200">
        <f>'Sales Register'!I5091</f>
        <v>1087.17</v>
      </c>
      <c r="E200">
        <f>'Sales Register'!E5092</f>
        <v>120</v>
      </c>
      <c r="G200" s="136">
        <f t="shared" si="11"/>
        <v>10857.162</v>
      </c>
      <c r="H200" s="153">
        <f t="shared" si="12"/>
        <v>1207.17</v>
      </c>
      <c r="K200" s="283"/>
      <c r="L200" s="284"/>
      <c r="M200" s="284"/>
      <c r="N200" s="208"/>
      <c r="O200" s="208"/>
    </row>
    <row r="201" spans="1:15" ht="18.75" customHeight="1" x14ac:dyDescent="0.3">
      <c r="A201" s="1">
        <v>46251</v>
      </c>
      <c r="B201" s="135">
        <f t="shared" si="14"/>
        <v>10857.162</v>
      </c>
      <c r="C201">
        <f>'Sales Register'!I5141</f>
        <v>782.5</v>
      </c>
      <c r="D201">
        <f>'Sales Register'!I5168</f>
        <v>283.75</v>
      </c>
      <c r="E201">
        <f>'Sales Register'!E5170</f>
        <v>366</v>
      </c>
      <c r="G201" s="136">
        <f t="shared" si="11"/>
        <v>12289.412</v>
      </c>
      <c r="H201" s="153">
        <f t="shared" si="12"/>
        <v>1432.25</v>
      </c>
      <c r="K201" s="283"/>
      <c r="L201" s="284"/>
      <c r="M201" s="284"/>
      <c r="N201" s="208"/>
      <c r="O201" s="208"/>
    </row>
    <row r="202" spans="1:15" ht="18.75" customHeight="1" x14ac:dyDescent="0.3">
      <c r="A202" s="1">
        <v>46252</v>
      </c>
      <c r="B202" s="135">
        <f t="shared" si="14"/>
        <v>12289.412</v>
      </c>
      <c r="C202">
        <f>'Sales Register'!I5200</f>
        <v>691</v>
      </c>
      <c r="D202">
        <f>'Sales Register'!I5217</f>
        <v>268.2</v>
      </c>
      <c r="E202">
        <f>'Sales Register'!E5219</f>
        <v>50</v>
      </c>
      <c r="G202" s="136">
        <f t="shared" si="11"/>
        <v>13298.612000000001</v>
      </c>
      <c r="H202" s="153">
        <f t="shared" si="12"/>
        <v>1009.2</v>
      </c>
      <c r="K202" s="283"/>
      <c r="L202" s="284"/>
      <c r="M202" s="284"/>
      <c r="N202" s="208"/>
      <c r="O202" s="208"/>
    </row>
    <row r="203" spans="1:15" ht="18.75" customHeight="1" x14ac:dyDescent="0.3">
      <c r="A203" s="1">
        <v>46253</v>
      </c>
      <c r="B203" s="135">
        <f t="shared" si="14"/>
        <v>13298.612000000001</v>
      </c>
      <c r="C203">
        <f>'Sales Register'!I5244</f>
        <v>413</v>
      </c>
      <c r="D203">
        <f>'Sales Register'!I5299</f>
        <v>695.5</v>
      </c>
      <c r="E203">
        <f>'Sales Register'!E5301</f>
        <v>295.25</v>
      </c>
      <c r="G203" s="136">
        <f t="shared" si="11"/>
        <v>14702.362000000001</v>
      </c>
      <c r="H203" s="153">
        <f t="shared" si="12"/>
        <v>1403.75</v>
      </c>
      <c r="K203" s="283"/>
      <c r="L203" s="284"/>
      <c r="M203" s="284"/>
      <c r="N203" s="208"/>
      <c r="O203" s="208"/>
    </row>
    <row r="204" spans="1:15" ht="18.75" customHeight="1" x14ac:dyDescent="0.3">
      <c r="A204" s="1">
        <v>46254</v>
      </c>
      <c r="B204" s="135">
        <f t="shared" si="14"/>
        <v>14702.362000000001</v>
      </c>
      <c r="C204">
        <f>'Sales Register'!I5333</f>
        <v>635</v>
      </c>
      <c r="D204">
        <f>'Sales Register'!I5403</f>
        <v>1630.64</v>
      </c>
      <c r="E204">
        <f>'Sales Register'!E5405</f>
        <v>870.64</v>
      </c>
      <c r="G204" s="136">
        <f t="shared" ref="G204:G245" si="15">B204+C204+D204+E204-F204</f>
        <v>17838.642</v>
      </c>
      <c r="H204" s="153">
        <f t="shared" si="12"/>
        <v>3136.28</v>
      </c>
      <c r="K204" s="283"/>
      <c r="L204" s="284"/>
      <c r="M204" s="284"/>
      <c r="N204" s="208"/>
      <c r="O204" s="208"/>
    </row>
    <row r="205" spans="1:15" ht="18.75" customHeight="1" x14ac:dyDescent="0.3">
      <c r="A205" s="1">
        <v>46255</v>
      </c>
      <c r="B205" s="135">
        <f>G204</f>
        <v>17838.642</v>
      </c>
      <c r="C205">
        <f>'Sales Register'!I5457</f>
        <v>943.66</v>
      </c>
      <c r="D205">
        <f>'Sales Register'!I5514</f>
        <v>2366.5299999999997</v>
      </c>
      <c r="E205">
        <f>'Sales Register'!E5516</f>
        <v>600</v>
      </c>
      <c r="F205">
        <v>5139</v>
      </c>
      <c r="G205" s="136">
        <f t="shared" si="15"/>
        <v>16609.831999999999</v>
      </c>
      <c r="H205" s="153">
        <f t="shared" si="12"/>
        <v>3910.1899999999996</v>
      </c>
      <c r="K205" s="283"/>
      <c r="L205" s="284"/>
      <c r="M205" s="284"/>
      <c r="N205" s="208"/>
      <c r="O205" s="208"/>
    </row>
    <row r="206" spans="1:15" ht="18.75" customHeight="1" x14ac:dyDescent="0.3">
      <c r="A206" s="1">
        <v>46256</v>
      </c>
      <c r="B206" s="135">
        <f t="shared" si="14"/>
        <v>16609.831999999999</v>
      </c>
      <c r="C206">
        <v>1328</v>
      </c>
      <c r="D206">
        <v>941</v>
      </c>
      <c r="E206">
        <v>165</v>
      </c>
      <c r="G206" s="136">
        <f t="shared" si="15"/>
        <v>19043.831999999999</v>
      </c>
      <c r="H206" s="153">
        <f t="shared" si="12"/>
        <v>2434</v>
      </c>
      <c r="K206" s="283"/>
      <c r="L206" s="284"/>
      <c r="M206" s="284"/>
      <c r="N206" s="208"/>
      <c r="O206" s="208"/>
    </row>
    <row r="207" spans="1:15" ht="18.75" customHeight="1" x14ac:dyDescent="0.3">
      <c r="A207" s="1">
        <v>46257</v>
      </c>
      <c r="B207" s="135">
        <f t="shared" si="14"/>
        <v>19043.831999999999</v>
      </c>
      <c r="C207">
        <v>887</v>
      </c>
      <c r="E207">
        <v>105</v>
      </c>
      <c r="G207" s="136">
        <f t="shared" si="15"/>
        <v>20035.831999999999</v>
      </c>
      <c r="H207" s="153">
        <f t="shared" si="12"/>
        <v>992</v>
      </c>
      <c r="K207" s="283"/>
      <c r="L207" s="284"/>
      <c r="M207" s="284"/>
      <c r="N207" s="208"/>
      <c r="O207" s="208"/>
    </row>
    <row r="208" spans="1:15" ht="18.75" customHeight="1" x14ac:dyDescent="0.3">
      <c r="A208" s="1">
        <v>46258</v>
      </c>
      <c r="B208" s="135">
        <f t="shared" si="14"/>
        <v>20035.831999999999</v>
      </c>
      <c r="C208">
        <v>987</v>
      </c>
      <c r="D208">
        <v>622</v>
      </c>
      <c r="E208">
        <v>185</v>
      </c>
      <c r="G208" s="136">
        <f t="shared" si="15"/>
        <v>21829.831999999999</v>
      </c>
      <c r="H208" s="153">
        <f t="shared" si="12"/>
        <v>1794</v>
      </c>
      <c r="K208" s="283"/>
      <c r="L208" s="284"/>
      <c r="M208" s="284"/>
      <c r="N208" s="208"/>
      <c r="O208" s="208"/>
    </row>
    <row r="209" spans="1:15" ht="18.75" customHeight="1" x14ac:dyDescent="0.3">
      <c r="A209" s="1">
        <v>46259</v>
      </c>
      <c r="B209" s="135">
        <f t="shared" si="14"/>
        <v>21829.831999999999</v>
      </c>
      <c r="C209">
        <v>813</v>
      </c>
      <c r="D209">
        <v>353</v>
      </c>
      <c r="E209">
        <v>220</v>
      </c>
      <c r="G209" s="136">
        <f t="shared" si="15"/>
        <v>23215.831999999999</v>
      </c>
      <c r="H209" s="153">
        <f t="shared" si="12"/>
        <v>1386</v>
      </c>
      <c r="K209" s="283"/>
      <c r="L209" s="284"/>
      <c r="M209" s="284"/>
      <c r="N209" s="208"/>
      <c r="O209" s="208"/>
    </row>
    <row r="210" spans="1:15" ht="18.75" customHeight="1" x14ac:dyDescent="0.3">
      <c r="A210" s="1">
        <v>46260</v>
      </c>
      <c r="B210" s="135">
        <f t="shared" si="14"/>
        <v>23215.831999999999</v>
      </c>
      <c r="C210">
        <v>1108</v>
      </c>
      <c r="D210">
        <v>735</v>
      </c>
      <c r="E210">
        <v>392</v>
      </c>
      <c r="G210" s="136">
        <f t="shared" si="15"/>
        <v>25450.831999999999</v>
      </c>
      <c r="H210" s="153">
        <f t="shared" si="12"/>
        <v>2235</v>
      </c>
      <c r="K210" s="283"/>
      <c r="L210" s="284"/>
      <c r="M210" s="284"/>
      <c r="N210" s="208"/>
      <c r="O210" s="208"/>
    </row>
    <row r="211" spans="1:15" ht="18.75" customHeight="1" x14ac:dyDescent="0.3">
      <c r="A211" s="1">
        <v>46261</v>
      </c>
      <c r="B211" s="135">
        <f t="shared" si="14"/>
        <v>25450.831999999999</v>
      </c>
      <c r="C211">
        <v>872</v>
      </c>
      <c r="D211">
        <v>300</v>
      </c>
      <c r="E211">
        <v>371</v>
      </c>
      <c r="G211" s="136">
        <f t="shared" si="15"/>
        <v>26993.831999999999</v>
      </c>
      <c r="H211" s="153">
        <f t="shared" ref="H211:H245" si="16">C211+D211+E211</f>
        <v>1543</v>
      </c>
      <c r="K211" s="283"/>
      <c r="L211" s="284"/>
      <c r="M211" s="284"/>
      <c r="N211" s="208"/>
      <c r="O211" s="208"/>
    </row>
    <row r="212" spans="1:15" ht="18.75" customHeight="1" x14ac:dyDescent="0.3">
      <c r="A212" s="1">
        <v>46262</v>
      </c>
      <c r="B212" s="135">
        <f t="shared" si="14"/>
        <v>26993.831999999999</v>
      </c>
      <c r="C212">
        <v>1316</v>
      </c>
      <c r="D212">
        <v>700</v>
      </c>
      <c r="E212">
        <v>59</v>
      </c>
      <c r="G212" s="136">
        <f t="shared" si="15"/>
        <v>29068.831999999999</v>
      </c>
      <c r="H212" s="153">
        <f t="shared" si="16"/>
        <v>2075</v>
      </c>
      <c r="K212" s="283"/>
      <c r="L212" s="284"/>
      <c r="M212" s="284"/>
      <c r="N212" s="208"/>
      <c r="O212" s="208"/>
    </row>
    <row r="213" spans="1:15" ht="18.75" customHeight="1" x14ac:dyDescent="0.3">
      <c r="A213" s="1">
        <v>46263</v>
      </c>
      <c r="B213" s="135">
        <f t="shared" si="14"/>
        <v>29068.831999999999</v>
      </c>
      <c r="C213">
        <v>589</v>
      </c>
      <c r="D213">
        <v>594</v>
      </c>
      <c r="E213">
        <v>349</v>
      </c>
      <c r="F213">
        <v>7930</v>
      </c>
      <c r="G213" s="136">
        <f t="shared" si="15"/>
        <v>22670.831999999999</v>
      </c>
      <c r="H213" s="153">
        <f t="shared" si="16"/>
        <v>1532</v>
      </c>
      <c r="K213" s="283"/>
      <c r="L213" s="284"/>
      <c r="M213" s="284"/>
      <c r="N213" s="208"/>
      <c r="O213" s="208"/>
    </row>
    <row r="214" spans="1:15" ht="18.75" customHeight="1" x14ac:dyDescent="0.3">
      <c r="A214" s="1">
        <v>46264</v>
      </c>
      <c r="B214" s="135">
        <f t="shared" si="14"/>
        <v>22670.831999999999</v>
      </c>
      <c r="C214">
        <f>'Sales Register'!I6160</f>
        <v>1334.5</v>
      </c>
      <c r="D214">
        <f>'Sales Register'!I6203</f>
        <v>940</v>
      </c>
      <c r="E214">
        <f>'Sales Register'!E6205</f>
        <v>3769</v>
      </c>
      <c r="F214">
        <v>1843</v>
      </c>
      <c r="G214" s="136">
        <f t="shared" si="15"/>
        <v>26871.331999999999</v>
      </c>
      <c r="H214" s="153">
        <f t="shared" si="16"/>
        <v>6043.5</v>
      </c>
      <c r="K214" s="283"/>
      <c r="L214" s="284"/>
      <c r="M214" s="284"/>
      <c r="N214" s="208"/>
      <c r="O214" s="208"/>
    </row>
    <row r="215" spans="1:15" ht="18.75" customHeight="1" x14ac:dyDescent="0.3">
      <c r="A215" s="1">
        <v>46265</v>
      </c>
      <c r="B215" s="135">
        <f t="shared" si="14"/>
        <v>26871.331999999999</v>
      </c>
      <c r="C215">
        <f>'Sales Register'!I6232</f>
        <v>630.20000000000005</v>
      </c>
      <c r="D215">
        <f>'Sales Register'!I6276</f>
        <v>1308.52</v>
      </c>
      <c r="E215">
        <f>'Sales Register'!E6278</f>
        <v>387.59999999999997</v>
      </c>
      <c r="F215">
        <v>4077</v>
      </c>
      <c r="G215" s="136">
        <f t="shared" si="15"/>
        <v>25120.651999999998</v>
      </c>
      <c r="H215" s="153">
        <f t="shared" si="16"/>
        <v>2326.3200000000002</v>
      </c>
      <c r="K215" s="283"/>
      <c r="L215" s="284"/>
      <c r="M215" s="284"/>
      <c r="N215" s="208"/>
      <c r="O215" s="208"/>
    </row>
    <row r="216" spans="1:15" x14ac:dyDescent="0.3">
      <c r="A216" s="1">
        <v>46266</v>
      </c>
      <c r="B216" s="135">
        <f t="shared" si="14"/>
        <v>25120.651999999998</v>
      </c>
      <c r="C216">
        <v>557</v>
      </c>
      <c r="D216">
        <v>359</v>
      </c>
      <c r="E216">
        <v>483</v>
      </c>
      <c r="G216" s="136">
        <f t="shared" si="15"/>
        <v>26519.651999999998</v>
      </c>
      <c r="H216" s="153">
        <f t="shared" si="16"/>
        <v>1399</v>
      </c>
    </row>
    <row r="217" spans="1:15" x14ac:dyDescent="0.3">
      <c r="A217" s="1">
        <v>46267</v>
      </c>
      <c r="B217" s="135">
        <f t="shared" si="14"/>
        <v>26519.651999999998</v>
      </c>
      <c r="G217" s="136">
        <f t="shared" si="15"/>
        <v>26519.651999999998</v>
      </c>
      <c r="H217" s="153">
        <f t="shared" si="16"/>
        <v>0</v>
      </c>
    </row>
    <row r="218" spans="1:15" x14ac:dyDescent="0.3">
      <c r="A218" s="1">
        <v>46268</v>
      </c>
      <c r="B218" s="135">
        <f t="shared" si="14"/>
        <v>26519.651999999998</v>
      </c>
      <c r="G218" s="136">
        <f t="shared" si="15"/>
        <v>26519.651999999998</v>
      </c>
      <c r="H218" s="153">
        <f t="shared" si="16"/>
        <v>0</v>
      </c>
    </row>
    <row r="219" spans="1:15" x14ac:dyDescent="0.3">
      <c r="A219" s="1">
        <v>46269</v>
      </c>
      <c r="B219" s="135">
        <f t="shared" si="14"/>
        <v>26519.651999999998</v>
      </c>
      <c r="F219">
        <v>8156</v>
      </c>
      <c r="G219" s="136">
        <f t="shared" si="15"/>
        <v>18363.651999999998</v>
      </c>
      <c r="H219" s="153">
        <f t="shared" si="16"/>
        <v>0</v>
      </c>
    </row>
    <row r="220" spans="1:15" x14ac:dyDescent="0.3">
      <c r="A220" s="1">
        <v>46270</v>
      </c>
      <c r="B220" s="135">
        <f t="shared" si="14"/>
        <v>18363.651999999998</v>
      </c>
      <c r="F220">
        <v>880</v>
      </c>
      <c r="G220" s="136">
        <f>B220+C220+D220+E220-F220</f>
        <v>17483.651999999998</v>
      </c>
      <c r="H220" s="153">
        <f t="shared" si="16"/>
        <v>0</v>
      </c>
    </row>
    <row r="221" spans="1:15" x14ac:dyDescent="0.3">
      <c r="A221" s="1">
        <v>46271</v>
      </c>
      <c r="B221" s="135">
        <f t="shared" si="14"/>
        <v>17483.651999999998</v>
      </c>
      <c r="G221" s="136">
        <f>B221+C221+D221+E221-F221</f>
        <v>17483.651999999998</v>
      </c>
      <c r="H221" s="153">
        <f t="shared" si="16"/>
        <v>0</v>
      </c>
    </row>
    <row r="222" spans="1:15" x14ac:dyDescent="0.3">
      <c r="A222" s="1">
        <v>46272</v>
      </c>
      <c r="B222" s="135">
        <f t="shared" si="14"/>
        <v>17483.651999999998</v>
      </c>
      <c r="G222" s="136">
        <f t="shared" si="15"/>
        <v>17483.651999999998</v>
      </c>
      <c r="H222" s="153">
        <f t="shared" si="16"/>
        <v>0</v>
      </c>
    </row>
    <row r="223" spans="1:15" x14ac:dyDescent="0.3">
      <c r="A223" s="1">
        <v>46273</v>
      </c>
      <c r="B223" s="135">
        <f t="shared" si="14"/>
        <v>17483.651999999998</v>
      </c>
      <c r="G223" s="136">
        <f t="shared" si="15"/>
        <v>17483.651999999998</v>
      </c>
      <c r="H223" s="153">
        <f t="shared" si="16"/>
        <v>0</v>
      </c>
    </row>
    <row r="224" spans="1:15" x14ac:dyDescent="0.3">
      <c r="A224" s="1">
        <v>46274</v>
      </c>
      <c r="B224" s="135">
        <f t="shared" si="14"/>
        <v>17483.651999999998</v>
      </c>
      <c r="F224">
        <v>6232</v>
      </c>
      <c r="G224" s="136">
        <f t="shared" si="15"/>
        <v>11251.651999999998</v>
      </c>
      <c r="H224" s="153">
        <f t="shared" si="16"/>
        <v>0</v>
      </c>
    </row>
    <row r="225" spans="1:8" x14ac:dyDescent="0.3">
      <c r="A225" s="1">
        <v>46275</v>
      </c>
      <c r="B225" s="135">
        <f t="shared" si="14"/>
        <v>11251.651999999998</v>
      </c>
      <c r="G225" s="136">
        <f t="shared" si="15"/>
        <v>11251.651999999998</v>
      </c>
      <c r="H225" s="153">
        <f t="shared" si="16"/>
        <v>0</v>
      </c>
    </row>
    <row r="226" spans="1:8" x14ac:dyDescent="0.3">
      <c r="A226" s="1">
        <v>46276</v>
      </c>
      <c r="B226" s="135">
        <f t="shared" si="14"/>
        <v>11251.651999999998</v>
      </c>
      <c r="G226" s="136">
        <f t="shared" si="15"/>
        <v>11251.651999999998</v>
      </c>
      <c r="H226" s="153">
        <f t="shared" si="16"/>
        <v>0</v>
      </c>
    </row>
    <row r="227" spans="1:8" x14ac:dyDescent="0.3">
      <c r="A227" s="1">
        <v>46277</v>
      </c>
      <c r="B227" s="135">
        <f t="shared" si="14"/>
        <v>11251.651999999998</v>
      </c>
      <c r="G227" s="136">
        <f t="shared" si="15"/>
        <v>11251.651999999998</v>
      </c>
      <c r="H227" s="153">
        <f t="shared" si="16"/>
        <v>0</v>
      </c>
    </row>
    <row r="228" spans="1:8" x14ac:dyDescent="0.3">
      <c r="A228" s="1">
        <v>46278</v>
      </c>
      <c r="B228" s="135">
        <f t="shared" si="14"/>
        <v>11251.651999999998</v>
      </c>
      <c r="G228" s="136">
        <f t="shared" si="15"/>
        <v>11251.651999999998</v>
      </c>
      <c r="H228" s="153">
        <f t="shared" si="16"/>
        <v>0</v>
      </c>
    </row>
    <row r="229" spans="1:8" x14ac:dyDescent="0.3">
      <c r="A229" s="1">
        <v>46279</v>
      </c>
      <c r="B229" s="135">
        <f t="shared" si="14"/>
        <v>11251.651999999998</v>
      </c>
      <c r="G229" s="136">
        <f t="shared" si="15"/>
        <v>11251.651999999998</v>
      </c>
      <c r="H229" s="153">
        <f t="shared" si="16"/>
        <v>0</v>
      </c>
    </row>
    <row r="230" spans="1:8" x14ac:dyDescent="0.3">
      <c r="A230" s="1">
        <v>46280</v>
      </c>
      <c r="B230" s="135">
        <f t="shared" si="14"/>
        <v>11251.651999999998</v>
      </c>
      <c r="G230" s="136">
        <f t="shared" si="15"/>
        <v>11251.651999999998</v>
      </c>
      <c r="H230" s="153">
        <f t="shared" si="16"/>
        <v>0</v>
      </c>
    </row>
    <row r="231" spans="1:8" x14ac:dyDescent="0.3">
      <c r="A231" s="1">
        <v>46281</v>
      </c>
      <c r="B231" s="135">
        <f t="shared" si="14"/>
        <v>11251.651999999998</v>
      </c>
      <c r="G231" s="136">
        <f t="shared" si="15"/>
        <v>11251.651999999998</v>
      </c>
      <c r="H231" s="153">
        <f t="shared" si="16"/>
        <v>0</v>
      </c>
    </row>
    <row r="232" spans="1:8" x14ac:dyDescent="0.3">
      <c r="A232" s="1">
        <v>46282</v>
      </c>
      <c r="B232" s="135">
        <f t="shared" si="14"/>
        <v>11251.651999999998</v>
      </c>
      <c r="G232" s="136">
        <f t="shared" si="15"/>
        <v>11251.651999999998</v>
      </c>
      <c r="H232" s="153">
        <f t="shared" si="16"/>
        <v>0</v>
      </c>
    </row>
    <row r="233" spans="1:8" x14ac:dyDescent="0.3">
      <c r="A233" s="1">
        <v>46283</v>
      </c>
      <c r="B233" s="135">
        <f t="shared" si="14"/>
        <v>11251.651999999998</v>
      </c>
      <c r="G233" s="136">
        <f t="shared" si="15"/>
        <v>11251.651999999998</v>
      </c>
      <c r="H233" s="153">
        <f t="shared" si="16"/>
        <v>0</v>
      </c>
    </row>
    <row r="234" spans="1:8" x14ac:dyDescent="0.3">
      <c r="A234" s="1">
        <v>46284</v>
      </c>
      <c r="B234" s="135">
        <f t="shared" si="14"/>
        <v>11251.651999999998</v>
      </c>
      <c r="G234" s="136">
        <f t="shared" si="15"/>
        <v>11251.651999999998</v>
      </c>
      <c r="H234" s="153">
        <f t="shared" si="16"/>
        <v>0</v>
      </c>
    </row>
    <row r="235" spans="1:8" x14ac:dyDescent="0.3">
      <c r="A235" s="1">
        <v>46285</v>
      </c>
      <c r="B235" s="135">
        <f t="shared" si="14"/>
        <v>11251.651999999998</v>
      </c>
      <c r="G235" s="136">
        <f t="shared" si="15"/>
        <v>11251.651999999998</v>
      </c>
      <c r="H235" s="153">
        <f t="shared" si="16"/>
        <v>0</v>
      </c>
    </row>
    <row r="236" spans="1:8" x14ac:dyDescent="0.3">
      <c r="A236" s="1">
        <v>46286</v>
      </c>
      <c r="B236" s="135">
        <f t="shared" si="14"/>
        <v>11251.651999999998</v>
      </c>
      <c r="C236">
        <f>'Sales Register'!I7300</f>
        <v>280</v>
      </c>
      <c r="D236">
        <f>'Sales Register'!I7341</f>
        <v>703.96</v>
      </c>
      <c r="E236">
        <f>'Sales Register'!E7343</f>
        <v>6265.3</v>
      </c>
      <c r="G236" s="136">
        <f t="shared" si="15"/>
        <v>18500.911999999997</v>
      </c>
      <c r="H236" s="153">
        <f t="shared" si="16"/>
        <v>7249.26</v>
      </c>
    </row>
    <row r="237" spans="1:8" x14ac:dyDescent="0.3">
      <c r="A237" s="1">
        <v>46287</v>
      </c>
      <c r="B237" s="135">
        <f t="shared" si="14"/>
        <v>18500.911999999997</v>
      </c>
      <c r="C237">
        <f>'Sales Register'!I7370</f>
        <v>1090.2</v>
      </c>
      <c r="D237">
        <f>'Sales Register'!I7392</f>
        <v>173</v>
      </c>
      <c r="E237">
        <f>'Sales Register'!E7394</f>
        <v>380.4</v>
      </c>
      <c r="G237" s="136">
        <f t="shared" si="15"/>
        <v>20144.511999999999</v>
      </c>
      <c r="H237" s="153">
        <f t="shared" si="16"/>
        <v>1643.6</v>
      </c>
    </row>
    <row r="238" spans="1:8" x14ac:dyDescent="0.3">
      <c r="A238" s="1">
        <v>46288</v>
      </c>
      <c r="B238" s="135">
        <f t="shared" si="14"/>
        <v>20144.511999999999</v>
      </c>
      <c r="G238" s="136">
        <f t="shared" si="15"/>
        <v>20144.511999999999</v>
      </c>
      <c r="H238" s="153">
        <f t="shared" si="16"/>
        <v>0</v>
      </c>
    </row>
    <row r="239" spans="1:8" x14ac:dyDescent="0.3">
      <c r="A239" s="1">
        <v>46289</v>
      </c>
      <c r="B239" s="135">
        <f t="shared" si="14"/>
        <v>20144.511999999999</v>
      </c>
      <c r="G239" s="136">
        <f t="shared" si="15"/>
        <v>20144.511999999999</v>
      </c>
      <c r="H239" s="153">
        <f t="shared" si="16"/>
        <v>0</v>
      </c>
    </row>
    <row r="240" spans="1:8" x14ac:dyDescent="0.3">
      <c r="A240" s="1">
        <v>46290</v>
      </c>
      <c r="B240" s="135">
        <f t="shared" si="14"/>
        <v>20144.511999999999</v>
      </c>
      <c r="G240" s="136">
        <f t="shared" si="15"/>
        <v>20144.511999999999</v>
      </c>
      <c r="H240" s="153">
        <f t="shared" si="16"/>
        <v>0</v>
      </c>
    </row>
    <row r="241" spans="1:8" x14ac:dyDescent="0.3">
      <c r="A241" s="1">
        <v>46291</v>
      </c>
      <c r="B241" s="135">
        <f t="shared" si="14"/>
        <v>20144.511999999999</v>
      </c>
      <c r="G241" s="136">
        <f t="shared" si="15"/>
        <v>20144.511999999999</v>
      </c>
      <c r="H241" s="153">
        <f t="shared" si="16"/>
        <v>0</v>
      </c>
    </row>
    <row r="242" spans="1:8" x14ac:dyDescent="0.3">
      <c r="A242" s="1">
        <v>46292</v>
      </c>
      <c r="B242" s="135">
        <f t="shared" si="14"/>
        <v>20144.511999999999</v>
      </c>
      <c r="G242" s="136">
        <f t="shared" si="15"/>
        <v>20144.511999999999</v>
      </c>
      <c r="H242" s="153">
        <f t="shared" si="16"/>
        <v>0</v>
      </c>
    </row>
    <row r="243" spans="1:8" x14ac:dyDescent="0.3">
      <c r="A243" s="1">
        <v>46293</v>
      </c>
      <c r="B243" s="135">
        <f t="shared" si="14"/>
        <v>20144.511999999999</v>
      </c>
      <c r="G243" s="136">
        <f t="shared" si="15"/>
        <v>20144.511999999999</v>
      </c>
      <c r="H243" s="153">
        <f t="shared" si="16"/>
        <v>0</v>
      </c>
    </row>
    <row r="244" spans="1:8" x14ac:dyDescent="0.3">
      <c r="A244" s="1">
        <v>46294</v>
      </c>
      <c r="B244" s="135">
        <f t="shared" si="14"/>
        <v>20144.511999999999</v>
      </c>
      <c r="G244" s="136">
        <f t="shared" si="15"/>
        <v>20144.511999999999</v>
      </c>
      <c r="H244" s="153">
        <f t="shared" si="16"/>
        <v>0</v>
      </c>
    </row>
    <row r="245" spans="1:8" x14ac:dyDescent="0.3">
      <c r="A245" s="1">
        <v>46295</v>
      </c>
      <c r="B245" s="135">
        <f t="shared" si="14"/>
        <v>20144.511999999999</v>
      </c>
      <c r="G245" s="136">
        <f t="shared" si="15"/>
        <v>20144.511999999999</v>
      </c>
      <c r="H245" s="153">
        <f t="shared" si="16"/>
        <v>0</v>
      </c>
    </row>
  </sheetData>
  <mergeCells count="7">
    <mergeCell ref="N1:O1"/>
    <mergeCell ref="K124:K153"/>
    <mergeCell ref="K93:K123"/>
    <mergeCell ref="K154:K184"/>
    <mergeCell ref="K185:K215"/>
    <mergeCell ref="L1:M1"/>
    <mergeCell ref="L185:M215"/>
  </mergeCells>
  <conditionalFormatting sqref="H1:H1048576">
    <cfRule type="cellIs" dxfId="1" priority="1" operator="between">
      <formula>2500</formula>
      <formula>4000</formula>
    </cfRule>
    <cfRule type="cellIs" dxfId="0" priority="2" operator="lessThan">
      <formula>800</formula>
    </cfRule>
  </conditionalFormatting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ilyClosing">
                <anchor moveWithCells="1" sizeWithCells="1">
                  <from>
                    <xdr:col>12</xdr:col>
                    <xdr:colOff>133350</xdr:colOff>
                    <xdr:row>10</xdr:row>
                    <xdr:rowOff>57150</xdr:rowOff>
                  </from>
                  <to>
                    <xdr:col>15</xdr:col>
                    <xdr:colOff>180975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7"/>
  </sheetPr>
  <dimension ref="A1:Q18"/>
  <sheetViews>
    <sheetView workbookViewId="0">
      <selection activeCell="G17" sqref="G17"/>
    </sheetView>
  </sheetViews>
  <sheetFormatPr defaultRowHeight="15" x14ac:dyDescent="0.25"/>
  <cols>
    <col min="1" max="1" width="7.28515625" bestFit="1" customWidth="1"/>
    <col min="2" max="2" width="12.140625" style="93" bestFit="1" customWidth="1"/>
    <col min="3" max="3" width="16.85546875" style="93" bestFit="1" customWidth="1"/>
    <col min="4" max="4" width="16.140625" style="93" bestFit="1" customWidth="1"/>
    <col min="5" max="5" width="12" style="93" bestFit="1" customWidth="1"/>
    <col min="6" max="6" width="13.140625" style="92" customWidth="1"/>
    <col min="7" max="7" width="12.28515625" customWidth="1"/>
    <col min="10" max="10" width="40.5703125" customWidth="1"/>
    <col min="11" max="11" width="13.7109375" style="220" bestFit="1" customWidth="1"/>
  </cols>
  <sheetData>
    <row r="1" spans="1:17" ht="26.25" x14ac:dyDescent="0.4">
      <c r="A1" s="287" t="s">
        <v>685</v>
      </c>
      <c r="B1" s="287"/>
      <c r="C1" s="287"/>
      <c r="D1" s="287"/>
      <c r="E1" s="287"/>
      <c r="F1" s="287"/>
      <c r="G1" s="287"/>
      <c r="H1" s="287"/>
      <c r="I1" s="287"/>
      <c r="J1" s="287"/>
      <c r="K1" s="287"/>
      <c r="L1" s="287"/>
      <c r="M1" s="287"/>
      <c r="N1" s="287"/>
      <c r="O1" s="287"/>
      <c r="P1" s="287"/>
      <c r="Q1" s="106"/>
    </row>
    <row r="2" spans="1:17" s="95" customFormat="1" ht="61.9" customHeight="1" x14ac:dyDescent="0.25">
      <c r="A2" s="12" t="s">
        <v>277</v>
      </c>
      <c r="B2" s="94" t="s">
        <v>278</v>
      </c>
      <c r="C2" s="94" t="s">
        <v>279</v>
      </c>
      <c r="D2" s="94" t="s">
        <v>280</v>
      </c>
      <c r="E2" s="94" t="s">
        <v>281</v>
      </c>
      <c r="F2" s="108" t="s">
        <v>595</v>
      </c>
      <c r="G2" s="14" t="s">
        <v>981</v>
      </c>
      <c r="K2" s="212"/>
      <c r="Q2" s="182"/>
    </row>
    <row r="3" spans="1:17" x14ac:dyDescent="0.25">
      <c r="A3" s="183">
        <v>46023</v>
      </c>
      <c r="B3" s="184">
        <f>SUM('Daily Accounts'!H2:H3)</f>
        <v>40</v>
      </c>
      <c r="C3" s="184">
        <f>SUM('Purchase Register'!E2)</f>
        <v>210</v>
      </c>
      <c r="D3" s="184">
        <v>0</v>
      </c>
      <c r="E3" s="184">
        <f t="shared" ref="E3:E14" si="0">B3-C3-D3</f>
        <v>-170</v>
      </c>
      <c r="F3" s="181"/>
      <c r="G3" s="30"/>
      <c r="H3" s="30"/>
      <c r="I3" s="30"/>
      <c r="J3" s="30"/>
      <c r="K3" s="213"/>
      <c r="L3" s="30"/>
      <c r="M3" s="30"/>
      <c r="N3" s="30"/>
      <c r="O3" s="30"/>
      <c r="P3" s="30"/>
    </row>
    <row r="4" spans="1:17" x14ac:dyDescent="0.25">
      <c r="A4" s="183">
        <v>46054</v>
      </c>
      <c r="B4" s="184">
        <f>SUM('Daily Accounts'!H4:H31)</f>
        <v>240</v>
      </c>
      <c r="C4" s="184">
        <f>SUM('Purchase Register'!E3:E16)</f>
        <v>1023</v>
      </c>
      <c r="D4" s="184">
        <v>0</v>
      </c>
      <c r="E4" s="184">
        <f t="shared" si="0"/>
        <v>-783</v>
      </c>
      <c r="F4" s="181"/>
      <c r="G4" s="30"/>
      <c r="H4" s="30"/>
      <c r="I4" s="30"/>
      <c r="J4" s="30"/>
      <c r="K4" s="213"/>
      <c r="L4" s="30"/>
      <c r="M4" s="30"/>
      <c r="N4" s="30"/>
      <c r="O4" s="30"/>
      <c r="P4" s="30"/>
    </row>
    <row r="5" spans="1:17" ht="18" customHeight="1" x14ac:dyDescent="0.35">
      <c r="A5" s="183">
        <v>46082</v>
      </c>
      <c r="B5" s="184">
        <f>SUM('Daily Accounts'!H32:H62)</f>
        <v>670</v>
      </c>
      <c r="C5" s="184">
        <f>SUM('Purchase Register'!E17:E99)</f>
        <v>13301</v>
      </c>
      <c r="D5" s="184">
        <v>0</v>
      </c>
      <c r="E5" s="184">
        <f t="shared" si="0"/>
        <v>-12631</v>
      </c>
      <c r="F5" s="181"/>
      <c r="G5" s="30"/>
      <c r="H5" s="30"/>
      <c r="I5" s="30"/>
      <c r="J5" s="285" t="s">
        <v>282</v>
      </c>
      <c r="K5" s="286"/>
      <c r="L5" s="30"/>
      <c r="M5" s="30"/>
      <c r="N5" s="30"/>
      <c r="O5" s="30"/>
      <c r="P5" s="30"/>
    </row>
    <row r="6" spans="1:17" ht="15.6" customHeight="1" x14ac:dyDescent="0.25">
      <c r="A6" s="183">
        <v>46113</v>
      </c>
      <c r="B6" s="184">
        <f>SUM('Daily Accounts'!H63:H92)</f>
        <v>24308</v>
      </c>
      <c r="C6" s="184">
        <f>SUM('Purchase Register'!E100:E324)</f>
        <v>62695</v>
      </c>
      <c r="D6" s="184">
        <v>0</v>
      </c>
      <c r="E6" s="184">
        <f t="shared" si="0"/>
        <v>-38387</v>
      </c>
      <c r="F6" s="181">
        <f>AVERAGE('Daily Accounts'!H63:H92)</f>
        <v>810.26666666666665</v>
      </c>
      <c r="G6" s="30"/>
      <c r="H6" s="30"/>
      <c r="I6" s="30"/>
      <c r="J6" s="6" t="s">
        <v>283</v>
      </c>
      <c r="K6" s="214">
        <f>SUM(B3:B14)</f>
        <v>268553.93200000003</v>
      </c>
      <c r="L6" s="30"/>
      <c r="M6" s="30"/>
      <c r="N6" s="30"/>
      <c r="O6" s="30"/>
      <c r="P6" s="30"/>
    </row>
    <row r="7" spans="1:17" ht="15.6" customHeight="1" x14ac:dyDescent="0.25">
      <c r="A7" s="183">
        <v>46143</v>
      </c>
      <c r="B7" s="184">
        <f>SUM('Daily Accounts'!H93:H123)</f>
        <v>62129.370999999999</v>
      </c>
      <c r="C7" s="184">
        <f>SUMIFS(
'Purchase Register'!E:E,
'Purchase Register'!A:A,"&gt;="&amp;EOMONTH(A7,-1)+1,
'Purchase Register'!A:A,"&lt;="&amp;EOMONTH(A7,0)
)</f>
        <v>82543</v>
      </c>
      <c r="D7" s="184">
        <v>0</v>
      </c>
      <c r="E7" s="184">
        <f t="shared" si="0"/>
        <v>-20413.629000000001</v>
      </c>
      <c r="F7" s="181">
        <f>AVERAGE('Daily Accounts'!H93:H123)</f>
        <v>2004.1732580645162</v>
      </c>
      <c r="G7" s="30"/>
      <c r="H7" s="30"/>
      <c r="I7" s="30"/>
      <c r="J7" s="7" t="s">
        <v>284</v>
      </c>
      <c r="K7" s="215">
        <f>SUM(C3:C14)</f>
        <v>284578.58</v>
      </c>
      <c r="L7" s="30"/>
      <c r="M7" s="30"/>
      <c r="N7" s="30"/>
      <c r="O7" s="30"/>
      <c r="P7" s="30"/>
    </row>
    <row r="8" spans="1:17" ht="15.6" customHeight="1" x14ac:dyDescent="0.25">
      <c r="A8" s="183">
        <v>46174</v>
      </c>
      <c r="B8" s="184">
        <f>SUM('Daily Accounts'!H124:H153)</f>
        <v>42605.761999999995</v>
      </c>
      <c r="C8" s="184">
        <f>SUMIFS(
'Purchase Register'!E:E,
'Purchase Register'!A:A,"&gt;="&amp;EOMONTH(A8,-1)+1,
'Purchase Register'!A:A,"&lt;="&amp;EOMONTH(A8,0)
)</f>
        <v>33154</v>
      </c>
      <c r="D8" s="184">
        <v>0</v>
      </c>
      <c r="E8" s="184">
        <f t="shared" si="0"/>
        <v>9451.7619999999952</v>
      </c>
      <c r="F8" s="181">
        <f>AVERAGE('Daily Accounts'!H124:H153)</f>
        <v>1420.1920666666665</v>
      </c>
      <c r="G8" s="172" t="e">
        <f>AVERAGE('Daily Accounts'!J124:J153)</f>
        <v>#N/A</v>
      </c>
      <c r="H8" s="30"/>
      <c r="I8" s="30"/>
      <c r="J8" s="8" t="s">
        <v>285</v>
      </c>
      <c r="K8" s="216">
        <f>SUM(D3:D14)</f>
        <v>0</v>
      </c>
      <c r="L8" s="30"/>
      <c r="M8" s="30"/>
      <c r="N8" s="30"/>
      <c r="O8" s="30"/>
      <c r="P8" s="30"/>
    </row>
    <row r="9" spans="1:17" ht="21" customHeight="1" x14ac:dyDescent="0.25">
      <c r="A9" s="183">
        <v>46204</v>
      </c>
      <c r="B9" s="184">
        <f>SUM('Daily Accounts'!H154:H184)</f>
        <v>32683.938999999998</v>
      </c>
      <c r="C9" s="184">
        <f>SUMIFS(
'Purchase Register'!E:E,
'Purchase Register'!A:A,"&gt;="&amp;EOMONTH(A9,-1)+1,
'Purchase Register'!A:A,"&lt;="&amp;EOMONTH(A9,0)
)</f>
        <v>36325</v>
      </c>
      <c r="D9" s="184">
        <v>0</v>
      </c>
      <c r="E9" s="184">
        <f t="shared" si="0"/>
        <v>-3641.0610000000015</v>
      </c>
      <c r="F9" s="181">
        <f>AVERAGE('Daily Accounts'!H154:H184)</f>
        <v>1054.3206129032258</v>
      </c>
      <c r="G9" s="172">
        <f>AVERAGE('Daily Accounts'!J154:J184)</f>
        <v>0.13071617508953409</v>
      </c>
      <c r="H9" s="30"/>
      <c r="I9" s="30"/>
      <c r="J9" s="96" t="s">
        <v>286</v>
      </c>
      <c r="K9" s="217">
        <f>SUM(E3:E14)</f>
        <v>-16024.648000000001</v>
      </c>
      <c r="L9" s="30"/>
      <c r="M9" s="30"/>
      <c r="N9" s="30"/>
      <c r="O9" s="30"/>
      <c r="P9" s="30"/>
    </row>
    <row r="10" spans="1:17" ht="15.75" x14ac:dyDescent="0.25">
      <c r="A10" s="183">
        <v>46235</v>
      </c>
      <c r="B10" s="184">
        <f>SUM('Daily Accounts'!H185:H215)</f>
        <v>62387.110000000008</v>
      </c>
      <c r="C10" s="184">
        <f>SUMIFS(
'Purchase Register'!E:E,
'Purchase Register'!A:A,"&gt;="&amp;EOMONTH(A10,-1)+1,
'Purchase Register'!A:A,"&lt;="&amp;EOMONTH(A10,0)
)</f>
        <v>37468.700000000004</v>
      </c>
      <c r="D10" s="184">
        <v>0</v>
      </c>
      <c r="E10" s="184">
        <f t="shared" si="0"/>
        <v>24918.410000000003</v>
      </c>
      <c r="F10" s="181">
        <f>AVERAGE('Daily Accounts'!H185:H215)</f>
        <v>2012.4874193548389</v>
      </c>
      <c r="G10" s="30"/>
      <c r="H10" s="30"/>
      <c r="I10" s="30"/>
      <c r="J10" s="97" t="s">
        <v>984</v>
      </c>
      <c r="K10" s="218">
        <f>PA!P7</f>
        <v>0.25195115162151871</v>
      </c>
      <c r="L10" s="30"/>
      <c r="M10" s="30"/>
      <c r="N10" s="30"/>
      <c r="O10" s="30"/>
      <c r="P10" s="30"/>
    </row>
    <row r="11" spans="1:17" x14ac:dyDescent="0.25">
      <c r="A11" s="183">
        <v>46266</v>
      </c>
      <c r="B11" s="184">
        <f>SUMIFS(
'Sales Register'!F:F,
'Sales Register'!A:A,"&gt;="&amp;EOMONTH(A11,-1)+1,
'Sales Register'!A:A,"&lt;="&amp;EOMONTH(A11,0)
)</f>
        <v>43489.750000000007</v>
      </c>
      <c r="C11" s="184">
        <f>SUMIFS(
'Purchase Register'!E:E,
'Purchase Register'!A:A,"&gt;="&amp;EOMONTH(A11,-1)+1,
'Purchase Register'!A:A,"&lt;="&amp;EOMONTH(A11,0)
)</f>
        <v>17858.879999999997</v>
      </c>
      <c r="D11" s="184">
        <v>0</v>
      </c>
      <c r="E11" s="184">
        <f t="shared" si="0"/>
        <v>25630.87000000001</v>
      </c>
      <c r="F11" s="181"/>
      <c r="G11" s="30"/>
      <c r="H11" s="30"/>
      <c r="I11" s="30"/>
      <c r="J11" s="30"/>
      <c r="K11" s="213"/>
      <c r="L11" s="30"/>
      <c r="M11" s="30"/>
      <c r="N11" s="30"/>
      <c r="O11" s="30"/>
      <c r="P11" s="30"/>
    </row>
    <row r="12" spans="1:17" x14ac:dyDescent="0.25">
      <c r="A12" s="183">
        <v>46296</v>
      </c>
      <c r="B12" s="184">
        <f>SUMIFS(
'Sales Register'!F:F,
'Sales Register'!A:A,"&gt;="&amp;EOMONTH(A12,-1)+1,
'Sales Register'!A:A,"&lt;="&amp;EOMONTH(A12,0)
)</f>
        <v>0</v>
      </c>
      <c r="C12" s="184">
        <f>SUMIFS(
'Purchase Register'!E:E,
'Purchase Register'!A:A,"&gt;="&amp;EOMONTH(A12,-1)+1,
'Purchase Register'!A:A,"&lt;="&amp;EOMONTH(A12,0)
)</f>
        <v>0</v>
      </c>
      <c r="D12" s="184">
        <v>0</v>
      </c>
      <c r="E12" s="184">
        <f t="shared" si="0"/>
        <v>0</v>
      </c>
      <c r="F12" s="181"/>
      <c r="G12" s="30"/>
      <c r="H12" s="30"/>
      <c r="I12" s="30"/>
      <c r="J12" s="30"/>
      <c r="K12" s="213"/>
      <c r="L12" s="30"/>
      <c r="M12" s="30"/>
      <c r="N12" s="30"/>
      <c r="O12" s="30"/>
      <c r="P12" s="30"/>
    </row>
    <row r="13" spans="1:17" x14ac:dyDescent="0.25">
      <c r="A13" s="183">
        <v>46327</v>
      </c>
      <c r="B13" s="184">
        <f>SUMIFS(
'Sales Register'!F:F,
'Sales Register'!A:A,"&gt;="&amp;EOMONTH(A13,-1)+1,
'Sales Register'!A:A,"&lt;="&amp;EOMONTH(A13,0)
)</f>
        <v>0</v>
      </c>
      <c r="C13" s="184">
        <f>SUMIFS(
'Purchase Register'!E:E,
'Purchase Register'!A:A,"&gt;="&amp;EOMONTH(A13,-1)+1,
'Purchase Register'!A:A,"&lt;="&amp;EOMONTH(A13,0)
)</f>
        <v>0</v>
      </c>
      <c r="D13" s="184">
        <v>0</v>
      </c>
      <c r="E13" s="184">
        <f t="shared" si="0"/>
        <v>0</v>
      </c>
      <c r="F13" s="181"/>
      <c r="G13" s="30"/>
      <c r="H13" s="30"/>
      <c r="I13" s="30"/>
      <c r="J13" s="30"/>
      <c r="K13" s="213"/>
      <c r="L13" s="30"/>
      <c r="M13" s="30"/>
      <c r="N13" s="30"/>
      <c r="O13" s="30"/>
      <c r="P13" s="30"/>
    </row>
    <row r="14" spans="1:17" x14ac:dyDescent="0.25">
      <c r="A14" s="183">
        <v>46357</v>
      </c>
      <c r="B14" s="184">
        <f>SUMIFS(
'Sales Register'!F:F,
'Sales Register'!A:A,"&gt;="&amp;EOMONTH(A14,-1)+1,
'Sales Register'!A:A,"&lt;="&amp;EOMONTH(A14,0)
)</f>
        <v>0</v>
      </c>
      <c r="C14" s="184">
        <f>SUMIFS(
'Purchase Register'!E:E,
'Purchase Register'!A:A,"&gt;="&amp;EOMONTH(A14,-1)+1,
'Purchase Register'!A:A,"&lt;="&amp;EOMONTH(A14,0)
)</f>
        <v>0</v>
      </c>
      <c r="D14" s="184">
        <v>0</v>
      </c>
      <c r="E14" s="184">
        <f t="shared" si="0"/>
        <v>0</v>
      </c>
      <c r="F14" s="181"/>
      <c r="G14" s="30"/>
      <c r="H14" s="30"/>
      <c r="I14" s="30"/>
      <c r="J14" s="30"/>
      <c r="K14" s="213"/>
      <c r="L14" s="30"/>
      <c r="M14" s="30"/>
      <c r="N14" s="30"/>
      <c r="O14" s="30"/>
      <c r="P14" s="30"/>
    </row>
    <row r="15" spans="1:17" s="180" customFormat="1" x14ac:dyDescent="0.25">
      <c r="A15" s="63"/>
      <c r="B15" s="185">
        <f>AVERAGE(B3:B14)</f>
        <v>22379.494333333336</v>
      </c>
      <c r="C15" s="185">
        <f>AVERAGE(C3:C14)</f>
        <v>23714.881666666668</v>
      </c>
      <c r="D15" s="185"/>
      <c r="E15" s="185"/>
      <c r="F15" s="186">
        <f>AVERAGE(F3:F14)</f>
        <v>1460.2880047311828</v>
      </c>
      <c r="G15" s="63"/>
      <c r="H15" s="63"/>
      <c r="I15" s="63"/>
      <c r="J15" s="63"/>
      <c r="K15" s="219"/>
      <c r="L15" s="30"/>
      <c r="M15" s="30"/>
      <c r="N15" s="30"/>
      <c r="O15" s="30"/>
      <c r="P15" s="30"/>
    </row>
    <row r="17" spans="10:10" x14ac:dyDescent="0.25">
      <c r="J17" s="90"/>
    </row>
    <row r="18" spans="10:10" x14ac:dyDescent="0.25">
      <c r="J18" s="90"/>
    </row>
  </sheetData>
  <mergeCells count="2">
    <mergeCell ref="J5:K5"/>
    <mergeCell ref="A1:P1"/>
  </mergeCells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2880C8-5E89-4330-B741-68F3ACCD0936}">
  <dimension ref="A1:N40"/>
  <sheetViews>
    <sheetView workbookViewId="0">
      <selection activeCell="N9" sqref="N9"/>
    </sheetView>
  </sheetViews>
  <sheetFormatPr defaultRowHeight="15" x14ac:dyDescent="0.25"/>
  <cols>
    <col min="3" max="3" width="10" customWidth="1"/>
    <col min="4" max="4" width="6.28515625" customWidth="1"/>
    <col min="5" max="5" width="10.42578125" customWidth="1"/>
    <col min="6" max="6" width="9.7109375" style="10" bestFit="1" customWidth="1"/>
    <col min="7" max="7" width="10.7109375" customWidth="1"/>
    <col min="8" max="8" width="8.140625" bestFit="1" customWidth="1"/>
    <col min="9" max="9" width="8.28515625" bestFit="1" customWidth="1"/>
  </cols>
  <sheetData>
    <row r="1" spans="1:14" x14ac:dyDescent="0.25">
      <c r="A1" s="38"/>
      <c r="B1" s="39"/>
      <c r="C1" s="39"/>
      <c r="D1" s="39"/>
      <c r="E1" s="39"/>
      <c r="F1" s="50"/>
      <c r="G1" s="39"/>
      <c r="H1" s="39"/>
      <c r="I1" s="39"/>
      <c r="J1" s="42"/>
    </row>
    <row r="2" spans="1:14" ht="23.45" customHeight="1" x14ac:dyDescent="0.25">
      <c r="A2" s="40"/>
      <c r="B2" s="288" t="s">
        <v>505</v>
      </c>
      <c r="C2" s="288"/>
      <c r="D2" s="288"/>
      <c r="E2" s="288"/>
      <c r="F2" s="288"/>
      <c r="G2" s="288"/>
      <c r="H2" s="288"/>
      <c r="I2" s="288"/>
      <c r="J2" s="43"/>
    </row>
    <row r="3" spans="1:14" ht="45" customHeight="1" x14ac:dyDescent="0.25">
      <c r="A3" s="40"/>
      <c r="B3" s="289"/>
      <c r="C3" s="289"/>
      <c r="D3" s="289"/>
      <c r="E3" s="289"/>
      <c r="F3" s="289"/>
      <c r="G3" s="289"/>
      <c r="H3" s="289"/>
      <c r="I3" s="289"/>
      <c r="J3" s="43"/>
    </row>
    <row r="4" spans="1:14" x14ac:dyDescent="0.25">
      <c r="A4" s="40"/>
      <c r="J4" s="43"/>
    </row>
    <row r="5" spans="1:14" x14ac:dyDescent="0.25">
      <c r="A5" s="40"/>
      <c r="D5" s="290" t="s">
        <v>328</v>
      </c>
      <c r="E5" s="290"/>
      <c r="F5" s="290"/>
      <c r="G5" s="290"/>
      <c r="J5" s="43"/>
    </row>
    <row r="6" spans="1:14" x14ac:dyDescent="0.25">
      <c r="A6" s="40"/>
      <c r="B6" t="s">
        <v>327</v>
      </c>
      <c r="C6" s="291">
        <v>107202601</v>
      </c>
      <c r="D6" s="291"/>
      <c r="H6" t="s">
        <v>329</v>
      </c>
      <c r="I6" s="41">
        <v>46204</v>
      </c>
      <c r="J6" s="43"/>
    </row>
    <row r="7" spans="1:14" x14ac:dyDescent="0.25">
      <c r="A7" s="40"/>
      <c r="J7" s="43"/>
    </row>
    <row r="8" spans="1:14" s="13" customFormat="1" x14ac:dyDescent="0.25">
      <c r="A8" s="48"/>
      <c r="B8" s="28" t="s">
        <v>330</v>
      </c>
      <c r="C8" s="294" t="s">
        <v>331</v>
      </c>
      <c r="D8" s="294"/>
      <c r="E8" s="28" t="s">
        <v>332</v>
      </c>
      <c r="F8" s="115" t="s">
        <v>335</v>
      </c>
      <c r="G8" s="116" t="s">
        <v>336</v>
      </c>
      <c r="H8" s="294" t="s">
        <v>333</v>
      </c>
      <c r="I8" s="294"/>
      <c r="J8" s="49"/>
    </row>
    <row r="9" spans="1:14" s="57" customFormat="1" ht="60" x14ac:dyDescent="0.2">
      <c r="A9" s="55"/>
      <c r="B9" s="58">
        <v>1</v>
      </c>
      <c r="C9" s="19" t="s">
        <v>995</v>
      </c>
      <c r="D9" s="33"/>
      <c r="E9" s="58">
        <v>1</v>
      </c>
      <c r="F9" s="114">
        <v>1450</v>
      </c>
      <c r="G9" s="113">
        <v>1430</v>
      </c>
      <c r="H9" s="117">
        <f t="shared" ref="H9:H21" si="0">G9*E9</f>
        <v>1430</v>
      </c>
      <c r="I9" s="293">
        <f>SUM(H9:H21)</f>
        <v>5277</v>
      </c>
      <c r="J9" s="56"/>
      <c r="N9" s="19"/>
    </row>
    <row r="10" spans="1:14" s="57" customFormat="1" ht="60" x14ac:dyDescent="0.2">
      <c r="A10" s="55"/>
      <c r="B10" s="58">
        <v>2</v>
      </c>
      <c r="C10" s="33" t="s">
        <v>605</v>
      </c>
      <c r="D10" s="33"/>
      <c r="E10" s="58">
        <v>2</v>
      </c>
      <c r="F10" s="114">
        <v>205</v>
      </c>
      <c r="G10" s="113">
        <v>200</v>
      </c>
      <c r="H10" s="117">
        <f t="shared" si="0"/>
        <v>400</v>
      </c>
      <c r="I10" s="293"/>
      <c r="J10" s="56"/>
      <c r="N10" s="19"/>
    </row>
    <row r="11" spans="1:14" s="57" customFormat="1" ht="75" x14ac:dyDescent="0.2">
      <c r="A11" s="55"/>
      <c r="B11" s="58">
        <v>3</v>
      </c>
      <c r="C11" s="33" t="s">
        <v>689</v>
      </c>
      <c r="D11" s="33"/>
      <c r="E11" s="58">
        <v>2</v>
      </c>
      <c r="F11" s="114">
        <v>160</v>
      </c>
      <c r="G11" s="113">
        <v>155</v>
      </c>
      <c r="H11" s="117">
        <f t="shared" si="0"/>
        <v>310</v>
      </c>
      <c r="I11" s="293"/>
      <c r="J11" s="56"/>
      <c r="N11" s="19"/>
    </row>
    <row r="12" spans="1:14" ht="45" x14ac:dyDescent="0.25">
      <c r="A12" s="40"/>
      <c r="B12" s="29">
        <v>4</v>
      </c>
      <c r="C12" s="33" t="s">
        <v>795</v>
      </c>
      <c r="D12" s="33"/>
      <c r="E12" s="29">
        <v>2</v>
      </c>
      <c r="F12" s="114">
        <v>160</v>
      </c>
      <c r="G12" s="113">
        <v>160</v>
      </c>
      <c r="H12" s="117">
        <f t="shared" si="0"/>
        <v>320</v>
      </c>
      <c r="I12" s="293"/>
      <c r="J12" s="43"/>
      <c r="N12" s="19"/>
    </row>
    <row r="13" spans="1:14" ht="45" x14ac:dyDescent="0.25">
      <c r="A13" s="40"/>
      <c r="B13" s="29">
        <v>5</v>
      </c>
      <c r="C13" s="33" t="s">
        <v>968</v>
      </c>
      <c r="D13" s="28"/>
      <c r="E13" s="29">
        <v>2</v>
      </c>
      <c r="F13" s="114">
        <v>60</v>
      </c>
      <c r="G13" s="113">
        <v>58</v>
      </c>
      <c r="H13" s="117">
        <f t="shared" si="0"/>
        <v>116</v>
      </c>
      <c r="I13" s="293"/>
      <c r="J13" s="43"/>
      <c r="N13" s="19"/>
    </row>
    <row r="14" spans="1:14" ht="45" x14ac:dyDescent="0.25">
      <c r="A14" s="40"/>
      <c r="B14" s="29">
        <v>6</v>
      </c>
      <c r="C14" s="33" t="s">
        <v>923</v>
      </c>
      <c r="D14" s="28"/>
      <c r="E14" s="29">
        <v>1</v>
      </c>
      <c r="F14" s="114">
        <v>30</v>
      </c>
      <c r="G14" s="113">
        <v>30</v>
      </c>
      <c r="H14" s="117">
        <f t="shared" si="0"/>
        <v>30</v>
      </c>
      <c r="I14" s="293"/>
      <c r="J14" s="43"/>
      <c r="N14" s="19"/>
    </row>
    <row r="15" spans="1:14" ht="45" x14ac:dyDescent="0.25">
      <c r="A15" s="40"/>
      <c r="B15" s="29">
        <v>7</v>
      </c>
      <c r="C15" s="159" t="s">
        <v>535</v>
      </c>
      <c r="D15" s="28"/>
      <c r="E15" s="29">
        <v>9</v>
      </c>
      <c r="F15" s="114">
        <v>10</v>
      </c>
      <c r="G15" s="113">
        <v>10</v>
      </c>
      <c r="H15" s="117">
        <f t="shared" si="0"/>
        <v>90</v>
      </c>
      <c r="I15" s="293"/>
      <c r="J15" s="43"/>
      <c r="N15" s="19"/>
    </row>
    <row r="16" spans="1:14" ht="60" x14ac:dyDescent="0.25">
      <c r="A16" s="40"/>
      <c r="B16" s="29">
        <v>8</v>
      </c>
      <c r="C16" s="33" t="s">
        <v>673</v>
      </c>
      <c r="D16" s="28"/>
      <c r="E16" s="29">
        <v>1</v>
      </c>
      <c r="F16" s="114">
        <v>60</v>
      </c>
      <c r="G16" s="113">
        <v>60</v>
      </c>
      <c r="H16" s="117">
        <f t="shared" si="0"/>
        <v>60</v>
      </c>
      <c r="I16" s="293"/>
      <c r="J16" s="43"/>
      <c r="N16" s="19"/>
    </row>
    <row r="17" spans="1:14" ht="60" x14ac:dyDescent="0.25">
      <c r="A17" s="40"/>
      <c r="B17" s="29">
        <v>9</v>
      </c>
      <c r="C17" s="19" t="s">
        <v>1000</v>
      </c>
      <c r="D17" s="28"/>
      <c r="E17" s="29">
        <v>1</v>
      </c>
      <c r="F17" s="114">
        <v>489</v>
      </c>
      <c r="G17" s="113">
        <v>485</v>
      </c>
      <c r="H17" s="117">
        <f t="shared" si="0"/>
        <v>485</v>
      </c>
      <c r="I17" s="293"/>
      <c r="J17" s="43"/>
      <c r="N17" s="19"/>
    </row>
    <row r="18" spans="1:14" ht="60" x14ac:dyDescent="0.25">
      <c r="A18" s="40"/>
      <c r="B18" s="29">
        <v>10</v>
      </c>
      <c r="C18" s="19" t="s">
        <v>1001</v>
      </c>
      <c r="D18" s="28"/>
      <c r="E18" s="29">
        <v>1</v>
      </c>
      <c r="F18" s="114">
        <v>499</v>
      </c>
      <c r="G18" s="113">
        <v>480</v>
      </c>
      <c r="H18" s="117">
        <f t="shared" si="0"/>
        <v>480</v>
      </c>
      <c r="I18" s="293"/>
      <c r="J18" s="43"/>
      <c r="N18" s="19"/>
    </row>
    <row r="19" spans="1:14" ht="45" x14ac:dyDescent="0.25">
      <c r="A19" s="40"/>
      <c r="B19" s="29">
        <v>11</v>
      </c>
      <c r="C19" s="159" t="s">
        <v>706</v>
      </c>
      <c r="D19" s="28"/>
      <c r="E19" s="29">
        <v>4</v>
      </c>
      <c r="F19" s="114">
        <v>5</v>
      </c>
      <c r="G19" s="113">
        <v>5</v>
      </c>
      <c r="H19" s="117">
        <f t="shared" si="0"/>
        <v>20</v>
      </c>
      <c r="I19" s="293"/>
      <c r="J19" s="43"/>
      <c r="N19" s="19"/>
    </row>
    <row r="20" spans="1:14" ht="45" x14ac:dyDescent="0.25">
      <c r="A20" s="40"/>
      <c r="B20" s="29">
        <v>12</v>
      </c>
      <c r="C20" s="70" t="s">
        <v>1013</v>
      </c>
      <c r="D20" s="28"/>
      <c r="E20" s="29">
        <v>1</v>
      </c>
      <c r="F20" s="114">
        <v>615</v>
      </c>
      <c r="G20" s="113">
        <v>600</v>
      </c>
      <c r="H20" s="117">
        <f t="shared" si="0"/>
        <v>600</v>
      </c>
      <c r="I20" s="293"/>
      <c r="J20" s="43"/>
      <c r="N20" s="19"/>
    </row>
    <row r="21" spans="1:14" ht="75" x14ac:dyDescent="0.25">
      <c r="A21" s="40"/>
      <c r="B21" s="29">
        <v>13</v>
      </c>
      <c r="C21" s="19" t="s">
        <v>1008</v>
      </c>
      <c r="D21" s="28"/>
      <c r="E21" s="29">
        <v>24</v>
      </c>
      <c r="F21" s="114">
        <v>40</v>
      </c>
      <c r="G21" s="113">
        <v>39</v>
      </c>
      <c r="H21" s="117">
        <f t="shared" si="0"/>
        <v>936</v>
      </c>
      <c r="I21" s="293"/>
      <c r="J21" s="43"/>
      <c r="N21" s="19"/>
    </row>
    <row r="22" spans="1:14" x14ac:dyDescent="0.25">
      <c r="A22" s="40"/>
      <c r="B22" s="29">
        <v>14</v>
      </c>
      <c r="C22" s="33"/>
      <c r="D22" s="28"/>
      <c r="E22" s="29"/>
      <c r="F22" s="114"/>
      <c r="G22" s="113"/>
      <c r="H22" s="117"/>
      <c r="I22" s="293"/>
      <c r="J22" s="43"/>
      <c r="N22" s="19"/>
    </row>
    <row r="23" spans="1:14" x14ac:dyDescent="0.25">
      <c r="A23" s="40"/>
      <c r="B23" s="29">
        <v>15</v>
      </c>
      <c r="C23" s="33"/>
      <c r="D23" s="28"/>
      <c r="E23" s="29"/>
      <c r="F23" s="114"/>
      <c r="G23" s="113"/>
      <c r="H23" s="117"/>
      <c r="I23" s="293"/>
      <c r="J23" s="43"/>
      <c r="N23" s="19"/>
    </row>
    <row r="24" spans="1:14" x14ac:dyDescent="0.25">
      <c r="A24" s="40"/>
      <c r="B24" s="29">
        <v>16</v>
      </c>
      <c r="C24" s="33"/>
      <c r="D24" s="28"/>
      <c r="E24" s="29"/>
      <c r="F24" s="114"/>
      <c r="G24" s="113"/>
      <c r="H24" s="117"/>
      <c r="I24" s="293"/>
      <c r="J24" s="43"/>
      <c r="N24" s="19"/>
    </row>
    <row r="25" spans="1:14" ht="5.45" customHeight="1" x14ac:dyDescent="0.25">
      <c r="A25" s="40"/>
      <c r="B25" s="29"/>
      <c r="C25" s="30"/>
      <c r="D25" s="28"/>
      <c r="E25" s="29"/>
      <c r="F25" s="52"/>
      <c r="G25" s="53"/>
      <c r="H25" s="58"/>
      <c r="I25" s="293"/>
      <c r="J25" s="43"/>
      <c r="N25" s="19"/>
    </row>
    <row r="26" spans="1:14" ht="6.6" customHeight="1" thickBot="1" x14ac:dyDescent="0.3">
      <c r="B26" s="10"/>
      <c r="C26" s="13"/>
      <c r="D26" s="13"/>
      <c r="E26" s="13"/>
      <c r="G26" s="10"/>
      <c r="H26" s="10"/>
      <c r="I26" s="47"/>
      <c r="N26" s="19"/>
    </row>
    <row r="27" spans="1:14" ht="15.75" thickBot="1" x14ac:dyDescent="0.3">
      <c r="A27" s="40"/>
      <c r="B27" s="299" t="s">
        <v>337</v>
      </c>
      <c r="C27" s="300"/>
      <c r="D27" s="300"/>
      <c r="E27" s="301"/>
      <c r="F27" s="54">
        <f>SUM((E9*F9)+E10*F10+E11*F11+E12*F12+E13*F13+E14*F14+E15*F15+E16*F16+E17*F17+E18*F18+E19*F19+E20*F20+E21*F21)</f>
        <v>5383</v>
      </c>
      <c r="H27">
        <f>SUM(H9:H25)</f>
        <v>5277</v>
      </c>
      <c r="J27" s="43"/>
      <c r="N27" s="19"/>
    </row>
    <row r="28" spans="1:14" ht="5.45" customHeight="1" thickBot="1" x14ac:dyDescent="0.3">
      <c r="A28" s="40"/>
      <c r="J28" s="43"/>
      <c r="N28" s="19"/>
    </row>
    <row r="29" spans="1:14" ht="15.75" x14ac:dyDescent="0.25">
      <c r="A29" s="40"/>
      <c r="B29" s="302" t="s">
        <v>338</v>
      </c>
      <c r="C29" s="303"/>
      <c r="D29" s="304">
        <f>F27-I9</f>
        <v>106</v>
      </c>
      <c r="E29" s="304"/>
      <c r="F29" s="304"/>
      <c r="G29" s="304"/>
      <c r="H29" s="305"/>
      <c r="I29" s="295" t="s">
        <v>334</v>
      </c>
      <c r="J29" s="43"/>
      <c r="N29" s="19"/>
    </row>
    <row r="30" spans="1:14" ht="15.75" thickBot="1" x14ac:dyDescent="0.3">
      <c r="A30" s="40"/>
      <c r="B30" s="297" t="s">
        <v>339</v>
      </c>
      <c r="C30" s="298"/>
      <c r="D30" s="306" t="s">
        <v>907</v>
      </c>
      <c r="E30" s="306"/>
      <c r="F30" s="306"/>
      <c r="G30" s="306"/>
      <c r="H30" s="307"/>
      <c r="I30" s="296"/>
      <c r="J30" s="43"/>
      <c r="N30" s="19"/>
    </row>
    <row r="31" spans="1:14" x14ac:dyDescent="0.25">
      <c r="A31" s="40"/>
      <c r="J31" s="43"/>
      <c r="N31" s="19"/>
    </row>
    <row r="32" spans="1:14" x14ac:dyDescent="0.25">
      <c r="A32" s="40"/>
      <c r="E32" s="291"/>
      <c r="F32" s="291"/>
      <c r="J32" s="43"/>
      <c r="N32" s="19"/>
    </row>
    <row r="33" spans="1:14" x14ac:dyDescent="0.25">
      <c r="A33" s="40"/>
      <c r="J33" s="43"/>
      <c r="N33" s="19"/>
    </row>
    <row r="34" spans="1:14" x14ac:dyDescent="0.25">
      <c r="A34" s="40"/>
      <c r="J34" s="43"/>
      <c r="N34" s="19"/>
    </row>
    <row r="35" spans="1:14" x14ac:dyDescent="0.25">
      <c r="A35" s="40"/>
      <c r="J35" s="43"/>
    </row>
    <row r="36" spans="1:14" x14ac:dyDescent="0.25">
      <c r="A36" s="40"/>
      <c r="J36" s="43"/>
    </row>
    <row r="37" spans="1:14" ht="20.45" customHeight="1" x14ac:dyDescent="0.25">
      <c r="A37" s="40"/>
      <c r="J37" s="43"/>
    </row>
    <row r="38" spans="1:14" ht="29.45" customHeight="1" x14ac:dyDescent="0.25">
      <c r="A38" s="40"/>
      <c r="B38" s="292"/>
      <c r="C38" s="292"/>
      <c r="D38" s="292"/>
      <c r="E38" s="292"/>
      <c r="F38" s="292"/>
      <c r="G38" s="292"/>
      <c r="H38" s="292"/>
      <c r="I38" s="292"/>
      <c r="J38" s="43"/>
    </row>
    <row r="39" spans="1:14" x14ac:dyDescent="0.25">
      <c r="A39" s="40"/>
      <c r="J39" s="43"/>
    </row>
    <row r="40" spans="1:14" x14ac:dyDescent="0.25">
      <c r="A40" s="44"/>
      <c r="B40" s="45"/>
      <c r="C40" s="45"/>
      <c r="D40" s="45"/>
      <c r="E40" s="45"/>
      <c r="F40" s="51"/>
      <c r="G40" s="45"/>
      <c r="H40" s="45"/>
      <c r="I40" s="45"/>
      <c r="J40" s="46"/>
    </row>
  </sheetData>
  <mergeCells count="14">
    <mergeCell ref="B2:I3"/>
    <mergeCell ref="D5:G5"/>
    <mergeCell ref="C6:D6"/>
    <mergeCell ref="B38:I38"/>
    <mergeCell ref="I9:I25"/>
    <mergeCell ref="H8:I8"/>
    <mergeCell ref="I29:I30"/>
    <mergeCell ref="C8:D8"/>
    <mergeCell ref="B30:C30"/>
    <mergeCell ref="E32:F32"/>
    <mergeCell ref="B27:E27"/>
    <mergeCell ref="B29:C29"/>
    <mergeCell ref="D29:H29"/>
    <mergeCell ref="D30:H30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E6ABD854-69E6-462B-B130-A154CF586EBB}">
          <x14:formula1>
            <xm:f>PA!$A$1:$A$498</xm:f>
          </x14:formula1>
          <xm:sqref>C26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PA</vt:lpstr>
      <vt:lpstr>Sales Register</vt:lpstr>
      <vt:lpstr>Stock Register</vt:lpstr>
      <vt:lpstr>Purchase Register</vt:lpstr>
      <vt:lpstr>Expense Register</vt:lpstr>
      <vt:lpstr>Daily Accounts</vt:lpstr>
      <vt:lpstr>Monthly Summary</vt:lpstr>
      <vt:lpstr>BILL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admin</cp:lastModifiedBy>
  <cp:lastPrinted>2026-07-01T16:35:20Z</cp:lastPrinted>
  <dcterms:created xsi:type="dcterms:W3CDTF">2026-01-31T15:36:55Z</dcterms:created>
  <dcterms:modified xsi:type="dcterms:W3CDTF">2026-09-26T08:42:28Z</dcterms:modified>
</cp:coreProperties>
</file>